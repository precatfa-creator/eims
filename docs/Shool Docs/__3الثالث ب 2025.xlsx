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F:\مجلد جديد\"/>
    </mc:Choice>
  </mc:AlternateContent>
  <xr:revisionPtr revIDLastSave="0" documentId="13_ncr:1_{F6061B03-5AF5-4472-BD30-2503E04A69CD}" xr6:coauthVersionLast="47" xr6:coauthVersionMax="47" xr10:uidLastSave="{00000000-0000-0000-0000-000000000000}"/>
  <bookViews>
    <workbookView xWindow="-108" yWindow="-108" windowWidth="16608" windowHeight="8832" tabRatio="705" activeTab="5" xr2:uid="{00000000-000D-0000-FFFF-FFFF00000000}"/>
  </bookViews>
  <sheets>
    <sheet name="بيانات الصحيفة " sheetId="35" r:id="rId1"/>
    <sheet name="الرئيسية" sheetId="34" r:id="rId2"/>
    <sheet name="صحيفة الفترات" sheetId="30" r:id="rId3"/>
    <sheet name="الصحيفة النهائية" sheetId="27" r:id="rId4"/>
    <sheet name="النتيجة النهائية" sheetId="31" r:id="rId5"/>
    <sheet name="ادخال1" sheetId="4" r:id="rId6"/>
  </sheets>
  <externalReferences>
    <externalReference r:id="rId7"/>
  </externalReferences>
  <definedNames>
    <definedName name="_xlnm._FilterDatabase" localSheetId="5" hidden="1">ادخال1!$E$2:$E$319</definedName>
    <definedName name="_xlnm.Print_Area" localSheetId="4">'النتيجة النهائية'!$A$1:$AL$1392</definedName>
    <definedName name="_xlnm.Print_Area" localSheetId="0">'بيانات الصحيفة '!$A$1:$BG$110</definedName>
    <definedName name="_xlnm.Print_Titles" localSheetId="4">'النتيجة النهائية'!$1:$9</definedName>
    <definedName name="اسماء">ادخال1!$B$11:$ES$433</definedName>
    <definedName name="الترتيب1">ادخال1!$AU$11:$AV$319</definedName>
    <definedName name="الترتيب2">ادخال1!$BA$11:$BB$319</definedName>
    <definedName name="الترتيب3">ادخال1!$BF$11:$BG$320</definedName>
    <definedName name="عمود1">ادخال1!$A$11:$A$319</definedName>
    <definedName name="عمود2">ادخال1!$B$11:$B$319</definedName>
    <definedName name="مستجد">ادخال1!$CK$3:$CK$4</definedName>
    <definedName name="مسلسل">ادخال1!$A$11:$B$319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3" i="30" l="1"/>
  <c r="I11" i="30" l="1"/>
  <c r="AE34" i="30" l="1"/>
  <c r="AP34" i="30"/>
  <c r="T56" i="30"/>
  <c r="I56" i="30"/>
  <c r="T34" i="30"/>
  <c r="I34" i="30"/>
  <c r="AE11" i="30"/>
  <c r="T11" i="30"/>
  <c r="AE12" i="30"/>
  <c r="T77" i="30"/>
  <c r="AP77" i="30"/>
  <c r="T76" i="30"/>
  <c r="AP76" i="30"/>
  <c r="T98" i="30"/>
  <c r="AP97" i="30"/>
  <c r="T97" i="30"/>
  <c r="AE97" i="30"/>
  <c r="I97" i="30"/>
  <c r="AE76" i="30"/>
  <c r="I76" i="30"/>
  <c r="AP55" i="30"/>
  <c r="AE55" i="30"/>
  <c r="T55" i="30"/>
  <c r="I55" i="30"/>
  <c r="AP11" i="30"/>
  <c r="AP98" i="30" l="1"/>
  <c r="AE98" i="30"/>
  <c r="I98" i="30"/>
  <c r="I77" i="30"/>
  <c r="AE77" i="30"/>
  <c r="AP56" i="30"/>
  <c r="AE56" i="30"/>
  <c r="AP35" i="30"/>
  <c r="AE35" i="30"/>
  <c r="T35" i="30"/>
  <c r="I35" i="30"/>
  <c r="AP12" i="30"/>
  <c r="T12" i="30"/>
  <c r="I12" i="30"/>
  <c r="L23" i="4" l="1"/>
  <c r="E4" i="31" l="1"/>
  <c r="AE1" i="27"/>
  <c r="AU1" i="27"/>
  <c r="AS16" i="27" s="1"/>
  <c r="AM18" i="27" s="1"/>
  <c r="AX174" i="27"/>
  <c r="AW174" i="27"/>
  <c r="AX173" i="27"/>
  <c r="AW173" i="27"/>
  <c r="AX172" i="27"/>
  <c r="AW172" i="27"/>
  <c r="BC171" i="27"/>
  <c r="BB171" i="27"/>
  <c r="BA171" i="27"/>
  <c r="AZ171" i="27"/>
  <c r="AX169" i="27"/>
  <c r="AY169" i="27" s="1"/>
  <c r="AW169" i="27"/>
  <c r="AX168" i="27"/>
  <c r="BC168" i="27" s="1"/>
  <c r="AY168" i="27"/>
  <c r="AW168" i="27"/>
  <c r="AX167" i="27"/>
  <c r="BC167" i="27" s="1"/>
  <c r="AW167" i="27"/>
  <c r="AX166" i="27"/>
  <c r="BC166" i="27" s="1"/>
  <c r="AW166" i="27"/>
  <c r="AX165" i="27"/>
  <c r="BA165" i="27" s="1"/>
  <c r="AW165" i="27"/>
  <c r="AX164" i="27"/>
  <c r="BA164" i="27" s="1"/>
  <c r="AW164" i="27"/>
  <c r="AU41" i="27"/>
  <c r="AU80" i="27" s="1"/>
  <c r="L166" i="4"/>
  <c r="AU166" i="4" s="1"/>
  <c r="AH174" i="27" s="1"/>
  <c r="AG174" i="27"/>
  <c r="AH173" i="27"/>
  <c r="AG173" i="27"/>
  <c r="AH172" i="27"/>
  <c r="AG172" i="27"/>
  <c r="AM171" i="27"/>
  <c r="AL171" i="27"/>
  <c r="AK171" i="27"/>
  <c r="AJ171" i="27"/>
  <c r="AH169" i="27"/>
  <c r="AK169" i="27" s="1"/>
  <c r="AG169" i="27"/>
  <c r="AH168" i="27"/>
  <c r="AM168" i="27" s="1"/>
  <c r="AH164" i="27"/>
  <c r="AM164" i="27" s="1"/>
  <c r="AH165" i="27"/>
  <c r="AM165" i="27" s="1"/>
  <c r="AH166" i="27"/>
  <c r="AK166" i="27" s="1"/>
  <c r="AH167" i="27"/>
  <c r="AG168" i="27"/>
  <c r="AG167" i="27"/>
  <c r="AG166" i="27"/>
  <c r="AG165" i="27"/>
  <c r="AK164" i="27"/>
  <c r="AG164" i="27"/>
  <c r="AE41" i="27"/>
  <c r="AE80" i="27" s="1"/>
  <c r="R174" i="27"/>
  <c r="Q174" i="27"/>
  <c r="R173" i="27"/>
  <c r="Q173" i="27"/>
  <c r="R172" i="27"/>
  <c r="Q172" i="27"/>
  <c r="W171" i="27"/>
  <c r="V171" i="27"/>
  <c r="U171" i="27"/>
  <c r="T171" i="27"/>
  <c r="R169" i="27"/>
  <c r="U169" i="27" s="1"/>
  <c r="Q169" i="27"/>
  <c r="R168" i="27"/>
  <c r="U168" i="27" s="1"/>
  <c r="Q168" i="27"/>
  <c r="R167" i="27"/>
  <c r="S167" i="27" s="1"/>
  <c r="Q167" i="27"/>
  <c r="R166" i="27"/>
  <c r="U166" i="27" s="1"/>
  <c r="Q166" i="27"/>
  <c r="R165" i="27"/>
  <c r="U165" i="27" s="1"/>
  <c r="Q165" i="27"/>
  <c r="R164" i="27"/>
  <c r="W164" i="27" s="1"/>
  <c r="Q164" i="27"/>
  <c r="O41" i="27"/>
  <c r="O80" i="27" s="1"/>
  <c r="B174" i="27"/>
  <c r="A174" i="27"/>
  <c r="B173" i="27"/>
  <c r="A173" i="27"/>
  <c r="B172" i="27"/>
  <c r="A172" i="27"/>
  <c r="G171" i="27"/>
  <c r="F171" i="27"/>
  <c r="E171" i="27"/>
  <c r="D171" i="27"/>
  <c r="B169" i="27"/>
  <c r="E169" i="27" s="1"/>
  <c r="A169" i="27"/>
  <c r="B168" i="27"/>
  <c r="G168" i="27" s="1"/>
  <c r="A168" i="27"/>
  <c r="B167" i="27"/>
  <c r="G167" i="27" s="1"/>
  <c r="A167" i="27"/>
  <c r="B166" i="27"/>
  <c r="G166" i="27"/>
  <c r="B164" i="27"/>
  <c r="B165" i="27"/>
  <c r="G165" i="27" s="1"/>
  <c r="C166" i="27"/>
  <c r="E166" i="27"/>
  <c r="A166" i="27"/>
  <c r="E165" i="27"/>
  <c r="A165" i="27"/>
  <c r="A164" i="27"/>
  <c r="AX134" i="27"/>
  <c r="AW134" i="27"/>
  <c r="AX133" i="27"/>
  <c r="AW133" i="27"/>
  <c r="AX132" i="27"/>
  <c r="AW132" i="27"/>
  <c r="BC131" i="27"/>
  <c r="BB131" i="27"/>
  <c r="BA131" i="27"/>
  <c r="AZ131" i="27"/>
  <c r="AX129" i="27"/>
  <c r="BA129" i="27" s="1"/>
  <c r="BC129" i="27"/>
  <c r="AW129" i="27"/>
  <c r="AX128" i="27"/>
  <c r="BA128" i="27" s="1"/>
  <c r="AW128" i="27"/>
  <c r="AX127" i="27"/>
  <c r="BC127" i="27" s="1"/>
  <c r="AW127" i="27"/>
  <c r="AX126" i="27"/>
  <c r="BC126" i="27" s="1"/>
  <c r="AW126" i="27"/>
  <c r="AX125" i="27"/>
  <c r="AW125" i="27"/>
  <c r="AX124" i="27"/>
  <c r="BA124" i="27" s="1"/>
  <c r="AW124" i="27"/>
  <c r="L126" i="4"/>
  <c r="AU126" i="4" s="1"/>
  <c r="AH134" i="27" s="1"/>
  <c r="AG134" i="27"/>
  <c r="AH133" i="27"/>
  <c r="AG133" i="27"/>
  <c r="AH132" i="27"/>
  <c r="AG132" i="27"/>
  <c r="AM131" i="27"/>
  <c r="AL131" i="27"/>
  <c r="AK131" i="27"/>
  <c r="AJ131" i="27"/>
  <c r="AH129" i="27"/>
  <c r="AI129" i="27" s="1"/>
  <c r="AG129" i="27"/>
  <c r="AH128" i="27"/>
  <c r="AI128" i="27" s="1"/>
  <c r="AG128" i="27"/>
  <c r="AH127" i="27"/>
  <c r="AM127" i="27" s="1"/>
  <c r="AG127" i="27"/>
  <c r="AH126" i="27"/>
  <c r="AM126" i="27" s="1"/>
  <c r="AG126" i="27"/>
  <c r="AH125" i="27"/>
  <c r="AM125" i="27" s="1"/>
  <c r="AK125" i="27"/>
  <c r="AG125" i="27"/>
  <c r="AH124" i="27"/>
  <c r="AI124" i="27" s="1"/>
  <c r="AG124" i="27"/>
  <c r="R134" i="27"/>
  <c r="Q134" i="27"/>
  <c r="R133" i="27"/>
  <c r="Q133" i="27"/>
  <c r="R132" i="27"/>
  <c r="Q132" i="27"/>
  <c r="W131" i="27"/>
  <c r="V131" i="27"/>
  <c r="U131" i="27"/>
  <c r="T131" i="27"/>
  <c r="R129" i="27"/>
  <c r="S129" i="27" s="1"/>
  <c r="Q129" i="27"/>
  <c r="R128" i="27"/>
  <c r="S128" i="27" s="1"/>
  <c r="Q128" i="27"/>
  <c r="R127" i="27"/>
  <c r="U127" i="27"/>
  <c r="Q127" i="27"/>
  <c r="R126" i="27"/>
  <c r="U126" i="27" s="1"/>
  <c r="Q126" i="27"/>
  <c r="R125" i="27"/>
  <c r="S125" i="27" s="1"/>
  <c r="Q125" i="27"/>
  <c r="R124" i="27"/>
  <c r="U124" i="27" s="1"/>
  <c r="Q124" i="27"/>
  <c r="B134" i="27"/>
  <c r="A134" i="27"/>
  <c r="B133" i="27"/>
  <c r="A133" i="27"/>
  <c r="B132" i="27"/>
  <c r="A132" i="27"/>
  <c r="G131" i="27"/>
  <c r="F131" i="27"/>
  <c r="E131" i="27"/>
  <c r="D131" i="27"/>
  <c r="B129" i="27"/>
  <c r="A129" i="27"/>
  <c r="B128" i="27"/>
  <c r="E128" i="27" s="1"/>
  <c r="A128" i="27"/>
  <c r="B127" i="27"/>
  <c r="G127" i="27" s="1"/>
  <c r="A127" i="27"/>
  <c r="B126" i="27"/>
  <c r="A126" i="27"/>
  <c r="B125" i="27"/>
  <c r="G125" i="27" s="1"/>
  <c r="A125" i="27"/>
  <c r="B124" i="27"/>
  <c r="C124" i="27" s="1"/>
  <c r="A124" i="27"/>
  <c r="AX94" i="27"/>
  <c r="AW94" i="27"/>
  <c r="AX93" i="27"/>
  <c r="AW93" i="27"/>
  <c r="AX92" i="27"/>
  <c r="AW92" i="27"/>
  <c r="BC91" i="27"/>
  <c r="BB91" i="27"/>
  <c r="BA91" i="27"/>
  <c r="AZ91" i="27"/>
  <c r="AX89" i="27"/>
  <c r="BC89" i="27" s="1"/>
  <c r="AW89" i="27"/>
  <c r="AX88" i="27"/>
  <c r="AY88" i="27" s="1"/>
  <c r="AW88" i="27"/>
  <c r="AX87" i="27"/>
  <c r="AY87" i="27" s="1"/>
  <c r="AW87" i="27"/>
  <c r="AX86" i="27"/>
  <c r="BC86" i="27" s="1"/>
  <c r="BA86" i="27"/>
  <c r="AW86" i="27"/>
  <c r="AX85" i="27"/>
  <c r="AY85" i="27" s="1"/>
  <c r="AX84" i="27"/>
  <c r="BC84" i="27" s="1"/>
  <c r="AW85" i="27"/>
  <c r="AW84" i="27"/>
  <c r="L86" i="4"/>
  <c r="AU86" i="4" s="1"/>
  <c r="AH94" i="27" s="1"/>
  <c r="AG94" i="27"/>
  <c r="AH93" i="27"/>
  <c r="AG93" i="27"/>
  <c r="AH92" i="27"/>
  <c r="AG92" i="27"/>
  <c r="AM91" i="27"/>
  <c r="AL91" i="27"/>
  <c r="AK91" i="27"/>
  <c r="AJ91" i="27"/>
  <c r="AH89" i="27"/>
  <c r="AK89" i="27" s="1"/>
  <c r="AG89" i="27"/>
  <c r="AH88" i="27"/>
  <c r="AI88" i="27" s="1"/>
  <c r="AG88" i="27"/>
  <c r="AH87" i="27"/>
  <c r="AM87" i="27" s="1"/>
  <c r="AG87" i="27"/>
  <c r="AH86" i="27"/>
  <c r="AM86" i="27" s="1"/>
  <c r="AG86" i="27"/>
  <c r="AH85" i="27"/>
  <c r="AI85" i="27" s="1"/>
  <c r="AG85" i="27"/>
  <c r="AH84" i="27"/>
  <c r="AM84" i="27" s="1"/>
  <c r="AG84" i="27"/>
  <c r="R94" i="27"/>
  <c r="Q94" i="27"/>
  <c r="R93" i="27"/>
  <c r="Q93" i="27"/>
  <c r="R92" i="27"/>
  <c r="Q92" i="27"/>
  <c r="W91" i="27"/>
  <c r="V91" i="27"/>
  <c r="U91" i="27"/>
  <c r="T91" i="27"/>
  <c r="R89" i="27"/>
  <c r="W89" i="27" s="1"/>
  <c r="Q89" i="27"/>
  <c r="R88" i="27"/>
  <c r="Q88" i="27"/>
  <c r="R87" i="27"/>
  <c r="Q87" i="27"/>
  <c r="R86" i="27"/>
  <c r="S86" i="27" s="1"/>
  <c r="Q86" i="27"/>
  <c r="R85" i="27"/>
  <c r="S85" i="27" s="1"/>
  <c r="Q85" i="27"/>
  <c r="R84" i="27"/>
  <c r="U84" i="27" s="1"/>
  <c r="S84" i="27"/>
  <c r="Q84" i="27"/>
  <c r="D80" i="27"/>
  <c r="B94" i="27"/>
  <c r="A94" i="27"/>
  <c r="B93" i="27"/>
  <c r="A93" i="27"/>
  <c r="B92" i="27"/>
  <c r="A92" i="27"/>
  <c r="G91" i="27"/>
  <c r="F91" i="27"/>
  <c r="E91" i="27"/>
  <c r="D91" i="27"/>
  <c r="B89" i="27"/>
  <c r="E89" i="27" s="1"/>
  <c r="A89" i="27"/>
  <c r="B88" i="27"/>
  <c r="A88" i="27"/>
  <c r="B87" i="27"/>
  <c r="G87" i="27" s="1"/>
  <c r="A87" i="27"/>
  <c r="B86" i="27"/>
  <c r="G86" i="27" s="1"/>
  <c r="A86" i="27"/>
  <c r="B85" i="27"/>
  <c r="G85" i="27" s="1"/>
  <c r="A85" i="27"/>
  <c r="B84" i="27"/>
  <c r="G84" i="27" s="1"/>
  <c r="A84" i="27"/>
  <c r="AX55" i="27"/>
  <c r="AW55" i="27"/>
  <c r="AX54" i="27"/>
  <c r="AW54" i="27"/>
  <c r="AX53" i="27"/>
  <c r="AW53" i="27"/>
  <c r="BC52" i="27"/>
  <c r="BB52" i="27"/>
  <c r="BA52" i="27"/>
  <c r="AZ52" i="27"/>
  <c r="AX50" i="27"/>
  <c r="AW50" i="27"/>
  <c r="AX49" i="27"/>
  <c r="BA49" i="27" s="1"/>
  <c r="AW49" i="27"/>
  <c r="AX48" i="27"/>
  <c r="AW48" i="27"/>
  <c r="AX47" i="27"/>
  <c r="AY47" i="27" s="1"/>
  <c r="AW47" i="27"/>
  <c r="AX46" i="27"/>
  <c r="AY46" i="27" s="1"/>
  <c r="AW46" i="27"/>
  <c r="AX45" i="27"/>
  <c r="BA45" i="27" s="1"/>
  <c r="AW45" i="27"/>
  <c r="L47" i="4"/>
  <c r="AU47" i="4" s="1"/>
  <c r="AH55" i="27" s="1"/>
  <c r="AG55" i="27"/>
  <c r="AH54" i="27"/>
  <c r="AG54" i="27"/>
  <c r="AH53" i="27"/>
  <c r="AG53" i="27"/>
  <c r="AM52" i="27"/>
  <c r="AL52" i="27"/>
  <c r="AK52" i="27"/>
  <c r="AJ52" i="27"/>
  <c r="AH50" i="27"/>
  <c r="AI50" i="27" s="1"/>
  <c r="AG50" i="27"/>
  <c r="AH49" i="27"/>
  <c r="AK49" i="27" s="1"/>
  <c r="AG49" i="27"/>
  <c r="AH48" i="27"/>
  <c r="AG48" i="27"/>
  <c r="AH47" i="27"/>
  <c r="AG47" i="27"/>
  <c r="AH46" i="27"/>
  <c r="AI46" i="27" s="1"/>
  <c r="AG46" i="27"/>
  <c r="AH45" i="27"/>
  <c r="AM45" i="27" s="1"/>
  <c r="AG45" i="27"/>
  <c r="AC56" i="27"/>
  <c r="U56" i="27" s="1"/>
  <c r="T41" i="27"/>
  <c r="R55" i="27"/>
  <c r="Q55" i="27"/>
  <c r="S54" i="27"/>
  <c r="R54" i="27"/>
  <c r="Q54" i="27"/>
  <c r="R53" i="27"/>
  <c r="Q53" i="27"/>
  <c r="W52" i="27"/>
  <c r="V52" i="27"/>
  <c r="U52" i="27"/>
  <c r="T52" i="27"/>
  <c r="R50" i="27"/>
  <c r="Q50" i="27"/>
  <c r="R49" i="27"/>
  <c r="W49" i="27" s="1"/>
  <c r="Q49" i="27"/>
  <c r="R48" i="27"/>
  <c r="Q48" i="27"/>
  <c r="R47" i="27"/>
  <c r="S47" i="27" s="1"/>
  <c r="Q47" i="27"/>
  <c r="R46" i="27"/>
  <c r="W46" i="27" s="1"/>
  <c r="Q46" i="27"/>
  <c r="R45" i="27"/>
  <c r="W45" i="27" s="1"/>
  <c r="Q45" i="27"/>
  <c r="M56" i="27"/>
  <c r="G58" i="27" s="1"/>
  <c r="D41" i="27"/>
  <c r="B55" i="27"/>
  <c r="A55" i="27"/>
  <c r="B54" i="27"/>
  <c r="A54" i="27"/>
  <c r="B53" i="27"/>
  <c r="A53" i="27"/>
  <c r="G52" i="27"/>
  <c r="F52" i="27"/>
  <c r="E52" i="27"/>
  <c r="D52" i="27"/>
  <c r="B50" i="27"/>
  <c r="E50" i="27" s="1"/>
  <c r="A50" i="27"/>
  <c r="B49" i="27"/>
  <c r="A49" i="27"/>
  <c r="B48" i="27"/>
  <c r="A48" i="27"/>
  <c r="B47" i="27"/>
  <c r="A47" i="27"/>
  <c r="B46" i="27"/>
  <c r="G46" i="27" s="1"/>
  <c r="A46" i="27"/>
  <c r="B45" i="27"/>
  <c r="E45" i="27" s="1"/>
  <c r="A45" i="27"/>
  <c r="AX15" i="27"/>
  <c r="AW15" i="27"/>
  <c r="AX14" i="27"/>
  <c r="AW14" i="27"/>
  <c r="AX13" i="27"/>
  <c r="AW13" i="27"/>
  <c r="BC12" i="27"/>
  <c r="BB12" i="27"/>
  <c r="BA12" i="27"/>
  <c r="AZ12" i="27"/>
  <c r="AX10" i="27"/>
  <c r="AW10" i="27"/>
  <c r="AX9" i="27"/>
  <c r="BC9" i="27" s="1"/>
  <c r="AW9" i="27"/>
  <c r="AX8" i="27"/>
  <c r="BA8" i="27" s="1"/>
  <c r="AW8" i="27"/>
  <c r="AX7" i="27"/>
  <c r="BC7" i="27" s="1"/>
  <c r="AY7" i="27"/>
  <c r="AW7" i="27"/>
  <c r="AX6" i="27"/>
  <c r="AW6" i="27"/>
  <c r="AX5" i="27"/>
  <c r="AY5" i="27" s="1"/>
  <c r="AW5" i="27"/>
  <c r="AH15" i="27"/>
  <c r="AG15" i="27"/>
  <c r="AH14" i="27"/>
  <c r="AG14" i="27"/>
  <c r="AH13" i="27"/>
  <c r="AG13" i="27"/>
  <c r="AM12" i="27"/>
  <c r="AL12" i="27"/>
  <c r="AK12" i="27"/>
  <c r="AJ12" i="27"/>
  <c r="AH10" i="27"/>
  <c r="AI10" i="27" s="1"/>
  <c r="AG10" i="27"/>
  <c r="AH9" i="27"/>
  <c r="AK9" i="27" s="1"/>
  <c r="AG9" i="27"/>
  <c r="AH8" i="27"/>
  <c r="AK8" i="27" s="1"/>
  <c r="AG8" i="27"/>
  <c r="AH7" i="27"/>
  <c r="AG7" i="27"/>
  <c r="AH6" i="27"/>
  <c r="AI6" i="27" s="1"/>
  <c r="AG6" i="27"/>
  <c r="AH5" i="27"/>
  <c r="AM5" i="27" s="1"/>
  <c r="AG5" i="27"/>
  <c r="AC16" i="27"/>
  <c r="S13" i="27" s="1"/>
  <c r="AE7" i="4"/>
  <c r="R15" i="27" s="1"/>
  <c r="Q15" i="27"/>
  <c r="R14" i="27"/>
  <c r="Q14" i="27"/>
  <c r="R13" i="27"/>
  <c r="Q13" i="27"/>
  <c r="W12" i="27"/>
  <c r="V12" i="27"/>
  <c r="U12" i="27"/>
  <c r="T12" i="27"/>
  <c r="R10" i="27"/>
  <c r="S10" i="27" s="1"/>
  <c r="Q10" i="27"/>
  <c r="R9" i="27"/>
  <c r="W9" i="27" s="1"/>
  <c r="Q9" i="27"/>
  <c r="R8" i="27"/>
  <c r="W8" i="27" s="1"/>
  <c r="Q8" i="27"/>
  <c r="R7" i="27"/>
  <c r="Q7" i="27"/>
  <c r="R6" i="27"/>
  <c r="W6" i="27" s="1"/>
  <c r="Q6" i="27"/>
  <c r="R5" i="27"/>
  <c r="W5" i="27" s="1"/>
  <c r="Q5" i="27"/>
  <c r="AJ41" i="27"/>
  <c r="AZ41" i="27"/>
  <c r="T80" i="27"/>
  <c r="AI87" i="27"/>
  <c r="U86" i="27"/>
  <c r="AJ80" i="27"/>
  <c r="E84" i="27"/>
  <c r="E86" i="27"/>
  <c r="E127" i="27"/>
  <c r="T120" i="27"/>
  <c r="BA126" i="27"/>
  <c r="AY126" i="27"/>
  <c r="D120" i="27"/>
  <c r="G128" i="27"/>
  <c r="S126" i="27"/>
  <c r="E168" i="27"/>
  <c r="S165" i="27"/>
  <c r="BC164" i="27"/>
  <c r="AI49" i="27"/>
  <c r="AK45" i="27"/>
  <c r="V47" i="27"/>
  <c r="AK6" i="27"/>
  <c r="AJ1" i="27"/>
  <c r="B15" i="27"/>
  <c r="A15" i="27"/>
  <c r="B5" i="27"/>
  <c r="G5" i="27" s="1"/>
  <c r="B6" i="27"/>
  <c r="C6" i="27" s="1"/>
  <c r="B7" i="27"/>
  <c r="G7" i="27" s="1"/>
  <c r="E7" i="27"/>
  <c r="B8" i="27"/>
  <c r="C8" i="27" s="1"/>
  <c r="B9" i="27"/>
  <c r="B10" i="27"/>
  <c r="C10" i="27"/>
  <c r="U9" i="31"/>
  <c r="Z8" i="4"/>
  <c r="U7" i="31" s="1"/>
  <c r="Z7" i="4"/>
  <c r="U6" i="31" s="1"/>
  <c r="AZ120" i="27"/>
  <c r="T160" i="27"/>
  <c r="AJ120" i="27"/>
  <c r="AZ160" i="27"/>
  <c r="AJ160" i="27"/>
  <c r="D160" i="27"/>
  <c r="AZ80" i="27"/>
  <c r="AZ1" i="27"/>
  <c r="T1" i="27"/>
  <c r="U1" i="30"/>
  <c r="AF1" i="30" s="1"/>
  <c r="AF24" i="30" s="1"/>
  <c r="AF45" i="30" s="1"/>
  <c r="AL101" i="30"/>
  <c r="AK101" i="30"/>
  <c r="AJ101" i="30"/>
  <c r="AI100" i="30"/>
  <c r="AH100" i="30"/>
  <c r="AI99" i="30"/>
  <c r="AH99" i="30"/>
  <c r="AI98" i="30"/>
  <c r="AH98" i="30"/>
  <c r="AI96" i="30"/>
  <c r="AJ96" i="30" s="1"/>
  <c r="AH96" i="30"/>
  <c r="AI95" i="30"/>
  <c r="AL95" i="30" s="1"/>
  <c r="AH95" i="30"/>
  <c r="AI94" i="30"/>
  <c r="AL94" i="30"/>
  <c r="AH94" i="30"/>
  <c r="AI93" i="30"/>
  <c r="AL93" i="30" s="1"/>
  <c r="AH93" i="30"/>
  <c r="AI92" i="30"/>
  <c r="AJ92" i="30" s="1"/>
  <c r="AH92" i="30"/>
  <c r="AI91" i="30"/>
  <c r="AL91" i="30" s="1"/>
  <c r="AH91" i="30"/>
  <c r="AA101" i="30"/>
  <c r="Z101" i="30"/>
  <c r="Y101" i="30"/>
  <c r="X100" i="30"/>
  <c r="W100" i="30"/>
  <c r="X99" i="30"/>
  <c r="W99" i="30"/>
  <c r="X98" i="30"/>
  <c r="W98" i="30"/>
  <c r="X96" i="30"/>
  <c r="AA96" i="30" s="1"/>
  <c r="W96" i="30"/>
  <c r="X95" i="30"/>
  <c r="W95" i="30"/>
  <c r="X94" i="30"/>
  <c r="Y94" i="30" s="1"/>
  <c r="W94" i="30"/>
  <c r="X93" i="30"/>
  <c r="Y93" i="30" s="1"/>
  <c r="W93" i="30"/>
  <c r="X92" i="30"/>
  <c r="AA92" i="30" s="1"/>
  <c r="W92" i="30"/>
  <c r="X91" i="30"/>
  <c r="Y91" i="30" s="1"/>
  <c r="W91" i="30"/>
  <c r="P101" i="30"/>
  <c r="O101" i="30"/>
  <c r="N101" i="30"/>
  <c r="M100" i="30"/>
  <c r="L100" i="30"/>
  <c r="M99" i="30"/>
  <c r="L99" i="30"/>
  <c r="M98" i="30"/>
  <c r="L98" i="30"/>
  <c r="M96" i="30"/>
  <c r="L96" i="30"/>
  <c r="M95" i="30"/>
  <c r="L95" i="30"/>
  <c r="M94" i="30"/>
  <c r="L94" i="30"/>
  <c r="M93" i="30"/>
  <c r="P93" i="30" s="1"/>
  <c r="L93" i="30"/>
  <c r="M92" i="30"/>
  <c r="L92" i="30"/>
  <c r="M91" i="30"/>
  <c r="P91" i="30" s="1"/>
  <c r="L91" i="30"/>
  <c r="J24" i="30"/>
  <c r="J45" i="30" s="1"/>
  <c r="E101" i="30"/>
  <c r="D101" i="30"/>
  <c r="C101" i="30"/>
  <c r="B100" i="30"/>
  <c r="A100" i="30"/>
  <c r="B99" i="30"/>
  <c r="A99" i="30"/>
  <c r="B98" i="30"/>
  <c r="A98" i="30"/>
  <c r="B96" i="30"/>
  <c r="A96" i="30"/>
  <c r="B95" i="30"/>
  <c r="A95" i="30"/>
  <c r="B94" i="30"/>
  <c r="E94" i="30" s="1"/>
  <c r="A94" i="30"/>
  <c r="B93" i="30"/>
  <c r="E93" i="30" s="1"/>
  <c r="A93" i="30"/>
  <c r="B92" i="30"/>
  <c r="C92" i="30" s="1"/>
  <c r="A92" i="30"/>
  <c r="B91" i="30"/>
  <c r="E91" i="30" s="1"/>
  <c r="A91" i="30"/>
  <c r="AL80" i="30"/>
  <c r="AK80" i="30"/>
  <c r="AJ80" i="30"/>
  <c r="AI79" i="30"/>
  <c r="AH79" i="30"/>
  <c r="AI78" i="30"/>
  <c r="AH78" i="30"/>
  <c r="AI77" i="30"/>
  <c r="AH77" i="30"/>
  <c r="AI75" i="30"/>
  <c r="AL75" i="30" s="1"/>
  <c r="AJ75" i="30"/>
  <c r="AH75" i="30"/>
  <c r="AI74" i="30"/>
  <c r="AL74" i="30" s="1"/>
  <c r="AH74" i="30"/>
  <c r="AI73" i="30"/>
  <c r="AL73" i="30" s="1"/>
  <c r="AH73" i="30"/>
  <c r="AI72" i="30"/>
  <c r="AH72" i="30"/>
  <c r="AI71" i="30"/>
  <c r="AH71" i="30"/>
  <c r="AI70" i="30"/>
  <c r="AJ70" i="30" s="1"/>
  <c r="AL70" i="30"/>
  <c r="AH70" i="30"/>
  <c r="AA80" i="30"/>
  <c r="Z80" i="30"/>
  <c r="Y80" i="30"/>
  <c r="X79" i="30"/>
  <c r="W79" i="30"/>
  <c r="X78" i="30"/>
  <c r="W78" i="30"/>
  <c r="X77" i="30"/>
  <c r="W77" i="30"/>
  <c r="X75" i="30"/>
  <c r="AA75" i="30" s="1"/>
  <c r="W75" i="30"/>
  <c r="X74" i="30"/>
  <c r="W74" i="30"/>
  <c r="X73" i="30"/>
  <c r="W73" i="30"/>
  <c r="X72" i="30"/>
  <c r="W72" i="30"/>
  <c r="X71" i="30"/>
  <c r="Y71" i="30" s="1"/>
  <c r="W71" i="30"/>
  <c r="X70" i="30"/>
  <c r="Y70" i="30" s="1"/>
  <c r="W70" i="30"/>
  <c r="P80" i="30"/>
  <c r="O80" i="30"/>
  <c r="N80" i="30"/>
  <c r="M79" i="30"/>
  <c r="L79" i="30"/>
  <c r="M78" i="30"/>
  <c r="L78" i="30"/>
  <c r="M77" i="30"/>
  <c r="L77" i="30"/>
  <c r="M75" i="30"/>
  <c r="P75" i="30" s="1"/>
  <c r="L75" i="30"/>
  <c r="M74" i="30"/>
  <c r="N74" i="30" s="1"/>
  <c r="L74" i="30"/>
  <c r="M73" i="30"/>
  <c r="N73" i="30" s="1"/>
  <c r="L73" i="30"/>
  <c r="M72" i="30"/>
  <c r="P72" i="30" s="1"/>
  <c r="L72" i="30"/>
  <c r="M71" i="30"/>
  <c r="L71" i="30"/>
  <c r="M70" i="30"/>
  <c r="L70" i="30"/>
  <c r="E80" i="30"/>
  <c r="D80" i="30"/>
  <c r="C80" i="30"/>
  <c r="B79" i="30"/>
  <c r="A79" i="30"/>
  <c r="B78" i="30"/>
  <c r="A78" i="30"/>
  <c r="B77" i="30"/>
  <c r="A77" i="30"/>
  <c r="B75" i="30"/>
  <c r="E75" i="30" s="1"/>
  <c r="A75" i="30"/>
  <c r="B74" i="30"/>
  <c r="C74" i="30" s="1"/>
  <c r="A74" i="30"/>
  <c r="B73" i="30"/>
  <c r="C73" i="30" s="1"/>
  <c r="A73" i="30"/>
  <c r="B72" i="30"/>
  <c r="A72" i="30"/>
  <c r="B71" i="30"/>
  <c r="A71" i="30"/>
  <c r="B70" i="30"/>
  <c r="A70" i="30"/>
  <c r="AL59" i="30"/>
  <c r="AK59" i="30"/>
  <c r="AJ59" i="30"/>
  <c r="AI58" i="30"/>
  <c r="AH58" i="30"/>
  <c r="AI57" i="30"/>
  <c r="AH57" i="30"/>
  <c r="AI56" i="30"/>
  <c r="AH56" i="30"/>
  <c r="AI54" i="30"/>
  <c r="AL54" i="30" s="1"/>
  <c r="AH54" i="30"/>
  <c r="AI53" i="30"/>
  <c r="AJ53" i="30" s="1"/>
  <c r="AH53" i="30"/>
  <c r="AI52" i="30"/>
  <c r="AJ52" i="30" s="1"/>
  <c r="AH52" i="30"/>
  <c r="AI51" i="30"/>
  <c r="AJ51" i="30" s="1"/>
  <c r="AH51" i="30"/>
  <c r="AI50" i="30"/>
  <c r="AJ50" i="30"/>
  <c r="AH50" i="30"/>
  <c r="AI49" i="30"/>
  <c r="AL49" i="30" s="1"/>
  <c r="AH49" i="30"/>
  <c r="AA59" i="30"/>
  <c r="Z59" i="30"/>
  <c r="Y59" i="30"/>
  <c r="X58" i="30"/>
  <c r="W58" i="30"/>
  <c r="X57" i="30"/>
  <c r="W57" i="30"/>
  <c r="X56" i="30"/>
  <c r="W56" i="30"/>
  <c r="X54" i="30"/>
  <c r="W54" i="30"/>
  <c r="X53" i="30"/>
  <c r="Y53" i="30" s="1"/>
  <c r="W53" i="30"/>
  <c r="X52" i="30"/>
  <c r="AA52" i="30" s="1"/>
  <c r="W52" i="30"/>
  <c r="X51" i="30"/>
  <c r="AA51" i="30" s="1"/>
  <c r="W51" i="30"/>
  <c r="X50" i="30"/>
  <c r="W50" i="30"/>
  <c r="X49" i="30"/>
  <c r="W49" i="30"/>
  <c r="P59" i="30"/>
  <c r="O59" i="30"/>
  <c r="N59" i="30"/>
  <c r="M58" i="30"/>
  <c r="L58" i="30"/>
  <c r="M57" i="30"/>
  <c r="L57" i="30"/>
  <c r="M56" i="30"/>
  <c r="L56" i="30"/>
  <c r="M54" i="30"/>
  <c r="P54" i="30" s="1"/>
  <c r="L54" i="30"/>
  <c r="M53" i="30"/>
  <c r="P53" i="30" s="1"/>
  <c r="L53" i="30"/>
  <c r="M52" i="30"/>
  <c r="P52" i="30" s="1"/>
  <c r="L52" i="30"/>
  <c r="M51" i="30"/>
  <c r="L51" i="30"/>
  <c r="M50" i="30"/>
  <c r="L50" i="30"/>
  <c r="M49" i="30"/>
  <c r="L49" i="30"/>
  <c r="E59" i="30"/>
  <c r="D59" i="30"/>
  <c r="C59" i="30"/>
  <c r="B58" i="30"/>
  <c r="A58" i="30"/>
  <c r="B57" i="30"/>
  <c r="A57" i="30"/>
  <c r="B56" i="30"/>
  <c r="A56" i="30"/>
  <c r="B54" i="30"/>
  <c r="E54" i="30" s="1"/>
  <c r="A54" i="30"/>
  <c r="B53" i="30"/>
  <c r="C53" i="30" s="1"/>
  <c r="A53" i="30"/>
  <c r="B52" i="30"/>
  <c r="C52" i="30" s="1"/>
  <c r="A52" i="30"/>
  <c r="B51" i="30"/>
  <c r="C51" i="30" s="1"/>
  <c r="A51" i="30"/>
  <c r="B50" i="30"/>
  <c r="E50" i="30" s="1"/>
  <c r="A50" i="30"/>
  <c r="B49" i="30"/>
  <c r="A49" i="30"/>
  <c r="AL38" i="30"/>
  <c r="AK38" i="30"/>
  <c r="AJ38" i="30"/>
  <c r="AI37" i="30"/>
  <c r="AH37" i="30"/>
  <c r="AI36" i="30"/>
  <c r="AH36" i="30"/>
  <c r="AI35" i="30"/>
  <c r="AH35" i="30"/>
  <c r="AI33" i="30"/>
  <c r="AJ33" i="30" s="1"/>
  <c r="AH33" i="30"/>
  <c r="AI32" i="30"/>
  <c r="AJ32" i="30" s="1"/>
  <c r="AH32" i="30"/>
  <c r="AI31" i="30"/>
  <c r="AJ31" i="30" s="1"/>
  <c r="AH31" i="30"/>
  <c r="AI30" i="30"/>
  <c r="AL30" i="30" s="1"/>
  <c r="AH30" i="30"/>
  <c r="AI29" i="30"/>
  <c r="AH29" i="30"/>
  <c r="AI28" i="30"/>
  <c r="AH28" i="30"/>
  <c r="AA38" i="30"/>
  <c r="Z38" i="30"/>
  <c r="Y38" i="30"/>
  <c r="X37" i="30"/>
  <c r="W37" i="30"/>
  <c r="X36" i="30"/>
  <c r="W36" i="30"/>
  <c r="X35" i="30"/>
  <c r="W35" i="30"/>
  <c r="X33" i="30"/>
  <c r="AA33" i="30" s="1"/>
  <c r="W33" i="30"/>
  <c r="X32" i="30"/>
  <c r="W32" i="30"/>
  <c r="X31" i="30"/>
  <c r="W31" i="30"/>
  <c r="X30" i="30"/>
  <c r="Y30" i="30" s="1"/>
  <c r="W30" i="30"/>
  <c r="X29" i="30"/>
  <c r="Y29" i="30" s="1"/>
  <c r="W29" i="30"/>
  <c r="X28" i="30"/>
  <c r="Y28" i="30" s="1"/>
  <c r="W28" i="30"/>
  <c r="P38" i="30"/>
  <c r="O38" i="30"/>
  <c r="N38" i="30"/>
  <c r="M37" i="30"/>
  <c r="L37" i="30"/>
  <c r="M36" i="30"/>
  <c r="L36" i="30"/>
  <c r="M35" i="30"/>
  <c r="L35" i="30"/>
  <c r="M33" i="30"/>
  <c r="L33" i="30"/>
  <c r="M32" i="30"/>
  <c r="N32" i="30" s="1"/>
  <c r="L32" i="30"/>
  <c r="M31" i="30"/>
  <c r="N31" i="30" s="1"/>
  <c r="L31" i="30"/>
  <c r="M30" i="30"/>
  <c r="N30" i="30" s="1"/>
  <c r="P30" i="30"/>
  <c r="L30" i="30"/>
  <c r="M29" i="30"/>
  <c r="P29" i="30" s="1"/>
  <c r="L29" i="30"/>
  <c r="M28" i="30"/>
  <c r="P28" i="30" s="1"/>
  <c r="L28" i="30"/>
  <c r="E38" i="30"/>
  <c r="D38" i="30"/>
  <c r="C38" i="30"/>
  <c r="B37" i="30"/>
  <c r="A37" i="30"/>
  <c r="B36" i="30"/>
  <c r="A36" i="30"/>
  <c r="B35" i="30"/>
  <c r="A35" i="30"/>
  <c r="B33" i="30"/>
  <c r="E33" i="30" s="1"/>
  <c r="C33" i="30"/>
  <c r="A33" i="30"/>
  <c r="B32" i="30"/>
  <c r="E32" i="30" s="1"/>
  <c r="A32" i="30"/>
  <c r="B31" i="30"/>
  <c r="E31" i="30" s="1"/>
  <c r="A31" i="30"/>
  <c r="B30" i="30"/>
  <c r="E30" i="30" s="1"/>
  <c r="A30" i="30"/>
  <c r="B29" i="30"/>
  <c r="C29" i="30" s="1"/>
  <c r="A29" i="30"/>
  <c r="B28" i="30"/>
  <c r="E28" i="30" s="1"/>
  <c r="A28" i="30"/>
  <c r="AL15" i="30"/>
  <c r="AK15" i="30"/>
  <c r="AJ15" i="30"/>
  <c r="AI14" i="30"/>
  <c r="AH14" i="30"/>
  <c r="AI13" i="30"/>
  <c r="AH13" i="30"/>
  <c r="AI12" i="30"/>
  <c r="AH12" i="30"/>
  <c r="AI10" i="30"/>
  <c r="AJ10" i="30" s="1"/>
  <c r="AH10" i="30"/>
  <c r="AI9" i="30"/>
  <c r="AJ9" i="30" s="1"/>
  <c r="AH9" i="30"/>
  <c r="AI8" i="30"/>
  <c r="AJ8" i="30" s="1"/>
  <c r="AH8" i="30"/>
  <c r="AI7" i="30"/>
  <c r="AJ7" i="30" s="1"/>
  <c r="AH7" i="30"/>
  <c r="AI6" i="30"/>
  <c r="AL6" i="30" s="1"/>
  <c r="AH6" i="30"/>
  <c r="AI5" i="30"/>
  <c r="AJ5" i="30" s="1"/>
  <c r="AL5" i="30"/>
  <c r="AH5" i="30"/>
  <c r="AA15" i="30"/>
  <c r="Z15" i="30"/>
  <c r="Y15" i="30"/>
  <c r="X14" i="30"/>
  <c r="W14" i="30"/>
  <c r="X13" i="30"/>
  <c r="W13" i="30"/>
  <c r="X12" i="30"/>
  <c r="W12" i="30"/>
  <c r="X10" i="30"/>
  <c r="Y10" i="30" s="1"/>
  <c r="W10" i="30"/>
  <c r="X9" i="30"/>
  <c r="AA9" i="30" s="1"/>
  <c r="W9" i="30"/>
  <c r="X8" i="30"/>
  <c r="W8" i="30"/>
  <c r="X7" i="30"/>
  <c r="Y7" i="30" s="1"/>
  <c r="AA7" i="30"/>
  <c r="W7" i="30"/>
  <c r="X6" i="30"/>
  <c r="Y6" i="30" s="1"/>
  <c r="W6" i="30"/>
  <c r="X5" i="30"/>
  <c r="AA5" i="30" s="1"/>
  <c r="W5" i="30"/>
  <c r="P15" i="30"/>
  <c r="O15" i="30"/>
  <c r="N15" i="30"/>
  <c r="M14" i="30"/>
  <c r="L14" i="30"/>
  <c r="M13" i="30"/>
  <c r="L13" i="30"/>
  <c r="M12" i="30"/>
  <c r="L12" i="30"/>
  <c r="M10" i="30"/>
  <c r="L10" i="30"/>
  <c r="M9" i="30"/>
  <c r="P9" i="30" s="1"/>
  <c r="L9" i="30"/>
  <c r="M8" i="30"/>
  <c r="P8" i="30" s="1"/>
  <c r="L8" i="30"/>
  <c r="M7" i="30"/>
  <c r="P7" i="30" s="1"/>
  <c r="L7" i="30"/>
  <c r="M6" i="30"/>
  <c r="N6" i="30" s="1"/>
  <c r="L6" i="30"/>
  <c r="M5" i="30"/>
  <c r="P5" i="30" s="1"/>
  <c r="L5" i="30"/>
  <c r="B8" i="30"/>
  <c r="BF96" i="35"/>
  <c r="AU96" i="35"/>
  <c r="AQ96" i="35"/>
  <c r="AF96" i="35"/>
  <c r="AB96" i="35"/>
  <c r="Q96" i="35"/>
  <c r="M96" i="35"/>
  <c r="B96" i="35"/>
  <c r="BF74" i="35"/>
  <c r="AU74" i="35"/>
  <c r="AQ74" i="35"/>
  <c r="AF74" i="35"/>
  <c r="AB74" i="35"/>
  <c r="Q74" i="35"/>
  <c r="M74" i="35"/>
  <c r="B74" i="35"/>
  <c r="BF52" i="35"/>
  <c r="AU52" i="35"/>
  <c r="AQ52" i="35"/>
  <c r="AF52" i="35"/>
  <c r="AB52" i="35"/>
  <c r="Q52" i="35"/>
  <c r="M52" i="35"/>
  <c r="B52" i="35"/>
  <c r="BF30" i="35"/>
  <c r="AU30" i="35"/>
  <c r="AQ30" i="35"/>
  <c r="AF30" i="35"/>
  <c r="AB30" i="35"/>
  <c r="Q30" i="35"/>
  <c r="M30" i="35"/>
  <c r="B30" i="35"/>
  <c r="BF8" i="35"/>
  <c r="AU8" i="35"/>
  <c r="AQ8" i="35"/>
  <c r="AF8" i="35"/>
  <c r="AB8" i="35"/>
  <c r="Q8" i="35"/>
  <c r="M8" i="35"/>
  <c r="B9" i="35"/>
  <c r="B10" i="35" s="1"/>
  <c r="B8" i="35"/>
  <c r="B7" i="35"/>
  <c r="P1" i="35"/>
  <c r="Q9" i="35" s="1"/>
  <c r="Y96" i="30"/>
  <c r="AJ94" i="30"/>
  <c r="Y75" i="30"/>
  <c r="AJ73" i="30"/>
  <c r="AJ74" i="30"/>
  <c r="N72" i="30"/>
  <c r="AL50" i="30"/>
  <c r="AA71" i="30"/>
  <c r="AA28" i="30"/>
  <c r="Y33" i="30"/>
  <c r="H15" i="30"/>
  <c r="B15" i="30" s="1"/>
  <c r="B9" i="30"/>
  <c r="A8" i="30"/>
  <c r="B14" i="30"/>
  <c r="A14" i="30"/>
  <c r="AK10" i="4"/>
  <c r="Z10" i="4"/>
  <c r="AK8" i="4"/>
  <c r="AK7" i="4"/>
  <c r="B5" i="30"/>
  <c r="E5" i="30" s="1"/>
  <c r="B10" i="30"/>
  <c r="E10" i="30" s="1"/>
  <c r="D1" i="30"/>
  <c r="A10" i="27"/>
  <c r="A9" i="27"/>
  <c r="A8" i="27"/>
  <c r="R2" i="27"/>
  <c r="BO10" i="27"/>
  <c r="L6" i="31"/>
  <c r="M6" i="31" s="1"/>
  <c r="N7" i="31"/>
  <c r="L7" i="31"/>
  <c r="AE9" i="4"/>
  <c r="AE8" i="4"/>
  <c r="AE4" i="4"/>
  <c r="T9" i="4"/>
  <c r="T7" i="4"/>
  <c r="T4" i="4"/>
  <c r="I8" i="4"/>
  <c r="T8" i="4" s="1"/>
  <c r="L14" i="4"/>
  <c r="AU14" i="4" s="1"/>
  <c r="W14" i="4"/>
  <c r="BA14" i="4" s="1"/>
  <c r="L15" i="4"/>
  <c r="AU15" i="4" s="1"/>
  <c r="W15" i="4"/>
  <c r="BA15" i="4" s="1"/>
  <c r="L16" i="4"/>
  <c r="AU16" i="4" s="1"/>
  <c r="W16" i="4"/>
  <c r="L17" i="4"/>
  <c r="AU17" i="4" s="1"/>
  <c r="W17" i="4"/>
  <c r="BA17" i="4" s="1"/>
  <c r="L18" i="4"/>
  <c r="AU18" i="4" s="1"/>
  <c r="W18" i="4"/>
  <c r="L19" i="4"/>
  <c r="AU19" i="4" s="1"/>
  <c r="W19" i="4"/>
  <c r="BA19" i="4" s="1"/>
  <c r="L20" i="4"/>
  <c r="AU20" i="4" s="1"/>
  <c r="W20" i="4"/>
  <c r="L21" i="4"/>
  <c r="AU21" i="4" s="1"/>
  <c r="W21" i="4"/>
  <c r="BA21" i="4" s="1"/>
  <c r="L22" i="4"/>
  <c r="AU22" i="4" s="1"/>
  <c r="W22" i="4"/>
  <c r="BA22" i="4" s="1"/>
  <c r="W23" i="4"/>
  <c r="BA23" i="4" s="1"/>
  <c r="L24" i="4"/>
  <c r="AU24" i="4" s="1"/>
  <c r="W24" i="4"/>
  <c r="BA24" i="4" s="1"/>
  <c r="L25" i="4"/>
  <c r="AU25" i="4" s="1"/>
  <c r="W25" i="4"/>
  <c r="L26" i="4"/>
  <c r="AU26" i="4" s="1"/>
  <c r="W26" i="4"/>
  <c r="BA26" i="4" s="1"/>
  <c r="L27" i="4"/>
  <c r="W27" i="4"/>
  <c r="BA27" i="4" s="1"/>
  <c r="L28" i="4"/>
  <c r="AU28" i="4" s="1"/>
  <c r="W28" i="4"/>
  <c r="BA28" i="4" s="1"/>
  <c r="L29" i="4"/>
  <c r="W29" i="4"/>
  <c r="L30" i="4"/>
  <c r="W30" i="4"/>
  <c r="L31" i="4"/>
  <c r="W31" i="4"/>
  <c r="L32" i="4"/>
  <c r="W32" i="4"/>
  <c r="L33" i="4"/>
  <c r="W33" i="4"/>
  <c r="L34" i="4"/>
  <c r="W34" i="4"/>
  <c r="L35" i="4"/>
  <c r="W35" i="4"/>
  <c r="L36" i="4"/>
  <c r="W36" i="4"/>
  <c r="L37" i="4"/>
  <c r="W37" i="4"/>
  <c r="L38" i="4"/>
  <c r="W38" i="4"/>
  <c r="L39" i="4"/>
  <c r="W39" i="4"/>
  <c r="L40" i="4"/>
  <c r="W40" i="4"/>
  <c r="L41" i="4"/>
  <c r="W41" i="4"/>
  <c r="L42" i="4"/>
  <c r="W42" i="4"/>
  <c r="L43" i="4"/>
  <c r="W43" i="4"/>
  <c r="L44" i="4"/>
  <c r="W44" i="4"/>
  <c r="L45" i="4"/>
  <c r="W45" i="4"/>
  <c r="L46" i="4"/>
  <c r="W46" i="4"/>
  <c r="W47" i="4"/>
  <c r="L48" i="4"/>
  <c r="W48" i="4"/>
  <c r="L49" i="4"/>
  <c r="W49" i="4"/>
  <c r="L50" i="4"/>
  <c r="W50" i="4"/>
  <c r="L51" i="4"/>
  <c r="W51" i="4"/>
  <c r="L52" i="4"/>
  <c r="W52" i="4"/>
  <c r="L53" i="4"/>
  <c r="W53" i="4"/>
  <c r="L54" i="4"/>
  <c r="W54" i="4"/>
  <c r="L55" i="4"/>
  <c r="W55" i="4"/>
  <c r="L56" i="4"/>
  <c r="W56" i="4"/>
  <c r="L57" i="4"/>
  <c r="W57" i="4"/>
  <c r="L58" i="4"/>
  <c r="W58" i="4"/>
  <c r="L59" i="4"/>
  <c r="W59" i="4"/>
  <c r="L60" i="4"/>
  <c r="W60" i="4"/>
  <c r="L61" i="4"/>
  <c r="W61" i="4"/>
  <c r="L62" i="4"/>
  <c r="W62" i="4"/>
  <c r="L63" i="4"/>
  <c r="W63" i="4"/>
  <c r="L64" i="4"/>
  <c r="W64" i="4"/>
  <c r="L65" i="4"/>
  <c r="W65" i="4"/>
  <c r="L66" i="4"/>
  <c r="W66" i="4"/>
  <c r="L67" i="4"/>
  <c r="W67" i="4"/>
  <c r="L68" i="4"/>
  <c r="W68" i="4"/>
  <c r="L69" i="4"/>
  <c r="W69" i="4"/>
  <c r="L70" i="4"/>
  <c r="W70" i="4"/>
  <c r="L71" i="4"/>
  <c r="W71" i="4"/>
  <c r="L72" i="4"/>
  <c r="W72" i="4"/>
  <c r="L73" i="4"/>
  <c r="W73" i="4"/>
  <c r="L74" i="4"/>
  <c r="W74" i="4"/>
  <c r="L75" i="4"/>
  <c r="W75" i="4"/>
  <c r="L76" i="4"/>
  <c r="W76" i="4"/>
  <c r="L77" i="4"/>
  <c r="W77" i="4"/>
  <c r="L78" i="4"/>
  <c r="W78" i="4"/>
  <c r="L79" i="4"/>
  <c r="W79" i="4"/>
  <c r="L80" i="4"/>
  <c r="W80" i="4"/>
  <c r="L81" i="4"/>
  <c r="W81" i="4"/>
  <c r="L82" i="4"/>
  <c r="W82" i="4"/>
  <c r="L83" i="4"/>
  <c r="W83" i="4"/>
  <c r="L84" i="4"/>
  <c r="W84" i="4"/>
  <c r="L85" i="4"/>
  <c r="W85" i="4"/>
  <c r="W86" i="4"/>
  <c r="L87" i="4"/>
  <c r="W87" i="4"/>
  <c r="L88" i="4"/>
  <c r="W88" i="4"/>
  <c r="L89" i="4"/>
  <c r="W89" i="4"/>
  <c r="L90" i="4"/>
  <c r="W90" i="4"/>
  <c r="L91" i="4"/>
  <c r="W91" i="4"/>
  <c r="L92" i="4"/>
  <c r="W92" i="4"/>
  <c r="L93" i="4"/>
  <c r="W93" i="4"/>
  <c r="L94" i="4"/>
  <c r="W94" i="4"/>
  <c r="L95" i="4"/>
  <c r="W95" i="4"/>
  <c r="L96" i="4"/>
  <c r="W96" i="4"/>
  <c r="L97" i="4"/>
  <c r="W97" i="4"/>
  <c r="L98" i="4"/>
  <c r="W98" i="4"/>
  <c r="L99" i="4"/>
  <c r="W99" i="4"/>
  <c r="L100" i="4"/>
  <c r="W100" i="4"/>
  <c r="L101" i="4"/>
  <c r="W101" i="4"/>
  <c r="L102" i="4"/>
  <c r="W102" i="4"/>
  <c r="L103" i="4"/>
  <c r="W103" i="4"/>
  <c r="L104" i="4"/>
  <c r="W104" i="4"/>
  <c r="L105" i="4"/>
  <c r="W105" i="4"/>
  <c r="L106" i="4"/>
  <c r="W106" i="4"/>
  <c r="L107" i="4"/>
  <c r="W107" i="4"/>
  <c r="L108" i="4"/>
  <c r="W108" i="4"/>
  <c r="L109" i="4"/>
  <c r="W109" i="4"/>
  <c r="L110" i="4"/>
  <c r="W110" i="4"/>
  <c r="L111" i="4"/>
  <c r="W111" i="4"/>
  <c r="L112" i="4"/>
  <c r="W112" i="4"/>
  <c r="L113" i="4"/>
  <c r="W113" i="4"/>
  <c r="L114" i="4"/>
  <c r="W114" i="4"/>
  <c r="L115" i="4"/>
  <c r="W115" i="4"/>
  <c r="L116" i="4"/>
  <c r="W116" i="4"/>
  <c r="L117" i="4"/>
  <c r="W117" i="4"/>
  <c r="L118" i="4"/>
  <c r="W118" i="4"/>
  <c r="L119" i="4"/>
  <c r="W119" i="4"/>
  <c r="L120" i="4"/>
  <c r="W120" i="4"/>
  <c r="L121" i="4"/>
  <c r="W121" i="4"/>
  <c r="L122" i="4"/>
  <c r="W122" i="4"/>
  <c r="L123" i="4"/>
  <c r="W123" i="4"/>
  <c r="L124" i="4"/>
  <c r="W124" i="4"/>
  <c r="L125" i="4"/>
  <c r="W125" i="4"/>
  <c r="W126" i="4"/>
  <c r="L127" i="4"/>
  <c r="W127" i="4"/>
  <c r="L128" i="4"/>
  <c r="W128" i="4"/>
  <c r="L129" i="4"/>
  <c r="W129" i="4"/>
  <c r="L130" i="4"/>
  <c r="W130" i="4"/>
  <c r="L131" i="4"/>
  <c r="W131" i="4"/>
  <c r="L132" i="4"/>
  <c r="W132" i="4"/>
  <c r="L133" i="4"/>
  <c r="W133" i="4"/>
  <c r="L134" i="4"/>
  <c r="W134" i="4"/>
  <c r="L135" i="4"/>
  <c r="W135" i="4"/>
  <c r="L136" i="4"/>
  <c r="W136" i="4"/>
  <c r="L137" i="4"/>
  <c r="W137" i="4"/>
  <c r="L138" i="4"/>
  <c r="W138" i="4"/>
  <c r="L139" i="4"/>
  <c r="W139" i="4"/>
  <c r="L140" i="4"/>
  <c r="W140" i="4"/>
  <c r="L141" i="4"/>
  <c r="W141" i="4"/>
  <c r="L142" i="4"/>
  <c r="W142" i="4"/>
  <c r="L143" i="4"/>
  <c r="W143" i="4"/>
  <c r="L144" i="4"/>
  <c r="W144" i="4"/>
  <c r="L145" i="4"/>
  <c r="W145" i="4"/>
  <c r="L146" i="4"/>
  <c r="W146" i="4"/>
  <c r="L147" i="4"/>
  <c r="W147" i="4"/>
  <c r="L148" i="4"/>
  <c r="W148" i="4"/>
  <c r="L149" i="4"/>
  <c r="W149" i="4"/>
  <c r="L150" i="4"/>
  <c r="W150" i="4"/>
  <c r="L151" i="4"/>
  <c r="W151" i="4"/>
  <c r="L152" i="4"/>
  <c r="W152" i="4"/>
  <c r="L153" i="4"/>
  <c r="W153" i="4"/>
  <c r="L154" i="4"/>
  <c r="W154" i="4"/>
  <c r="L155" i="4"/>
  <c r="W155" i="4"/>
  <c r="L156" i="4"/>
  <c r="W156" i="4"/>
  <c r="L157" i="4"/>
  <c r="W157" i="4"/>
  <c r="L158" i="4"/>
  <c r="W158" i="4"/>
  <c r="L159" i="4"/>
  <c r="W159" i="4"/>
  <c r="L160" i="4"/>
  <c r="W160" i="4"/>
  <c r="L161" i="4"/>
  <c r="W161" i="4"/>
  <c r="L162" i="4"/>
  <c r="W162" i="4"/>
  <c r="L163" i="4"/>
  <c r="W163" i="4"/>
  <c r="L164" i="4"/>
  <c r="W164" i="4"/>
  <c r="L165" i="4"/>
  <c r="W165" i="4"/>
  <c r="W166" i="4"/>
  <c r="L167" i="4"/>
  <c r="W167" i="4"/>
  <c r="L168" i="4"/>
  <c r="W168" i="4"/>
  <c r="L169" i="4"/>
  <c r="W169" i="4"/>
  <c r="L170" i="4"/>
  <c r="W170" i="4"/>
  <c r="L171" i="4"/>
  <c r="W171" i="4"/>
  <c r="L172" i="4"/>
  <c r="W172" i="4"/>
  <c r="L173" i="4"/>
  <c r="W173" i="4"/>
  <c r="L174" i="4"/>
  <c r="W174" i="4"/>
  <c r="L175" i="4"/>
  <c r="W175" i="4"/>
  <c r="L176" i="4"/>
  <c r="W176" i="4"/>
  <c r="L177" i="4"/>
  <c r="W177" i="4"/>
  <c r="L178" i="4"/>
  <c r="W178" i="4"/>
  <c r="L179" i="4"/>
  <c r="W179" i="4"/>
  <c r="L180" i="4"/>
  <c r="W180" i="4"/>
  <c r="L181" i="4"/>
  <c r="W181" i="4"/>
  <c r="L182" i="4"/>
  <c r="W182" i="4"/>
  <c r="L183" i="4"/>
  <c r="W183" i="4"/>
  <c r="L184" i="4"/>
  <c r="W184" i="4"/>
  <c r="L185" i="4"/>
  <c r="W185" i="4"/>
  <c r="L186" i="4"/>
  <c r="W186" i="4"/>
  <c r="L187" i="4"/>
  <c r="W187" i="4"/>
  <c r="L188" i="4"/>
  <c r="W188" i="4"/>
  <c r="L189" i="4"/>
  <c r="W189" i="4"/>
  <c r="L190" i="4"/>
  <c r="W190" i="4"/>
  <c r="L191" i="4"/>
  <c r="W191" i="4"/>
  <c r="L192" i="4"/>
  <c r="W192" i="4"/>
  <c r="L193" i="4"/>
  <c r="W193" i="4"/>
  <c r="L194" i="4"/>
  <c r="W194" i="4"/>
  <c r="L195" i="4"/>
  <c r="W195" i="4"/>
  <c r="L196" i="4"/>
  <c r="W196" i="4"/>
  <c r="L197" i="4"/>
  <c r="W197" i="4"/>
  <c r="L198" i="4"/>
  <c r="W198" i="4"/>
  <c r="L199" i="4"/>
  <c r="W199" i="4"/>
  <c r="L200" i="4"/>
  <c r="W200" i="4"/>
  <c r="L201" i="4"/>
  <c r="W201" i="4"/>
  <c r="L202" i="4"/>
  <c r="W202" i="4"/>
  <c r="L203" i="4"/>
  <c r="W203" i="4"/>
  <c r="L204" i="4"/>
  <c r="W204" i="4"/>
  <c r="L205" i="4"/>
  <c r="W205" i="4"/>
  <c r="L206" i="4"/>
  <c r="W206" i="4"/>
  <c r="L207" i="4"/>
  <c r="W207" i="4"/>
  <c r="L208" i="4"/>
  <c r="W208" i="4"/>
  <c r="L209" i="4"/>
  <c r="W209" i="4"/>
  <c r="L210" i="4"/>
  <c r="W210" i="4"/>
  <c r="L211" i="4"/>
  <c r="W211" i="4"/>
  <c r="L212" i="4"/>
  <c r="W212" i="4"/>
  <c r="L213" i="4"/>
  <c r="W213" i="4"/>
  <c r="L214" i="4"/>
  <c r="W214" i="4"/>
  <c r="L215" i="4"/>
  <c r="W215" i="4"/>
  <c r="L216" i="4"/>
  <c r="W216" i="4"/>
  <c r="L217" i="4"/>
  <c r="W217" i="4"/>
  <c r="L218" i="4"/>
  <c r="W218" i="4"/>
  <c r="L219" i="4"/>
  <c r="W219" i="4"/>
  <c r="L220" i="4"/>
  <c r="W220" i="4"/>
  <c r="L221" i="4"/>
  <c r="W221" i="4"/>
  <c r="L222" i="4"/>
  <c r="W222" i="4"/>
  <c r="L223" i="4"/>
  <c r="W223" i="4"/>
  <c r="L224" i="4"/>
  <c r="W224" i="4"/>
  <c r="L225" i="4"/>
  <c r="W225" i="4"/>
  <c r="L226" i="4"/>
  <c r="W226" i="4"/>
  <c r="L227" i="4"/>
  <c r="W227" i="4"/>
  <c r="L228" i="4"/>
  <c r="W228" i="4"/>
  <c r="L229" i="4"/>
  <c r="W229" i="4"/>
  <c r="L230" i="4"/>
  <c r="W230" i="4"/>
  <c r="L231" i="4"/>
  <c r="W231" i="4"/>
  <c r="L232" i="4"/>
  <c r="W232" i="4"/>
  <c r="L233" i="4"/>
  <c r="W233" i="4"/>
  <c r="L234" i="4"/>
  <c r="W234" i="4"/>
  <c r="L235" i="4"/>
  <c r="W235" i="4"/>
  <c r="L236" i="4"/>
  <c r="W236" i="4"/>
  <c r="L237" i="4"/>
  <c r="W237" i="4"/>
  <c r="L238" i="4"/>
  <c r="W238" i="4"/>
  <c r="L239" i="4"/>
  <c r="W239" i="4"/>
  <c r="L240" i="4"/>
  <c r="W240" i="4"/>
  <c r="L241" i="4"/>
  <c r="W241" i="4"/>
  <c r="L242" i="4"/>
  <c r="W242" i="4"/>
  <c r="L243" i="4"/>
  <c r="W243" i="4"/>
  <c r="L244" i="4"/>
  <c r="W244" i="4"/>
  <c r="L245" i="4"/>
  <c r="W245" i="4"/>
  <c r="L246" i="4"/>
  <c r="W246" i="4"/>
  <c r="L247" i="4"/>
  <c r="W247" i="4"/>
  <c r="L248" i="4"/>
  <c r="W248" i="4"/>
  <c r="L249" i="4"/>
  <c r="W249" i="4"/>
  <c r="L250" i="4"/>
  <c r="W250" i="4"/>
  <c r="L251" i="4"/>
  <c r="W251" i="4"/>
  <c r="L252" i="4"/>
  <c r="W252" i="4"/>
  <c r="L253" i="4"/>
  <c r="W253" i="4"/>
  <c r="L254" i="4"/>
  <c r="W254" i="4"/>
  <c r="L255" i="4"/>
  <c r="W255" i="4"/>
  <c r="L256" i="4"/>
  <c r="W256" i="4"/>
  <c r="L257" i="4"/>
  <c r="W257" i="4"/>
  <c r="L258" i="4"/>
  <c r="W258" i="4"/>
  <c r="L259" i="4"/>
  <c r="W259" i="4"/>
  <c r="L260" i="4"/>
  <c r="W260" i="4"/>
  <c r="L261" i="4"/>
  <c r="W261" i="4"/>
  <c r="L262" i="4"/>
  <c r="W262" i="4"/>
  <c r="L263" i="4"/>
  <c r="W263" i="4"/>
  <c r="L264" i="4"/>
  <c r="W264" i="4"/>
  <c r="L265" i="4"/>
  <c r="W265" i="4"/>
  <c r="L266" i="4"/>
  <c r="W266" i="4"/>
  <c r="L267" i="4"/>
  <c r="W267" i="4"/>
  <c r="L268" i="4"/>
  <c r="W268" i="4"/>
  <c r="L269" i="4"/>
  <c r="W269" i="4"/>
  <c r="L270" i="4"/>
  <c r="W270" i="4"/>
  <c r="L271" i="4"/>
  <c r="W271" i="4"/>
  <c r="L272" i="4"/>
  <c r="W272" i="4"/>
  <c r="L273" i="4"/>
  <c r="W273" i="4"/>
  <c r="L274" i="4"/>
  <c r="W274" i="4"/>
  <c r="L275" i="4"/>
  <c r="W275" i="4"/>
  <c r="L276" i="4"/>
  <c r="W276" i="4"/>
  <c r="L277" i="4"/>
  <c r="W277" i="4"/>
  <c r="L278" i="4"/>
  <c r="W278" i="4"/>
  <c r="L279" i="4"/>
  <c r="W279" i="4"/>
  <c r="L280" i="4"/>
  <c r="W280" i="4"/>
  <c r="L281" i="4"/>
  <c r="W281" i="4"/>
  <c r="L282" i="4"/>
  <c r="W282" i="4"/>
  <c r="L283" i="4"/>
  <c r="W283" i="4"/>
  <c r="L284" i="4"/>
  <c r="W284" i="4"/>
  <c r="L285" i="4"/>
  <c r="W285" i="4"/>
  <c r="L286" i="4"/>
  <c r="W286" i="4"/>
  <c r="L287" i="4"/>
  <c r="W287" i="4"/>
  <c r="L288" i="4"/>
  <c r="W288" i="4"/>
  <c r="L289" i="4"/>
  <c r="W289" i="4"/>
  <c r="L290" i="4"/>
  <c r="W290" i="4"/>
  <c r="L291" i="4"/>
  <c r="W291" i="4"/>
  <c r="L292" i="4"/>
  <c r="W292" i="4"/>
  <c r="L293" i="4"/>
  <c r="W293" i="4"/>
  <c r="L294" i="4"/>
  <c r="W294" i="4"/>
  <c r="L295" i="4"/>
  <c r="W295" i="4"/>
  <c r="L296" i="4"/>
  <c r="W296" i="4"/>
  <c r="L297" i="4"/>
  <c r="W297" i="4"/>
  <c r="L298" i="4"/>
  <c r="W298" i="4"/>
  <c r="L299" i="4"/>
  <c r="W299" i="4"/>
  <c r="L300" i="4"/>
  <c r="W300" i="4"/>
  <c r="L301" i="4"/>
  <c r="W301" i="4"/>
  <c r="L302" i="4"/>
  <c r="W302" i="4"/>
  <c r="L303" i="4"/>
  <c r="W303" i="4"/>
  <c r="L304" i="4"/>
  <c r="W304" i="4"/>
  <c r="L305" i="4"/>
  <c r="W305" i="4"/>
  <c r="L306" i="4"/>
  <c r="W306" i="4"/>
  <c r="L307" i="4"/>
  <c r="W307" i="4"/>
  <c r="L308" i="4"/>
  <c r="W308" i="4"/>
  <c r="L309" i="4"/>
  <c r="W309" i="4"/>
  <c r="L310" i="4"/>
  <c r="W310" i="4"/>
  <c r="L311" i="4"/>
  <c r="W311" i="4"/>
  <c r="L312" i="4"/>
  <c r="W312" i="4"/>
  <c r="L313" i="4"/>
  <c r="W313" i="4"/>
  <c r="L314" i="4"/>
  <c r="W314" i="4"/>
  <c r="L315" i="4"/>
  <c r="W315" i="4"/>
  <c r="L316" i="4"/>
  <c r="W316" i="4"/>
  <c r="L317" i="4"/>
  <c r="W317" i="4"/>
  <c r="L318" i="4"/>
  <c r="W318" i="4"/>
  <c r="L319" i="4"/>
  <c r="W319" i="4"/>
  <c r="A23" i="35"/>
  <c r="B31" i="35" s="1"/>
  <c r="E32" i="35" s="1"/>
  <c r="AK87" i="30"/>
  <c r="Z87" i="30"/>
  <c r="O87" i="30"/>
  <c r="D87" i="30"/>
  <c r="AK66" i="30"/>
  <c r="Z66" i="30"/>
  <c r="O66" i="30"/>
  <c r="D66" i="30"/>
  <c r="AK45" i="30"/>
  <c r="Z45" i="30"/>
  <c r="O45" i="30"/>
  <c r="D45" i="30"/>
  <c r="AK24" i="30"/>
  <c r="Z24" i="30"/>
  <c r="O24" i="30"/>
  <c r="D24" i="30"/>
  <c r="AK1" i="30"/>
  <c r="Z1" i="30"/>
  <c r="O1" i="30"/>
  <c r="D1" i="27"/>
  <c r="V3" i="31"/>
  <c r="AI88" i="30"/>
  <c r="X88" i="30"/>
  <c r="M88" i="30"/>
  <c r="B88" i="30"/>
  <c r="AI67" i="30"/>
  <c r="X67" i="30"/>
  <c r="M67" i="30"/>
  <c r="B67" i="30"/>
  <c r="AI46" i="30"/>
  <c r="X46" i="30"/>
  <c r="M46" i="30"/>
  <c r="B46" i="30"/>
  <c r="AI25" i="30"/>
  <c r="X25" i="30"/>
  <c r="M25" i="30"/>
  <c r="B25" i="30"/>
  <c r="AI2" i="30"/>
  <c r="X2" i="30"/>
  <c r="M2" i="30"/>
  <c r="S1388" i="31"/>
  <c r="B1387" i="31"/>
  <c r="Q1386" i="31"/>
  <c r="F1386" i="31"/>
  <c r="B1386" i="31"/>
  <c r="S1342" i="31"/>
  <c r="B1341" i="31"/>
  <c r="Q1340" i="31"/>
  <c r="F1340" i="31"/>
  <c r="B1340" i="31"/>
  <c r="S1296" i="31"/>
  <c r="B1295" i="31"/>
  <c r="Q1294" i="31"/>
  <c r="F1294" i="31"/>
  <c r="B1294" i="31"/>
  <c r="S1250" i="31"/>
  <c r="B1249" i="31"/>
  <c r="Q1248" i="31"/>
  <c r="F1248" i="31"/>
  <c r="B1248" i="31"/>
  <c r="S1204" i="31"/>
  <c r="B1203" i="31"/>
  <c r="Q1202" i="31"/>
  <c r="F1202" i="31"/>
  <c r="B1202" i="31"/>
  <c r="S1158" i="31"/>
  <c r="B1157" i="31"/>
  <c r="Q1156" i="31"/>
  <c r="F1156" i="31"/>
  <c r="B1156" i="31"/>
  <c r="S1112" i="31"/>
  <c r="B1111" i="31"/>
  <c r="Q1110" i="31"/>
  <c r="F1110" i="31"/>
  <c r="B1110" i="31"/>
  <c r="S1066" i="31"/>
  <c r="B1065" i="31"/>
  <c r="Q1064" i="31"/>
  <c r="F1064" i="31"/>
  <c r="B1064" i="31"/>
  <c r="S1020" i="31"/>
  <c r="B1019" i="31"/>
  <c r="Q1018" i="31"/>
  <c r="F1018" i="31"/>
  <c r="B1018" i="31"/>
  <c r="S974" i="31"/>
  <c r="B973" i="31"/>
  <c r="Q972" i="31"/>
  <c r="F972" i="31"/>
  <c r="B972" i="31"/>
  <c r="S928" i="31"/>
  <c r="B927" i="31"/>
  <c r="Q926" i="31"/>
  <c r="F926" i="31"/>
  <c r="B926" i="31"/>
  <c r="S882" i="31"/>
  <c r="B881" i="31"/>
  <c r="Q880" i="31"/>
  <c r="F880" i="31"/>
  <c r="B880" i="31"/>
  <c r="S836" i="31"/>
  <c r="B835" i="31"/>
  <c r="Q834" i="31"/>
  <c r="F834" i="31"/>
  <c r="B834" i="31"/>
  <c r="S790" i="31"/>
  <c r="B789" i="31"/>
  <c r="Q788" i="31"/>
  <c r="F788" i="31"/>
  <c r="B788" i="31"/>
  <c r="S744" i="31"/>
  <c r="B743" i="31"/>
  <c r="Q742" i="31"/>
  <c r="F742" i="31"/>
  <c r="B742" i="31"/>
  <c r="S698" i="31"/>
  <c r="B697" i="31"/>
  <c r="Q696" i="31"/>
  <c r="F696" i="31"/>
  <c r="B696" i="31"/>
  <c r="S652" i="31"/>
  <c r="B651" i="31"/>
  <c r="Q650" i="31"/>
  <c r="F650" i="31"/>
  <c r="B650" i="31"/>
  <c r="S606" i="31"/>
  <c r="B605" i="31"/>
  <c r="Q604" i="31"/>
  <c r="F604" i="31"/>
  <c r="B604" i="31"/>
  <c r="S560" i="31"/>
  <c r="B559" i="31"/>
  <c r="Q558" i="31"/>
  <c r="F558" i="31"/>
  <c r="B558" i="31"/>
  <c r="S514" i="31"/>
  <c r="B513" i="31"/>
  <c r="Q512" i="31"/>
  <c r="F512" i="31"/>
  <c r="B512" i="31"/>
  <c r="S468" i="31"/>
  <c r="B467" i="31"/>
  <c r="Q466" i="31"/>
  <c r="F466" i="31"/>
  <c r="B466" i="31"/>
  <c r="S422" i="31"/>
  <c r="B421" i="31"/>
  <c r="Q420" i="31"/>
  <c r="F420" i="31"/>
  <c r="B420" i="31"/>
  <c r="S376" i="31"/>
  <c r="B375" i="31"/>
  <c r="Q374" i="31"/>
  <c r="F374" i="31"/>
  <c r="B374" i="31"/>
  <c r="S330" i="31"/>
  <c r="B329" i="31"/>
  <c r="Q328" i="31"/>
  <c r="F328" i="31"/>
  <c r="B328" i="31"/>
  <c r="S284" i="31"/>
  <c r="B283" i="31"/>
  <c r="Q282" i="31"/>
  <c r="F282" i="31"/>
  <c r="B282" i="31"/>
  <c r="S238" i="31"/>
  <c r="B237" i="31"/>
  <c r="Q236" i="31"/>
  <c r="F236" i="31"/>
  <c r="B236" i="31"/>
  <c r="S192" i="31"/>
  <c r="B191" i="31"/>
  <c r="Q190" i="31"/>
  <c r="F190" i="31"/>
  <c r="B190" i="31"/>
  <c r="S146" i="31"/>
  <c r="B145" i="31"/>
  <c r="Q144" i="31"/>
  <c r="F144" i="31"/>
  <c r="B144" i="31"/>
  <c r="S100" i="31"/>
  <c r="B99" i="31"/>
  <c r="Q98" i="31"/>
  <c r="F98" i="31"/>
  <c r="B98" i="31"/>
  <c r="Q52" i="31"/>
  <c r="K8" i="4"/>
  <c r="J8" i="4"/>
  <c r="H8" i="4"/>
  <c r="B53" i="31"/>
  <c r="B52" i="31"/>
  <c r="F52" i="31"/>
  <c r="B2" i="30"/>
  <c r="BI181" i="27"/>
  <c r="BG180" i="27"/>
  <c r="AX161" i="27"/>
  <c r="AS181" i="27"/>
  <c r="AQ180" i="27"/>
  <c r="AH161" i="27"/>
  <c r="AC181" i="27"/>
  <c r="AA180" i="27"/>
  <c r="R161" i="27"/>
  <c r="M181" i="27"/>
  <c r="K180" i="27"/>
  <c r="B161" i="27"/>
  <c r="BI141" i="27"/>
  <c r="BG140" i="27"/>
  <c r="AX121" i="27"/>
  <c r="AS141" i="27"/>
  <c r="AQ140" i="27"/>
  <c r="AH121" i="27"/>
  <c r="AC141" i="27"/>
  <c r="AA140" i="27"/>
  <c r="R121" i="27"/>
  <c r="M141" i="27"/>
  <c r="K140" i="27"/>
  <c r="B121" i="27"/>
  <c r="BI101" i="27"/>
  <c r="BG100" i="27"/>
  <c r="AX81" i="27"/>
  <c r="AS101" i="27"/>
  <c r="AQ100" i="27"/>
  <c r="AH81" i="27"/>
  <c r="AC101" i="27"/>
  <c r="AA100" i="27"/>
  <c r="R81" i="27"/>
  <c r="M101" i="27"/>
  <c r="K100" i="27"/>
  <c r="B81" i="27"/>
  <c r="BI62" i="27"/>
  <c r="BG61" i="27"/>
  <c r="AX42" i="27"/>
  <c r="AS62" i="27"/>
  <c r="AQ61" i="27"/>
  <c r="AH42" i="27"/>
  <c r="AC62" i="27"/>
  <c r="AA61" i="27"/>
  <c r="R42" i="27"/>
  <c r="M62" i="27"/>
  <c r="K61" i="27"/>
  <c r="B42" i="27"/>
  <c r="BI22" i="27"/>
  <c r="BG21" i="27"/>
  <c r="AX2" i="27"/>
  <c r="AS22" i="27"/>
  <c r="AQ21" i="27"/>
  <c r="AH2" i="27"/>
  <c r="AC22" i="27"/>
  <c r="AA21" i="27"/>
  <c r="B2" i="27"/>
  <c r="K21" i="27"/>
  <c r="BP12" i="4"/>
  <c r="BQ12" i="4"/>
  <c r="BR12" i="4"/>
  <c r="BS12" i="4"/>
  <c r="BT12" i="4"/>
  <c r="BU12" i="4"/>
  <c r="BV12" i="4"/>
  <c r="BW12" i="4"/>
  <c r="BX12" i="4"/>
  <c r="BY12" i="4"/>
  <c r="BZ12" i="4"/>
  <c r="CA12" i="4"/>
  <c r="BP13" i="4"/>
  <c r="BQ13" i="4"/>
  <c r="BR13" i="4"/>
  <c r="BS13" i="4"/>
  <c r="BT13" i="4"/>
  <c r="BU13" i="4"/>
  <c r="BV13" i="4"/>
  <c r="BW13" i="4"/>
  <c r="BX13" i="4"/>
  <c r="BY13" i="4"/>
  <c r="BZ13" i="4"/>
  <c r="CA13" i="4"/>
  <c r="BP14" i="4"/>
  <c r="BQ14" i="4"/>
  <c r="BR14" i="4"/>
  <c r="BS14" i="4"/>
  <c r="BT14" i="4"/>
  <c r="BU14" i="4"/>
  <c r="BV14" i="4"/>
  <c r="BW14" i="4"/>
  <c r="BX14" i="4"/>
  <c r="BY14" i="4"/>
  <c r="BZ14" i="4"/>
  <c r="CA14" i="4"/>
  <c r="BP15" i="4"/>
  <c r="BQ15" i="4"/>
  <c r="BR15" i="4"/>
  <c r="BS15" i="4"/>
  <c r="BT15" i="4"/>
  <c r="BU15" i="4"/>
  <c r="BV15" i="4"/>
  <c r="BW15" i="4"/>
  <c r="BX15" i="4"/>
  <c r="BY15" i="4"/>
  <c r="BZ15" i="4"/>
  <c r="CA15" i="4"/>
  <c r="BP16" i="4"/>
  <c r="BQ16" i="4"/>
  <c r="BR16" i="4"/>
  <c r="BS16" i="4"/>
  <c r="BT16" i="4"/>
  <c r="BU16" i="4"/>
  <c r="BV16" i="4"/>
  <c r="BW16" i="4"/>
  <c r="BX16" i="4"/>
  <c r="BY16" i="4"/>
  <c r="BZ16" i="4"/>
  <c r="CA16" i="4"/>
  <c r="BP17" i="4"/>
  <c r="BQ17" i="4"/>
  <c r="BR17" i="4"/>
  <c r="BS17" i="4"/>
  <c r="BT17" i="4"/>
  <c r="BU17" i="4"/>
  <c r="BV17" i="4"/>
  <c r="BW17" i="4"/>
  <c r="BX17" i="4"/>
  <c r="BY17" i="4"/>
  <c r="BZ17" i="4"/>
  <c r="CA17" i="4"/>
  <c r="BP18" i="4"/>
  <c r="BQ18" i="4"/>
  <c r="BR18" i="4"/>
  <c r="BS18" i="4"/>
  <c r="BT18" i="4"/>
  <c r="BU18" i="4"/>
  <c r="BV18" i="4"/>
  <c r="BW18" i="4"/>
  <c r="BX18" i="4"/>
  <c r="BY18" i="4"/>
  <c r="BZ18" i="4"/>
  <c r="CA18" i="4"/>
  <c r="BP19" i="4"/>
  <c r="BQ19" i="4"/>
  <c r="BR19" i="4"/>
  <c r="BS19" i="4"/>
  <c r="BT19" i="4"/>
  <c r="BU19" i="4"/>
  <c r="BV19" i="4"/>
  <c r="BW19" i="4"/>
  <c r="BX19" i="4"/>
  <c r="BY19" i="4"/>
  <c r="BZ19" i="4"/>
  <c r="CA19" i="4"/>
  <c r="BP20" i="4"/>
  <c r="BQ20" i="4"/>
  <c r="BR20" i="4"/>
  <c r="BS20" i="4"/>
  <c r="BT20" i="4"/>
  <c r="BU20" i="4"/>
  <c r="BV20" i="4"/>
  <c r="BW20" i="4"/>
  <c r="BX20" i="4"/>
  <c r="BY20" i="4"/>
  <c r="BZ20" i="4"/>
  <c r="CA20" i="4"/>
  <c r="BP21" i="4"/>
  <c r="BQ21" i="4"/>
  <c r="BR21" i="4"/>
  <c r="BS21" i="4"/>
  <c r="BT21" i="4"/>
  <c r="BU21" i="4"/>
  <c r="BV21" i="4"/>
  <c r="BW21" i="4"/>
  <c r="BX21" i="4"/>
  <c r="BY21" i="4"/>
  <c r="BZ21" i="4"/>
  <c r="CA21" i="4"/>
  <c r="BP22" i="4"/>
  <c r="BQ22" i="4"/>
  <c r="BR22" i="4"/>
  <c r="BS22" i="4"/>
  <c r="BT22" i="4"/>
  <c r="BU22" i="4"/>
  <c r="BV22" i="4"/>
  <c r="BW22" i="4"/>
  <c r="BX22" i="4"/>
  <c r="BY22" i="4"/>
  <c r="BZ22" i="4"/>
  <c r="CA22" i="4"/>
  <c r="BP23" i="4"/>
  <c r="BQ23" i="4"/>
  <c r="BR23" i="4"/>
  <c r="BS23" i="4"/>
  <c r="BT23" i="4"/>
  <c r="BU23" i="4"/>
  <c r="BV23" i="4"/>
  <c r="BW23" i="4"/>
  <c r="BX23" i="4"/>
  <c r="BY23" i="4"/>
  <c r="BZ23" i="4"/>
  <c r="CA23" i="4"/>
  <c r="BP24" i="4"/>
  <c r="BQ24" i="4"/>
  <c r="BR24" i="4"/>
  <c r="BS24" i="4"/>
  <c r="BT24" i="4"/>
  <c r="BU24" i="4"/>
  <c r="BV24" i="4"/>
  <c r="BW24" i="4"/>
  <c r="BX24" i="4"/>
  <c r="BY24" i="4"/>
  <c r="BZ24" i="4"/>
  <c r="CA24" i="4"/>
  <c r="BP25" i="4"/>
  <c r="BQ25" i="4"/>
  <c r="BR25" i="4"/>
  <c r="BS25" i="4"/>
  <c r="BT25" i="4"/>
  <c r="BU25" i="4"/>
  <c r="BV25" i="4"/>
  <c r="BW25" i="4"/>
  <c r="BX25" i="4"/>
  <c r="BY25" i="4"/>
  <c r="BZ25" i="4"/>
  <c r="CA25" i="4"/>
  <c r="BP26" i="4"/>
  <c r="BQ26" i="4"/>
  <c r="BR26" i="4"/>
  <c r="BS26" i="4"/>
  <c r="BT26" i="4"/>
  <c r="BU26" i="4"/>
  <c r="BV26" i="4"/>
  <c r="BW26" i="4"/>
  <c r="BX26" i="4"/>
  <c r="BY26" i="4"/>
  <c r="BZ26" i="4"/>
  <c r="CA26" i="4"/>
  <c r="BP27" i="4"/>
  <c r="BQ27" i="4"/>
  <c r="BR27" i="4"/>
  <c r="BS27" i="4"/>
  <c r="BT27" i="4"/>
  <c r="BU27" i="4"/>
  <c r="BV27" i="4"/>
  <c r="BW27" i="4"/>
  <c r="BX27" i="4"/>
  <c r="BY27" i="4"/>
  <c r="BZ27" i="4"/>
  <c r="CA27" i="4"/>
  <c r="BP28" i="4"/>
  <c r="BQ28" i="4"/>
  <c r="BR28" i="4"/>
  <c r="BS28" i="4"/>
  <c r="BT28" i="4"/>
  <c r="BU28" i="4"/>
  <c r="BV28" i="4"/>
  <c r="BW28" i="4"/>
  <c r="BX28" i="4"/>
  <c r="BY28" i="4"/>
  <c r="BZ28" i="4"/>
  <c r="CA28" i="4"/>
  <c r="BP29" i="4"/>
  <c r="BQ29" i="4"/>
  <c r="BR29" i="4"/>
  <c r="BS29" i="4"/>
  <c r="BT29" i="4"/>
  <c r="BU29" i="4"/>
  <c r="BV29" i="4"/>
  <c r="BW29" i="4"/>
  <c r="BX29" i="4"/>
  <c r="BY29" i="4"/>
  <c r="BZ29" i="4"/>
  <c r="CA29" i="4"/>
  <c r="BP30" i="4"/>
  <c r="BQ30" i="4"/>
  <c r="BR30" i="4"/>
  <c r="BS30" i="4"/>
  <c r="BT30" i="4"/>
  <c r="BU30" i="4"/>
  <c r="BV30" i="4"/>
  <c r="BW30" i="4"/>
  <c r="BX30" i="4"/>
  <c r="BY30" i="4"/>
  <c r="BZ30" i="4"/>
  <c r="CA30" i="4"/>
  <c r="BP31" i="4"/>
  <c r="BQ31" i="4"/>
  <c r="BR31" i="4"/>
  <c r="BS31" i="4"/>
  <c r="BT31" i="4"/>
  <c r="BU31" i="4"/>
  <c r="BV31" i="4"/>
  <c r="BW31" i="4"/>
  <c r="BX31" i="4"/>
  <c r="BY31" i="4"/>
  <c r="BZ31" i="4"/>
  <c r="CA31" i="4"/>
  <c r="BP32" i="4"/>
  <c r="BQ32" i="4"/>
  <c r="BR32" i="4"/>
  <c r="BS32" i="4"/>
  <c r="BT32" i="4"/>
  <c r="BU32" i="4"/>
  <c r="BV32" i="4"/>
  <c r="BW32" i="4"/>
  <c r="BX32" i="4"/>
  <c r="BY32" i="4"/>
  <c r="BZ32" i="4"/>
  <c r="CA32" i="4"/>
  <c r="BP33" i="4"/>
  <c r="BQ33" i="4"/>
  <c r="BR33" i="4"/>
  <c r="BS33" i="4"/>
  <c r="BT33" i="4"/>
  <c r="BU33" i="4"/>
  <c r="BV33" i="4"/>
  <c r="BW33" i="4"/>
  <c r="BX33" i="4"/>
  <c r="BY33" i="4"/>
  <c r="BZ33" i="4"/>
  <c r="CA33" i="4"/>
  <c r="BP34" i="4"/>
  <c r="BQ34" i="4"/>
  <c r="BR34" i="4"/>
  <c r="BS34" i="4"/>
  <c r="BT34" i="4"/>
  <c r="BU34" i="4"/>
  <c r="BV34" i="4"/>
  <c r="BW34" i="4"/>
  <c r="BX34" i="4"/>
  <c r="BY34" i="4"/>
  <c r="BZ34" i="4"/>
  <c r="CA34" i="4"/>
  <c r="BP35" i="4"/>
  <c r="BQ35" i="4"/>
  <c r="BR35" i="4"/>
  <c r="BS35" i="4"/>
  <c r="BT35" i="4"/>
  <c r="BU35" i="4"/>
  <c r="BV35" i="4"/>
  <c r="BW35" i="4"/>
  <c r="BX35" i="4"/>
  <c r="BY35" i="4"/>
  <c r="BZ35" i="4"/>
  <c r="CA35" i="4"/>
  <c r="BP36" i="4"/>
  <c r="BQ36" i="4"/>
  <c r="BR36" i="4"/>
  <c r="BS36" i="4"/>
  <c r="BT36" i="4"/>
  <c r="BU36" i="4"/>
  <c r="BV36" i="4"/>
  <c r="BW36" i="4"/>
  <c r="BX36" i="4"/>
  <c r="BY36" i="4"/>
  <c r="BZ36" i="4"/>
  <c r="CA36" i="4"/>
  <c r="BP37" i="4"/>
  <c r="BQ37" i="4"/>
  <c r="BR37" i="4"/>
  <c r="BS37" i="4"/>
  <c r="BT37" i="4"/>
  <c r="BU37" i="4"/>
  <c r="BV37" i="4"/>
  <c r="BW37" i="4"/>
  <c r="BX37" i="4"/>
  <c r="BY37" i="4"/>
  <c r="BZ37" i="4"/>
  <c r="CA37" i="4"/>
  <c r="BP38" i="4"/>
  <c r="BQ38" i="4"/>
  <c r="BR38" i="4"/>
  <c r="BS38" i="4"/>
  <c r="BT38" i="4"/>
  <c r="BU38" i="4"/>
  <c r="BV38" i="4"/>
  <c r="BW38" i="4"/>
  <c r="BX38" i="4"/>
  <c r="BY38" i="4"/>
  <c r="BZ38" i="4"/>
  <c r="CA38" i="4"/>
  <c r="BP39" i="4"/>
  <c r="BQ39" i="4"/>
  <c r="BR39" i="4"/>
  <c r="BS39" i="4"/>
  <c r="BT39" i="4"/>
  <c r="BU39" i="4"/>
  <c r="BV39" i="4"/>
  <c r="BW39" i="4"/>
  <c r="BX39" i="4"/>
  <c r="BY39" i="4"/>
  <c r="BZ39" i="4"/>
  <c r="CA39" i="4"/>
  <c r="BP40" i="4"/>
  <c r="BQ40" i="4"/>
  <c r="BR40" i="4"/>
  <c r="BS40" i="4"/>
  <c r="BT40" i="4"/>
  <c r="BU40" i="4"/>
  <c r="BV40" i="4"/>
  <c r="BW40" i="4"/>
  <c r="BX40" i="4"/>
  <c r="BY40" i="4"/>
  <c r="BZ40" i="4"/>
  <c r="CA40" i="4"/>
  <c r="BP41" i="4"/>
  <c r="BQ41" i="4"/>
  <c r="BR41" i="4"/>
  <c r="BS41" i="4"/>
  <c r="BT41" i="4"/>
  <c r="BU41" i="4"/>
  <c r="BV41" i="4"/>
  <c r="BW41" i="4"/>
  <c r="BX41" i="4"/>
  <c r="BY41" i="4"/>
  <c r="BZ41" i="4"/>
  <c r="CA41" i="4"/>
  <c r="BP42" i="4"/>
  <c r="BQ42" i="4"/>
  <c r="BR42" i="4"/>
  <c r="BS42" i="4"/>
  <c r="BT42" i="4"/>
  <c r="BU42" i="4"/>
  <c r="BV42" i="4"/>
  <c r="BW42" i="4"/>
  <c r="BX42" i="4"/>
  <c r="BY42" i="4"/>
  <c r="BZ42" i="4"/>
  <c r="CA42" i="4"/>
  <c r="BP43" i="4"/>
  <c r="BQ43" i="4"/>
  <c r="BR43" i="4"/>
  <c r="BS43" i="4"/>
  <c r="BT43" i="4"/>
  <c r="BU43" i="4"/>
  <c r="BV43" i="4"/>
  <c r="BW43" i="4"/>
  <c r="BX43" i="4"/>
  <c r="BY43" i="4"/>
  <c r="BZ43" i="4"/>
  <c r="CA43" i="4"/>
  <c r="BP44" i="4"/>
  <c r="BQ44" i="4"/>
  <c r="BR44" i="4"/>
  <c r="BS44" i="4"/>
  <c r="BT44" i="4"/>
  <c r="BU44" i="4"/>
  <c r="BV44" i="4"/>
  <c r="BW44" i="4"/>
  <c r="BX44" i="4"/>
  <c r="BY44" i="4"/>
  <c r="BZ44" i="4"/>
  <c r="CA44" i="4"/>
  <c r="BP45" i="4"/>
  <c r="BQ45" i="4"/>
  <c r="BR45" i="4"/>
  <c r="BS45" i="4"/>
  <c r="BT45" i="4"/>
  <c r="BU45" i="4"/>
  <c r="BV45" i="4"/>
  <c r="BW45" i="4"/>
  <c r="BX45" i="4"/>
  <c r="BY45" i="4"/>
  <c r="BZ45" i="4"/>
  <c r="CA45" i="4"/>
  <c r="BP46" i="4"/>
  <c r="BQ46" i="4"/>
  <c r="BR46" i="4"/>
  <c r="BS46" i="4"/>
  <c r="BT46" i="4"/>
  <c r="BU46" i="4"/>
  <c r="BV46" i="4"/>
  <c r="BW46" i="4"/>
  <c r="BX46" i="4"/>
  <c r="BY46" i="4"/>
  <c r="BZ46" i="4"/>
  <c r="CA46" i="4"/>
  <c r="BP47" i="4"/>
  <c r="BQ47" i="4"/>
  <c r="BR47" i="4"/>
  <c r="BS47" i="4"/>
  <c r="BT47" i="4"/>
  <c r="BU47" i="4"/>
  <c r="BV47" i="4"/>
  <c r="BW47" i="4"/>
  <c r="BX47" i="4"/>
  <c r="BY47" i="4"/>
  <c r="BZ47" i="4"/>
  <c r="CA47" i="4"/>
  <c r="BP48" i="4"/>
  <c r="BQ48" i="4"/>
  <c r="BR48" i="4"/>
  <c r="BS48" i="4"/>
  <c r="BT48" i="4"/>
  <c r="BU48" i="4"/>
  <c r="BV48" i="4"/>
  <c r="BW48" i="4"/>
  <c r="BX48" i="4"/>
  <c r="BY48" i="4"/>
  <c r="BZ48" i="4"/>
  <c r="CA48" i="4"/>
  <c r="BP49" i="4"/>
  <c r="BQ49" i="4"/>
  <c r="BR49" i="4"/>
  <c r="BS49" i="4"/>
  <c r="BT49" i="4"/>
  <c r="BU49" i="4"/>
  <c r="BV49" i="4"/>
  <c r="BW49" i="4"/>
  <c r="BX49" i="4"/>
  <c r="BY49" i="4"/>
  <c r="BZ49" i="4"/>
  <c r="CA49" i="4"/>
  <c r="BP50" i="4"/>
  <c r="BQ50" i="4"/>
  <c r="BR50" i="4"/>
  <c r="BS50" i="4"/>
  <c r="BT50" i="4"/>
  <c r="BU50" i="4"/>
  <c r="BV50" i="4"/>
  <c r="BW50" i="4"/>
  <c r="BX50" i="4"/>
  <c r="BY50" i="4"/>
  <c r="BZ50" i="4"/>
  <c r="CA50" i="4"/>
  <c r="BP51" i="4"/>
  <c r="BQ51" i="4"/>
  <c r="BR51" i="4"/>
  <c r="BS51" i="4"/>
  <c r="BT51" i="4"/>
  <c r="BU51" i="4"/>
  <c r="BV51" i="4"/>
  <c r="BW51" i="4"/>
  <c r="BX51" i="4"/>
  <c r="BY51" i="4"/>
  <c r="BZ51" i="4"/>
  <c r="CA51" i="4"/>
  <c r="BP52" i="4"/>
  <c r="BQ52" i="4"/>
  <c r="BR52" i="4"/>
  <c r="BS52" i="4"/>
  <c r="BT52" i="4"/>
  <c r="BU52" i="4"/>
  <c r="BV52" i="4"/>
  <c r="BW52" i="4"/>
  <c r="BX52" i="4"/>
  <c r="BY52" i="4"/>
  <c r="BZ52" i="4"/>
  <c r="CA52" i="4"/>
  <c r="BP53" i="4"/>
  <c r="BQ53" i="4"/>
  <c r="BR53" i="4"/>
  <c r="BS53" i="4"/>
  <c r="BT53" i="4"/>
  <c r="BU53" i="4"/>
  <c r="BV53" i="4"/>
  <c r="BW53" i="4"/>
  <c r="BX53" i="4"/>
  <c r="BY53" i="4"/>
  <c r="BZ53" i="4"/>
  <c r="CA53" i="4"/>
  <c r="BP54" i="4"/>
  <c r="BQ54" i="4"/>
  <c r="BR54" i="4"/>
  <c r="BS54" i="4"/>
  <c r="BT54" i="4"/>
  <c r="BU54" i="4"/>
  <c r="BV54" i="4"/>
  <c r="BW54" i="4"/>
  <c r="BX54" i="4"/>
  <c r="BY54" i="4"/>
  <c r="BZ54" i="4"/>
  <c r="CA54" i="4"/>
  <c r="BP55" i="4"/>
  <c r="BQ55" i="4"/>
  <c r="BR55" i="4"/>
  <c r="BS55" i="4"/>
  <c r="BT55" i="4"/>
  <c r="BU55" i="4"/>
  <c r="BV55" i="4"/>
  <c r="BW55" i="4"/>
  <c r="BX55" i="4"/>
  <c r="BY55" i="4"/>
  <c r="BZ55" i="4"/>
  <c r="CA55" i="4"/>
  <c r="BP56" i="4"/>
  <c r="BQ56" i="4"/>
  <c r="BR56" i="4"/>
  <c r="BS56" i="4"/>
  <c r="BT56" i="4"/>
  <c r="BU56" i="4"/>
  <c r="BV56" i="4"/>
  <c r="BW56" i="4"/>
  <c r="BX56" i="4"/>
  <c r="BY56" i="4"/>
  <c r="BZ56" i="4"/>
  <c r="CA56" i="4"/>
  <c r="BP57" i="4"/>
  <c r="BQ57" i="4"/>
  <c r="BR57" i="4"/>
  <c r="BS57" i="4"/>
  <c r="BT57" i="4"/>
  <c r="BU57" i="4"/>
  <c r="BV57" i="4"/>
  <c r="BW57" i="4"/>
  <c r="BX57" i="4"/>
  <c r="BY57" i="4"/>
  <c r="BZ57" i="4"/>
  <c r="CA57" i="4"/>
  <c r="BP58" i="4"/>
  <c r="BQ58" i="4"/>
  <c r="BR58" i="4"/>
  <c r="BS58" i="4"/>
  <c r="BT58" i="4"/>
  <c r="BU58" i="4"/>
  <c r="BV58" i="4"/>
  <c r="BW58" i="4"/>
  <c r="BX58" i="4"/>
  <c r="BY58" i="4"/>
  <c r="BZ58" i="4"/>
  <c r="CA58" i="4"/>
  <c r="BP59" i="4"/>
  <c r="BQ59" i="4"/>
  <c r="BR59" i="4"/>
  <c r="BS59" i="4"/>
  <c r="BT59" i="4"/>
  <c r="BU59" i="4"/>
  <c r="BV59" i="4"/>
  <c r="BW59" i="4"/>
  <c r="BX59" i="4"/>
  <c r="BY59" i="4"/>
  <c r="BZ59" i="4"/>
  <c r="CA59" i="4"/>
  <c r="BP60" i="4"/>
  <c r="BQ60" i="4"/>
  <c r="BR60" i="4"/>
  <c r="BS60" i="4"/>
  <c r="BT60" i="4"/>
  <c r="BU60" i="4"/>
  <c r="BV60" i="4"/>
  <c r="BW60" i="4"/>
  <c r="BX60" i="4"/>
  <c r="BY60" i="4"/>
  <c r="BZ60" i="4"/>
  <c r="CA60" i="4"/>
  <c r="BP61" i="4"/>
  <c r="BQ61" i="4"/>
  <c r="BR61" i="4"/>
  <c r="BS61" i="4"/>
  <c r="BT61" i="4"/>
  <c r="BU61" i="4"/>
  <c r="BV61" i="4"/>
  <c r="BW61" i="4"/>
  <c r="BX61" i="4"/>
  <c r="BY61" i="4"/>
  <c r="BZ61" i="4"/>
  <c r="CA61" i="4"/>
  <c r="BP62" i="4"/>
  <c r="BQ62" i="4"/>
  <c r="BR62" i="4"/>
  <c r="BS62" i="4"/>
  <c r="BT62" i="4"/>
  <c r="BU62" i="4"/>
  <c r="BV62" i="4"/>
  <c r="BW62" i="4"/>
  <c r="BX62" i="4"/>
  <c r="BY62" i="4"/>
  <c r="BZ62" i="4"/>
  <c r="CA62" i="4"/>
  <c r="BP63" i="4"/>
  <c r="BQ63" i="4"/>
  <c r="BR63" i="4"/>
  <c r="BS63" i="4"/>
  <c r="BT63" i="4"/>
  <c r="BU63" i="4"/>
  <c r="BV63" i="4"/>
  <c r="BW63" i="4"/>
  <c r="BX63" i="4"/>
  <c r="BY63" i="4"/>
  <c r="BZ63" i="4"/>
  <c r="CA63" i="4"/>
  <c r="BP64" i="4"/>
  <c r="BQ64" i="4"/>
  <c r="BR64" i="4"/>
  <c r="BS64" i="4"/>
  <c r="BT64" i="4"/>
  <c r="BU64" i="4"/>
  <c r="BV64" i="4"/>
  <c r="BW64" i="4"/>
  <c r="BX64" i="4"/>
  <c r="BY64" i="4"/>
  <c r="BZ64" i="4"/>
  <c r="CA64" i="4"/>
  <c r="BP65" i="4"/>
  <c r="BQ65" i="4"/>
  <c r="BR65" i="4"/>
  <c r="BS65" i="4"/>
  <c r="BT65" i="4"/>
  <c r="BU65" i="4"/>
  <c r="BV65" i="4"/>
  <c r="BW65" i="4"/>
  <c r="BX65" i="4"/>
  <c r="BY65" i="4"/>
  <c r="BZ65" i="4"/>
  <c r="CA65" i="4"/>
  <c r="BP66" i="4"/>
  <c r="BQ66" i="4"/>
  <c r="BR66" i="4"/>
  <c r="BS66" i="4"/>
  <c r="BT66" i="4"/>
  <c r="BU66" i="4"/>
  <c r="BV66" i="4"/>
  <c r="BW66" i="4"/>
  <c r="BX66" i="4"/>
  <c r="BY66" i="4"/>
  <c r="BZ66" i="4"/>
  <c r="CA66" i="4"/>
  <c r="BP67" i="4"/>
  <c r="BQ67" i="4"/>
  <c r="BR67" i="4"/>
  <c r="BS67" i="4"/>
  <c r="BT67" i="4"/>
  <c r="BU67" i="4"/>
  <c r="BV67" i="4"/>
  <c r="BW67" i="4"/>
  <c r="BX67" i="4"/>
  <c r="BY67" i="4"/>
  <c r="BZ67" i="4"/>
  <c r="CA67" i="4"/>
  <c r="BP68" i="4"/>
  <c r="BQ68" i="4"/>
  <c r="BR68" i="4"/>
  <c r="BS68" i="4"/>
  <c r="BT68" i="4"/>
  <c r="BU68" i="4"/>
  <c r="BV68" i="4"/>
  <c r="BW68" i="4"/>
  <c r="BX68" i="4"/>
  <c r="BY68" i="4"/>
  <c r="BZ68" i="4"/>
  <c r="CA68" i="4"/>
  <c r="BP69" i="4"/>
  <c r="BQ69" i="4"/>
  <c r="BR69" i="4"/>
  <c r="BS69" i="4"/>
  <c r="BT69" i="4"/>
  <c r="BU69" i="4"/>
  <c r="BV69" i="4"/>
  <c r="BW69" i="4"/>
  <c r="BX69" i="4"/>
  <c r="BY69" i="4"/>
  <c r="BZ69" i="4"/>
  <c r="CA69" i="4"/>
  <c r="BP70" i="4"/>
  <c r="BQ70" i="4"/>
  <c r="BR70" i="4"/>
  <c r="BS70" i="4"/>
  <c r="BT70" i="4"/>
  <c r="BU70" i="4"/>
  <c r="BV70" i="4"/>
  <c r="BW70" i="4"/>
  <c r="BX70" i="4"/>
  <c r="BY70" i="4"/>
  <c r="BZ70" i="4"/>
  <c r="CA70" i="4"/>
  <c r="BP71" i="4"/>
  <c r="BQ71" i="4"/>
  <c r="BR71" i="4"/>
  <c r="BS71" i="4"/>
  <c r="BT71" i="4"/>
  <c r="BU71" i="4"/>
  <c r="BV71" i="4"/>
  <c r="BW71" i="4"/>
  <c r="BX71" i="4"/>
  <c r="BY71" i="4"/>
  <c r="BZ71" i="4"/>
  <c r="CA71" i="4"/>
  <c r="BP72" i="4"/>
  <c r="BQ72" i="4"/>
  <c r="BR72" i="4"/>
  <c r="BS72" i="4"/>
  <c r="BT72" i="4"/>
  <c r="BU72" i="4"/>
  <c r="BV72" i="4"/>
  <c r="BW72" i="4"/>
  <c r="BX72" i="4"/>
  <c r="BY72" i="4"/>
  <c r="BZ72" i="4"/>
  <c r="CA72" i="4"/>
  <c r="BP73" i="4"/>
  <c r="BQ73" i="4"/>
  <c r="BR73" i="4"/>
  <c r="BS73" i="4"/>
  <c r="BT73" i="4"/>
  <c r="BU73" i="4"/>
  <c r="BV73" i="4"/>
  <c r="BW73" i="4"/>
  <c r="BX73" i="4"/>
  <c r="BY73" i="4"/>
  <c r="BZ73" i="4"/>
  <c r="CA73" i="4"/>
  <c r="BP74" i="4"/>
  <c r="BQ74" i="4"/>
  <c r="BR74" i="4"/>
  <c r="BS74" i="4"/>
  <c r="BT74" i="4"/>
  <c r="BU74" i="4"/>
  <c r="BV74" i="4"/>
  <c r="BW74" i="4"/>
  <c r="BX74" i="4"/>
  <c r="BY74" i="4"/>
  <c r="BZ74" i="4"/>
  <c r="CA74" i="4"/>
  <c r="BP75" i="4"/>
  <c r="BQ75" i="4"/>
  <c r="BR75" i="4"/>
  <c r="BS75" i="4"/>
  <c r="BT75" i="4"/>
  <c r="BU75" i="4"/>
  <c r="BV75" i="4"/>
  <c r="BW75" i="4"/>
  <c r="BX75" i="4"/>
  <c r="BY75" i="4"/>
  <c r="BZ75" i="4"/>
  <c r="CA75" i="4"/>
  <c r="BP76" i="4"/>
  <c r="BQ76" i="4"/>
  <c r="BR76" i="4"/>
  <c r="BS76" i="4"/>
  <c r="BT76" i="4"/>
  <c r="BU76" i="4"/>
  <c r="BV76" i="4"/>
  <c r="BW76" i="4"/>
  <c r="BX76" i="4"/>
  <c r="BY76" i="4"/>
  <c r="BZ76" i="4"/>
  <c r="CA76" i="4"/>
  <c r="BP77" i="4"/>
  <c r="BQ77" i="4"/>
  <c r="BR77" i="4"/>
  <c r="BS77" i="4"/>
  <c r="BT77" i="4"/>
  <c r="BU77" i="4"/>
  <c r="BV77" i="4"/>
  <c r="BW77" i="4"/>
  <c r="BX77" i="4"/>
  <c r="BY77" i="4"/>
  <c r="BZ77" i="4"/>
  <c r="CA77" i="4"/>
  <c r="BP78" i="4"/>
  <c r="BQ78" i="4"/>
  <c r="BR78" i="4"/>
  <c r="BS78" i="4"/>
  <c r="BT78" i="4"/>
  <c r="BU78" i="4"/>
  <c r="BV78" i="4"/>
  <c r="BW78" i="4"/>
  <c r="BX78" i="4"/>
  <c r="BY78" i="4"/>
  <c r="BZ78" i="4"/>
  <c r="CA78" i="4"/>
  <c r="BP79" i="4"/>
  <c r="BQ79" i="4"/>
  <c r="BR79" i="4"/>
  <c r="BS79" i="4"/>
  <c r="BT79" i="4"/>
  <c r="BU79" i="4"/>
  <c r="BV79" i="4"/>
  <c r="BW79" i="4"/>
  <c r="BX79" i="4"/>
  <c r="BY79" i="4"/>
  <c r="BZ79" i="4"/>
  <c r="CA79" i="4"/>
  <c r="BP80" i="4"/>
  <c r="BQ80" i="4"/>
  <c r="BR80" i="4"/>
  <c r="BS80" i="4"/>
  <c r="BT80" i="4"/>
  <c r="BU80" i="4"/>
  <c r="BV80" i="4"/>
  <c r="BW80" i="4"/>
  <c r="BX80" i="4"/>
  <c r="BY80" i="4"/>
  <c r="BZ80" i="4"/>
  <c r="CA80" i="4"/>
  <c r="BP81" i="4"/>
  <c r="BQ81" i="4"/>
  <c r="BR81" i="4"/>
  <c r="BS81" i="4"/>
  <c r="BT81" i="4"/>
  <c r="BU81" i="4"/>
  <c r="BV81" i="4"/>
  <c r="BW81" i="4"/>
  <c r="BX81" i="4"/>
  <c r="BY81" i="4"/>
  <c r="BZ81" i="4"/>
  <c r="CA81" i="4"/>
  <c r="BP82" i="4"/>
  <c r="BQ82" i="4"/>
  <c r="BR82" i="4"/>
  <c r="BS82" i="4"/>
  <c r="BT82" i="4"/>
  <c r="BU82" i="4"/>
  <c r="BV82" i="4"/>
  <c r="BW82" i="4"/>
  <c r="BX82" i="4"/>
  <c r="BY82" i="4"/>
  <c r="BZ82" i="4"/>
  <c r="CA82" i="4"/>
  <c r="BP83" i="4"/>
  <c r="BQ83" i="4"/>
  <c r="BR83" i="4"/>
  <c r="BS83" i="4"/>
  <c r="BT83" i="4"/>
  <c r="BU83" i="4"/>
  <c r="BV83" i="4"/>
  <c r="BW83" i="4"/>
  <c r="BX83" i="4"/>
  <c r="BY83" i="4"/>
  <c r="BZ83" i="4"/>
  <c r="CA83" i="4"/>
  <c r="BP84" i="4"/>
  <c r="BQ84" i="4"/>
  <c r="BR84" i="4"/>
  <c r="BS84" i="4"/>
  <c r="BT84" i="4"/>
  <c r="BU84" i="4"/>
  <c r="BV84" i="4"/>
  <c r="BW84" i="4"/>
  <c r="BX84" i="4"/>
  <c r="BY84" i="4"/>
  <c r="BZ84" i="4"/>
  <c r="CA84" i="4"/>
  <c r="BP85" i="4"/>
  <c r="BQ85" i="4"/>
  <c r="BR85" i="4"/>
  <c r="BS85" i="4"/>
  <c r="BT85" i="4"/>
  <c r="BU85" i="4"/>
  <c r="BV85" i="4"/>
  <c r="BW85" i="4"/>
  <c r="BX85" i="4"/>
  <c r="BY85" i="4"/>
  <c r="BZ85" i="4"/>
  <c r="CA85" i="4"/>
  <c r="BP86" i="4"/>
  <c r="BQ86" i="4"/>
  <c r="BR86" i="4"/>
  <c r="BS86" i="4"/>
  <c r="BT86" i="4"/>
  <c r="BU86" i="4"/>
  <c r="BV86" i="4"/>
  <c r="BW86" i="4"/>
  <c r="BX86" i="4"/>
  <c r="BY86" i="4"/>
  <c r="BZ86" i="4"/>
  <c r="CA86" i="4"/>
  <c r="BP87" i="4"/>
  <c r="BQ87" i="4"/>
  <c r="BR87" i="4"/>
  <c r="BS87" i="4"/>
  <c r="BT87" i="4"/>
  <c r="BU87" i="4"/>
  <c r="BV87" i="4"/>
  <c r="BW87" i="4"/>
  <c r="BX87" i="4"/>
  <c r="BY87" i="4"/>
  <c r="BZ87" i="4"/>
  <c r="CA87" i="4"/>
  <c r="BP88" i="4"/>
  <c r="BQ88" i="4"/>
  <c r="BR88" i="4"/>
  <c r="BS88" i="4"/>
  <c r="BT88" i="4"/>
  <c r="BU88" i="4"/>
  <c r="BV88" i="4"/>
  <c r="BW88" i="4"/>
  <c r="BX88" i="4"/>
  <c r="BY88" i="4"/>
  <c r="BZ88" i="4"/>
  <c r="CA88" i="4"/>
  <c r="BP89" i="4"/>
  <c r="BQ89" i="4"/>
  <c r="BR89" i="4"/>
  <c r="BS89" i="4"/>
  <c r="BT89" i="4"/>
  <c r="BU89" i="4"/>
  <c r="BV89" i="4"/>
  <c r="BW89" i="4"/>
  <c r="BX89" i="4"/>
  <c r="BY89" i="4"/>
  <c r="BZ89" i="4"/>
  <c r="CA89" i="4"/>
  <c r="BP90" i="4"/>
  <c r="BQ90" i="4"/>
  <c r="BR90" i="4"/>
  <c r="BS90" i="4"/>
  <c r="BT90" i="4"/>
  <c r="BU90" i="4"/>
  <c r="BV90" i="4"/>
  <c r="BW90" i="4"/>
  <c r="BX90" i="4"/>
  <c r="BY90" i="4"/>
  <c r="BZ90" i="4"/>
  <c r="CA90" i="4"/>
  <c r="BP91" i="4"/>
  <c r="BQ91" i="4"/>
  <c r="BR91" i="4"/>
  <c r="BS91" i="4"/>
  <c r="BT91" i="4"/>
  <c r="BU91" i="4"/>
  <c r="BV91" i="4"/>
  <c r="BW91" i="4"/>
  <c r="BX91" i="4"/>
  <c r="BY91" i="4"/>
  <c r="BZ91" i="4"/>
  <c r="CA91" i="4"/>
  <c r="BP92" i="4"/>
  <c r="BQ92" i="4"/>
  <c r="BR92" i="4"/>
  <c r="BS92" i="4"/>
  <c r="BT92" i="4"/>
  <c r="BU92" i="4"/>
  <c r="BV92" i="4"/>
  <c r="BW92" i="4"/>
  <c r="BX92" i="4"/>
  <c r="BY92" i="4"/>
  <c r="BZ92" i="4"/>
  <c r="CA92" i="4"/>
  <c r="BP93" i="4"/>
  <c r="BQ93" i="4"/>
  <c r="BR93" i="4"/>
  <c r="BS93" i="4"/>
  <c r="BT93" i="4"/>
  <c r="BU93" i="4"/>
  <c r="BV93" i="4"/>
  <c r="BW93" i="4"/>
  <c r="BX93" i="4"/>
  <c r="BY93" i="4"/>
  <c r="BZ93" i="4"/>
  <c r="CA93" i="4"/>
  <c r="BP94" i="4"/>
  <c r="BQ94" i="4"/>
  <c r="BR94" i="4"/>
  <c r="BS94" i="4"/>
  <c r="BT94" i="4"/>
  <c r="BU94" i="4"/>
  <c r="BV94" i="4"/>
  <c r="BW94" i="4"/>
  <c r="BX94" i="4"/>
  <c r="BY94" i="4"/>
  <c r="BZ94" i="4"/>
  <c r="CA94" i="4"/>
  <c r="BP95" i="4"/>
  <c r="BQ95" i="4"/>
  <c r="BR95" i="4"/>
  <c r="BS95" i="4"/>
  <c r="BT95" i="4"/>
  <c r="BU95" i="4"/>
  <c r="BV95" i="4"/>
  <c r="BW95" i="4"/>
  <c r="BX95" i="4"/>
  <c r="BY95" i="4"/>
  <c r="BZ95" i="4"/>
  <c r="CA95" i="4"/>
  <c r="BP96" i="4"/>
  <c r="BQ96" i="4"/>
  <c r="BR96" i="4"/>
  <c r="BS96" i="4"/>
  <c r="BT96" i="4"/>
  <c r="BU96" i="4"/>
  <c r="BV96" i="4"/>
  <c r="BW96" i="4"/>
  <c r="BX96" i="4"/>
  <c r="BY96" i="4"/>
  <c r="BZ96" i="4"/>
  <c r="CA96" i="4"/>
  <c r="BP97" i="4"/>
  <c r="BQ97" i="4"/>
  <c r="BR97" i="4"/>
  <c r="BS97" i="4"/>
  <c r="BT97" i="4"/>
  <c r="BU97" i="4"/>
  <c r="BV97" i="4"/>
  <c r="BW97" i="4"/>
  <c r="BX97" i="4"/>
  <c r="BY97" i="4"/>
  <c r="BZ97" i="4"/>
  <c r="CA97" i="4"/>
  <c r="BP98" i="4"/>
  <c r="BQ98" i="4"/>
  <c r="BR98" i="4"/>
  <c r="BS98" i="4"/>
  <c r="BT98" i="4"/>
  <c r="BU98" i="4"/>
  <c r="BV98" i="4"/>
  <c r="BW98" i="4"/>
  <c r="BX98" i="4"/>
  <c r="BY98" i="4"/>
  <c r="BZ98" i="4"/>
  <c r="CA98" i="4"/>
  <c r="BP99" i="4"/>
  <c r="BQ99" i="4"/>
  <c r="BR99" i="4"/>
  <c r="BS99" i="4"/>
  <c r="BT99" i="4"/>
  <c r="BU99" i="4"/>
  <c r="BV99" i="4"/>
  <c r="BW99" i="4"/>
  <c r="BX99" i="4"/>
  <c r="BY99" i="4"/>
  <c r="BZ99" i="4"/>
  <c r="CA99" i="4"/>
  <c r="BP100" i="4"/>
  <c r="BQ100" i="4"/>
  <c r="BR100" i="4"/>
  <c r="BS100" i="4"/>
  <c r="BT100" i="4"/>
  <c r="BU100" i="4"/>
  <c r="BV100" i="4"/>
  <c r="BW100" i="4"/>
  <c r="BX100" i="4"/>
  <c r="BY100" i="4"/>
  <c r="BZ100" i="4"/>
  <c r="CA100" i="4"/>
  <c r="BP101" i="4"/>
  <c r="BQ101" i="4"/>
  <c r="BR101" i="4"/>
  <c r="BS101" i="4"/>
  <c r="BT101" i="4"/>
  <c r="BU101" i="4"/>
  <c r="BV101" i="4"/>
  <c r="BW101" i="4"/>
  <c r="BX101" i="4"/>
  <c r="BY101" i="4"/>
  <c r="BZ101" i="4"/>
  <c r="CA101" i="4"/>
  <c r="BP102" i="4"/>
  <c r="BQ102" i="4"/>
  <c r="BR102" i="4"/>
  <c r="BS102" i="4"/>
  <c r="BT102" i="4"/>
  <c r="BU102" i="4"/>
  <c r="BV102" i="4"/>
  <c r="BW102" i="4"/>
  <c r="BX102" i="4"/>
  <c r="BY102" i="4"/>
  <c r="BZ102" i="4"/>
  <c r="CA102" i="4"/>
  <c r="BP103" i="4"/>
  <c r="BQ103" i="4"/>
  <c r="BR103" i="4"/>
  <c r="BS103" i="4"/>
  <c r="BT103" i="4"/>
  <c r="BU103" i="4"/>
  <c r="BV103" i="4"/>
  <c r="BW103" i="4"/>
  <c r="BX103" i="4"/>
  <c r="BY103" i="4"/>
  <c r="BZ103" i="4"/>
  <c r="CA103" i="4"/>
  <c r="BP104" i="4"/>
  <c r="BQ104" i="4"/>
  <c r="BR104" i="4"/>
  <c r="BS104" i="4"/>
  <c r="BT104" i="4"/>
  <c r="BU104" i="4"/>
  <c r="BV104" i="4"/>
  <c r="BW104" i="4"/>
  <c r="BX104" i="4"/>
  <c r="BY104" i="4"/>
  <c r="BZ104" i="4"/>
  <c r="CA104" i="4"/>
  <c r="BP105" i="4"/>
  <c r="BQ105" i="4"/>
  <c r="BR105" i="4"/>
  <c r="BS105" i="4"/>
  <c r="BT105" i="4"/>
  <c r="BU105" i="4"/>
  <c r="BV105" i="4"/>
  <c r="BW105" i="4"/>
  <c r="BX105" i="4"/>
  <c r="BY105" i="4"/>
  <c r="BZ105" i="4"/>
  <c r="CA105" i="4"/>
  <c r="BP106" i="4"/>
  <c r="BQ106" i="4"/>
  <c r="BR106" i="4"/>
  <c r="BS106" i="4"/>
  <c r="BT106" i="4"/>
  <c r="BU106" i="4"/>
  <c r="BV106" i="4"/>
  <c r="BW106" i="4"/>
  <c r="BX106" i="4"/>
  <c r="BY106" i="4"/>
  <c r="BZ106" i="4"/>
  <c r="CA106" i="4"/>
  <c r="BP107" i="4"/>
  <c r="BQ107" i="4"/>
  <c r="BR107" i="4"/>
  <c r="BS107" i="4"/>
  <c r="BT107" i="4"/>
  <c r="BU107" i="4"/>
  <c r="BV107" i="4"/>
  <c r="BW107" i="4"/>
  <c r="BX107" i="4"/>
  <c r="BY107" i="4"/>
  <c r="BZ107" i="4"/>
  <c r="CA107" i="4"/>
  <c r="BP108" i="4"/>
  <c r="BQ108" i="4"/>
  <c r="BR108" i="4"/>
  <c r="BS108" i="4"/>
  <c r="BT108" i="4"/>
  <c r="BU108" i="4"/>
  <c r="BV108" i="4"/>
  <c r="BW108" i="4"/>
  <c r="BX108" i="4"/>
  <c r="BY108" i="4"/>
  <c r="BZ108" i="4"/>
  <c r="CA108" i="4"/>
  <c r="BP109" i="4"/>
  <c r="BQ109" i="4"/>
  <c r="BR109" i="4"/>
  <c r="BS109" i="4"/>
  <c r="BT109" i="4"/>
  <c r="BU109" i="4"/>
  <c r="BV109" i="4"/>
  <c r="BW109" i="4"/>
  <c r="BX109" i="4"/>
  <c r="BY109" i="4"/>
  <c r="BZ109" i="4"/>
  <c r="CA109" i="4"/>
  <c r="BP110" i="4"/>
  <c r="BQ110" i="4"/>
  <c r="BR110" i="4"/>
  <c r="BS110" i="4"/>
  <c r="BT110" i="4"/>
  <c r="BU110" i="4"/>
  <c r="BV110" i="4"/>
  <c r="BW110" i="4"/>
  <c r="BX110" i="4"/>
  <c r="BY110" i="4"/>
  <c r="BZ110" i="4"/>
  <c r="CA110" i="4"/>
  <c r="BP111" i="4"/>
  <c r="BQ111" i="4"/>
  <c r="BR111" i="4"/>
  <c r="BS111" i="4"/>
  <c r="BT111" i="4"/>
  <c r="BU111" i="4"/>
  <c r="BV111" i="4"/>
  <c r="BW111" i="4"/>
  <c r="BX111" i="4"/>
  <c r="BY111" i="4"/>
  <c r="BZ111" i="4"/>
  <c r="CA111" i="4"/>
  <c r="BP112" i="4"/>
  <c r="BQ112" i="4"/>
  <c r="BR112" i="4"/>
  <c r="BS112" i="4"/>
  <c r="BT112" i="4"/>
  <c r="BU112" i="4"/>
  <c r="BV112" i="4"/>
  <c r="BW112" i="4"/>
  <c r="BX112" i="4"/>
  <c r="BY112" i="4"/>
  <c r="BZ112" i="4"/>
  <c r="CA112" i="4"/>
  <c r="BP113" i="4"/>
  <c r="BQ113" i="4"/>
  <c r="BR113" i="4"/>
  <c r="BS113" i="4"/>
  <c r="BT113" i="4"/>
  <c r="BU113" i="4"/>
  <c r="BV113" i="4"/>
  <c r="BW113" i="4"/>
  <c r="BX113" i="4"/>
  <c r="BY113" i="4"/>
  <c r="BZ113" i="4"/>
  <c r="CA113" i="4"/>
  <c r="BP114" i="4"/>
  <c r="BQ114" i="4"/>
  <c r="BR114" i="4"/>
  <c r="BS114" i="4"/>
  <c r="BT114" i="4"/>
  <c r="BU114" i="4"/>
  <c r="BV114" i="4"/>
  <c r="BW114" i="4"/>
  <c r="BX114" i="4"/>
  <c r="BY114" i="4"/>
  <c r="BZ114" i="4"/>
  <c r="CA114" i="4"/>
  <c r="BP115" i="4"/>
  <c r="BQ115" i="4"/>
  <c r="BR115" i="4"/>
  <c r="BS115" i="4"/>
  <c r="BT115" i="4"/>
  <c r="BU115" i="4"/>
  <c r="BV115" i="4"/>
  <c r="BW115" i="4"/>
  <c r="BX115" i="4"/>
  <c r="BY115" i="4"/>
  <c r="BZ115" i="4"/>
  <c r="CA115" i="4"/>
  <c r="BP116" i="4"/>
  <c r="BQ116" i="4"/>
  <c r="BR116" i="4"/>
  <c r="BS116" i="4"/>
  <c r="BT116" i="4"/>
  <c r="BU116" i="4"/>
  <c r="BV116" i="4"/>
  <c r="BW116" i="4"/>
  <c r="BX116" i="4"/>
  <c r="BY116" i="4"/>
  <c r="BZ116" i="4"/>
  <c r="CA116" i="4"/>
  <c r="BP117" i="4"/>
  <c r="BQ117" i="4"/>
  <c r="BR117" i="4"/>
  <c r="BS117" i="4"/>
  <c r="BT117" i="4"/>
  <c r="BU117" i="4"/>
  <c r="BV117" i="4"/>
  <c r="BW117" i="4"/>
  <c r="BX117" i="4"/>
  <c r="BY117" i="4"/>
  <c r="BZ117" i="4"/>
  <c r="CA117" i="4"/>
  <c r="BP118" i="4"/>
  <c r="BQ118" i="4"/>
  <c r="BR118" i="4"/>
  <c r="BS118" i="4"/>
  <c r="BT118" i="4"/>
  <c r="BU118" i="4"/>
  <c r="BV118" i="4"/>
  <c r="BW118" i="4"/>
  <c r="BX118" i="4"/>
  <c r="BY118" i="4"/>
  <c r="BZ118" i="4"/>
  <c r="CA118" i="4"/>
  <c r="BP119" i="4"/>
  <c r="BQ119" i="4"/>
  <c r="BR119" i="4"/>
  <c r="BS119" i="4"/>
  <c r="BT119" i="4"/>
  <c r="BU119" i="4"/>
  <c r="BV119" i="4"/>
  <c r="BW119" i="4"/>
  <c r="BX119" i="4"/>
  <c r="BY119" i="4"/>
  <c r="BZ119" i="4"/>
  <c r="CA119" i="4"/>
  <c r="BP120" i="4"/>
  <c r="BQ120" i="4"/>
  <c r="BR120" i="4"/>
  <c r="BS120" i="4"/>
  <c r="BT120" i="4"/>
  <c r="BU120" i="4"/>
  <c r="BV120" i="4"/>
  <c r="BW120" i="4"/>
  <c r="BX120" i="4"/>
  <c r="BY120" i="4"/>
  <c r="BZ120" i="4"/>
  <c r="CA120" i="4"/>
  <c r="BP121" i="4"/>
  <c r="BQ121" i="4"/>
  <c r="BR121" i="4"/>
  <c r="BS121" i="4"/>
  <c r="BT121" i="4"/>
  <c r="BU121" i="4"/>
  <c r="BV121" i="4"/>
  <c r="BW121" i="4"/>
  <c r="BX121" i="4"/>
  <c r="BY121" i="4"/>
  <c r="BZ121" i="4"/>
  <c r="CA121" i="4"/>
  <c r="BP122" i="4"/>
  <c r="BQ122" i="4"/>
  <c r="BR122" i="4"/>
  <c r="BS122" i="4"/>
  <c r="BT122" i="4"/>
  <c r="BU122" i="4"/>
  <c r="BV122" i="4"/>
  <c r="BW122" i="4"/>
  <c r="BX122" i="4"/>
  <c r="BY122" i="4"/>
  <c r="BZ122" i="4"/>
  <c r="CA122" i="4"/>
  <c r="BP123" i="4"/>
  <c r="BQ123" i="4"/>
  <c r="BR123" i="4"/>
  <c r="BS123" i="4"/>
  <c r="BT123" i="4"/>
  <c r="BU123" i="4"/>
  <c r="BV123" i="4"/>
  <c r="BW123" i="4"/>
  <c r="BX123" i="4"/>
  <c r="BY123" i="4"/>
  <c r="BZ123" i="4"/>
  <c r="CA123" i="4"/>
  <c r="BP124" i="4"/>
  <c r="BQ124" i="4"/>
  <c r="BR124" i="4"/>
  <c r="BS124" i="4"/>
  <c r="BT124" i="4"/>
  <c r="BU124" i="4"/>
  <c r="BV124" i="4"/>
  <c r="BW124" i="4"/>
  <c r="BX124" i="4"/>
  <c r="BY124" i="4"/>
  <c r="BZ124" i="4"/>
  <c r="CA124" i="4"/>
  <c r="BP125" i="4"/>
  <c r="BQ125" i="4"/>
  <c r="BR125" i="4"/>
  <c r="BS125" i="4"/>
  <c r="BT125" i="4"/>
  <c r="BU125" i="4"/>
  <c r="BV125" i="4"/>
  <c r="BW125" i="4"/>
  <c r="BX125" i="4"/>
  <c r="BY125" i="4"/>
  <c r="BZ125" i="4"/>
  <c r="CA125" i="4"/>
  <c r="BP126" i="4"/>
  <c r="BQ126" i="4"/>
  <c r="BR126" i="4"/>
  <c r="BS126" i="4"/>
  <c r="BT126" i="4"/>
  <c r="BU126" i="4"/>
  <c r="BV126" i="4"/>
  <c r="BW126" i="4"/>
  <c r="BX126" i="4"/>
  <c r="BY126" i="4"/>
  <c r="BZ126" i="4"/>
  <c r="CA126" i="4"/>
  <c r="BP127" i="4"/>
  <c r="BQ127" i="4"/>
  <c r="BR127" i="4"/>
  <c r="BS127" i="4"/>
  <c r="BT127" i="4"/>
  <c r="BU127" i="4"/>
  <c r="BV127" i="4"/>
  <c r="BW127" i="4"/>
  <c r="BX127" i="4"/>
  <c r="BY127" i="4"/>
  <c r="BZ127" i="4"/>
  <c r="CA127" i="4"/>
  <c r="BP128" i="4"/>
  <c r="BQ128" i="4"/>
  <c r="BR128" i="4"/>
  <c r="BS128" i="4"/>
  <c r="BT128" i="4"/>
  <c r="BU128" i="4"/>
  <c r="BV128" i="4"/>
  <c r="BW128" i="4"/>
  <c r="BX128" i="4"/>
  <c r="BY128" i="4"/>
  <c r="BZ128" i="4"/>
  <c r="CA128" i="4"/>
  <c r="BP129" i="4"/>
  <c r="BQ129" i="4"/>
  <c r="BR129" i="4"/>
  <c r="BS129" i="4"/>
  <c r="BT129" i="4"/>
  <c r="BU129" i="4"/>
  <c r="BV129" i="4"/>
  <c r="BW129" i="4"/>
  <c r="BX129" i="4"/>
  <c r="BY129" i="4"/>
  <c r="BZ129" i="4"/>
  <c r="CA129" i="4"/>
  <c r="BP130" i="4"/>
  <c r="BQ130" i="4"/>
  <c r="BR130" i="4"/>
  <c r="BS130" i="4"/>
  <c r="BT130" i="4"/>
  <c r="BU130" i="4"/>
  <c r="BV130" i="4"/>
  <c r="BW130" i="4"/>
  <c r="BX130" i="4"/>
  <c r="BY130" i="4"/>
  <c r="BZ130" i="4"/>
  <c r="CA130" i="4"/>
  <c r="BP131" i="4"/>
  <c r="BQ131" i="4"/>
  <c r="BR131" i="4"/>
  <c r="BS131" i="4"/>
  <c r="BT131" i="4"/>
  <c r="BU131" i="4"/>
  <c r="BV131" i="4"/>
  <c r="BW131" i="4"/>
  <c r="BX131" i="4"/>
  <c r="BY131" i="4"/>
  <c r="BZ131" i="4"/>
  <c r="CA131" i="4"/>
  <c r="BP132" i="4"/>
  <c r="BQ132" i="4"/>
  <c r="BR132" i="4"/>
  <c r="BS132" i="4"/>
  <c r="BT132" i="4"/>
  <c r="BU132" i="4"/>
  <c r="BV132" i="4"/>
  <c r="BW132" i="4"/>
  <c r="BX132" i="4"/>
  <c r="BY132" i="4"/>
  <c r="BZ132" i="4"/>
  <c r="CA132" i="4"/>
  <c r="BP133" i="4"/>
  <c r="BQ133" i="4"/>
  <c r="BR133" i="4"/>
  <c r="BS133" i="4"/>
  <c r="BT133" i="4"/>
  <c r="BU133" i="4"/>
  <c r="BV133" i="4"/>
  <c r="BW133" i="4"/>
  <c r="BX133" i="4"/>
  <c r="BY133" i="4"/>
  <c r="BZ133" i="4"/>
  <c r="CA133" i="4"/>
  <c r="BP134" i="4"/>
  <c r="BQ134" i="4"/>
  <c r="BR134" i="4"/>
  <c r="BS134" i="4"/>
  <c r="BT134" i="4"/>
  <c r="BU134" i="4"/>
  <c r="BV134" i="4"/>
  <c r="BW134" i="4"/>
  <c r="BX134" i="4"/>
  <c r="BY134" i="4"/>
  <c r="BZ134" i="4"/>
  <c r="CA134" i="4"/>
  <c r="BP135" i="4"/>
  <c r="BQ135" i="4"/>
  <c r="BR135" i="4"/>
  <c r="BS135" i="4"/>
  <c r="BT135" i="4"/>
  <c r="BU135" i="4"/>
  <c r="BV135" i="4"/>
  <c r="BW135" i="4"/>
  <c r="BX135" i="4"/>
  <c r="BY135" i="4"/>
  <c r="BZ135" i="4"/>
  <c r="CA135" i="4"/>
  <c r="BP136" i="4"/>
  <c r="BQ136" i="4"/>
  <c r="BR136" i="4"/>
  <c r="BS136" i="4"/>
  <c r="BT136" i="4"/>
  <c r="BU136" i="4"/>
  <c r="BV136" i="4"/>
  <c r="BW136" i="4"/>
  <c r="BX136" i="4"/>
  <c r="BY136" i="4"/>
  <c r="BZ136" i="4"/>
  <c r="CA136" i="4"/>
  <c r="BP137" i="4"/>
  <c r="BQ137" i="4"/>
  <c r="BR137" i="4"/>
  <c r="BS137" i="4"/>
  <c r="BT137" i="4"/>
  <c r="BU137" i="4"/>
  <c r="BV137" i="4"/>
  <c r="BW137" i="4"/>
  <c r="BX137" i="4"/>
  <c r="BY137" i="4"/>
  <c r="BZ137" i="4"/>
  <c r="CA137" i="4"/>
  <c r="BP138" i="4"/>
  <c r="BQ138" i="4"/>
  <c r="BR138" i="4"/>
  <c r="BS138" i="4"/>
  <c r="BT138" i="4"/>
  <c r="BU138" i="4"/>
  <c r="BV138" i="4"/>
  <c r="BW138" i="4"/>
  <c r="BX138" i="4"/>
  <c r="BY138" i="4"/>
  <c r="BZ138" i="4"/>
  <c r="CA138" i="4"/>
  <c r="BP139" i="4"/>
  <c r="BQ139" i="4"/>
  <c r="BR139" i="4"/>
  <c r="BS139" i="4"/>
  <c r="BT139" i="4"/>
  <c r="BU139" i="4"/>
  <c r="BV139" i="4"/>
  <c r="BW139" i="4"/>
  <c r="BX139" i="4"/>
  <c r="BY139" i="4"/>
  <c r="BZ139" i="4"/>
  <c r="CA139" i="4"/>
  <c r="BP140" i="4"/>
  <c r="BQ140" i="4"/>
  <c r="BR140" i="4"/>
  <c r="BS140" i="4"/>
  <c r="BT140" i="4"/>
  <c r="BU140" i="4"/>
  <c r="BV140" i="4"/>
  <c r="BW140" i="4"/>
  <c r="BX140" i="4"/>
  <c r="BY140" i="4"/>
  <c r="BZ140" i="4"/>
  <c r="CA140" i="4"/>
  <c r="BP141" i="4"/>
  <c r="BQ141" i="4"/>
  <c r="BR141" i="4"/>
  <c r="BS141" i="4"/>
  <c r="BT141" i="4"/>
  <c r="BU141" i="4"/>
  <c r="BV141" i="4"/>
  <c r="BW141" i="4"/>
  <c r="BX141" i="4"/>
  <c r="BY141" i="4"/>
  <c r="BZ141" i="4"/>
  <c r="CA141" i="4"/>
  <c r="BP142" i="4"/>
  <c r="BQ142" i="4"/>
  <c r="BR142" i="4"/>
  <c r="BS142" i="4"/>
  <c r="BT142" i="4"/>
  <c r="BU142" i="4"/>
  <c r="BV142" i="4"/>
  <c r="BW142" i="4"/>
  <c r="BX142" i="4"/>
  <c r="BY142" i="4"/>
  <c r="BZ142" i="4"/>
  <c r="CA142" i="4"/>
  <c r="BP143" i="4"/>
  <c r="BQ143" i="4"/>
  <c r="BR143" i="4"/>
  <c r="BS143" i="4"/>
  <c r="BT143" i="4"/>
  <c r="BU143" i="4"/>
  <c r="BV143" i="4"/>
  <c r="BW143" i="4"/>
  <c r="BX143" i="4"/>
  <c r="BY143" i="4"/>
  <c r="BZ143" i="4"/>
  <c r="CA143" i="4"/>
  <c r="BP144" i="4"/>
  <c r="BQ144" i="4"/>
  <c r="BR144" i="4"/>
  <c r="BS144" i="4"/>
  <c r="BT144" i="4"/>
  <c r="BU144" i="4"/>
  <c r="BV144" i="4"/>
  <c r="BW144" i="4"/>
  <c r="BX144" i="4"/>
  <c r="BY144" i="4"/>
  <c r="BZ144" i="4"/>
  <c r="CA144" i="4"/>
  <c r="BP145" i="4"/>
  <c r="BQ145" i="4"/>
  <c r="BR145" i="4"/>
  <c r="BS145" i="4"/>
  <c r="BT145" i="4"/>
  <c r="BU145" i="4"/>
  <c r="BV145" i="4"/>
  <c r="BW145" i="4"/>
  <c r="BX145" i="4"/>
  <c r="BY145" i="4"/>
  <c r="BZ145" i="4"/>
  <c r="CA145" i="4"/>
  <c r="BP146" i="4"/>
  <c r="BQ146" i="4"/>
  <c r="BR146" i="4"/>
  <c r="BS146" i="4"/>
  <c r="BT146" i="4"/>
  <c r="BU146" i="4"/>
  <c r="BV146" i="4"/>
  <c r="BW146" i="4"/>
  <c r="BX146" i="4"/>
  <c r="BY146" i="4"/>
  <c r="BZ146" i="4"/>
  <c r="CA146" i="4"/>
  <c r="BP147" i="4"/>
  <c r="BQ147" i="4"/>
  <c r="BR147" i="4"/>
  <c r="BS147" i="4"/>
  <c r="BT147" i="4"/>
  <c r="BU147" i="4"/>
  <c r="BV147" i="4"/>
  <c r="BW147" i="4"/>
  <c r="BX147" i="4"/>
  <c r="BY147" i="4"/>
  <c r="BZ147" i="4"/>
  <c r="CA147" i="4"/>
  <c r="BP148" i="4"/>
  <c r="BQ148" i="4"/>
  <c r="BR148" i="4"/>
  <c r="BS148" i="4"/>
  <c r="BT148" i="4"/>
  <c r="BU148" i="4"/>
  <c r="BV148" i="4"/>
  <c r="BW148" i="4"/>
  <c r="BX148" i="4"/>
  <c r="BY148" i="4"/>
  <c r="BZ148" i="4"/>
  <c r="CA148" i="4"/>
  <c r="BP149" i="4"/>
  <c r="BQ149" i="4"/>
  <c r="BR149" i="4"/>
  <c r="BS149" i="4"/>
  <c r="BT149" i="4"/>
  <c r="BU149" i="4"/>
  <c r="BV149" i="4"/>
  <c r="BW149" i="4"/>
  <c r="BX149" i="4"/>
  <c r="BY149" i="4"/>
  <c r="BZ149" i="4"/>
  <c r="CA149" i="4"/>
  <c r="BP150" i="4"/>
  <c r="BQ150" i="4"/>
  <c r="BR150" i="4"/>
  <c r="BS150" i="4"/>
  <c r="BT150" i="4"/>
  <c r="BU150" i="4"/>
  <c r="BV150" i="4"/>
  <c r="BW150" i="4"/>
  <c r="BX150" i="4"/>
  <c r="BY150" i="4"/>
  <c r="BZ150" i="4"/>
  <c r="CA150" i="4"/>
  <c r="BP151" i="4"/>
  <c r="BQ151" i="4"/>
  <c r="BR151" i="4"/>
  <c r="BS151" i="4"/>
  <c r="BT151" i="4"/>
  <c r="BU151" i="4"/>
  <c r="BV151" i="4"/>
  <c r="BW151" i="4"/>
  <c r="BX151" i="4"/>
  <c r="BY151" i="4"/>
  <c r="BZ151" i="4"/>
  <c r="CA151" i="4"/>
  <c r="BP152" i="4"/>
  <c r="BQ152" i="4"/>
  <c r="BR152" i="4"/>
  <c r="BS152" i="4"/>
  <c r="BT152" i="4"/>
  <c r="BU152" i="4"/>
  <c r="BV152" i="4"/>
  <c r="BW152" i="4"/>
  <c r="BX152" i="4"/>
  <c r="BY152" i="4"/>
  <c r="BZ152" i="4"/>
  <c r="CA152" i="4"/>
  <c r="BP153" i="4"/>
  <c r="BQ153" i="4"/>
  <c r="BR153" i="4"/>
  <c r="BS153" i="4"/>
  <c r="BT153" i="4"/>
  <c r="BU153" i="4"/>
  <c r="BV153" i="4"/>
  <c r="BW153" i="4"/>
  <c r="BX153" i="4"/>
  <c r="BY153" i="4"/>
  <c r="BZ153" i="4"/>
  <c r="CA153" i="4"/>
  <c r="BP154" i="4"/>
  <c r="BQ154" i="4"/>
  <c r="BR154" i="4"/>
  <c r="BS154" i="4"/>
  <c r="BT154" i="4"/>
  <c r="BU154" i="4"/>
  <c r="BV154" i="4"/>
  <c r="BW154" i="4"/>
  <c r="BX154" i="4"/>
  <c r="BY154" i="4"/>
  <c r="BZ154" i="4"/>
  <c r="CA154" i="4"/>
  <c r="BP155" i="4"/>
  <c r="BQ155" i="4"/>
  <c r="BR155" i="4"/>
  <c r="BS155" i="4"/>
  <c r="BT155" i="4"/>
  <c r="BU155" i="4"/>
  <c r="BV155" i="4"/>
  <c r="BW155" i="4"/>
  <c r="BX155" i="4"/>
  <c r="BY155" i="4"/>
  <c r="BZ155" i="4"/>
  <c r="CA155" i="4"/>
  <c r="BP156" i="4"/>
  <c r="BQ156" i="4"/>
  <c r="BR156" i="4"/>
  <c r="BS156" i="4"/>
  <c r="BT156" i="4"/>
  <c r="BU156" i="4"/>
  <c r="BV156" i="4"/>
  <c r="BW156" i="4"/>
  <c r="BX156" i="4"/>
  <c r="BY156" i="4"/>
  <c r="BZ156" i="4"/>
  <c r="CA156" i="4"/>
  <c r="BP157" i="4"/>
  <c r="BQ157" i="4"/>
  <c r="BR157" i="4"/>
  <c r="BS157" i="4"/>
  <c r="BT157" i="4"/>
  <c r="BU157" i="4"/>
  <c r="BV157" i="4"/>
  <c r="BW157" i="4"/>
  <c r="BX157" i="4"/>
  <c r="BY157" i="4"/>
  <c r="BZ157" i="4"/>
  <c r="CA157" i="4"/>
  <c r="BP158" i="4"/>
  <c r="BQ158" i="4"/>
  <c r="BR158" i="4"/>
  <c r="BS158" i="4"/>
  <c r="BT158" i="4"/>
  <c r="BU158" i="4"/>
  <c r="BV158" i="4"/>
  <c r="BW158" i="4"/>
  <c r="BX158" i="4"/>
  <c r="BY158" i="4"/>
  <c r="BZ158" i="4"/>
  <c r="CA158" i="4"/>
  <c r="BP159" i="4"/>
  <c r="BQ159" i="4"/>
  <c r="BR159" i="4"/>
  <c r="BS159" i="4"/>
  <c r="BT159" i="4"/>
  <c r="BU159" i="4"/>
  <c r="BV159" i="4"/>
  <c r="BW159" i="4"/>
  <c r="BX159" i="4"/>
  <c r="BY159" i="4"/>
  <c r="BZ159" i="4"/>
  <c r="CA159" i="4"/>
  <c r="BP160" i="4"/>
  <c r="BQ160" i="4"/>
  <c r="BR160" i="4"/>
  <c r="BS160" i="4"/>
  <c r="BT160" i="4"/>
  <c r="BU160" i="4"/>
  <c r="BV160" i="4"/>
  <c r="BW160" i="4"/>
  <c r="BX160" i="4"/>
  <c r="BY160" i="4"/>
  <c r="BZ160" i="4"/>
  <c r="CA160" i="4"/>
  <c r="BP161" i="4"/>
  <c r="BQ161" i="4"/>
  <c r="BR161" i="4"/>
  <c r="BS161" i="4"/>
  <c r="BT161" i="4"/>
  <c r="BU161" i="4"/>
  <c r="BV161" i="4"/>
  <c r="BW161" i="4"/>
  <c r="BX161" i="4"/>
  <c r="BY161" i="4"/>
  <c r="BZ161" i="4"/>
  <c r="CA161" i="4"/>
  <c r="BP162" i="4"/>
  <c r="BQ162" i="4"/>
  <c r="BR162" i="4"/>
  <c r="BS162" i="4"/>
  <c r="BT162" i="4"/>
  <c r="BU162" i="4"/>
  <c r="BV162" i="4"/>
  <c r="BW162" i="4"/>
  <c r="BX162" i="4"/>
  <c r="BY162" i="4"/>
  <c r="BZ162" i="4"/>
  <c r="CA162" i="4"/>
  <c r="BP163" i="4"/>
  <c r="BQ163" i="4"/>
  <c r="BR163" i="4"/>
  <c r="BS163" i="4"/>
  <c r="BT163" i="4"/>
  <c r="BU163" i="4"/>
  <c r="BV163" i="4"/>
  <c r="BW163" i="4"/>
  <c r="BX163" i="4"/>
  <c r="BY163" i="4"/>
  <c r="BZ163" i="4"/>
  <c r="CA163" i="4"/>
  <c r="BP164" i="4"/>
  <c r="BQ164" i="4"/>
  <c r="BR164" i="4"/>
  <c r="BS164" i="4"/>
  <c r="BT164" i="4"/>
  <c r="BU164" i="4"/>
  <c r="BV164" i="4"/>
  <c r="BW164" i="4"/>
  <c r="BX164" i="4"/>
  <c r="BY164" i="4"/>
  <c r="BZ164" i="4"/>
  <c r="CA164" i="4"/>
  <c r="BP165" i="4"/>
  <c r="BQ165" i="4"/>
  <c r="BR165" i="4"/>
  <c r="BS165" i="4"/>
  <c r="BT165" i="4"/>
  <c r="BU165" i="4"/>
  <c r="BV165" i="4"/>
  <c r="BW165" i="4"/>
  <c r="BX165" i="4"/>
  <c r="BY165" i="4"/>
  <c r="BZ165" i="4"/>
  <c r="CA165" i="4"/>
  <c r="BP166" i="4"/>
  <c r="BQ166" i="4"/>
  <c r="BR166" i="4"/>
  <c r="BS166" i="4"/>
  <c r="BT166" i="4"/>
  <c r="BU166" i="4"/>
  <c r="BV166" i="4"/>
  <c r="BW166" i="4"/>
  <c r="BX166" i="4"/>
  <c r="BY166" i="4"/>
  <c r="BZ166" i="4"/>
  <c r="CA166" i="4"/>
  <c r="BP167" i="4"/>
  <c r="BQ167" i="4"/>
  <c r="BR167" i="4"/>
  <c r="BS167" i="4"/>
  <c r="BT167" i="4"/>
  <c r="BU167" i="4"/>
  <c r="BV167" i="4"/>
  <c r="BW167" i="4"/>
  <c r="BX167" i="4"/>
  <c r="BY167" i="4"/>
  <c r="BZ167" i="4"/>
  <c r="CA167" i="4"/>
  <c r="BP168" i="4"/>
  <c r="BQ168" i="4"/>
  <c r="BR168" i="4"/>
  <c r="BS168" i="4"/>
  <c r="BT168" i="4"/>
  <c r="BU168" i="4"/>
  <c r="BV168" i="4"/>
  <c r="BW168" i="4"/>
  <c r="BX168" i="4"/>
  <c r="BY168" i="4"/>
  <c r="BZ168" i="4"/>
  <c r="CA168" i="4"/>
  <c r="BP169" i="4"/>
  <c r="BQ169" i="4"/>
  <c r="BR169" i="4"/>
  <c r="BS169" i="4"/>
  <c r="BT169" i="4"/>
  <c r="BU169" i="4"/>
  <c r="BV169" i="4"/>
  <c r="BW169" i="4"/>
  <c r="BX169" i="4"/>
  <c r="BY169" i="4"/>
  <c r="BZ169" i="4"/>
  <c r="CA169" i="4"/>
  <c r="BP170" i="4"/>
  <c r="BQ170" i="4"/>
  <c r="BR170" i="4"/>
  <c r="BS170" i="4"/>
  <c r="BT170" i="4"/>
  <c r="BU170" i="4"/>
  <c r="BV170" i="4"/>
  <c r="BW170" i="4"/>
  <c r="BX170" i="4"/>
  <c r="BY170" i="4"/>
  <c r="BZ170" i="4"/>
  <c r="CA170" i="4"/>
  <c r="BP171" i="4"/>
  <c r="BQ171" i="4"/>
  <c r="BR171" i="4"/>
  <c r="BS171" i="4"/>
  <c r="BT171" i="4"/>
  <c r="BU171" i="4"/>
  <c r="BV171" i="4"/>
  <c r="BW171" i="4"/>
  <c r="BX171" i="4"/>
  <c r="BY171" i="4"/>
  <c r="BZ171" i="4"/>
  <c r="CA171" i="4"/>
  <c r="BP172" i="4"/>
  <c r="BQ172" i="4"/>
  <c r="BR172" i="4"/>
  <c r="BS172" i="4"/>
  <c r="BT172" i="4"/>
  <c r="BU172" i="4"/>
  <c r="BV172" i="4"/>
  <c r="BW172" i="4"/>
  <c r="BX172" i="4"/>
  <c r="BY172" i="4"/>
  <c r="BZ172" i="4"/>
  <c r="CA172" i="4"/>
  <c r="BP173" i="4"/>
  <c r="BQ173" i="4"/>
  <c r="BR173" i="4"/>
  <c r="BS173" i="4"/>
  <c r="BT173" i="4"/>
  <c r="BU173" i="4"/>
  <c r="BV173" i="4"/>
  <c r="BW173" i="4"/>
  <c r="BX173" i="4"/>
  <c r="BY173" i="4"/>
  <c r="BZ173" i="4"/>
  <c r="CA173" i="4"/>
  <c r="BP174" i="4"/>
  <c r="BQ174" i="4"/>
  <c r="BR174" i="4"/>
  <c r="BS174" i="4"/>
  <c r="BT174" i="4"/>
  <c r="BU174" i="4"/>
  <c r="BV174" i="4"/>
  <c r="BW174" i="4"/>
  <c r="BX174" i="4"/>
  <c r="BY174" i="4"/>
  <c r="BZ174" i="4"/>
  <c r="CA174" i="4"/>
  <c r="BP175" i="4"/>
  <c r="BQ175" i="4"/>
  <c r="BR175" i="4"/>
  <c r="BS175" i="4"/>
  <c r="BT175" i="4"/>
  <c r="BU175" i="4"/>
  <c r="BV175" i="4"/>
  <c r="BW175" i="4"/>
  <c r="BX175" i="4"/>
  <c r="BY175" i="4"/>
  <c r="BZ175" i="4"/>
  <c r="CA175" i="4"/>
  <c r="BP176" i="4"/>
  <c r="BQ176" i="4"/>
  <c r="BR176" i="4"/>
  <c r="BS176" i="4"/>
  <c r="BT176" i="4"/>
  <c r="BU176" i="4"/>
  <c r="BV176" i="4"/>
  <c r="BW176" i="4"/>
  <c r="BX176" i="4"/>
  <c r="BY176" i="4"/>
  <c r="BZ176" i="4"/>
  <c r="CA176" i="4"/>
  <c r="BP177" i="4"/>
  <c r="BQ177" i="4"/>
  <c r="BR177" i="4"/>
  <c r="BS177" i="4"/>
  <c r="BT177" i="4"/>
  <c r="BU177" i="4"/>
  <c r="BV177" i="4"/>
  <c r="BW177" i="4"/>
  <c r="BX177" i="4"/>
  <c r="BY177" i="4"/>
  <c r="BZ177" i="4"/>
  <c r="CA177" i="4"/>
  <c r="BP178" i="4"/>
  <c r="BQ178" i="4"/>
  <c r="BR178" i="4"/>
  <c r="BS178" i="4"/>
  <c r="BT178" i="4"/>
  <c r="BU178" i="4"/>
  <c r="BV178" i="4"/>
  <c r="BW178" i="4"/>
  <c r="BX178" i="4"/>
  <c r="BY178" i="4"/>
  <c r="BZ178" i="4"/>
  <c r="CA178" i="4"/>
  <c r="BP179" i="4"/>
  <c r="BQ179" i="4"/>
  <c r="BR179" i="4"/>
  <c r="BS179" i="4"/>
  <c r="BT179" i="4"/>
  <c r="BU179" i="4"/>
  <c r="BV179" i="4"/>
  <c r="BW179" i="4"/>
  <c r="BX179" i="4"/>
  <c r="BY179" i="4"/>
  <c r="BZ179" i="4"/>
  <c r="CA179" i="4"/>
  <c r="BP180" i="4"/>
  <c r="BQ180" i="4"/>
  <c r="BR180" i="4"/>
  <c r="BS180" i="4"/>
  <c r="BT180" i="4"/>
  <c r="BU180" i="4"/>
  <c r="BV180" i="4"/>
  <c r="BW180" i="4"/>
  <c r="BX180" i="4"/>
  <c r="BY180" i="4"/>
  <c r="BZ180" i="4"/>
  <c r="CA180" i="4"/>
  <c r="BP181" i="4"/>
  <c r="BQ181" i="4"/>
  <c r="BR181" i="4"/>
  <c r="BS181" i="4"/>
  <c r="BT181" i="4"/>
  <c r="BU181" i="4"/>
  <c r="BV181" i="4"/>
  <c r="BW181" i="4"/>
  <c r="BX181" i="4"/>
  <c r="BY181" i="4"/>
  <c r="BZ181" i="4"/>
  <c r="CA181" i="4"/>
  <c r="BP182" i="4"/>
  <c r="BQ182" i="4"/>
  <c r="BR182" i="4"/>
  <c r="BS182" i="4"/>
  <c r="BT182" i="4"/>
  <c r="BU182" i="4"/>
  <c r="BV182" i="4"/>
  <c r="BW182" i="4"/>
  <c r="BX182" i="4"/>
  <c r="BY182" i="4"/>
  <c r="BZ182" i="4"/>
  <c r="CA182" i="4"/>
  <c r="BP183" i="4"/>
  <c r="BQ183" i="4"/>
  <c r="BR183" i="4"/>
  <c r="BS183" i="4"/>
  <c r="BT183" i="4"/>
  <c r="BU183" i="4"/>
  <c r="BV183" i="4"/>
  <c r="BW183" i="4"/>
  <c r="BX183" i="4"/>
  <c r="BY183" i="4"/>
  <c r="BZ183" i="4"/>
  <c r="CA183" i="4"/>
  <c r="BP184" i="4"/>
  <c r="BQ184" i="4"/>
  <c r="BR184" i="4"/>
  <c r="BS184" i="4"/>
  <c r="BT184" i="4"/>
  <c r="BU184" i="4"/>
  <c r="BV184" i="4"/>
  <c r="BW184" i="4"/>
  <c r="BX184" i="4"/>
  <c r="BY184" i="4"/>
  <c r="BZ184" i="4"/>
  <c r="CA184" i="4"/>
  <c r="BP185" i="4"/>
  <c r="BQ185" i="4"/>
  <c r="BR185" i="4"/>
  <c r="BS185" i="4"/>
  <c r="BT185" i="4"/>
  <c r="BU185" i="4"/>
  <c r="BV185" i="4"/>
  <c r="BW185" i="4"/>
  <c r="BX185" i="4"/>
  <c r="BY185" i="4"/>
  <c r="BZ185" i="4"/>
  <c r="CA185" i="4"/>
  <c r="BP186" i="4"/>
  <c r="BQ186" i="4"/>
  <c r="BR186" i="4"/>
  <c r="BS186" i="4"/>
  <c r="BT186" i="4"/>
  <c r="BU186" i="4"/>
  <c r="BV186" i="4"/>
  <c r="BW186" i="4"/>
  <c r="BX186" i="4"/>
  <c r="BY186" i="4"/>
  <c r="BZ186" i="4"/>
  <c r="CA186" i="4"/>
  <c r="BP187" i="4"/>
  <c r="BQ187" i="4"/>
  <c r="BR187" i="4"/>
  <c r="BS187" i="4"/>
  <c r="BT187" i="4"/>
  <c r="BU187" i="4"/>
  <c r="BV187" i="4"/>
  <c r="BW187" i="4"/>
  <c r="BX187" i="4"/>
  <c r="BY187" i="4"/>
  <c r="BZ187" i="4"/>
  <c r="CA187" i="4"/>
  <c r="BP188" i="4"/>
  <c r="BQ188" i="4"/>
  <c r="BR188" i="4"/>
  <c r="BS188" i="4"/>
  <c r="BT188" i="4"/>
  <c r="BU188" i="4"/>
  <c r="BV188" i="4"/>
  <c r="BW188" i="4"/>
  <c r="BX188" i="4"/>
  <c r="BY188" i="4"/>
  <c r="BZ188" i="4"/>
  <c r="CA188" i="4"/>
  <c r="BP189" i="4"/>
  <c r="BQ189" i="4"/>
  <c r="BR189" i="4"/>
  <c r="BS189" i="4"/>
  <c r="BT189" i="4"/>
  <c r="BU189" i="4"/>
  <c r="BV189" i="4"/>
  <c r="BW189" i="4"/>
  <c r="BX189" i="4"/>
  <c r="BY189" i="4"/>
  <c r="BZ189" i="4"/>
  <c r="CA189" i="4"/>
  <c r="BP190" i="4"/>
  <c r="BQ190" i="4"/>
  <c r="BR190" i="4"/>
  <c r="BS190" i="4"/>
  <c r="BT190" i="4"/>
  <c r="BU190" i="4"/>
  <c r="BV190" i="4"/>
  <c r="BW190" i="4"/>
  <c r="BX190" i="4"/>
  <c r="BY190" i="4"/>
  <c r="BZ190" i="4"/>
  <c r="CA190" i="4"/>
  <c r="BP191" i="4"/>
  <c r="BQ191" i="4"/>
  <c r="BR191" i="4"/>
  <c r="BS191" i="4"/>
  <c r="BT191" i="4"/>
  <c r="BU191" i="4"/>
  <c r="BV191" i="4"/>
  <c r="BW191" i="4"/>
  <c r="BX191" i="4"/>
  <c r="BY191" i="4"/>
  <c r="BZ191" i="4"/>
  <c r="CA191" i="4"/>
  <c r="BP192" i="4"/>
  <c r="BQ192" i="4"/>
  <c r="BR192" i="4"/>
  <c r="BS192" i="4"/>
  <c r="BT192" i="4"/>
  <c r="BU192" i="4"/>
  <c r="BV192" i="4"/>
  <c r="BW192" i="4"/>
  <c r="BX192" i="4"/>
  <c r="BY192" i="4"/>
  <c r="BZ192" i="4"/>
  <c r="CA192" i="4"/>
  <c r="BP193" i="4"/>
  <c r="BQ193" i="4"/>
  <c r="BR193" i="4"/>
  <c r="BS193" i="4"/>
  <c r="BT193" i="4"/>
  <c r="BU193" i="4"/>
  <c r="BV193" i="4"/>
  <c r="BW193" i="4"/>
  <c r="BX193" i="4"/>
  <c r="BY193" i="4"/>
  <c r="BZ193" i="4"/>
  <c r="CA193" i="4"/>
  <c r="BP194" i="4"/>
  <c r="BQ194" i="4"/>
  <c r="BR194" i="4"/>
  <c r="BS194" i="4"/>
  <c r="BT194" i="4"/>
  <c r="BU194" i="4"/>
  <c r="BV194" i="4"/>
  <c r="BW194" i="4"/>
  <c r="BX194" i="4"/>
  <c r="BY194" i="4"/>
  <c r="BZ194" i="4"/>
  <c r="CA194" i="4"/>
  <c r="BP195" i="4"/>
  <c r="BQ195" i="4"/>
  <c r="BR195" i="4"/>
  <c r="BS195" i="4"/>
  <c r="BT195" i="4"/>
  <c r="BU195" i="4"/>
  <c r="BV195" i="4"/>
  <c r="BW195" i="4"/>
  <c r="BX195" i="4"/>
  <c r="BY195" i="4"/>
  <c r="BZ195" i="4"/>
  <c r="CA195" i="4"/>
  <c r="BP196" i="4"/>
  <c r="BQ196" i="4"/>
  <c r="BR196" i="4"/>
  <c r="BS196" i="4"/>
  <c r="BT196" i="4"/>
  <c r="BU196" i="4"/>
  <c r="BV196" i="4"/>
  <c r="BW196" i="4"/>
  <c r="BX196" i="4"/>
  <c r="BY196" i="4"/>
  <c r="BZ196" i="4"/>
  <c r="CA196" i="4"/>
  <c r="BP197" i="4"/>
  <c r="BQ197" i="4"/>
  <c r="BR197" i="4"/>
  <c r="BS197" i="4"/>
  <c r="BT197" i="4"/>
  <c r="BU197" i="4"/>
  <c r="BV197" i="4"/>
  <c r="BW197" i="4"/>
  <c r="BX197" i="4"/>
  <c r="BY197" i="4"/>
  <c r="BZ197" i="4"/>
  <c r="CA197" i="4"/>
  <c r="BP198" i="4"/>
  <c r="BQ198" i="4"/>
  <c r="BR198" i="4"/>
  <c r="BS198" i="4"/>
  <c r="BT198" i="4"/>
  <c r="BU198" i="4"/>
  <c r="BV198" i="4"/>
  <c r="BW198" i="4"/>
  <c r="BX198" i="4"/>
  <c r="BY198" i="4"/>
  <c r="BZ198" i="4"/>
  <c r="CA198" i="4"/>
  <c r="BP199" i="4"/>
  <c r="BQ199" i="4"/>
  <c r="BR199" i="4"/>
  <c r="BS199" i="4"/>
  <c r="BT199" i="4"/>
  <c r="BU199" i="4"/>
  <c r="BV199" i="4"/>
  <c r="BW199" i="4"/>
  <c r="BX199" i="4"/>
  <c r="BY199" i="4"/>
  <c r="BZ199" i="4"/>
  <c r="CA199" i="4"/>
  <c r="BP200" i="4"/>
  <c r="BQ200" i="4"/>
  <c r="BR200" i="4"/>
  <c r="BS200" i="4"/>
  <c r="BT200" i="4"/>
  <c r="BU200" i="4"/>
  <c r="BV200" i="4"/>
  <c r="BW200" i="4"/>
  <c r="BX200" i="4"/>
  <c r="BY200" i="4"/>
  <c r="BZ200" i="4"/>
  <c r="CA200" i="4"/>
  <c r="BP201" i="4"/>
  <c r="BQ201" i="4"/>
  <c r="BR201" i="4"/>
  <c r="BS201" i="4"/>
  <c r="BT201" i="4"/>
  <c r="BU201" i="4"/>
  <c r="BV201" i="4"/>
  <c r="BW201" i="4"/>
  <c r="BX201" i="4"/>
  <c r="BY201" i="4"/>
  <c r="BZ201" i="4"/>
  <c r="CA201" i="4"/>
  <c r="BP202" i="4"/>
  <c r="BQ202" i="4"/>
  <c r="BR202" i="4"/>
  <c r="BS202" i="4"/>
  <c r="BT202" i="4"/>
  <c r="BU202" i="4"/>
  <c r="BV202" i="4"/>
  <c r="BW202" i="4"/>
  <c r="BX202" i="4"/>
  <c r="BY202" i="4"/>
  <c r="BZ202" i="4"/>
  <c r="CA202" i="4"/>
  <c r="BP203" i="4"/>
  <c r="BQ203" i="4"/>
  <c r="BR203" i="4"/>
  <c r="BS203" i="4"/>
  <c r="BT203" i="4"/>
  <c r="BU203" i="4"/>
  <c r="BV203" i="4"/>
  <c r="BW203" i="4"/>
  <c r="BX203" i="4"/>
  <c r="BY203" i="4"/>
  <c r="BZ203" i="4"/>
  <c r="CA203" i="4"/>
  <c r="BP204" i="4"/>
  <c r="BQ204" i="4"/>
  <c r="BR204" i="4"/>
  <c r="BS204" i="4"/>
  <c r="BT204" i="4"/>
  <c r="BU204" i="4"/>
  <c r="BV204" i="4"/>
  <c r="BW204" i="4"/>
  <c r="BX204" i="4"/>
  <c r="BY204" i="4"/>
  <c r="BZ204" i="4"/>
  <c r="CA204" i="4"/>
  <c r="BP205" i="4"/>
  <c r="BQ205" i="4"/>
  <c r="BR205" i="4"/>
  <c r="BS205" i="4"/>
  <c r="BT205" i="4"/>
  <c r="BU205" i="4"/>
  <c r="BV205" i="4"/>
  <c r="BW205" i="4"/>
  <c r="BX205" i="4"/>
  <c r="BY205" i="4"/>
  <c r="BZ205" i="4"/>
  <c r="CA205" i="4"/>
  <c r="BP206" i="4"/>
  <c r="BQ206" i="4"/>
  <c r="BR206" i="4"/>
  <c r="BS206" i="4"/>
  <c r="BT206" i="4"/>
  <c r="BU206" i="4"/>
  <c r="BV206" i="4"/>
  <c r="BW206" i="4"/>
  <c r="BX206" i="4"/>
  <c r="BY206" i="4"/>
  <c r="BZ206" i="4"/>
  <c r="CA206" i="4"/>
  <c r="BP207" i="4"/>
  <c r="BQ207" i="4"/>
  <c r="BR207" i="4"/>
  <c r="BS207" i="4"/>
  <c r="BT207" i="4"/>
  <c r="BU207" i="4"/>
  <c r="BV207" i="4"/>
  <c r="BW207" i="4"/>
  <c r="BX207" i="4"/>
  <c r="BY207" i="4"/>
  <c r="BZ207" i="4"/>
  <c r="CA207" i="4"/>
  <c r="BP208" i="4"/>
  <c r="BQ208" i="4"/>
  <c r="BR208" i="4"/>
  <c r="BS208" i="4"/>
  <c r="BT208" i="4"/>
  <c r="BU208" i="4"/>
  <c r="BV208" i="4"/>
  <c r="BW208" i="4"/>
  <c r="BX208" i="4"/>
  <c r="BY208" i="4"/>
  <c r="BZ208" i="4"/>
  <c r="CA208" i="4"/>
  <c r="BP209" i="4"/>
  <c r="BQ209" i="4"/>
  <c r="BR209" i="4"/>
  <c r="BS209" i="4"/>
  <c r="BT209" i="4"/>
  <c r="BU209" i="4"/>
  <c r="BV209" i="4"/>
  <c r="BW209" i="4"/>
  <c r="BX209" i="4"/>
  <c r="BY209" i="4"/>
  <c r="BZ209" i="4"/>
  <c r="CA209" i="4"/>
  <c r="BP210" i="4"/>
  <c r="BQ210" i="4"/>
  <c r="BR210" i="4"/>
  <c r="BS210" i="4"/>
  <c r="BT210" i="4"/>
  <c r="BU210" i="4"/>
  <c r="BV210" i="4"/>
  <c r="BW210" i="4"/>
  <c r="BX210" i="4"/>
  <c r="BY210" i="4"/>
  <c r="BZ210" i="4"/>
  <c r="CA210" i="4"/>
  <c r="BP211" i="4"/>
  <c r="BQ211" i="4"/>
  <c r="BR211" i="4"/>
  <c r="BS211" i="4"/>
  <c r="BT211" i="4"/>
  <c r="BU211" i="4"/>
  <c r="BV211" i="4"/>
  <c r="BW211" i="4"/>
  <c r="BX211" i="4"/>
  <c r="BY211" i="4"/>
  <c r="BZ211" i="4"/>
  <c r="CA211" i="4"/>
  <c r="BP212" i="4"/>
  <c r="BQ212" i="4"/>
  <c r="BR212" i="4"/>
  <c r="BS212" i="4"/>
  <c r="BT212" i="4"/>
  <c r="BU212" i="4"/>
  <c r="BV212" i="4"/>
  <c r="BW212" i="4"/>
  <c r="BX212" i="4"/>
  <c r="BY212" i="4"/>
  <c r="BZ212" i="4"/>
  <c r="CA212" i="4"/>
  <c r="BP213" i="4"/>
  <c r="BQ213" i="4"/>
  <c r="BR213" i="4"/>
  <c r="BS213" i="4"/>
  <c r="BT213" i="4"/>
  <c r="BU213" i="4"/>
  <c r="BV213" i="4"/>
  <c r="BW213" i="4"/>
  <c r="BX213" i="4"/>
  <c r="BY213" i="4"/>
  <c r="BZ213" i="4"/>
  <c r="CA213" i="4"/>
  <c r="BP214" i="4"/>
  <c r="BQ214" i="4"/>
  <c r="BR214" i="4"/>
  <c r="BS214" i="4"/>
  <c r="BT214" i="4"/>
  <c r="BU214" i="4"/>
  <c r="BV214" i="4"/>
  <c r="BW214" i="4"/>
  <c r="BX214" i="4"/>
  <c r="BY214" i="4"/>
  <c r="BZ214" i="4"/>
  <c r="CA214" i="4"/>
  <c r="BP215" i="4"/>
  <c r="BQ215" i="4"/>
  <c r="BR215" i="4"/>
  <c r="BS215" i="4"/>
  <c r="BT215" i="4"/>
  <c r="BU215" i="4"/>
  <c r="BV215" i="4"/>
  <c r="BW215" i="4"/>
  <c r="BX215" i="4"/>
  <c r="BY215" i="4"/>
  <c r="BZ215" i="4"/>
  <c r="CA215" i="4"/>
  <c r="BP216" i="4"/>
  <c r="BQ216" i="4"/>
  <c r="BR216" i="4"/>
  <c r="BS216" i="4"/>
  <c r="BT216" i="4"/>
  <c r="BU216" i="4"/>
  <c r="BV216" i="4"/>
  <c r="BW216" i="4"/>
  <c r="BX216" i="4"/>
  <c r="BY216" i="4"/>
  <c r="BZ216" i="4"/>
  <c r="CA216" i="4"/>
  <c r="BP217" i="4"/>
  <c r="BQ217" i="4"/>
  <c r="BR217" i="4"/>
  <c r="BS217" i="4"/>
  <c r="BT217" i="4"/>
  <c r="BU217" i="4"/>
  <c r="BV217" i="4"/>
  <c r="BW217" i="4"/>
  <c r="BX217" i="4"/>
  <c r="BY217" i="4"/>
  <c r="BZ217" i="4"/>
  <c r="CA217" i="4"/>
  <c r="BP218" i="4"/>
  <c r="BQ218" i="4"/>
  <c r="BR218" i="4"/>
  <c r="BS218" i="4"/>
  <c r="BT218" i="4"/>
  <c r="BU218" i="4"/>
  <c r="BV218" i="4"/>
  <c r="BW218" i="4"/>
  <c r="BX218" i="4"/>
  <c r="BY218" i="4"/>
  <c r="BZ218" i="4"/>
  <c r="CA218" i="4"/>
  <c r="BP219" i="4"/>
  <c r="BQ219" i="4"/>
  <c r="BR219" i="4"/>
  <c r="BS219" i="4"/>
  <c r="BT219" i="4"/>
  <c r="BU219" i="4"/>
  <c r="BV219" i="4"/>
  <c r="BW219" i="4"/>
  <c r="BX219" i="4"/>
  <c r="BY219" i="4"/>
  <c r="BZ219" i="4"/>
  <c r="CA219" i="4"/>
  <c r="BP220" i="4"/>
  <c r="BQ220" i="4"/>
  <c r="BR220" i="4"/>
  <c r="BS220" i="4"/>
  <c r="BT220" i="4"/>
  <c r="BU220" i="4"/>
  <c r="BV220" i="4"/>
  <c r="BW220" i="4"/>
  <c r="BX220" i="4"/>
  <c r="BY220" i="4"/>
  <c r="BZ220" i="4"/>
  <c r="CA220" i="4"/>
  <c r="BP221" i="4"/>
  <c r="BQ221" i="4"/>
  <c r="BR221" i="4"/>
  <c r="BS221" i="4"/>
  <c r="BT221" i="4"/>
  <c r="BU221" i="4"/>
  <c r="BV221" i="4"/>
  <c r="BW221" i="4"/>
  <c r="BX221" i="4"/>
  <c r="BY221" i="4"/>
  <c r="BZ221" i="4"/>
  <c r="CA221" i="4"/>
  <c r="BP222" i="4"/>
  <c r="BQ222" i="4"/>
  <c r="BR222" i="4"/>
  <c r="BS222" i="4"/>
  <c r="BT222" i="4"/>
  <c r="BU222" i="4"/>
  <c r="BV222" i="4"/>
  <c r="BW222" i="4"/>
  <c r="BX222" i="4"/>
  <c r="BY222" i="4"/>
  <c r="BZ222" i="4"/>
  <c r="CA222" i="4"/>
  <c r="BP223" i="4"/>
  <c r="BQ223" i="4"/>
  <c r="BR223" i="4"/>
  <c r="BS223" i="4"/>
  <c r="BT223" i="4"/>
  <c r="BU223" i="4"/>
  <c r="BV223" i="4"/>
  <c r="BW223" i="4"/>
  <c r="BX223" i="4"/>
  <c r="BY223" i="4"/>
  <c r="BZ223" i="4"/>
  <c r="CA223" i="4"/>
  <c r="BP224" i="4"/>
  <c r="BQ224" i="4"/>
  <c r="BR224" i="4"/>
  <c r="BS224" i="4"/>
  <c r="BT224" i="4"/>
  <c r="BU224" i="4"/>
  <c r="BV224" i="4"/>
  <c r="BW224" i="4"/>
  <c r="BX224" i="4"/>
  <c r="BY224" i="4"/>
  <c r="BZ224" i="4"/>
  <c r="CA224" i="4"/>
  <c r="BP225" i="4"/>
  <c r="BQ225" i="4"/>
  <c r="BR225" i="4"/>
  <c r="BS225" i="4"/>
  <c r="BT225" i="4"/>
  <c r="BU225" i="4"/>
  <c r="BV225" i="4"/>
  <c r="BW225" i="4"/>
  <c r="BX225" i="4"/>
  <c r="BY225" i="4"/>
  <c r="BZ225" i="4"/>
  <c r="CA225" i="4"/>
  <c r="BP226" i="4"/>
  <c r="BQ226" i="4"/>
  <c r="BR226" i="4"/>
  <c r="BS226" i="4"/>
  <c r="BT226" i="4"/>
  <c r="BU226" i="4"/>
  <c r="BV226" i="4"/>
  <c r="BW226" i="4"/>
  <c r="BX226" i="4"/>
  <c r="BY226" i="4"/>
  <c r="BZ226" i="4"/>
  <c r="CA226" i="4"/>
  <c r="BP227" i="4"/>
  <c r="BQ227" i="4"/>
  <c r="BR227" i="4"/>
  <c r="BS227" i="4"/>
  <c r="BT227" i="4"/>
  <c r="BU227" i="4"/>
  <c r="BV227" i="4"/>
  <c r="BW227" i="4"/>
  <c r="BX227" i="4"/>
  <c r="BY227" i="4"/>
  <c r="BZ227" i="4"/>
  <c r="CA227" i="4"/>
  <c r="BP228" i="4"/>
  <c r="BQ228" i="4"/>
  <c r="BR228" i="4"/>
  <c r="BS228" i="4"/>
  <c r="BT228" i="4"/>
  <c r="BU228" i="4"/>
  <c r="BV228" i="4"/>
  <c r="BW228" i="4"/>
  <c r="BX228" i="4"/>
  <c r="BY228" i="4"/>
  <c r="BZ228" i="4"/>
  <c r="CA228" i="4"/>
  <c r="BP229" i="4"/>
  <c r="BQ229" i="4"/>
  <c r="BR229" i="4"/>
  <c r="BS229" i="4"/>
  <c r="BT229" i="4"/>
  <c r="BU229" i="4"/>
  <c r="BV229" i="4"/>
  <c r="BW229" i="4"/>
  <c r="BX229" i="4"/>
  <c r="BY229" i="4"/>
  <c r="BZ229" i="4"/>
  <c r="CA229" i="4"/>
  <c r="BP230" i="4"/>
  <c r="BQ230" i="4"/>
  <c r="BR230" i="4"/>
  <c r="BS230" i="4"/>
  <c r="BT230" i="4"/>
  <c r="BU230" i="4"/>
  <c r="BV230" i="4"/>
  <c r="BW230" i="4"/>
  <c r="BX230" i="4"/>
  <c r="BY230" i="4"/>
  <c r="BZ230" i="4"/>
  <c r="CA230" i="4"/>
  <c r="BP231" i="4"/>
  <c r="BQ231" i="4"/>
  <c r="BR231" i="4"/>
  <c r="BS231" i="4"/>
  <c r="BT231" i="4"/>
  <c r="BU231" i="4"/>
  <c r="BV231" i="4"/>
  <c r="BW231" i="4"/>
  <c r="BX231" i="4"/>
  <c r="BY231" i="4"/>
  <c r="BZ231" i="4"/>
  <c r="CA231" i="4"/>
  <c r="BP232" i="4"/>
  <c r="BQ232" i="4"/>
  <c r="BR232" i="4"/>
  <c r="BS232" i="4"/>
  <c r="BT232" i="4"/>
  <c r="BU232" i="4"/>
  <c r="BV232" i="4"/>
  <c r="BW232" i="4"/>
  <c r="BX232" i="4"/>
  <c r="BY232" i="4"/>
  <c r="BZ232" i="4"/>
  <c r="CA232" i="4"/>
  <c r="BP233" i="4"/>
  <c r="BQ233" i="4"/>
  <c r="BR233" i="4"/>
  <c r="BS233" i="4"/>
  <c r="BT233" i="4"/>
  <c r="BU233" i="4"/>
  <c r="BV233" i="4"/>
  <c r="BW233" i="4"/>
  <c r="BX233" i="4"/>
  <c r="BY233" i="4"/>
  <c r="BZ233" i="4"/>
  <c r="CA233" i="4"/>
  <c r="BP234" i="4"/>
  <c r="BQ234" i="4"/>
  <c r="BR234" i="4"/>
  <c r="BS234" i="4"/>
  <c r="BT234" i="4"/>
  <c r="BU234" i="4"/>
  <c r="BV234" i="4"/>
  <c r="BW234" i="4"/>
  <c r="BX234" i="4"/>
  <c r="BY234" i="4"/>
  <c r="BZ234" i="4"/>
  <c r="CA234" i="4"/>
  <c r="BP235" i="4"/>
  <c r="BQ235" i="4"/>
  <c r="BR235" i="4"/>
  <c r="BS235" i="4"/>
  <c r="BT235" i="4"/>
  <c r="BU235" i="4"/>
  <c r="BV235" i="4"/>
  <c r="BW235" i="4"/>
  <c r="BX235" i="4"/>
  <c r="BY235" i="4"/>
  <c r="BZ235" i="4"/>
  <c r="CA235" i="4"/>
  <c r="BP236" i="4"/>
  <c r="BQ236" i="4"/>
  <c r="BR236" i="4"/>
  <c r="BS236" i="4"/>
  <c r="BT236" i="4"/>
  <c r="BU236" i="4"/>
  <c r="BV236" i="4"/>
  <c r="BW236" i="4"/>
  <c r="BX236" i="4"/>
  <c r="BY236" i="4"/>
  <c r="BZ236" i="4"/>
  <c r="CA236" i="4"/>
  <c r="BP237" i="4"/>
  <c r="BQ237" i="4"/>
  <c r="BR237" i="4"/>
  <c r="BS237" i="4"/>
  <c r="BT237" i="4"/>
  <c r="BU237" i="4"/>
  <c r="BV237" i="4"/>
  <c r="BW237" i="4"/>
  <c r="BX237" i="4"/>
  <c r="BY237" i="4"/>
  <c r="BZ237" i="4"/>
  <c r="CA237" i="4"/>
  <c r="BP238" i="4"/>
  <c r="BQ238" i="4"/>
  <c r="BR238" i="4"/>
  <c r="BS238" i="4"/>
  <c r="BT238" i="4"/>
  <c r="BU238" i="4"/>
  <c r="BV238" i="4"/>
  <c r="BW238" i="4"/>
  <c r="BX238" i="4"/>
  <c r="BY238" i="4"/>
  <c r="BZ238" i="4"/>
  <c r="CA238" i="4"/>
  <c r="BP239" i="4"/>
  <c r="BQ239" i="4"/>
  <c r="BR239" i="4"/>
  <c r="BS239" i="4"/>
  <c r="BT239" i="4"/>
  <c r="BU239" i="4"/>
  <c r="BV239" i="4"/>
  <c r="BW239" i="4"/>
  <c r="BX239" i="4"/>
  <c r="BY239" i="4"/>
  <c r="BZ239" i="4"/>
  <c r="CA239" i="4"/>
  <c r="BP240" i="4"/>
  <c r="BQ240" i="4"/>
  <c r="BR240" i="4"/>
  <c r="BS240" i="4"/>
  <c r="BT240" i="4"/>
  <c r="BU240" i="4"/>
  <c r="BV240" i="4"/>
  <c r="BW240" i="4"/>
  <c r="BX240" i="4"/>
  <c r="BY240" i="4"/>
  <c r="BZ240" i="4"/>
  <c r="CA240" i="4"/>
  <c r="BP241" i="4"/>
  <c r="BQ241" i="4"/>
  <c r="BR241" i="4"/>
  <c r="BS241" i="4"/>
  <c r="BT241" i="4"/>
  <c r="BU241" i="4"/>
  <c r="BV241" i="4"/>
  <c r="BW241" i="4"/>
  <c r="BX241" i="4"/>
  <c r="BY241" i="4"/>
  <c r="BZ241" i="4"/>
  <c r="CA241" i="4"/>
  <c r="BP242" i="4"/>
  <c r="BQ242" i="4"/>
  <c r="BR242" i="4"/>
  <c r="BS242" i="4"/>
  <c r="BT242" i="4"/>
  <c r="BU242" i="4"/>
  <c r="BV242" i="4"/>
  <c r="BW242" i="4"/>
  <c r="BX242" i="4"/>
  <c r="BY242" i="4"/>
  <c r="BZ242" i="4"/>
  <c r="CA242" i="4"/>
  <c r="BP243" i="4"/>
  <c r="BQ243" i="4"/>
  <c r="BR243" i="4"/>
  <c r="BS243" i="4"/>
  <c r="BT243" i="4"/>
  <c r="BU243" i="4"/>
  <c r="BV243" i="4"/>
  <c r="BW243" i="4"/>
  <c r="BX243" i="4"/>
  <c r="BY243" i="4"/>
  <c r="BZ243" i="4"/>
  <c r="CA243" i="4"/>
  <c r="BP244" i="4"/>
  <c r="BQ244" i="4"/>
  <c r="BR244" i="4"/>
  <c r="BS244" i="4"/>
  <c r="BT244" i="4"/>
  <c r="BU244" i="4"/>
  <c r="BV244" i="4"/>
  <c r="BW244" i="4"/>
  <c r="BX244" i="4"/>
  <c r="BY244" i="4"/>
  <c r="BZ244" i="4"/>
  <c r="CA244" i="4"/>
  <c r="BP245" i="4"/>
  <c r="BQ245" i="4"/>
  <c r="BR245" i="4"/>
  <c r="BS245" i="4"/>
  <c r="BT245" i="4"/>
  <c r="BU245" i="4"/>
  <c r="BV245" i="4"/>
  <c r="BW245" i="4"/>
  <c r="BX245" i="4"/>
  <c r="BY245" i="4"/>
  <c r="BZ245" i="4"/>
  <c r="CA245" i="4"/>
  <c r="BP246" i="4"/>
  <c r="BQ246" i="4"/>
  <c r="BR246" i="4"/>
  <c r="BS246" i="4"/>
  <c r="BT246" i="4"/>
  <c r="BU246" i="4"/>
  <c r="BV246" i="4"/>
  <c r="BW246" i="4"/>
  <c r="BX246" i="4"/>
  <c r="BY246" i="4"/>
  <c r="BZ246" i="4"/>
  <c r="CA246" i="4"/>
  <c r="BP247" i="4"/>
  <c r="BQ247" i="4"/>
  <c r="BR247" i="4"/>
  <c r="BS247" i="4"/>
  <c r="BT247" i="4"/>
  <c r="BU247" i="4"/>
  <c r="BV247" i="4"/>
  <c r="BW247" i="4"/>
  <c r="BX247" i="4"/>
  <c r="BY247" i="4"/>
  <c r="BZ247" i="4"/>
  <c r="CA247" i="4"/>
  <c r="BP248" i="4"/>
  <c r="BQ248" i="4"/>
  <c r="BR248" i="4"/>
  <c r="BS248" i="4"/>
  <c r="BT248" i="4"/>
  <c r="BU248" i="4"/>
  <c r="BV248" i="4"/>
  <c r="BW248" i="4"/>
  <c r="BX248" i="4"/>
  <c r="BY248" i="4"/>
  <c r="BZ248" i="4"/>
  <c r="CA248" i="4"/>
  <c r="BP249" i="4"/>
  <c r="BQ249" i="4"/>
  <c r="BR249" i="4"/>
  <c r="BS249" i="4"/>
  <c r="BT249" i="4"/>
  <c r="BU249" i="4"/>
  <c r="BV249" i="4"/>
  <c r="BW249" i="4"/>
  <c r="BX249" i="4"/>
  <c r="BY249" i="4"/>
  <c r="BZ249" i="4"/>
  <c r="CA249" i="4"/>
  <c r="BP250" i="4"/>
  <c r="BQ250" i="4"/>
  <c r="BR250" i="4"/>
  <c r="BS250" i="4"/>
  <c r="BT250" i="4"/>
  <c r="BU250" i="4"/>
  <c r="BV250" i="4"/>
  <c r="BW250" i="4"/>
  <c r="BX250" i="4"/>
  <c r="BY250" i="4"/>
  <c r="BZ250" i="4"/>
  <c r="CA250" i="4"/>
  <c r="BP251" i="4"/>
  <c r="BQ251" i="4"/>
  <c r="BR251" i="4"/>
  <c r="BS251" i="4"/>
  <c r="BT251" i="4"/>
  <c r="BU251" i="4"/>
  <c r="BV251" i="4"/>
  <c r="BW251" i="4"/>
  <c r="BX251" i="4"/>
  <c r="BY251" i="4"/>
  <c r="BZ251" i="4"/>
  <c r="CA251" i="4"/>
  <c r="BP252" i="4"/>
  <c r="BQ252" i="4"/>
  <c r="BR252" i="4"/>
  <c r="BS252" i="4"/>
  <c r="BT252" i="4"/>
  <c r="BU252" i="4"/>
  <c r="BV252" i="4"/>
  <c r="BW252" i="4"/>
  <c r="BX252" i="4"/>
  <c r="BY252" i="4"/>
  <c r="BZ252" i="4"/>
  <c r="CA252" i="4"/>
  <c r="BP253" i="4"/>
  <c r="BQ253" i="4"/>
  <c r="BR253" i="4"/>
  <c r="BS253" i="4"/>
  <c r="BT253" i="4"/>
  <c r="BU253" i="4"/>
  <c r="BV253" i="4"/>
  <c r="BW253" i="4"/>
  <c r="BX253" i="4"/>
  <c r="BY253" i="4"/>
  <c r="BZ253" i="4"/>
  <c r="CA253" i="4"/>
  <c r="BP254" i="4"/>
  <c r="BQ254" i="4"/>
  <c r="BR254" i="4"/>
  <c r="BS254" i="4"/>
  <c r="BT254" i="4"/>
  <c r="BU254" i="4"/>
  <c r="BV254" i="4"/>
  <c r="BW254" i="4"/>
  <c r="BX254" i="4"/>
  <c r="BY254" i="4"/>
  <c r="BZ254" i="4"/>
  <c r="CA254" i="4"/>
  <c r="BP255" i="4"/>
  <c r="BQ255" i="4"/>
  <c r="BR255" i="4"/>
  <c r="BS255" i="4"/>
  <c r="BT255" i="4"/>
  <c r="BU255" i="4"/>
  <c r="BV255" i="4"/>
  <c r="BW255" i="4"/>
  <c r="BX255" i="4"/>
  <c r="BY255" i="4"/>
  <c r="BZ255" i="4"/>
  <c r="CA255" i="4"/>
  <c r="BP256" i="4"/>
  <c r="BQ256" i="4"/>
  <c r="BR256" i="4"/>
  <c r="BS256" i="4"/>
  <c r="BT256" i="4"/>
  <c r="BU256" i="4"/>
  <c r="BV256" i="4"/>
  <c r="BW256" i="4"/>
  <c r="BX256" i="4"/>
  <c r="BY256" i="4"/>
  <c r="BZ256" i="4"/>
  <c r="CA256" i="4"/>
  <c r="BP257" i="4"/>
  <c r="BQ257" i="4"/>
  <c r="BR257" i="4"/>
  <c r="BS257" i="4"/>
  <c r="BT257" i="4"/>
  <c r="BU257" i="4"/>
  <c r="BV257" i="4"/>
  <c r="BW257" i="4"/>
  <c r="BX257" i="4"/>
  <c r="BY257" i="4"/>
  <c r="BZ257" i="4"/>
  <c r="CA257" i="4"/>
  <c r="BP258" i="4"/>
  <c r="BQ258" i="4"/>
  <c r="BR258" i="4"/>
  <c r="BS258" i="4"/>
  <c r="BT258" i="4"/>
  <c r="BU258" i="4"/>
  <c r="BV258" i="4"/>
  <c r="BW258" i="4"/>
  <c r="BX258" i="4"/>
  <c r="BY258" i="4"/>
  <c r="BZ258" i="4"/>
  <c r="CA258" i="4"/>
  <c r="BP259" i="4"/>
  <c r="BQ259" i="4"/>
  <c r="BR259" i="4"/>
  <c r="BS259" i="4"/>
  <c r="BT259" i="4"/>
  <c r="BU259" i="4"/>
  <c r="BV259" i="4"/>
  <c r="BW259" i="4"/>
  <c r="BX259" i="4"/>
  <c r="BY259" i="4"/>
  <c r="BZ259" i="4"/>
  <c r="CA259" i="4"/>
  <c r="BP260" i="4"/>
  <c r="BQ260" i="4"/>
  <c r="BR260" i="4"/>
  <c r="BS260" i="4"/>
  <c r="BT260" i="4"/>
  <c r="BU260" i="4"/>
  <c r="BV260" i="4"/>
  <c r="BW260" i="4"/>
  <c r="BX260" i="4"/>
  <c r="BY260" i="4"/>
  <c r="BZ260" i="4"/>
  <c r="CA260" i="4"/>
  <c r="BP261" i="4"/>
  <c r="BQ261" i="4"/>
  <c r="BR261" i="4"/>
  <c r="BS261" i="4"/>
  <c r="BT261" i="4"/>
  <c r="BU261" i="4"/>
  <c r="BV261" i="4"/>
  <c r="BW261" i="4"/>
  <c r="BX261" i="4"/>
  <c r="BY261" i="4"/>
  <c r="BZ261" i="4"/>
  <c r="CA261" i="4"/>
  <c r="BP262" i="4"/>
  <c r="BQ262" i="4"/>
  <c r="BR262" i="4"/>
  <c r="BS262" i="4"/>
  <c r="BT262" i="4"/>
  <c r="BU262" i="4"/>
  <c r="BV262" i="4"/>
  <c r="BW262" i="4"/>
  <c r="BX262" i="4"/>
  <c r="BY262" i="4"/>
  <c r="BZ262" i="4"/>
  <c r="CA262" i="4"/>
  <c r="BP263" i="4"/>
  <c r="BQ263" i="4"/>
  <c r="BR263" i="4"/>
  <c r="BS263" i="4"/>
  <c r="BT263" i="4"/>
  <c r="BU263" i="4"/>
  <c r="BV263" i="4"/>
  <c r="BW263" i="4"/>
  <c r="BX263" i="4"/>
  <c r="BY263" i="4"/>
  <c r="BZ263" i="4"/>
  <c r="CA263" i="4"/>
  <c r="BP264" i="4"/>
  <c r="BQ264" i="4"/>
  <c r="BR264" i="4"/>
  <c r="BS264" i="4"/>
  <c r="BT264" i="4"/>
  <c r="BU264" i="4"/>
  <c r="BV264" i="4"/>
  <c r="BW264" i="4"/>
  <c r="BX264" i="4"/>
  <c r="BY264" i="4"/>
  <c r="BZ264" i="4"/>
  <c r="CA264" i="4"/>
  <c r="BP265" i="4"/>
  <c r="BQ265" i="4"/>
  <c r="BR265" i="4"/>
  <c r="BS265" i="4"/>
  <c r="BT265" i="4"/>
  <c r="BU265" i="4"/>
  <c r="BV265" i="4"/>
  <c r="BW265" i="4"/>
  <c r="BX265" i="4"/>
  <c r="BY265" i="4"/>
  <c r="BZ265" i="4"/>
  <c r="CA265" i="4"/>
  <c r="BP266" i="4"/>
  <c r="BQ266" i="4"/>
  <c r="BR266" i="4"/>
  <c r="BS266" i="4"/>
  <c r="BT266" i="4"/>
  <c r="BU266" i="4"/>
  <c r="BV266" i="4"/>
  <c r="BW266" i="4"/>
  <c r="BX266" i="4"/>
  <c r="BY266" i="4"/>
  <c r="BZ266" i="4"/>
  <c r="CA266" i="4"/>
  <c r="BP267" i="4"/>
  <c r="BQ267" i="4"/>
  <c r="BR267" i="4"/>
  <c r="BS267" i="4"/>
  <c r="BT267" i="4"/>
  <c r="BU267" i="4"/>
  <c r="BV267" i="4"/>
  <c r="BW267" i="4"/>
  <c r="BX267" i="4"/>
  <c r="BY267" i="4"/>
  <c r="BZ267" i="4"/>
  <c r="CA267" i="4"/>
  <c r="BP268" i="4"/>
  <c r="BQ268" i="4"/>
  <c r="BR268" i="4"/>
  <c r="BS268" i="4"/>
  <c r="BT268" i="4"/>
  <c r="BU268" i="4"/>
  <c r="BV268" i="4"/>
  <c r="BW268" i="4"/>
  <c r="BX268" i="4"/>
  <c r="BY268" i="4"/>
  <c r="BZ268" i="4"/>
  <c r="CA268" i="4"/>
  <c r="BP269" i="4"/>
  <c r="BQ269" i="4"/>
  <c r="BR269" i="4"/>
  <c r="BS269" i="4"/>
  <c r="BT269" i="4"/>
  <c r="BU269" i="4"/>
  <c r="BV269" i="4"/>
  <c r="BW269" i="4"/>
  <c r="BX269" i="4"/>
  <c r="BY269" i="4"/>
  <c r="BZ269" i="4"/>
  <c r="CA269" i="4"/>
  <c r="BP270" i="4"/>
  <c r="BQ270" i="4"/>
  <c r="BR270" i="4"/>
  <c r="BS270" i="4"/>
  <c r="BT270" i="4"/>
  <c r="BU270" i="4"/>
  <c r="BV270" i="4"/>
  <c r="BW270" i="4"/>
  <c r="BX270" i="4"/>
  <c r="BY270" i="4"/>
  <c r="BZ270" i="4"/>
  <c r="CA270" i="4"/>
  <c r="BP271" i="4"/>
  <c r="BQ271" i="4"/>
  <c r="BR271" i="4"/>
  <c r="BS271" i="4"/>
  <c r="BT271" i="4"/>
  <c r="BU271" i="4"/>
  <c r="BV271" i="4"/>
  <c r="BW271" i="4"/>
  <c r="BX271" i="4"/>
  <c r="BY271" i="4"/>
  <c r="BZ271" i="4"/>
  <c r="CA271" i="4"/>
  <c r="BP272" i="4"/>
  <c r="BQ272" i="4"/>
  <c r="BR272" i="4"/>
  <c r="BS272" i="4"/>
  <c r="BT272" i="4"/>
  <c r="BU272" i="4"/>
  <c r="BV272" i="4"/>
  <c r="BW272" i="4"/>
  <c r="BX272" i="4"/>
  <c r="BY272" i="4"/>
  <c r="BZ272" i="4"/>
  <c r="CA272" i="4"/>
  <c r="BP273" i="4"/>
  <c r="BQ273" i="4"/>
  <c r="BR273" i="4"/>
  <c r="BS273" i="4"/>
  <c r="BT273" i="4"/>
  <c r="BU273" i="4"/>
  <c r="BV273" i="4"/>
  <c r="BW273" i="4"/>
  <c r="BX273" i="4"/>
  <c r="BY273" i="4"/>
  <c r="BZ273" i="4"/>
  <c r="CA273" i="4"/>
  <c r="BP274" i="4"/>
  <c r="BQ274" i="4"/>
  <c r="BR274" i="4"/>
  <c r="BS274" i="4"/>
  <c r="BT274" i="4"/>
  <c r="BU274" i="4"/>
  <c r="BV274" i="4"/>
  <c r="BW274" i="4"/>
  <c r="BX274" i="4"/>
  <c r="BY274" i="4"/>
  <c r="BZ274" i="4"/>
  <c r="CA274" i="4"/>
  <c r="BP275" i="4"/>
  <c r="BQ275" i="4"/>
  <c r="BR275" i="4"/>
  <c r="BS275" i="4"/>
  <c r="BT275" i="4"/>
  <c r="BU275" i="4"/>
  <c r="BV275" i="4"/>
  <c r="BW275" i="4"/>
  <c r="BX275" i="4"/>
  <c r="BY275" i="4"/>
  <c r="BZ275" i="4"/>
  <c r="CA275" i="4"/>
  <c r="BP276" i="4"/>
  <c r="BQ276" i="4"/>
  <c r="BR276" i="4"/>
  <c r="BS276" i="4"/>
  <c r="BT276" i="4"/>
  <c r="BU276" i="4"/>
  <c r="BV276" i="4"/>
  <c r="BW276" i="4"/>
  <c r="BX276" i="4"/>
  <c r="BY276" i="4"/>
  <c r="BZ276" i="4"/>
  <c r="CA276" i="4"/>
  <c r="BP277" i="4"/>
  <c r="BQ277" i="4"/>
  <c r="BR277" i="4"/>
  <c r="BS277" i="4"/>
  <c r="BT277" i="4"/>
  <c r="BU277" i="4"/>
  <c r="BV277" i="4"/>
  <c r="BW277" i="4"/>
  <c r="BX277" i="4"/>
  <c r="BY277" i="4"/>
  <c r="BZ277" i="4"/>
  <c r="CA277" i="4"/>
  <c r="BP278" i="4"/>
  <c r="BQ278" i="4"/>
  <c r="BR278" i="4"/>
  <c r="BS278" i="4"/>
  <c r="BT278" i="4"/>
  <c r="BU278" i="4"/>
  <c r="BV278" i="4"/>
  <c r="BW278" i="4"/>
  <c r="BX278" i="4"/>
  <c r="BY278" i="4"/>
  <c r="BZ278" i="4"/>
  <c r="CA278" i="4"/>
  <c r="BP279" i="4"/>
  <c r="BQ279" i="4"/>
  <c r="BR279" i="4"/>
  <c r="BS279" i="4"/>
  <c r="BT279" i="4"/>
  <c r="BU279" i="4"/>
  <c r="BV279" i="4"/>
  <c r="BW279" i="4"/>
  <c r="BX279" i="4"/>
  <c r="BY279" i="4"/>
  <c r="BZ279" i="4"/>
  <c r="CA279" i="4"/>
  <c r="BP280" i="4"/>
  <c r="BQ280" i="4"/>
  <c r="BR280" i="4"/>
  <c r="BS280" i="4"/>
  <c r="BT280" i="4"/>
  <c r="BU280" i="4"/>
  <c r="BV280" i="4"/>
  <c r="BW280" i="4"/>
  <c r="BX280" i="4"/>
  <c r="BY280" i="4"/>
  <c r="BZ280" i="4"/>
  <c r="CA280" i="4"/>
  <c r="BP281" i="4"/>
  <c r="BQ281" i="4"/>
  <c r="BR281" i="4"/>
  <c r="BS281" i="4"/>
  <c r="BT281" i="4"/>
  <c r="BU281" i="4"/>
  <c r="BV281" i="4"/>
  <c r="BW281" i="4"/>
  <c r="BX281" i="4"/>
  <c r="BY281" i="4"/>
  <c r="BZ281" i="4"/>
  <c r="CA281" i="4"/>
  <c r="BP282" i="4"/>
  <c r="BQ282" i="4"/>
  <c r="BR282" i="4"/>
  <c r="BS282" i="4"/>
  <c r="BT282" i="4"/>
  <c r="BU282" i="4"/>
  <c r="BV282" i="4"/>
  <c r="BW282" i="4"/>
  <c r="BX282" i="4"/>
  <c r="BY282" i="4"/>
  <c r="BZ282" i="4"/>
  <c r="CA282" i="4"/>
  <c r="BP283" i="4"/>
  <c r="BQ283" i="4"/>
  <c r="BR283" i="4"/>
  <c r="BS283" i="4"/>
  <c r="BT283" i="4"/>
  <c r="BU283" i="4"/>
  <c r="BV283" i="4"/>
  <c r="BW283" i="4"/>
  <c r="BX283" i="4"/>
  <c r="BY283" i="4"/>
  <c r="BZ283" i="4"/>
  <c r="CA283" i="4"/>
  <c r="BP284" i="4"/>
  <c r="BQ284" i="4"/>
  <c r="BR284" i="4"/>
  <c r="BS284" i="4"/>
  <c r="BT284" i="4"/>
  <c r="BU284" i="4"/>
  <c r="BV284" i="4"/>
  <c r="BW284" i="4"/>
  <c r="BX284" i="4"/>
  <c r="BY284" i="4"/>
  <c r="BZ284" i="4"/>
  <c r="CA284" i="4"/>
  <c r="BP285" i="4"/>
  <c r="BQ285" i="4"/>
  <c r="BR285" i="4"/>
  <c r="BS285" i="4"/>
  <c r="BT285" i="4"/>
  <c r="BU285" i="4"/>
  <c r="BV285" i="4"/>
  <c r="BW285" i="4"/>
  <c r="BX285" i="4"/>
  <c r="BY285" i="4"/>
  <c r="BZ285" i="4"/>
  <c r="CA285" i="4"/>
  <c r="BP286" i="4"/>
  <c r="BQ286" i="4"/>
  <c r="BR286" i="4"/>
  <c r="BS286" i="4"/>
  <c r="BT286" i="4"/>
  <c r="BU286" i="4"/>
  <c r="BV286" i="4"/>
  <c r="BW286" i="4"/>
  <c r="BX286" i="4"/>
  <c r="BY286" i="4"/>
  <c r="BZ286" i="4"/>
  <c r="CA286" i="4"/>
  <c r="BP287" i="4"/>
  <c r="BQ287" i="4"/>
  <c r="BR287" i="4"/>
  <c r="BS287" i="4"/>
  <c r="BT287" i="4"/>
  <c r="BU287" i="4"/>
  <c r="BV287" i="4"/>
  <c r="BW287" i="4"/>
  <c r="BX287" i="4"/>
  <c r="BY287" i="4"/>
  <c r="BZ287" i="4"/>
  <c r="CA287" i="4"/>
  <c r="BP288" i="4"/>
  <c r="BQ288" i="4"/>
  <c r="BR288" i="4"/>
  <c r="BS288" i="4"/>
  <c r="BT288" i="4"/>
  <c r="BU288" i="4"/>
  <c r="BV288" i="4"/>
  <c r="BW288" i="4"/>
  <c r="BX288" i="4"/>
  <c r="BY288" i="4"/>
  <c r="BZ288" i="4"/>
  <c r="CA288" i="4"/>
  <c r="BP289" i="4"/>
  <c r="BQ289" i="4"/>
  <c r="BR289" i="4"/>
  <c r="BS289" i="4"/>
  <c r="BT289" i="4"/>
  <c r="BU289" i="4"/>
  <c r="BV289" i="4"/>
  <c r="BW289" i="4"/>
  <c r="BX289" i="4"/>
  <c r="BY289" i="4"/>
  <c r="BZ289" i="4"/>
  <c r="CA289" i="4"/>
  <c r="BP290" i="4"/>
  <c r="BQ290" i="4"/>
  <c r="BR290" i="4"/>
  <c r="BS290" i="4"/>
  <c r="BT290" i="4"/>
  <c r="BU290" i="4"/>
  <c r="BV290" i="4"/>
  <c r="BW290" i="4"/>
  <c r="BX290" i="4"/>
  <c r="BY290" i="4"/>
  <c r="BZ290" i="4"/>
  <c r="CA290" i="4"/>
  <c r="BP291" i="4"/>
  <c r="BQ291" i="4"/>
  <c r="BR291" i="4"/>
  <c r="BS291" i="4"/>
  <c r="BT291" i="4"/>
  <c r="BU291" i="4"/>
  <c r="BV291" i="4"/>
  <c r="BW291" i="4"/>
  <c r="BX291" i="4"/>
  <c r="BY291" i="4"/>
  <c r="BZ291" i="4"/>
  <c r="CA291" i="4"/>
  <c r="BP292" i="4"/>
  <c r="BQ292" i="4"/>
  <c r="BR292" i="4"/>
  <c r="BS292" i="4"/>
  <c r="BT292" i="4"/>
  <c r="BU292" i="4"/>
  <c r="BV292" i="4"/>
  <c r="BW292" i="4"/>
  <c r="BX292" i="4"/>
  <c r="BY292" i="4"/>
  <c r="BZ292" i="4"/>
  <c r="CA292" i="4"/>
  <c r="BP293" i="4"/>
  <c r="BQ293" i="4"/>
  <c r="BR293" i="4"/>
  <c r="BS293" i="4"/>
  <c r="BT293" i="4"/>
  <c r="BU293" i="4"/>
  <c r="BV293" i="4"/>
  <c r="BW293" i="4"/>
  <c r="BX293" i="4"/>
  <c r="BY293" i="4"/>
  <c r="BZ293" i="4"/>
  <c r="CA293" i="4"/>
  <c r="BP294" i="4"/>
  <c r="BQ294" i="4"/>
  <c r="BR294" i="4"/>
  <c r="BS294" i="4"/>
  <c r="BT294" i="4"/>
  <c r="BU294" i="4"/>
  <c r="BV294" i="4"/>
  <c r="BW294" i="4"/>
  <c r="BX294" i="4"/>
  <c r="BY294" i="4"/>
  <c r="BZ294" i="4"/>
  <c r="CA294" i="4"/>
  <c r="BP295" i="4"/>
  <c r="BQ295" i="4"/>
  <c r="BR295" i="4"/>
  <c r="BS295" i="4"/>
  <c r="BT295" i="4"/>
  <c r="BU295" i="4"/>
  <c r="BV295" i="4"/>
  <c r="BW295" i="4"/>
  <c r="BX295" i="4"/>
  <c r="BY295" i="4"/>
  <c r="BZ295" i="4"/>
  <c r="CA295" i="4"/>
  <c r="BP296" i="4"/>
  <c r="BQ296" i="4"/>
  <c r="BR296" i="4"/>
  <c r="BS296" i="4"/>
  <c r="BT296" i="4"/>
  <c r="BU296" i="4"/>
  <c r="BV296" i="4"/>
  <c r="BW296" i="4"/>
  <c r="BX296" i="4"/>
  <c r="BY296" i="4"/>
  <c r="BZ296" i="4"/>
  <c r="CA296" i="4"/>
  <c r="BP297" i="4"/>
  <c r="BQ297" i="4"/>
  <c r="BR297" i="4"/>
  <c r="BS297" i="4"/>
  <c r="BT297" i="4"/>
  <c r="BU297" i="4"/>
  <c r="BV297" i="4"/>
  <c r="BW297" i="4"/>
  <c r="BX297" i="4"/>
  <c r="BY297" i="4"/>
  <c r="BZ297" i="4"/>
  <c r="CA297" i="4"/>
  <c r="BP298" i="4"/>
  <c r="BQ298" i="4"/>
  <c r="BR298" i="4"/>
  <c r="BS298" i="4"/>
  <c r="BT298" i="4"/>
  <c r="BU298" i="4"/>
  <c r="BV298" i="4"/>
  <c r="BW298" i="4"/>
  <c r="BX298" i="4"/>
  <c r="BY298" i="4"/>
  <c r="BZ298" i="4"/>
  <c r="CA298" i="4"/>
  <c r="BP299" i="4"/>
  <c r="BQ299" i="4"/>
  <c r="BR299" i="4"/>
  <c r="BS299" i="4"/>
  <c r="BT299" i="4"/>
  <c r="BU299" i="4"/>
  <c r="BV299" i="4"/>
  <c r="BW299" i="4"/>
  <c r="BX299" i="4"/>
  <c r="BY299" i="4"/>
  <c r="BZ299" i="4"/>
  <c r="CA299" i="4"/>
  <c r="BP300" i="4"/>
  <c r="BQ300" i="4"/>
  <c r="BR300" i="4"/>
  <c r="BS300" i="4"/>
  <c r="BT300" i="4"/>
  <c r="BU300" i="4"/>
  <c r="BV300" i="4"/>
  <c r="BW300" i="4"/>
  <c r="BX300" i="4"/>
  <c r="BY300" i="4"/>
  <c r="BZ300" i="4"/>
  <c r="CA300" i="4"/>
  <c r="BP301" i="4"/>
  <c r="BQ301" i="4"/>
  <c r="BR301" i="4"/>
  <c r="BS301" i="4"/>
  <c r="BT301" i="4"/>
  <c r="BU301" i="4"/>
  <c r="BV301" i="4"/>
  <c r="BW301" i="4"/>
  <c r="BX301" i="4"/>
  <c r="BY301" i="4"/>
  <c r="BZ301" i="4"/>
  <c r="CA301" i="4"/>
  <c r="BP302" i="4"/>
  <c r="BQ302" i="4"/>
  <c r="BR302" i="4"/>
  <c r="BS302" i="4"/>
  <c r="BT302" i="4"/>
  <c r="BU302" i="4"/>
  <c r="BV302" i="4"/>
  <c r="BW302" i="4"/>
  <c r="BX302" i="4"/>
  <c r="BY302" i="4"/>
  <c r="BZ302" i="4"/>
  <c r="CA302" i="4"/>
  <c r="BP303" i="4"/>
  <c r="BQ303" i="4"/>
  <c r="BR303" i="4"/>
  <c r="BS303" i="4"/>
  <c r="BT303" i="4"/>
  <c r="BU303" i="4"/>
  <c r="BV303" i="4"/>
  <c r="BW303" i="4"/>
  <c r="BX303" i="4"/>
  <c r="BY303" i="4"/>
  <c r="BZ303" i="4"/>
  <c r="CA303" i="4"/>
  <c r="BP304" i="4"/>
  <c r="BQ304" i="4"/>
  <c r="BR304" i="4"/>
  <c r="BS304" i="4"/>
  <c r="BT304" i="4"/>
  <c r="BU304" i="4"/>
  <c r="BV304" i="4"/>
  <c r="BW304" i="4"/>
  <c r="BX304" i="4"/>
  <c r="BY304" i="4"/>
  <c r="BZ304" i="4"/>
  <c r="CA304" i="4"/>
  <c r="BP305" i="4"/>
  <c r="BQ305" i="4"/>
  <c r="BR305" i="4"/>
  <c r="BS305" i="4"/>
  <c r="BT305" i="4"/>
  <c r="BU305" i="4"/>
  <c r="BV305" i="4"/>
  <c r="BW305" i="4"/>
  <c r="BX305" i="4"/>
  <c r="BY305" i="4"/>
  <c r="BZ305" i="4"/>
  <c r="CA305" i="4"/>
  <c r="BP306" i="4"/>
  <c r="BQ306" i="4"/>
  <c r="BR306" i="4"/>
  <c r="BS306" i="4"/>
  <c r="BT306" i="4"/>
  <c r="BU306" i="4"/>
  <c r="BV306" i="4"/>
  <c r="BW306" i="4"/>
  <c r="BX306" i="4"/>
  <c r="BY306" i="4"/>
  <c r="BZ306" i="4"/>
  <c r="CA306" i="4"/>
  <c r="BP307" i="4"/>
  <c r="BQ307" i="4"/>
  <c r="BR307" i="4"/>
  <c r="BS307" i="4"/>
  <c r="BT307" i="4"/>
  <c r="BU307" i="4"/>
  <c r="BV307" i="4"/>
  <c r="BW307" i="4"/>
  <c r="BX307" i="4"/>
  <c r="BY307" i="4"/>
  <c r="BZ307" i="4"/>
  <c r="CA307" i="4"/>
  <c r="BP308" i="4"/>
  <c r="BQ308" i="4"/>
  <c r="BR308" i="4"/>
  <c r="BS308" i="4"/>
  <c r="BT308" i="4"/>
  <c r="BU308" i="4"/>
  <c r="BV308" i="4"/>
  <c r="BW308" i="4"/>
  <c r="BX308" i="4"/>
  <c r="BY308" i="4"/>
  <c r="BZ308" i="4"/>
  <c r="CA308" i="4"/>
  <c r="BP309" i="4"/>
  <c r="BQ309" i="4"/>
  <c r="BR309" i="4"/>
  <c r="BS309" i="4"/>
  <c r="BT309" i="4"/>
  <c r="BU309" i="4"/>
  <c r="BV309" i="4"/>
  <c r="BW309" i="4"/>
  <c r="BX309" i="4"/>
  <c r="BY309" i="4"/>
  <c r="BZ309" i="4"/>
  <c r="CA309" i="4"/>
  <c r="BP310" i="4"/>
  <c r="BQ310" i="4"/>
  <c r="BR310" i="4"/>
  <c r="BS310" i="4"/>
  <c r="BT310" i="4"/>
  <c r="BU310" i="4"/>
  <c r="BV310" i="4"/>
  <c r="BW310" i="4"/>
  <c r="BX310" i="4"/>
  <c r="BY310" i="4"/>
  <c r="BZ310" i="4"/>
  <c r="CA310" i="4"/>
  <c r="BP311" i="4"/>
  <c r="BQ311" i="4"/>
  <c r="BR311" i="4"/>
  <c r="BS311" i="4"/>
  <c r="BT311" i="4"/>
  <c r="BU311" i="4"/>
  <c r="BV311" i="4"/>
  <c r="BW311" i="4"/>
  <c r="BX311" i="4"/>
  <c r="BY311" i="4"/>
  <c r="BZ311" i="4"/>
  <c r="CA311" i="4"/>
  <c r="BP312" i="4"/>
  <c r="BQ312" i="4"/>
  <c r="BR312" i="4"/>
  <c r="BS312" i="4"/>
  <c r="BT312" i="4"/>
  <c r="BU312" i="4"/>
  <c r="BV312" i="4"/>
  <c r="BW312" i="4"/>
  <c r="BX312" i="4"/>
  <c r="BY312" i="4"/>
  <c r="BZ312" i="4"/>
  <c r="CA312" i="4"/>
  <c r="BP313" i="4"/>
  <c r="BQ313" i="4"/>
  <c r="BR313" i="4"/>
  <c r="BS313" i="4"/>
  <c r="BT313" i="4"/>
  <c r="BU313" i="4"/>
  <c r="BV313" i="4"/>
  <c r="BW313" i="4"/>
  <c r="BX313" i="4"/>
  <c r="BY313" i="4"/>
  <c r="BZ313" i="4"/>
  <c r="CA313" i="4"/>
  <c r="BP314" i="4"/>
  <c r="BQ314" i="4"/>
  <c r="BR314" i="4"/>
  <c r="BS314" i="4"/>
  <c r="BT314" i="4"/>
  <c r="BU314" i="4"/>
  <c r="BV314" i="4"/>
  <c r="BW314" i="4"/>
  <c r="BX314" i="4"/>
  <c r="BY314" i="4"/>
  <c r="BZ314" i="4"/>
  <c r="CA314" i="4"/>
  <c r="BP315" i="4"/>
  <c r="BQ315" i="4"/>
  <c r="BR315" i="4"/>
  <c r="BS315" i="4"/>
  <c r="BT315" i="4"/>
  <c r="BU315" i="4"/>
  <c r="BV315" i="4"/>
  <c r="BW315" i="4"/>
  <c r="BX315" i="4"/>
  <c r="BY315" i="4"/>
  <c r="BZ315" i="4"/>
  <c r="CA315" i="4"/>
  <c r="BP316" i="4"/>
  <c r="BQ316" i="4"/>
  <c r="BR316" i="4"/>
  <c r="BS316" i="4"/>
  <c r="BT316" i="4"/>
  <c r="BU316" i="4"/>
  <c r="BV316" i="4"/>
  <c r="BW316" i="4"/>
  <c r="BX316" i="4"/>
  <c r="BY316" i="4"/>
  <c r="BZ316" i="4"/>
  <c r="CA316" i="4"/>
  <c r="BP317" i="4"/>
  <c r="BQ317" i="4"/>
  <c r="BR317" i="4"/>
  <c r="BS317" i="4"/>
  <c r="BT317" i="4"/>
  <c r="BU317" i="4"/>
  <c r="BV317" i="4"/>
  <c r="BW317" i="4"/>
  <c r="BX317" i="4"/>
  <c r="BY317" i="4"/>
  <c r="BZ317" i="4"/>
  <c r="CA317" i="4"/>
  <c r="BP318" i="4"/>
  <c r="BQ318" i="4"/>
  <c r="BR318" i="4"/>
  <c r="BS318" i="4"/>
  <c r="BT318" i="4"/>
  <c r="BU318" i="4"/>
  <c r="BV318" i="4"/>
  <c r="BW318" i="4"/>
  <c r="BX318" i="4"/>
  <c r="BY318" i="4"/>
  <c r="BZ318" i="4"/>
  <c r="CA318" i="4"/>
  <c r="BP319" i="4"/>
  <c r="BQ319" i="4"/>
  <c r="BR319" i="4"/>
  <c r="BS319" i="4"/>
  <c r="BT319" i="4"/>
  <c r="BU319" i="4"/>
  <c r="BV319" i="4"/>
  <c r="BW319" i="4"/>
  <c r="BX319" i="4"/>
  <c r="BY319" i="4"/>
  <c r="BZ319" i="4"/>
  <c r="CA319" i="4"/>
  <c r="BQ11" i="4"/>
  <c r="BR11" i="4"/>
  <c r="BS11" i="4"/>
  <c r="BT11" i="4"/>
  <c r="BU11" i="4"/>
  <c r="BV11" i="4"/>
  <c r="BW11" i="4"/>
  <c r="BX11" i="4"/>
  <c r="BY11" i="4"/>
  <c r="BZ11" i="4"/>
  <c r="CA11" i="4"/>
  <c r="BP11" i="4"/>
  <c r="AV12" i="4"/>
  <c r="AV13" i="4"/>
  <c r="BB13" i="4" s="1"/>
  <c r="AV14" i="4"/>
  <c r="BB14" i="4" s="1"/>
  <c r="BG14" i="4" s="1"/>
  <c r="AV15" i="4"/>
  <c r="BB15" i="4" s="1"/>
  <c r="BG15" i="4" s="1"/>
  <c r="AV16" i="4"/>
  <c r="BB16" i="4" s="1"/>
  <c r="AV17" i="4"/>
  <c r="BB17" i="4" s="1"/>
  <c r="BG17" i="4" s="1"/>
  <c r="AV18" i="4"/>
  <c r="BB18" i="4" s="1"/>
  <c r="BG18" i="4" s="1"/>
  <c r="AV19" i="4"/>
  <c r="BB19" i="4" s="1"/>
  <c r="AV20" i="4"/>
  <c r="BB20" i="4" s="1"/>
  <c r="BG20" i="4" s="1"/>
  <c r="AV21" i="4"/>
  <c r="AV22" i="4"/>
  <c r="BB22" i="4" s="1"/>
  <c r="AV23" i="4"/>
  <c r="BB23" i="4" s="1"/>
  <c r="BG23" i="4" s="1"/>
  <c r="AV24" i="4"/>
  <c r="BB24" i="4" s="1"/>
  <c r="BG24" i="4" s="1"/>
  <c r="AV25" i="4"/>
  <c r="BB25" i="4" s="1"/>
  <c r="BG25" i="4" s="1"/>
  <c r="AV26" i="4"/>
  <c r="BB26" i="4" s="1"/>
  <c r="BG26" i="4" s="1"/>
  <c r="AV27" i="4"/>
  <c r="AV28" i="4"/>
  <c r="BB28" i="4" s="1"/>
  <c r="BG28" i="4" s="1"/>
  <c r="AV29" i="4"/>
  <c r="BB29" i="4" s="1"/>
  <c r="BG29" i="4" s="1"/>
  <c r="AV30" i="4"/>
  <c r="BB30" i="4" s="1"/>
  <c r="BG30" i="4" s="1"/>
  <c r="AV31" i="4"/>
  <c r="BB31" i="4" s="1"/>
  <c r="BG31" i="4" s="1"/>
  <c r="AV32" i="4"/>
  <c r="BB32" i="4" s="1"/>
  <c r="BG32" i="4" s="1"/>
  <c r="AV33" i="4"/>
  <c r="BB33" i="4" s="1"/>
  <c r="BG33" i="4" s="1"/>
  <c r="AV34" i="4"/>
  <c r="BB34" i="4" s="1"/>
  <c r="BG34" i="4" s="1"/>
  <c r="AV35" i="4"/>
  <c r="BB35" i="4" s="1"/>
  <c r="BG35" i="4"/>
  <c r="AV36" i="4"/>
  <c r="BB36" i="4" s="1"/>
  <c r="BG36" i="4" s="1"/>
  <c r="AV37" i="4"/>
  <c r="BB37" i="4" s="1"/>
  <c r="BG37" i="4" s="1"/>
  <c r="AV38" i="4"/>
  <c r="BB38" i="4" s="1"/>
  <c r="BG38" i="4" s="1"/>
  <c r="AV39" i="4"/>
  <c r="BB39" i="4" s="1"/>
  <c r="BG39" i="4" s="1"/>
  <c r="AV40" i="4"/>
  <c r="BB40" i="4" s="1"/>
  <c r="BG40" i="4" s="1"/>
  <c r="AV41" i="4"/>
  <c r="BB41" i="4" s="1"/>
  <c r="BG41" i="4" s="1"/>
  <c r="AV42" i="4"/>
  <c r="BB42" i="4" s="1"/>
  <c r="BG42" i="4" s="1"/>
  <c r="AV43" i="4"/>
  <c r="BB43" i="4" s="1"/>
  <c r="BG43" i="4" s="1"/>
  <c r="AV44" i="4"/>
  <c r="BB44" i="4" s="1"/>
  <c r="BG44" i="4" s="1"/>
  <c r="AV45" i="4"/>
  <c r="BB45" i="4" s="1"/>
  <c r="BG45" i="4" s="1"/>
  <c r="AV46" i="4"/>
  <c r="BB46" i="4" s="1"/>
  <c r="BG46" i="4" s="1"/>
  <c r="AV47" i="4"/>
  <c r="BB47" i="4" s="1"/>
  <c r="BG47" i="4" s="1"/>
  <c r="AV48" i="4"/>
  <c r="BB48" i="4" s="1"/>
  <c r="BG48" i="4" s="1"/>
  <c r="AV49" i="4"/>
  <c r="BB49" i="4" s="1"/>
  <c r="BG49" i="4" s="1"/>
  <c r="AV50" i="4"/>
  <c r="BB50" i="4" s="1"/>
  <c r="BG50" i="4" s="1"/>
  <c r="AV51" i="4"/>
  <c r="BB51" i="4" s="1"/>
  <c r="BG51" i="4" s="1"/>
  <c r="AV52" i="4"/>
  <c r="BB52" i="4" s="1"/>
  <c r="BG52" i="4" s="1"/>
  <c r="AV53" i="4"/>
  <c r="BB53" i="4" s="1"/>
  <c r="BG53" i="4" s="1"/>
  <c r="AV54" i="4"/>
  <c r="BB54" i="4" s="1"/>
  <c r="BG54" i="4" s="1"/>
  <c r="AV55" i="4"/>
  <c r="BB55" i="4" s="1"/>
  <c r="BG55" i="4" s="1"/>
  <c r="AV56" i="4"/>
  <c r="BB56" i="4" s="1"/>
  <c r="BG56" i="4" s="1"/>
  <c r="AV57" i="4"/>
  <c r="BB57" i="4" s="1"/>
  <c r="BG57" i="4" s="1"/>
  <c r="AV58" i="4"/>
  <c r="BB58" i="4" s="1"/>
  <c r="BG58" i="4" s="1"/>
  <c r="AV59" i="4"/>
  <c r="BB59" i="4" s="1"/>
  <c r="BG59" i="4" s="1"/>
  <c r="AV60" i="4"/>
  <c r="BB60" i="4" s="1"/>
  <c r="BG60" i="4" s="1"/>
  <c r="AV61" i="4"/>
  <c r="BB61" i="4" s="1"/>
  <c r="BG61" i="4" s="1"/>
  <c r="AV62" i="4"/>
  <c r="BB62" i="4" s="1"/>
  <c r="BG62" i="4" s="1"/>
  <c r="AV63" i="4"/>
  <c r="BB63" i="4" s="1"/>
  <c r="BG63" i="4" s="1"/>
  <c r="AV64" i="4"/>
  <c r="BB64" i="4" s="1"/>
  <c r="BG64" i="4" s="1"/>
  <c r="AV65" i="4"/>
  <c r="BB65" i="4" s="1"/>
  <c r="BG65" i="4" s="1"/>
  <c r="AV66" i="4"/>
  <c r="BB66" i="4" s="1"/>
  <c r="BG66" i="4" s="1"/>
  <c r="AV67" i="4"/>
  <c r="BB67" i="4" s="1"/>
  <c r="BG67" i="4"/>
  <c r="AV68" i="4"/>
  <c r="BB68" i="4" s="1"/>
  <c r="BG68" i="4" s="1"/>
  <c r="AV69" i="4"/>
  <c r="BB69" i="4" s="1"/>
  <c r="BG69" i="4" s="1"/>
  <c r="AV70" i="4"/>
  <c r="BB70" i="4" s="1"/>
  <c r="BG70" i="4" s="1"/>
  <c r="AV71" i="4"/>
  <c r="BB71" i="4" s="1"/>
  <c r="BG71" i="4" s="1"/>
  <c r="AV72" i="4"/>
  <c r="BB72" i="4" s="1"/>
  <c r="BG72" i="4" s="1"/>
  <c r="AV73" i="4"/>
  <c r="BB73" i="4" s="1"/>
  <c r="BG73" i="4" s="1"/>
  <c r="AV74" i="4"/>
  <c r="BB74" i="4"/>
  <c r="BG74" i="4" s="1"/>
  <c r="AV75" i="4"/>
  <c r="BB75" i="4" s="1"/>
  <c r="BG75" i="4" s="1"/>
  <c r="AV76" i="4"/>
  <c r="BB76" i="4" s="1"/>
  <c r="BG76" i="4" s="1"/>
  <c r="AV77" i="4"/>
  <c r="BB77" i="4"/>
  <c r="BG77" i="4" s="1"/>
  <c r="AV78" i="4"/>
  <c r="BB78" i="4" s="1"/>
  <c r="BG78" i="4" s="1"/>
  <c r="AV79" i="4"/>
  <c r="BB79" i="4" s="1"/>
  <c r="BG79" i="4" s="1"/>
  <c r="AV80" i="4"/>
  <c r="BB80" i="4" s="1"/>
  <c r="BG80" i="4" s="1"/>
  <c r="AV81" i="4"/>
  <c r="BB81" i="4" s="1"/>
  <c r="BG81" i="4" s="1"/>
  <c r="AV82" i="4"/>
  <c r="BB82" i="4" s="1"/>
  <c r="BG82" i="4" s="1"/>
  <c r="AV83" i="4"/>
  <c r="BB83" i="4" s="1"/>
  <c r="BG83" i="4" s="1"/>
  <c r="AV84" i="4"/>
  <c r="BB84" i="4" s="1"/>
  <c r="BG84" i="4" s="1"/>
  <c r="AV85" i="4"/>
  <c r="BB85" i="4" s="1"/>
  <c r="BG85" i="4" s="1"/>
  <c r="AV86" i="4"/>
  <c r="BB86" i="4" s="1"/>
  <c r="BG86" i="4" s="1"/>
  <c r="AV87" i="4"/>
  <c r="BB87" i="4" s="1"/>
  <c r="BG87" i="4" s="1"/>
  <c r="AV88" i="4"/>
  <c r="BB88" i="4" s="1"/>
  <c r="BG88" i="4" s="1"/>
  <c r="AV89" i="4"/>
  <c r="BB89" i="4" s="1"/>
  <c r="BG89" i="4" s="1"/>
  <c r="AV90" i="4"/>
  <c r="BB90" i="4"/>
  <c r="BG90" i="4" s="1"/>
  <c r="AV91" i="4"/>
  <c r="BB91" i="4" s="1"/>
  <c r="BG91" i="4" s="1"/>
  <c r="AV92" i="4"/>
  <c r="BB92" i="4" s="1"/>
  <c r="BG92" i="4" s="1"/>
  <c r="AV93" i="4"/>
  <c r="BB93" i="4" s="1"/>
  <c r="BG93" i="4" s="1"/>
  <c r="AV94" i="4"/>
  <c r="BB94" i="4" s="1"/>
  <c r="BG94" i="4" s="1"/>
  <c r="AV95" i="4"/>
  <c r="BB95" i="4" s="1"/>
  <c r="BG95" i="4" s="1"/>
  <c r="AV96" i="4"/>
  <c r="BB96" i="4" s="1"/>
  <c r="BG96" i="4" s="1"/>
  <c r="AV97" i="4"/>
  <c r="BB97" i="4" s="1"/>
  <c r="BG97" i="4" s="1"/>
  <c r="AV98" i="4"/>
  <c r="BB98" i="4" s="1"/>
  <c r="BG98" i="4" s="1"/>
  <c r="AV99" i="4"/>
  <c r="BB99" i="4" s="1"/>
  <c r="BG99" i="4" s="1"/>
  <c r="AV100" i="4"/>
  <c r="BB100" i="4" s="1"/>
  <c r="BG100" i="4" s="1"/>
  <c r="AV101" i="4"/>
  <c r="BB101" i="4" s="1"/>
  <c r="BG101" i="4" s="1"/>
  <c r="AV102" i="4"/>
  <c r="BB102" i="4" s="1"/>
  <c r="BG102" i="4" s="1"/>
  <c r="AV103" i="4"/>
  <c r="BB103" i="4" s="1"/>
  <c r="BG103" i="4" s="1"/>
  <c r="AV104" i="4"/>
  <c r="BB104" i="4" s="1"/>
  <c r="BG104" i="4" s="1"/>
  <c r="AV105" i="4"/>
  <c r="BB105" i="4" s="1"/>
  <c r="BG105" i="4" s="1"/>
  <c r="AV106" i="4"/>
  <c r="BB106" i="4" s="1"/>
  <c r="BG106" i="4" s="1"/>
  <c r="AV107" i="4"/>
  <c r="BB107" i="4" s="1"/>
  <c r="BG107" i="4" s="1"/>
  <c r="AV108" i="4"/>
  <c r="BB108" i="4" s="1"/>
  <c r="BG108" i="4" s="1"/>
  <c r="AV109" i="4"/>
  <c r="BB109" i="4" s="1"/>
  <c r="BG109" i="4" s="1"/>
  <c r="AV110" i="4"/>
  <c r="BB110" i="4" s="1"/>
  <c r="BG110" i="4" s="1"/>
  <c r="AV111" i="4"/>
  <c r="BB111" i="4" s="1"/>
  <c r="BG111" i="4" s="1"/>
  <c r="AV112" i="4"/>
  <c r="BB112" i="4" s="1"/>
  <c r="BG112" i="4" s="1"/>
  <c r="AV113" i="4"/>
  <c r="BB113" i="4" s="1"/>
  <c r="BG113" i="4" s="1"/>
  <c r="AV114" i="4"/>
  <c r="BB114" i="4" s="1"/>
  <c r="BG114" i="4" s="1"/>
  <c r="AV115" i="4"/>
  <c r="BB115" i="4" s="1"/>
  <c r="BG115" i="4" s="1"/>
  <c r="AV116" i="4"/>
  <c r="BB116" i="4" s="1"/>
  <c r="BG116" i="4" s="1"/>
  <c r="AV117" i="4"/>
  <c r="BB117" i="4" s="1"/>
  <c r="BG117" i="4" s="1"/>
  <c r="AV118" i="4"/>
  <c r="BB118" i="4" s="1"/>
  <c r="BG118" i="4" s="1"/>
  <c r="AV119" i="4"/>
  <c r="BB119" i="4" s="1"/>
  <c r="BG119" i="4" s="1"/>
  <c r="AV120" i="4"/>
  <c r="BB120" i="4" s="1"/>
  <c r="BG120" i="4" s="1"/>
  <c r="AV121" i="4"/>
  <c r="BB121" i="4" s="1"/>
  <c r="BG121" i="4" s="1"/>
  <c r="AV122" i="4"/>
  <c r="BB122" i="4"/>
  <c r="BG122" i="4" s="1"/>
  <c r="AV123" i="4"/>
  <c r="BB123" i="4" s="1"/>
  <c r="BG123" i="4" s="1"/>
  <c r="AV124" i="4"/>
  <c r="BB124" i="4" s="1"/>
  <c r="BG124" i="4" s="1"/>
  <c r="AV125" i="4"/>
  <c r="BB125" i="4"/>
  <c r="BG125" i="4" s="1"/>
  <c r="AV126" i="4"/>
  <c r="BB126" i="4" s="1"/>
  <c r="BG126" i="4" s="1"/>
  <c r="AV127" i="4"/>
  <c r="BB127" i="4" s="1"/>
  <c r="BG127" i="4" s="1"/>
  <c r="AV128" i="4"/>
  <c r="BB128" i="4" s="1"/>
  <c r="BG128" i="4" s="1"/>
  <c r="AV129" i="4"/>
  <c r="BB129" i="4" s="1"/>
  <c r="BG129" i="4" s="1"/>
  <c r="AV130" i="4"/>
  <c r="BB130" i="4" s="1"/>
  <c r="BG130" i="4" s="1"/>
  <c r="AV131" i="4"/>
  <c r="BB131" i="4" s="1"/>
  <c r="BG131" i="4" s="1"/>
  <c r="AV132" i="4"/>
  <c r="BB132" i="4" s="1"/>
  <c r="BG132" i="4" s="1"/>
  <c r="AV133" i="4"/>
  <c r="BB133" i="4" s="1"/>
  <c r="BG133" i="4" s="1"/>
  <c r="AV134" i="4"/>
  <c r="BB134" i="4" s="1"/>
  <c r="BG134" i="4" s="1"/>
  <c r="AV135" i="4"/>
  <c r="BB135" i="4" s="1"/>
  <c r="BG135" i="4" s="1"/>
  <c r="AV136" i="4"/>
  <c r="BB136" i="4" s="1"/>
  <c r="BG136" i="4" s="1"/>
  <c r="AV137" i="4"/>
  <c r="BB137" i="4" s="1"/>
  <c r="BG137" i="4" s="1"/>
  <c r="AV138" i="4"/>
  <c r="BB138" i="4"/>
  <c r="BG138" i="4" s="1"/>
  <c r="AV139" i="4"/>
  <c r="BB139" i="4" s="1"/>
  <c r="BG139" i="4" s="1"/>
  <c r="AV140" i="4"/>
  <c r="BB140" i="4" s="1"/>
  <c r="BG140" i="4" s="1"/>
  <c r="AV141" i="4"/>
  <c r="BB141" i="4"/>
  <c r="BG141" i="4" s="1"/>
  <c r="AV142" i="4"/>
  <c r="BB142" i="4" s="1"/>
  <c r="BG142" i="4" s="1"/>
  <c r="AV143" i="4"/>
  <c r="BB143" i="4" s="1"/>
  <c r="BG143" i="4" s="1"/>
  <c r="AV144" i="4"/>
  <c r="BB144" i="4" s="1"/>
  <c r="BG144" i="4" s="1"/>
  <c r="AV145" i="4"/>
  <c r="BB145" i="4" s="1"/>
  <c r="BG145" i="4" s="1"/>
  <c r="AV146" i="4"/>
  <c r="BB146" i="4" s="1"/>
  <c r="BG146" i="4" s="1"/>
  <c r="AV147" i="4"/>
  <c r="BB147" i="4" s="1"/>
  <c r="BG147" i="4" s="1"/>
  <c r="AV148" i="4"/>
  <c r="BB148" i="4" s="1"/>
  <c r="BG148" i="4" s="1"/>
  <c r="AV149" i="4"/>
  <c r="BB149" i="4" s="1"/>
  <c r="BG149" i="4" s="1"/>
  <c r="AV150" i="4"/>
  <c r="BB150" i="4"/>
  <c r="BG150" i="4" s="1"/>
  <c r="AV151" i="4"/>
  <c r="BB151" i="4" s="1"/>
  <c r="BG151" i="4" s="1"/>
  <c r="AV152" i="4"/>
  <c r="BB152" i="4" s="1"/>
  <c r="BG152" i="4" s="1"/>
  <c r="AV153" i="4"/>
  <c r="BB153" i="4" s="1"/>
  <c r="BG153" i="4" s="1"/>
  <c r="AV154" i="4"/>
  <c r="BB154" i="4"/>
  <c r="BG154" i="4" s="1"/>
  <c r="AV155" i="4"/>
  <c r="BB155" i="4" s="1"/>
  <c r="BG155" i="4" s="1"/>
  <c r="AV156" i="4"/>
  <c r="BB156" i="4" s="1"/>
  <c r="BG156" i="4" s="1"/>
  <c r="AV157" i="4"/>
  <c r="BB157" i="4"/>
  <c r="BG157" i="4" s="1"/>
  <c r="AV158" i="4"/>
  <c r="BB158" i="4" s="1"/>
  <c r="BG158" i="4" s="1"/>
  <c r="AV159" i="4"/>
  <c r="BB159" i="4" s="1"/>
  <c r="BG159" i="4" s="1"/>
  <c r="AV160" i="4"/>
  <c r="BB160" i="4" s="1"/>
  <c r="BG160" i="4" s="1"/>
  <c r="AV161" i="4"/>
  <c r="BB161" i="4" s="1"/>
  <c r="BG161" i="4" s="1"/>
  <c r="AV162" i="4"/>
  <c r="BB162" i="4" s="1"/>
  <c r="BG162" i="4" s="1"/>
  <c r="AV163" i="4"/>
  <c r="BB163" i="4" s="1"/>
  <c r="BG163" i="4" s="1"/>
  <c r="AV164" i="4"/>
  <c r="BB164" i="4" s="1"/>
  <c r="BG164" i="4" s="1"/>
  <c r="AV165" i="4"/>
  <c r="BB165" i="4" s="1"/>
  <c r="BG165" i="4" s="1"/>
  <c r="AV166" i="4"/>
  <c r="BB166" i="4" s="1"/>
  <c r="BG166" i="4" s="1"/>
  <c r="AV167" i="4"/>
  <c r="BB167" i="4" s="1"/>
  <c r="BG167" i="4" s="1"/>
  <c r="AV168" i="4"/>
  <c r="BB168" i="4" s="1"/>
  <c r="BG168" i="4" s="1"/>
  <c r="AV169" i="4"/>
  <c r="BB169" i="4" s="1"/>
  <c r="BG169" i="4" s="1"/>
  <c r="AV170" i="4"/>
  <c r="BB170" i="4"/>
  <c r="BG170" i="4" s="1"/>
  <c r="AV171" i="4"/>
  <c r="BB171" i="4" s="1"/>
  <c r="BG171" i="4" s="1"/>
  <c r="AV172" i="4"/>
  <c r="BB172" i="4" s="1"/>
  <c r="BG172" i="4" s="1"/>
  <c r="AV173" i="4"/>
  <c r="BB173" i="4" s="1"/>
  <c r="BG173" i="4" s="1"/>
  <c r="AV174" i="4"/>
  <c r="BB174" i="4" s="1"/>
  <c r="BG174" i="4" s="1"/>
  <c r="AV175" i="4"/>
  <c r="BB175" i="4" s="1"/>
  <c r="BG175" i="4" s="1"/>
  <c r="AV176" i="4"/>
  <c r="BB176" i="4" s="1"/>
  <c r="BG176" i="4" s="1"/>
  <c r="AV177" i="4"/>
  <c r="BB177" i="4" s="1"/>
  <c r="BG177" i="4" s="1"/>
  <c r="AV178" i="4"/>
  <c r="BB178" i="4" s="1"/>
  <c r="BG178" i="4" s="1"/>
  <c r="AV179" i="4"/>
  <c r="BB179" i="4" s="1"/>
  <c r="BG179" i="4" s="1"/>
  <c r="AV180" i="4"/>
  <c r="BB180" i="4" s="1"/>
  <c r="BG180" i="4" s="1"/>
  <c r="AV181" i="4"/>
  <c r="BB181" i="4"/>
  <c r="BG181" i="4" s="1"/>
  <c r="AV182" i="4"/>
  <c r="BB182" i="4" s="1"/>
  <c r="BG182" i="4" s="1"/>
  <c r="AV183" i="4"/>
  <c r="BB183" i="4" s="1"/>
  <c r="BG183" i="4" s="1"/>
  <c r="AV184" i="4"/>
  <c r="BB184" i="4" s="1"/>
  <c r="BG184" i="4" s="1"/>
  <c r="AV185" i="4"/>
  <c r="BB185" i="4" s="1"/>
  <c r="BG185" i="4" s="1"/>
  <c r="AV186" i="4"/>
  <c r="BB186" i="4" s="1"/>
  <c r="BG186" i="4" s="1"/>
  <c r="AV187" i="4"/>
  <c r="BB187" i="4" s="1"/>
  <c r="BG187" i="4" s="1"/>
  <c r="AV188" i="4"/>
  <c r="BB188" i="4" s="1"/>
  <c r="BG188" i="4" s="1"/>
  <c r="AV189" i="4"/>
  <c r="BB189" i="4" s="1"/>
  <c r="BG189" i="4" s="1"/>
  <c r="AV190" i="4"/>
  <c r="BB190" i="4"/>
  <c r="BG190" i="4" s="1"/>
  <c r="AV191" i="4"/>
  <c r="BB191" i="4" s="1"/>
  <c r="BG191" i="4" s="1"/>
  <c r="AV192" i="4"/>
  <c r="BB192" i="4"/>
  <c r="BG192" i="4" s="1"/>
  <c r="AV193" i="4"/>
  <c r="BB193" i="4" s="1"/>
  <c r="BG193" i="4" s="1"/>
  <c r="AV194" i="4"/>
  <c r="BB194" i="4" s="1"/>
  <c r="BG194" i="4" s="1"/>
  <c r="AV195" i="4"/>
  <c r="BB195" i="4" s="1"/>
  <c r="BG195" i="4"/>
  <c r="AV196" i="4"/>
  <c r="BB196" i="4" s="1"/>
  <c r="BG196" i="4" s="1"/>
  <c r="AV197" i="4"/>
  <c r="BB197" i="4" s="1"/>
  <c r="BG197" i="4" s="1"/>
  <c r="AV198" i="4"/>
  <c r="BB198" i="4" s="1"/>
  <c r="BG198" i="4" s="1"/>
  <c r="AV199" i="4"/>
  <c r="BB199" i="4" s="1"/>
  <c r="BG199" i="4" s="1"/>
  <c r="AV200" i="4"/>
  <c r="BB200" i="4" s="1"/>
  <c r="BG200" i="4" s="1"/>
  <c r="AV201" i="4"/>
  <c r="BB201" i="4" s="1"/>
  <c r="BG201" i="4" s="1"/>
  <c r="AV202" i="4"/>
  <c r="BB202" i="4" s="1"/>
  <c r="BG202" i="4" s="1"/>
  <c r="AV203" i="4"/>
  <c r="BB203" i="4" s="1"/>
  <c r="BG203" i="4" s="1"/>
  <c r="AV204" i="4"/>
  <c r="BB204" i="4" s="1"/>
  <c r="BG204" i="4" s="1"/>
  <c r="AV205" i="4"/>
  <c r="BB205" i="4" s="1"/>
  <c r="BG205" i="4" s="1"/>
  <c r="AV206" i="4"/>
  <c r="BB206" i="4" s="1"/>
  <c r="BG206" i="4" s="1"/>
  <c r="AV207" i="4"/>
  <c r="BB207" i="4" s="1"/>
  <c r="BG207" i="4" s="1"/>
  <c r="AV208" i="4"/>
  <c r="BB208" i="4"/>
  <c r="BG208" i="4" s="1"/>
  <c r="AV209" i="4"/>
  <c r="BB209" i="4" s="1"/>
  <c r="BG209" i="4" s="1"/>
  <c r="AV210" i="4"/>
  <c r="BB210" i="4" s="1"/>
  <c r="BG210" i="4" s="1"/>
  <c r="AV211" i="4"/>
  <c r="BB211" i="4" s="1"/>
  <c r="BG211" i="4" s="1"/>
  <c r="AV212" i="4"/>
  <c r="BB212" i="4" s="1"/>
  <c r="BG212" i="4" s="1"/>
  <c r="AV213" i="4"/>
  <c r="BB213" i="4" s="1"/>
  <c r="BG213" i="4" s="1"/>
  <c r="AV214" i="4"/>
  <c r="BB214" i="4"/>
  <c r="BG214" i="4" s="1"/>
  <c r="AV215" i="4"/>
  <c r="BB215" i="4" s="1"/>
  <c r="BG215" i="4" s="1"/>
  <c r="AV216" i="4"/>
  <c r="BB216" i="4" s="1"/>
  <c r="BG216" i="4" s="1"/>
  <c r="AV217" i="4"/>
  <c r="BB217" i="4" s="1"/>
  <c r="BG217" i="4" s="1"/>
  <c r="AV218" i="4"/>
  <c r="BB218" i="4"/>
  <c r="BG218" i="4" s="1"/>
  <c r="AV219" i="4"/>
  <c r="BB219" i="4" s="1"/>
  <c r="BG219" i="4" s="1"/>
  <c r="AV220" i="4"/>
  <c r="BB220" i="4" s="1"/>
  <c r="BG220" i="4" s="1"/>
  <c r="AV221" i="4"/>
  <c r="BB221" i="4"/>
  <c r="BG221" i="4" s="1"/>
  <c r="AV222" i="4"/>
  <c r="BB222" i="4" s="1"/>
  <c r="BG222" i="4" s="1"/>
  <c r="AV223" i="4"/>
  <c r="BB223" i="4" s="1"/>
  <c r="BG223" i="4" s="1"/>
  <c r="AV224" i="4"/>
  <c r="BB224" i="4" s="1"/>
  <c r="BG224" i="4" s="1"/>
  <c r="AV225" i="4"/>
  <c r="BB225" i="4" s="1"/>
  <c r="BG225" i="4" s="1"/>
  <c r="AV226" i="4"/>
  <c r="BB226" i="4" s="1"/>
  <c r="BG226" i="4" s="1"/>
  <c r="AV227" i="4"/>
  <c r="BB227" i="4" s="1"/>
  <c r="BG227" i="4" s="1"/>
  <c r="AV228" i="4"/>
  <c r="BB228" i="4" s="1"/>
  <c r="BG228" i="4" s="1"/>
  <c r="AV229" i="4"/>
  <c r="BB229" i="4"/>
  <c r="BG229" i="4" s="1"/>
  <c r="AV230" i="4"/>
  <c r="BB230" i="4" s="1"/>
  <c r="BG230" i="4" s="1"/>
  <c r="AV231" i="4"/>
  <c r="BB231" i="4" s="1"/>
  <c r="BG231" i="4" s="1"/>
  <c r="AV232" i="4"/>
  <c r="BB232" i="4" s="1"/>
  <c r="BG232" i="4" s="1"/>
  <c r="AV233" i="4"/>
  <c r="BB233" i="4" s="1"/>
  <c r="BG233" i="4" s="1"/>
  <c r="AV234" i="4"/>
  <c r="BB234" i="4" s="1"/>
  <c r="BG234" i="4" s="1"/>
  <c r="AV235" i="4"/>
  <c r="BB235" i="4" s="1"/>
  <c r="BG235" i="4" s="1"/>
  <c r="AV236" i="4"/>
  <c r="BB236" i="4" s="1"/>
  <c r="BG236" i="4" s="1"/>
  <c r="AV237" i="4"/>
  <c r="BB237" i="4" s="1"/>
  <c r="BG237" i="4" s="1"/>
  <c r="AV238" i="4"/>
  <c r="BB238" i="4"/>
  <c r="BG238" i="4"/>
  <c r="AV239" i="4"/>
  <c r="BB239" i="4" s="1"/>
  <c r="BG239" i="4" s="1"/>
  <c r="AV240" i="4"/>
  <c r="BB240" i="4"/>
  <c r="BG240" i="4" s="1"/>
  <c r="AV241" i="4"/>
  <c r="BB241" i="4" s="1"/>
  <c r="BG241" i="4" s="1"/>
  <c r="AV242" i="4"/>
  <c r="BB242" i="4" s="1"/>
  <c r="BG242" i="4" s="1"/>
  <c r="AV243" i="4"/>
  <c r="BB243" i="4" s="1"/>
  <c r="BG243" i="4" s="1"/>
  <c r="AV244" i="4"/>
  <c r="BB244" i="4" s="1"/>
  <c r="BG244" i="4" s="1"/>
  <c r="AV245" i="4"/>
  <c r="BB245" i="4" s="1"/>
  <c r="BG245" i="4" s="1"/>
  <c r="AV246" i="4"/>
  <c r="BB246" i="4"/>
  <c r="BG246" i="4" s="1"/>
  <c r="AV247" i="4"/>
  <c r="BB247" i="4" s="1"/>
  <c r="BG247" i="4" s="1"/>
  <c r="AV248" i="4"/>
  <c r="BB248" i="4" s="1"/>
  <c r="BG248" i="4" s="1"/>
  <c r="AV249" i="4"/>
  <c r="BB249" i="4" s="1"/>
  <c r="BG249" i="4" s="1"/>
  <c r="AV250" i="4"/>
  <c r="BB250" i="4" s="1"/>
  <c r="BG250" i="4" s="1"/>
  <c r="AV251" i="4"/>
  <c r="BB251" i="4" s="1"/>
  <c r="BG251" i="4" s="1"/>
  <c r="AV252" i="4"/>
  <c r="BB252" i="4" s="1"/>
  <c r="BG252" i="4" s="1"/>
  <c r="AV253" i="4"/>
  <c r="BB253" i="4" s="1"/>
  <c r="BG253" i="4" s="1"/>
  <c r="AV254" i="4"/>
  <c r="BB254" i="4"/>
  <c r="BG254" i="4" s="1"/>
  <c r="AV255" i="4"/>
  <c r="BB255" i="4" s="1"/>
  <c r="BG255" i="4" s="1"/>
  <c r="AV256" i="4"/>
  <c r="BB256" i="4"/>
  <c r="BG256" i="4" s="1"/>
  <c r="AV257" i="4"/>
  <c r="BB257" i="4" s="1"/>
  <c r="BG257" i="4" s="1"/>
  <c r="AV258" i="4"/>
  <c r="BB258" i="4" s="1"/>
  <c r="BG258" i="4" s="1"/>
  <c r="AV259" i="4"/>
  <c r="BB259" i="4" s="1"/>
  <c r="BG259" i="4"/>
  <c r="AV260" i="4"/>
  <c r="BB260" i="4" s="1"/>
  <c r="BG260" i="4" s="1"/>
  <c r="AV261" i="4"/>
  <c r="BB261" i="4" s="1"/>
  <c r="BG261" i="4" s="1"/>
  <c r="AV262" i="4"/>
  <c r="BB262" i="4" s="1"/>
  <c r="BG262" i="4" s="1"/>
  <c r="AV263" i="4"/>
  <c r="BB263" i="4" s="1"/>
  <c r="BG263" i="4" s="1"/>
  <c r="AV264" i="4"/>
  <c r="BB264" i="4"/>
  <c r="BG264" i="4" s="1"/>
  <c r="AV265" i="4"/>
  <c r="BB265" i="4" s="1"/>
  <c r="BG265" i="4" s="1"/>
  <c r="AV266" i="4"/>
  <c r="BB266" i="4" s="1"/>
  <c r="BG266" i="4" s="1"/>
  <c r="AV267" i="4"/>
  <c r="BB267" i="4" s="1"/>
  <c r="BG267" i="4" s="1"/>
  <c r="AV268" i="4"/>
  <c r="BB268" i="4" s="1"/>
  <c r="BG268" i="4" s="1"/>
  <c r="AV269" i="4"/>
  <c r="BB269" i="4" s="1"/>
  <c r="BG269" i="4" s="1"/>
  <c r="AV270" i="4"/>
  <c r="BB270" i="4" s="1"/>
  <c r="BG270" i="4" s="1"/>
  <c r="AV271" i="4"/>
  <c r="BB271" i="4" s="1"/>
  <c r="BG271" i="4" s="1"/>
  <c r="AV272" i="4"/>
  <c r="BB272" i="4" s="1"/>
  <c r="BG272" i="4" s="1"/>
  <c r="AV273" i="4"/>
  <c r="BB273" i="4" s="1"/>
  <c r="BG273" i="4" s="1"/>
  <c r="AV274" i="4"/>
  <c r="BB274" i="4" s="1"/>
  <c r="BG274" i="4" s="1"/>
  <c r="AV275" i="4"/>
  <c r="BB275" i="4" s="1"/>
  <c r="BG275" i="4" s="1"/>
  <c r="AV276" i="4"/>
  <c r="BB276" i="4" s="1"/>
  <c r="BG276" i="4" s="1"/>
  <c r="AV277" i="4"/>
  <c r="BB277" i="4" s="1"/>
  <c r="BG277" i="4" s="1"/>
  <c r="AV278" i="4"/>
  <c r="BB278" i="4" s="1"/>
  <c r="BG278" i="4" s="1"/>
  <c r="AV279" i="4"/>
  <c r="BB279" i="4" s="1"/>
  <c r="BG279" i="4" s="1"/>
  <c r="AV280" i="4"/>
  <c r="BB280" i="4" s="1"/>
  <c r="BG280" i="4" s="1"/>
  <c r="AV281" i="4"/>
  <c r="BB281" i="4" s="1"/>
  <c r="BG281" i="4" s="1"/>
  <c r="AV282" i="4"/>
  <c r="BB282" i="4"/>
  <c r="BG282" i="4" s="1"/>
  <c r="AV283" i="4"/>
  <c r="BB283" i="4" s="1"/>
  <c r="BG283" i="4" s="1"/>
  <c r="AV284" i="4"/>
  <c r="BB284" i="4" s="1"/>
  <c r="BG284" i="4" s="1"/>
  <c r="AV285" i="4"/>
  <c r="BB285" i="4"/>
  <c r="BG285" i="4" s="1"/>
  <c r="AV286" i="4"/>
  <c r="BB286" i="4" s="1"/>
  <c r="BG286" i="4" s="1"/>
  <c r="AV287" i="4"/>
  <c r="BB287" i="4" s="1"/>
  <c r="BG287" i="4" s="1"/>
  <c r="AV288" i="4"/>
  <c r="BB288" i="4" s="1"/>
  <c r="BG288" i="4" s="1"/>
  <c r="AV289" i="4"/>
  <c r="BB289" i="4" s="1"/>
  <c r="BG289" i="4" s="1"/>
  <c r="AV290" i="4"/>
  <c r="BB290" i="4" s="1"/>
  <c r="BG290" i="4" s="1"/>
  <c r="AV291" i="4"/>
  <c r="BB291" i="4" s="1"/>
  <c r="BG291" i="4" s="1"/>
  <c r="AV292" i="4"/>
  <c r="BB292" i="4" s="1"/>
  <c r="BG292" i="4" s="1"/>
  <c r="AV293" i="4"/>
  <c r="BB293" i="4" s="1"/>
  <c r="BG293" i="4" s="1"/>
  <c r="AV294" i="4"/>
  <c r="BB294" i="4" s="1"/>
  <c r="BG294" i="4" s="1"/>
  <c r="AV295" i="4"/>
  <c r="BB295" i="4" s="1"/>
  <c r="BG295" i="4" s="1"/>
  <c r="AV296" i="4"/>
  <c r="BB296" i="4"/>
  <c r="BG296" i="4" s="1"/>
  <c r="AV297" i="4"/>
  <c r="BB297" i="4" s="1"/>
  <c r="BG297" i="4" s="1"/>
  <c r="AV298" i="4"/>
  <c r="BB298" i="4" s="1"/>
  <c r="BG298" i="4" s="1"/>
  <c r="AV299" i="4"/>
  <c r="BB299" i="4" s="1"/>
  <c r="BG299" i="4" s="1"/>
  <c r="AV300" i="4"/>
  <c r="BB300" i="4" s="1"/>
  <c r="BG300" i="4" s="1"/>
  <c r="AV301" i="4"/>
  <c r="BB301" i="4" s="1"/>
  <c r="BG301" i="4" s="1"/>
  <c r="AV302" i="4"/>
  <c r="BB302" i="4" s="1"/>
  <c r="BG302" i="4" s="1"/>
  <c r="AV303" i="4"/>
  <c r="BB303" i="4" s="1"/>
  <c r="BG303" i="4" s="1"/>
  <c r="AV304" i="4"/>
  <c r="BB304" i="4" s="1"/>
  <c r="BG304" i="4" s="1"/>
  <c r="AV305" i="4"/>
  <c r="BB305" i="4" s="1"/>
  <c r="BG305" i="4" s="1"/>
  <c r="AV306" i="4"/>
  <c r="BB306" i="4" s="1"/>
  <c r="BG306" i="4" s="1"/>
  <c r="AV307" i="4"/>
  <c r="BB307" i="4"/>
  <c r="BG307" i="4" s="1"/>
  <c r="AV308" i="4"/>
  <c r="BB308" i="4" s="1"/>
  <c r="BG308" i="4" s="1"/>
  <c r="AV309" i="4"/>
  <c r="BB309" i="4" s="1"/>
  <c r="BG309" i="4" s="1"/>
  <c r="AV310" i="4"/>
  <c r="BB310" i="4" s="1"/>
  <c r="BG310" i="4" s="1"/>
  <c r="AV311" i="4"/>
  <c r="BB311" i="4" s="1"/>
  <c r="BG311" i="4" s="1"/>
  <c r="AV312" i="4"/>
  <c r="BB312" i="4" s="1"/>
  <c r="BG312" i="4" s="1"/>
  <c r="AV313" i="4"/>
  <c r="BB313" i="4" s="1"/>
  <c r="BG313" i="4" s="1"/>
  <c r="AV314" i="4"/>
  <c r="BB314" i="4" s="1"/>
  <c r="BG314" i="4" s="1"/>
  <c r="AV315" i="4"/>
  <c r="BB315" i="4" s="1"/>
  <c r="BG315" i="4" s="1"/>
  <c r="AV316" i="4"/>
  <c r="BB316" i="4" s="1"/>
  <c r="BG316" i="4" s="1"/>
  <c r="AV317" i="4"/>
  <c r="BB317" i="4" s="1"/>
  <c r="BG317" i="4" s="1"/>
  <c r="AV318" i="4"/>
  <c r="BB318" i="4" s="1"/>
  <c r="BG318" i="4" s="1"/>
  <c r="AV319" i="4"/>
  <c r="BB319" i="4" s="1"/>
  <c r="BG319" i="4" s="1"/>
  <c r="AV11" i="4"/>
  <c r="BB11" i="4" s="1"/>
  <c r="W11" i="4"/>
  <c r="BA11" i="4" s="1"/>
  <c r="BB21" i="4"/>
  <c r="BG21" i="4" s="1"/>
  <c r="AB7" i="4"/>
  <c r="AB8" i="4" s="1"/>
  <c r="AC7" i="4"/>
  <c r="AC8" i="4" s="1"/>
  <c r="AD7" i="4"/>
  <c r="AD8" i="4" s="1"/>
  <c r="AF7" i="4"/>
  <c r="AF8" i="4" s="1"/>
  <c r="AG7" i="4"/>
  <c r="AG8" i="4" s="1"/>
  <c r="AI7" i="4"/>
  <c r="AJ7" i="4"/>
  <c r="AI8" i="4"/>
  <c r="AJ8" i="4"/>
  <c r="AB9" i="4"/>
  <c r="AC9" i="4"/>
  <c r="AD9" i="4"/>
  <c r="AF9" i="4"/>
  <c r="AG9" i="4"/>
  <c r="AI10" i="4"/>
  <c r="AJ10" i="4"/>
  <c r="Q7" i="4"/>
  <c r="R7" i="4"/>
  <c r="S7" i="4"/>
  <c r="U7" i="4"/>
  <c r="V7" i="4"/>
  <c r="X7" i="4"/>
  <c r="Y7" i="4"/>
  <c r="X8" i="4"/>
  <c r="Y8" i="4"/>
  <c r="Q9" i="4"/>
  <c r="R9" i="4"/>
  <c r="S9" i="4"/>
  <c r="U9" i="4"/>
  <c r="V9" i="4"/>
  <c r="X10" i="4"/>
  <c r="Y10" i="4"/>
  <c r="AH4" i="4"/>
  <c r="AG4" i="4"/>
  <c r="AF4" i="4"/>
  <c r="AD4" i="4"/>
  <c r="AC4" i="4"/>
  <c r="AB4" i="4"/>
  <c r="AA4" i="4"/>
  <c r="BA319" i="4"/>
  <c r="BA318" i="4"/>
  <c r="BA317" i="4"/>
  <c r="BA316" i="4"/>
  <c r="BA315" i="4"/>
  <c r="BA314" i="4"/>
  <c r="BA313" i="4"/>
  <c r="BA312" i="4"/>
  <c r="BA311" i="4"/>
  <c r="BA310" i="4"/>
  <c r="BA309" i="4"/>
  <c r="BA308" i="4"/>
  <c r="BA307" i="4"/>
  <c r="BA306" i="4"/>
  <c r="BA305" i="4"/>
  <c r="BA304" i="4"/>
  <c r="BA303" i="4"/>
  <c r="BA302" i="4"/>
  <c r="BA301" i="4"/>
  <c r="BA300" i="4"/>
  <c r="BA299" i="4"/>
  <c r="BA298" i="4"/>
  <c r="BA297" i="4"/>
  <c r="BA296" i="4"/>
  <c r="BA295" i="4"/>
  <c r="BA294" i="4"/>
  <c r="BA293" i="4"/>
  <c r="BA292" i="4"/>
  <c r="BA291" i="4"/>
  <c r="BA290" i="4"/>
  <c r="BA289" i="4"/>
  <c r="BA288" i="4"/>
  <c r="BA287" i="4"/>
  <c r="BA286" i="4"/>
  <c r="BA285" i="4"/>
  <c r="BA284" i="4"/>
  <c r="BA283" i="4"/>
  <c r="BA282" i="4"/>
  <c r="BA281" i="4"/>
  <c r="BA280" i="4"/>
  <c r="BA279" i="4"/>
  <c r="BA278" i="4"/>
  <c r="BA277" i="4"/>
  <c r="BA276" i="4"/>
  <c r="BA275" i="4"/>
  <c r="BA274" i="4"/>
  <c r="BA273" i="4"/>
  <c r="BA272" i="4"/>
  <c r="BA271" i="4"/>
  <c r="BA270" i="4"/>
  <c r="BA269" i="4"/>
  <c r="BA268" i="4"/>
  <c r="BA267" i="4"/>
  <c r="BA266" i="4"/>
  <c r="BA265" i="4"/>
  <c r="BA264" i="4"/>
  <c r="BA263" i="4"/>
  <c r="BA262" i="4"/>
  <c r="BA261" i="4"/>
  <c r="BA260" i="4"/>
  <c r="BA259" i="4"/>
  <c r="BA258" i="4"/>
  <c r="BA257" i="4"/>
  <c r="BA256" i="4"/>
  <c r="BA255" i="4"/>
  <c r="BA254" i="4"/>
  <c r="BA253" i="4"/>
  <c r="BA252" i="4"/>
  <c r="BA251" i="4"/>
  <c r="BA250" i="4"/>
  <c r="BA249" i="4"/>
  <c r="BA248" i="4"/>
  <c r="BA247" i="4"/>
  <c r="BA246" i="4"/>
  <c r="BA245" i="4"/>
  <c r="BA244" i="4"/>
  <c r="BA243" i="4"/>
  <c r="BA242" i="4"/>
  <c r="BA241" i="4"/>
  <c r="BA240" i="4"/>
  <c r="BA239" i="4"/>
  <c r="BA238" i="4"/>
  <c r="BA237" i="4"/>
  <c r="BA236" i="4"/>
  <c r="BA235" i="4"/>
  <c r="BA234" i="4"/>
  <c r="BA233" i="4"/>
  <c r="BA232" i="4"/>
  <c r="BA231" i="4"/>
  <c r="BA230" i="4"/>
  <c r="BA229" i="4"/>
  <c r="BA228" i="4"/>
  <c r="BA227" i="4"/>
  <c r="BA226" i="4"/>
  <c r="BA225" i="4"/>
  <c r="BA224" i="4"/>
  <c r="BA223" i="4"/>
  <c r="BA222" i="4"/>
  <c r="BA221" i="4"/>
  <c r="BA220" i="4"/>
  <c r="BA219" i="4"/>
  <c r="BA218" i="4"/>
  <c r="BA217" i="4"/>
  <c r="BA216" i="4"/>
  <c r="BA215" i="4"/>
  <c r="BA214" i="4"/>
  <c r="BA213" i="4"/>
  <c r="BA212" i="4"/>
  <c r="BA211" i="4"/>
  <c r="BA210" i="4"/>
  <c r="BA209" i="4"/>
  <c r="BA208" i="4"/>
  <c r="BA207" i="4"/>
  <c r="BA206" i="4"/>
  <c r="BA205" i="4"/>
  <c r="BA204" i="4"/>
  <c r="BA203" i="4"/>
  <c r="BA202" i="4"/>
  <c r="BA201" i="4"/>
  <c r="BA200" i="4"/>
  <c r="BA199" i="4"/>
  <c r="BA198" i="4"/>
  <c r="BA197" i="4"/>
  <c r="BA196" i="4"/>
  <c r="BA195" i="4"/>
  <c r="BA194" i="4"/>
  <c r="BA193" i="4"/>
  <c r="BA192" i="4"/>
  <c r="BA191" i="4"/>
  <c r="BA190" i="4"/>
  <c r="BA189" i="4"/>
  <c r="BA188" i="4"/>
  <c r="BA187" i="4"/>
  <c r="BA186" i="4"/>
  <c r="BA185" i="4"/>
  <c r="BA184" i="4"/>
  <c r="BA183" i="4"/>
  <c r="BA182" i="4"/>
  <c r="BA181" i="4"/>
  <c r="BA180" i="4"/>
  <c r="BA179" i="4"/>
  <c r="BA178" i="4"/>
  <c r="BA177" i="4"/>
  <c r="BA176" i="4"/>
  <c r="BA175" i="4"/>
  <c r="BA174" i="4"/>
  <c r="BA173" i="4"/>
  <c r="BA172" i="4"/>
  <c r="BA171" i="4"/>
  <c r="BA170" i="4"/>
  <c r="BA169" i="4"/>
  <c r="BA168" i="4"/>
  <c r="BA167" i="4"/>
  <c r="BA166" i="4"/>
  <c r="BA165" i="4"/>
  <c r="BA164" i="4"/>
  <c r="BA163" i="4"/>
  <c r="BA162" i="4"/>
  <c r="BA161" i="4"/>
  <c r="BA160" i="4"/>
  <c r="BA159" i="4"/>
  <c r="BA158" i="4"/>
  <c r="BA157" i="4"/>
  <c r="BA156" i="4"/>
  <c r="BA155" i="4"/>
  <c r="BA154" i="4"/>
  <c r="BA153" i="4"/>
  <c r="BA152" i="4"/>
  <c r="BA151" i="4"/>
  <c r="BA150" i="4"/>
  <c r="BA149" i="4"/>
  <c r="BA148" i="4"/>
  <c r="BA147" i="4"/>
  <c r="BA146" i="4"/>
  <c r="BA145" i="4"/>
  <c r="BA144" i="4"/>
  <c r="BA143" i="4"/>
  <c r="BA142" i="4"/>
  <c r="BA141" i="4"/>
  <c r="BA140" i="4"/>
  <c r="BA139" i="4"/>
  <c r="BA138" i="4"/>
  <c r="BA137" i="4"/>
  <c r="BA136" i="4"/>
  <c r="BA135" i="4"/>
  <c r="BA134" i="4"/>
  <c r="BA133" i="4"/>
  <c r="BA132" i="4"/>
  <c r="BA131" i="4"/>
  <c r="BA130" i="4"/>
  <c r="BA129" i="4"/>
  <c r="BA128" i="4"/>
  <c r="BA127" i="4"/>
  <c r="BA126" i="4"/>
  <c r="BA125" i="4"/>
  <c r="BA124" i="4"/>
  <c r="BA123" i="4"/>
  <c r="BA122" i="4"/>
  <c r="BA121" i="4"/>
  <c r="BA120" i="4"/>
  <c r="BA119" i="4"/>
  <c r="BA118" i="4"/>
  <c r="BA117" i="4"/>
  <c r="BA116" i="4"/>
  <c r="BA115" i="4"/>
  <c r="BA114" i="4"/>
  <c r="BA113" i="4"/>
  <c r="BA112" i="4"/>
  <c r="BA111" i="4"/>
  <c r="BA110" i="4"/>
  <c r="BA109" i="4"/>
  <c r="BA108" i="4"/>
  <c r="BA107" i="4"/>
  <c r="BA106" i="4"/>
  <c r="BA105" i="4"/>
  <c r="BA104" i="4"/>
  <c r="BA103" i="4"/>
  <c r="BA102" i="4"/>
  <c r="BA101" i="4"/>
  <c r="BA100" i="4"/>
  <c r="BA99" i="4"/>
  <c r="BA98" i="4"/>
  <c r="BA97" i="4"/>
  <c r="BA96" i="4"/>
  <c r="BA95" i="4"/>
  <c r="BA94" i="4"/>
  <c r="BA93" i="4"/>
  <c r="BA92" i="4"/>
  <c r="BA91" i="4"/>
  <c r="BA90" i="4"/>
  <c r="BA89" i="4"/>
  <c r="BA88" i="4"/>
  <c r="BA87" i="4"/>
  <c r="BA86" i="4"/>
  <c r="BA85" i="4"/>
  <c r="BA84" i="4"/>
  <c r="BA83" i="4"/>
  <c r="BA82" i="4"/>
  <c r="BA81" i="4"/>
  <c r="BA80" i="4"/>
  <c r="BA79" i="4"/>
  <c r="BA78" i="4"/>
  <c r="BA77" i="4"/>
  <c r="BA76" i="4"/>
  <c r="BA75" i="4"/>
  <c r="BA74" i="4"/>
  <c r="BA73" i="4"/>
  <c r="BA72" i="4"/>
  <c r="BA71" i="4"/>
  <c r="BA70" i="4"/>
  <c r="BA69" i="4"/>
  <c r="BA68" i="4"/>
  <c r="BA67" i="4"/>
  <c r="BA66" i="4"/>
  <c r="BA65" i="4"/>
  <c r="BA64" i="4"/>
  <c r="BA63" i="4"/>
  <c r="BA62" i="4"/>
  <c r="BA61" i="4"/>
  <c r="BA60" i="4"/>
  <c r="BA59" i="4"/>
  <c r="BA58" i="4"/>
  <c r="BA57" i="4"/>
  <c r="BA56" i="4"/>
  <c r="BA55" i="4"/>
  <c r="BA54" i="4"/>
  <c r="BA53" i="4"/>
  <c r="BA52" i="4"/>
  <c r="BA51" i="4"/>
  <c r="BA50" i="4"/>
  <c r="BA49" i="4"/>
  <c r="BA48" i="4"/>
  <c r="BA47" i="4"/>
  <c r="BA46" i="4"/>
  <c r="BA45" i="4"/>
  <c r="BA44" i="4"/>
  <c r="BA43" i="4"/>
  <c r="BA42" i="4"/>
  <c r="BA41" i="4"/>
  <c r="BA40" i="4"/>
  <c r="BA39" i="4"/>
  <c r="BA38" i="4"/>
  <c r="BA37" i="4"/>
  <c r="BA36" i="4"/>
  <c r="BA35" i="4"/>
  <c r="BA34" i="4"/>
  <c r="BA33" i="4"/>
  <c r="BA32" i="4"/>
  <c r="BA31" i="4"/>
  <c r="W13" i="4"/>
  <c r="BA13" i="4" s="1"/>
  <c r="W12" i="4"/>
  <c r="BA12" i="4" s="1"/>
  <c r="W4" i="4"/>
  <c r="V4" i="4"/>
  <c r="U4" i="4"/>
  <c r="S4" i="4"/>
  <c r="R4" i="4"/>
  <c r="Q4" i="4"/>
  <c r="P4" i="4"/>
  <c r="BA16" i="4"/>
  <c r="BA20" i="4"/>
  <c r="BA29" i="4"/>
  <c r="BA25" i="4"/>
  <c r="BA18" i="4"/>
  <c r="BA30" i="4"/>
  <c r="AU31" i="4"/>
  <c r="AU32" i="4"/>
  <c r="AU33" i="4"/>
  <c r="AU34" i="4"/>
  <c r="AU35" i="4"/>
  <c r="AU36" i="4"/>
  <c r="AU37" i="4"/>
  <c r="AU38" i="4"/>
  <c r="AU39" i="4"/>
  <c r="AU40" i="4"/>
  <c r="AU41" i="4"/>
  <c r="AU42" i="4"/>
  <c r="AU43" i="4"/>
  <c r="AU44" i="4"/>
  <c r="AU45" i="4"/>
  <c r="AU46" i="4"/>
  <c r="AU48" i="4"/>
  <c r="AU49" i="4"/>
  <c r="AU50" i="4"/>
  <c r="AU51" i="4"/>
  <c r="AU52" i="4"/>
  <c r="AU53" i="4"/>
  <c r="AU54" i="4"/>
  <c r="AU55" i="4"/>
  <c r="AU56" i="4"/>
  <c r="AU57" i="4"/>
  <c r="AU58" i="4"/>
  <c r="AU59" i="4"/>
  <c r="AU60" i="4"/>
  <c r="AU61" i="4"/>
  <c r="AU62" i="4"/>
  <c r="AU63" i="4"/>
  <c r="AU64" i="4"/>
  <c r="AU65" i="4"/>
  <c r="AU66" i="4"/>
  <c r="AU67" i="4"/>
  <c r="AU68" i="4"/>
  <c r="AU69" i="4"/>
  <c r="AU70" i="4"/>
  <c r="AU71" i="4"/>
  <c r="AU72" i="4"/>
  <c r="AU73" i="4"/>
  <c r="AU74" i="4"/>
  <c r="AU75" i="4"/>
  <c r="AU76" i="4"/>
  <c r="AU77" i="4"/>
  <c r="AU78" i="4"/>
  <c r="AU79" i="4"/>
  <c r="AU80" i="4"/>
  <c r="AU81" i="4"/>
  <c r="AU82" i="4"/>
  <c r="AU83" i="4"/>
  <c r="AU84" i="4"/>
  <c r="AU85" i="4"/>
  <c r="AU87" i="4"/>
  <c r="AU88" i="4"/>
  <c r="AU89" i="4"/>
  <c r="AU90" i="4"/>
  <c r="AU91" i="4"/>
  <c r="AU92" i="4"/>
  <c r="AU93" i="4"/>
  <c r="AU94" i="4"/>
  <c r="AU95" i="4"/>
  <c r="AU96" i="4"/>
  <c r="AU97" i="4"/>
  <c r="AU98" i="4"/>
  <c r="AU99" i="4"/>
  <c r="AU100" i="4"/>
  <c r="AU101" i="4"/>
  <c r="AU102" i="4"/>
  <c r="AU103" i="4"/>
  <c r="AU104" i="4"/>
  <c r="AU105" i="4"/>
  <c r="AU106" i="4"/>
  <c r="AU107" i="4"/>
  <c r="AU108" i="4"/>
  <c r="AU109" i="4"/>
  <c r="AU110" i="4"/>
  <c r="AU111" i="4"/>
  <c r="AU112" i="4"/>
  <c r="AU113" i="4"/>
  <c r="AU114" i="4"/>
  <c r="AU115" i="4"/>
  <c r="AU116" i="4"/>
  <c r="AU117" i="4"/>
  <c r="AU118" i="4"/>
  <c r="AU119" i="4"/>
  <c r="AU120" i="4"/>
  <c r="AU121" i="4"/>
  <c r="AU122" i="4"/>
  <c r="AU123" i="4"/>
  <c r="AU124" i="4"/>
  <c r="AU125" i="4"/>
  <c r="AU127" i="4"/>
  <c r="AU128" i="4"/>
  <c r="AU129" i="4"/>
  <c r="AU130" i="4"/>
  <c r="AU131" i="4"/>
  <c r="AU132" i="4"/>
  <c r="AU133" i="4"/>
  <c r="AU134" i="4"/>
  <c r="AU135" i="4"/>
  <c r="AU136" i="4"/>
  <c r="AU137" i="4"/>
  <c r="AU138" i="4"/>
  <c r="AU139" i="4"/>
  <c r="AU140" i="4"/>
  <c r="AU141" i="4"/>
  <c r="AU142" i="4"/>
  <c r="AU143" i="4"/>
  <c r="AU144" i="4"/>
  <c r="AU145" i="4"/>
  <c r="AU146" i="4"/>
  <c r="AU147" i="4"/>
  <c r="AU148" i="4"/>
  <c r="AU149" i="4"/>
  <c r="AU150" i="4"/>
  <c r="AU151" i="4"/>
  <c r="AU152" i="4"/>
  <c r="AU153" i="4"/>
  <c r="AU154" i="4"/>
  <c r="AU155" i="4"/>
  <c r="AU156" i="4"/>
  <c r="AU157" i="4"/>
  <c r="AU158" i="4"/>
  <c r="AU159" i="4"/>
  <c r="AU160" i="4"/>
  <c r="AU161" i="4"/>
  <c r="AU162" i="4"/>
  <c r="AU163" i="4"/>
  <c r="AU164" i="4"/>
  <c r="AU165" i="4"/>
  <c r="AU167" i="4"/>
  <c r="AU168" i="4"/>
  <c r="AU169" i="4"/>
  <c r="AU170" i="4"/>
  <c r="AU171" i="4"/>
  <c r="AU172" i="4"/>
  <c r="AU173" i="4"/>
  <c r="AU174" i="4"/>
  <c r="AU175" i="4"/>
  <c r="AU176" i="4"/>
  <c r="AU177" i="4"/>
  <c r="AU178" i="4"/>
  <c r="AU179" i="4"/>
  <c r="AU180" i="4"/>
  <c r="AU181" i="4"/>
  <c r="AU182" i="4"/>
  <c r="AU183" i="4"/>
  <c r="AU184" i="4"/>
  <c r="AU185" i="4"/>
  <c r="AU186" i="4"/>
  <c r="AU187" i="4"/>
  <c r="AU188" i="4"/>
  <c r="AU189" i="4"/>
  <c r="AU190" i="4"/>
  <c r="AU191" i="4"/>
  <c r="AU192" i="4"/>
  <c r="AU193" i="4"/>
  <c r="AU194" i="4"/>
  <c r="AU195" i="4"/>
  <c r="AU196" i="4"/>
  <c r="AU197" i="4"/>
  <c r="AU198" i="4"/>
  <c r="AU199" i="4"/>
  <c r="AU200" i="4"/>
  <c r="AU201" i="4"/>
  <c r="AU202" i="4"/>
  <c r="AU203" i="4"/>
  <c r="AU204" i="4"/>
  <c r="AU205" i="4"/>
  <c r="AU206" i="4"/>
  <c r="AU207" i="4"/>
  <c r="AU208" i="4"/>
  <c r="AU209" i="4"/>
  <c r="AU210" i="4"/>
  <c r="AU211" i="4"/>
  <c r="AU212" i="4"/>
  <c r="AU213" i="4"/>
  <c r="AU214" i="4"/>
  <c r="AU215" i="4"/>
  <c r="AU216" i="4"/>
  <c r="AU217" i="4"/>
  <c r="AU218" i="4"/>
  <c r="AU219" i="4"/>
  <c r="AU220" i="4"/>
  <c r="AU221" i="4"/>
  <c r="AU222" i="4"/>
  <c r="AU223" i="4"/>
  <c r="AU224" i="4"/>
  <c r="AU225" i="4"/>
  <c r="AU226" i="4"/>
  <c r="AU227" i="4"/>
  <c r="AU228" i="4"/>
  <c r="AU229" i="4"/>
  <c r="AU230" i="4"/>
  <c r="AU231" i="4"/>
  <c r="AU232" i="4"/>
  <c r="AU233" i="4"/>
  <c r="AU234" i="4"/>
  <c r="AU235" i="4"/>
  <c r="AU236" i="4"/>
  <c r="AU237" i="4"/>
  <c r="AU238" i="4"/>
  <c r="AU239" i="4"/>
  <c r="AU240" i="4"/>
  <c r="AU241" i="4"/>
  <c r="AU242" i="4"/>
  <c r="AU243" i="4"/>
  <c r="AU244" i="4"/>
  <c r="AU245" i="4"/>
  <c r="AU246" i="4"/>
  <c r="AU247" i="4"/>
  <c r="AU248" i="4"/>
  <c r="AU249" i="4"/>
  <c r="AU250" i="4"/>
  <c r="AU251" i="4"/>
  <c r="AU252" i="4"/>
  <c r="AU253" i="4"/>
  <c r="AU254" i="4"/>
  <c r="AU255" i="4"/>
  <c r="AU256" i="4"/>
  <c r="AU257" i="4"/>
  <c r="AU258" i="4"/>
  <c r="AU259" i="4"/>
  <c r="AU260" i="4"/>
  <c r="AU261" i="4"/>
  <c r="AU262" i="4"/>
  <c r="AU263" i="4"/>
  <c r="AU264" i="4"/>
  <c r="AU265" i="4"/>
  <c r="AU266" i="4"/>
  <c r="AU267" i="4"/>
  <c r="AU268" i="4"/>
  <c r="AU269" i="4"/>
  <c r="AU270" i="4"/>
  <c r="AU271" i="4"/>
  <c r="AU272" i="4"/>
  <c r="AU273" i="4"/>
  <c r="AU274" i="4"/>
  <c r="AU275" i="4"/>
  <c r="AU276" i="4"/>
  <c r="AU277" i="4"/>
  <c r="AU278" i="4"/>
  <c r="AU279" i="4"/>
  <c r="AU280" i="4"/>
  <c r="AU281" i="4"/>
  <c r="AU282" i="4"/>
  <c r="AU283" i="4"/>
  <c r="AU284" i="4"/>
  <c r="AU285" i="4"/>
  <c r="AU286" i="4"/>
  <c r="AU287" i="4"/>
  <c r="AU288" i="4"/>
  <c r="AU289" i="4"/>
  <c r="AU290" i="4"/>
  <c r="AU291" i="4"/>
  <c r="AU292" i="4"/>
  <c r="AU293" i="4"/>
  <c r="AU294" i="4"/>
  <c r="AU295" i="4"/>
  <c r="AU296" i="4"/>
  <c r="AU297" i="4"/>
  <c r="AU298" i="4"/>
  <c r="AU299" i="4"/>
  <c r="AU300" i="4"/>
  <c r="AU301" i="4"/>
  <c r="AU302" i="4"/>
  <c r="AU303" i="4"/>
  <c r="AU304" i="4"/>
  <c r="AU305" i="4"/>
  <c r="AU306" i="4"/>
  <c r="AU307" i="4"/>
  <c r="AU308" i="4"/>
  <c r="AU309" i="4"/>
  <c r="AU310" i="4"/>
  <c r="AU311" i="4"/>
  <c r="AU312" i="4"/>
  <c r="AU313" i="4"/>
  <c r="AU314" i="4"/>
  <c r="AU315" i="4"/>
  <c r="AU316" i="4"/>
  <c r="AU317" i="4"/>
  <c r="AU318" i="4"/>
  <c r="AU319" i="4"/>
  <c r="L12" i="4"/>
  <c r="AU12" i="4" s="1"/>
  <c r="L13" i="4"/>
  <c r="AU13" i="4" s="1"/>
  <c r="L11" i="4"/>
  <c r="AU11" i="4" s="1"/>
  <c r="AU30" i="4"/>
  <c r="AU29" i="4"/>
  <c r="AU27" i="4"/>
  <c r="AU23" i="4"/>
  <c r="G12" i="27"/>
  <c r="F12" i="27"/>
  <c r="E12" i="27"/>
  <c r="D12" i="27"/>
  <c r="E15" i="30"/>
  <c r="D15" i="30"/>
  <c r="C15" i="30"/>
  <c r="S54" i="31"/>
  <c r="M22" i="27"/>
  <c r="AU95" i="35"/>
  <c r="AF95" i="35"/>
  <c r="Q95" i="35"/>
  <c r="B95" i="35"/>
  <c r="BC94" i="35"/>
  <c r="AU94" i="35"/>
  <c r="AN94" i="35"/>
  <c r="AF94" i="35"/>
  <c r="Y94" i="35"/>
  <c r="Q94" i="35"/>
  <c r="J94" i="35"/>
  <c r="B94" i="35"/>
  <c r="AZ93" i="35"/>
  <c r="AK93" i="35"/>
  <c r="V93" i="35"/>
  <c r="G93" i="35"/>
  <c r="BD92" i="35"/>
  <c r="AO92" i="35"/>
  <c r="Z92" i="35"/>
  <c r="K92" i="35"/>
  <c r="AU73" i="35"/>
  <c r="AF73" i="35"/>
  <c r="Q73" i="35"/>
  <c r="B73" i="35"/>
  <c r="BC72" i="35"/>
  <c r="AU72" i="35"/>
  <c r="AN72" i="35"/>
  <c r="AF72" i="35"/>
  <c r="Y72" i="35"/>
  <c r="Q72" i="35"/>
  <c r="J72" i="35"/>
  <c r="B72" i="35"/>
  <c r="AZ71" i="35"/>
  <c r="AK71" i="35"/>
  <c r="V71" i="35"/>
  <c r="G71" i="35"/>
  <c r="BD70" i="35"/>
  <c r="AO70" i="35"/>
  <c r="Z70" i="35"/>
  <c r="K70" i="35"/>
  <c r="AU51" i="35"/>
  <c r="AF51" i="35"/>
  <c r="Q51" i="35"/>
  <c r="B51" i="35"/>
  <c r="BC50" i="35"/>
  <c r="AU50" i="35"/>
  <c r="AN50" i="35"/>
  <c r="AF50" i="35"/>
  <c r="Y50" i="35"/>
  <c r="Q50" i="35"/>
  <c r="J50" i="35"/>
  <c r="B50" i="35"/>
  <c r="AZ49" i="35"/>
  <c r="AK49" i="35"/>
  <c r="V49" i="35"/>
  <c r="G49" i="35"/>
  <c r="BD48" i="35"/>
  <c r="AO48" i="35"/>
  <c r="Z48" i="35"/>
  <c r="K48" i="35"/>
  <c r="AU29" i="35"/>
  <c r="AF29" i="35"/>
  <c r="Q29" i="35"/>
  <c r="B29" i="35"/>
  <c r="BC28" i="35"/>
  <c r="AU28" i="35"/>
  <c r="AN28" i="35"/>
  <c r="AF28" i="35"/>
  <c r="Y28" i="35"/>
  <c r="Q28" i="35"/>
  <c r="J28" i="35"/>
  <c r="B28" i="35"/>
  <c r="AZ27" i="35"/>
  <c r="AK27" i="35"/>
  <c r="V27" i="35"/>
  <c r="G27" i="35"/>
  <c r="BD26" i="35"/>
  <c r="AO26" i="35"/>
  <c r="Z26" i="35"/>
  <c r="K26" i="35"/>
  <c r="AU7" i="35"/>
  <c r="AF7" i="35"/>
  <c r="Q7" i="35"/>
  <c r="BC6" i="35"/>
  <c r="AU6" i="35"/>
  <c r="AN6" i="35"/>
  <c r="AF6" i="35"/>
  <c r="Y6" i="35"/>
  <c r="Q6" i="35"/>
  <c r="J6" i="35"/>
  <c r="B6" i="35"/>
  <c r="AZ5" i="35"/>
  <c r="AK5" i="35"/>
  <c r="V5" i="35"/>
  <c r="G5" i="35"/>
  <c r="BD4" i="35"/>
  <c r="AO4" i="35"/>
  <c r="Z4" i="35"/>
  <c r="K4" i="35"/>
  <c r="A5" i="27"/>
  <c r="A6" i="27"/>
  <c r="A7" i="27"/>
  <c r="A13" i="27"/>
  <c r="B13" i="27"/>
  <c r="A14" i="27"/>
  <c r="B14" i="27"/>
  <c r="M16" i="27"/>
  <c r="H6" i="27" s="1"/>
  <c r="N12" i="27" s="1"/>
  <c r="R6" i="31"/>
  <c r="S6" i="31"/>
  <c r="S7" i="31"/>
  <c r="S9" i="31"/>
  <c r="F8" i="4"/>
  <c r="Q8" i="4" s="1"/>
  <c r="G8" i="4"/>
  <c r="R8" i="4" s="1"/>
  <c r="AH14" i="4"/>
  <c r="BF14" i="4" s="1"/>
  <c r="AH50" i="4"/>
  <c r="BF50" i="4" s="1"/>
  <c r="AH122" i="4"/>
  <c r="BF122" i="4" s="1"/>
  <c r="AH158" i="4"/>
  <c r="BF158" i="4" s="1"/>
  <c r="AH194" i="4"/>
  <c r="BF194" i="4" s="1"/>
  <c r="AH230" i="4"/>
  <c r="BF230" i="4"/>
  <c r="AH266" i="4"/>
  <c r="BF266" i="4" s="1"/>
  <c r="AH302" i="4"/>
  <c r="BF302" i="4" s="1"/>
  <c r="AH119" i="4"/>
  <c r="BF119" i="4" s="1"/>
  <c r="AH281" i="4"/>
  <c r="BF281" i="4" s="1"/>
  <c r="AH38" i="4"/>
  <c r="BF38" i="4" s="1"/>
  <c r="AH74" i="4"/>
  <c r="BF74" i="4" s="1"/>
  <c r="AH110" i="4"/>
  <c r="BF110" i="4" s="1"/>
  <c r="AH146" i="4"/>
  <c r="BF146" i="4" s="1"/>
  <c r="AH182" i="4"/>
  <c r="BF182" i="4" s="1"/>
  <c r="AH218" i="4"/>
  <c r="BF218" i="4" s="1"/>
  <c r="AH254" i="4"/>
  <c r="BF254" i="4" s="1"/>
  <c r="AH290" i="4"/>
  <c r="BF290" i="4"/>
  <c r="AH77" i="4"/>
  <c r="BF77" i="4" s="1"/>
  <c r="AH245" i="4"/>
  <c r="BF245" i="4" s="1"/>
  <c r="AH37" i="4"/>
  <c r="BF37" i="4" s="1"/>
  <c r="AH73" i="4"/>
  <c r="BF73" i="4" s="1"/>
  <c r="AH109" i="4"/>
  <c r="BF109" i="4" s="1"/>
  <c r="AH145" i="4"/>
  <c r="BF145" i="4"/>
  <c r="AH181" i="4"/>
  <c r="BF181" i="4" s="1"/>
  <c r="AH217" i="4"/>
  <c r="BF217" i="4"/>
  <c r="AH253" i="4"/>
  <c r="BF253" i="4" s="1"/>
  <c r="AH289" i="4"/>
  <c r="BF289" i="4" s="1"/>
  <c r="AH89" i="4"/>
  <c r="BF89" i="4" s="1"/>
  <c r="AH30" i="4"/>
  <c r="BF30" i="4"/>
  <c r="AH66" i="4"/>
  <c r="BF66" i="4" s="1"/>
  <c r="AH138" i="4"/>
  <c r="BF138" i="4"/>
  <c r="AH174" i="4"/>
  <c r="BF174" i="4" s="1"/>
  <c r="AH210" i="4"/>
  <c r="BF210" i="4" s="1"/>
  <c r="AH246" i="4"/>
  <c r="BF246" i="4" s="1"/>
  <c r="AH282" i="4"/>
  <c r="BF282" i="4" s="1"/>
  <c r="AH318" i="4"/>
  <c r="BF318" i="4" s="1"/>
  <c r="AH257" i="4"/>
  <c r="BF257" i="4"/>
  <c r="AH15" i="4"/>
  <c r="BF15" i="4" s="1"/>
  <c r="AH51" i="4"/>
  <c r="BF51" i="4" s="1"/>
  <c r="AH87" i="4"/>
  <c r="BF87" i="4" s="1"/>
  <c r="AH123" i="4"/>
  <c r="BF123" i="4" s="1"/>
  <c r="AH159" i="4"/>
  <c r="BF159" i="4" s="1"/>
  <c r="AH195" i="4"/>
  <c r="BF195" i="4" s="1"/>
  <c r="AH231" i="4"/>
  <c r="BF231" i="4" s="1"/>
  <c r="AH267" i="4"/>
  <c r="BF267" i="4" s="1"/>
  <c r="AH303" i="4"/>
  <c r="BF303" i="4" s="1"/>
  <c r="AH131" i="4"/>
  <c r="BF131" i="4" s="1"/>
  <c r="AH263" i="4"/>
  <c r="BF263" i="4" s="1"/>
  <c r="AH220" i="4"/>
  <c r="BF220" i="4"/>
  <c r="AH262" i="4"/>
  <c r="BF262" i="4" s="1"/>
  <c r="AH166" i="4"/>
  <c r="BF166" i="4" s="1"/>
  <c r="AH64" i="4"/>
  <c r="BF64" i="4" s="1"/>
  <c r="AH124" i="4"/>
  <c r="BF124" i="4" s="1"/>
  <c r="AH238" i="4"/>
  <c r="BF238" i="4" s="1"/>
  <c r="AH34" i="4"/>
  <c r="BF34" i="4"/>
  <c r="AH250" i="4"/>
  <c r="BF250" i="4" s="1"/>
  <c r="AH12" i="4"/>
  <c r="BF12" i="4"/>
  <c r="AH44" i="4"/>
  <c r="BF44" i="4" s="1"/>
  <c r="AH80" i="4"/>
  <c r="BF80" i="4" s="1"/>
  <c r="AH116" i="4"/>
  <c r="BF116" i="4" s="1"/>
  <c r="AH152" i="4"/>
  <c r="BF152" i="4"/>
  <c r="AH224" i="4"/>
  <c r="BF224" i="4" s="1"/>
  <c r="AH296" i="4"/>
  <c r="BF296" i="4"/>
  <c r="AH107" i="4"/>
  <c r="BF107" i="4" s="1"/>
  <c r="AH251" i="4"/>
  <c r="BF251" i="4" s="1"/>
  <c r="AH43" i="4"/>
  <c r="BF43" i="4" s="1"/>
  <c r="AH79" i="4"/>
  <c r="BF79" i="4" s="1"/>
  <c r="AH20" i="4"/>
  <c r="BF20" i="4" s="1"/>
  <c r="AH92" i="4"/>
  <c r="BF92" i="4"/>
  <c r="AH164" i="4"/>
  <c r="BF164" i="4" s="1"/>
  <c r="AH236" i="4"/>
  <c r="BF236" i="4" s="1"/>
  <c r="AH308" i="4"/>
  <c r="BF308" i="4" s="1"/>
  <c r="AH167" i="4"/>
  <c r="BF167" i="4" s="1"/>
  <c r="AH49" i="4"/>
  <c r="BF49" i="4" s="1"/>
  <c r="AH97" i="4"/>
  <c r="BF97" i="4" s="1"/>
  <c r="AH139" i="4"/>
  <c r="BF139" i="4" s="1"/>
  <c r="AH187" i="4"/>
  <c r="BF187" i="4" s="1"/>
  <c r="AH229" i="4"/>
  <c r="BF229" i="4" s="1"/>
  <c r="AH271" i="4"/>
  <c r="BF271" i="4" s="1"/>
  <c r="AH313" i="4"/>
  <c r="BF313" i="4" s="1"/>
  <c r="AH137" i="4"/>
  <c r="BF137" i="4"/>
  <c r="AH293" i="4"/>
  <c r="BF293" i="4" s="1"/>
  <c r="AH18" i="4"/>
  <c r="BF18" i="4" s="1"/>
  <c r="AH60" i="4"/>
  <c r="BF60" i="4" s="1"/>
  <c r="AH108" i="4"/>
  <c r="BF108" i="4" s="1"/>
  <c r="AH150" i="4"/>
  <c r="BF150" i="4" s="1"/>
  <c r="AH192" i="4"/>
  <c r="BF192" i="4"/>
  <c r="AH234" i="4"/>
  <c r="BF234" i="4" s="1"/>
  <c r="AH203" i="4"/>
  <c r="BF203" i="4"/>
  <c r="AH99" i="4"/>
  <c r="BF99" i="4" s="1"/>
  <c r="AH141" i="4"/>
  <c r="BF141" i="4" s="1"/>
  <c r="AH183" i="4"/>
  <c r="BF183" i="4" s="1"/>
  <c r="AH225" i="4"/>
  <c r="BF225" i="4"/>
  <c r="AH273" i="4"/>
  <c r="BF273" i="4" s="1"/>
  <c r="AH315" i="4"/>
  <c r="BF315" i="4"/>
  <c r="AH113" i="4"/>
  <c r="BF113" i="4" s="1"/>
  <c r="AH190" i="4"/>
  <c r="BF190" i="4" s="1"/>
  <c r="AH232" i="4"/>
  <c r="BF232" i="4" s="1"/>
  <c r="AH136" i="4"/>
  <c r="BF136" i="4" s="1"/>
  <c r="AH242" i="4"/>
  <c r="BF242" i="4" s="1"/>
  <c r="AH314" i="4"/>
  <c r="BF314" i="4"/>
  <c r="AH55" i="4"/>
  <c r="BF55" i="4" s="1"/>
  <c r="AH103" i="4"/>
  <c r="BF103" i="4"/>
  <c r="AH151" i="4"/>
  <c r="BF151" i="4" s="1"/>
  <c r="AH235" i="4"/>
  <c r="BF235" i="4"/>
  <c r="AH277" i="4"/>
  <c r="BF277" i="4" s="1"/>
  <c r="AH319" i="4"/>
  <c r="BF319" i="4"/>
  <c r="AH161" i="4"/>
  <c r="BF161" i="4" s="1"/>
  <c r="AH299" i="4"/>
  <c r="BF299" i="4"/>
  <c r="AH24" i="4"/>
  <c r="BF24" i="4" s="1"/>
  <c r="AH72" i="4"/>
  <c r="BF72" i="4"/>
  <c r="AH114" i="4"/>
  <c r="BF114" i="4" s="1"/>
  <c r="AH156" i="4"/>
  <c r="BF156" i="4"/>
  <c r="AH198" i="4"/>
  <c r="BF198" i="4" s="1"/>
  <c r="AH240" i="4"/>
  <c r="BF240" i="4"/>
  <c r="AH288" i="4"/>
  <c r="BF288" i="4" s="1"/>
  <c r="AH221" i="4"/>
  <c r="BF221" i="4"/>
  <c r="AH21" i="4"/>
  <c r="BF21" i="4" s="1"/>
  <c r="AH63" i="4"/>
  <c r="BF63" i="4"/>
  <c r="AH147" i="4"/>
  <c r="BF147" i="4" s="1"/>
  <c r="AH189" i="4"/>
  <c r="BF189" i="4"/>
  <c r="AH279" i="4"/>
  <c r="BF279" i="4" s="1"/>
  <c r="AH143" i="4"/>
  <c r="BF143" i="4"/>
  <c r="AH305" i="4"/>
  <c r="BF305" i="4" s="1"/>
  <c r="AH112" i="4"/>
  <c r="BF112" i="4"/>
  <c r="AH226" i="4"/>
  <c r="BF226" i="4" s="1"/>
  <c r="AH202" i="4"/>
  <c r="BF202" i="4"/>
  <c r="AH208" i="4"/>
  <c r="BF208" i="4" s="1"/>
  <c r="AH16" i="4"/>
  <c r="BF16" i="4"/>
  <c r="AH268" i="4"/>
  <c r="BF268" i="4" s="1"/>
  <c r="AH130" i="4"/>
  <c r="BF130" i="4"/>
  <c r="AH70" i="4"/>
  <c r="BF70" i="4" s="1"/>
  <c r="AH32" i="4"/>
  <c r="BF32" i="4"/>
  <c r="AH104" i="4"/>
  <c r="BF104" i="4" s="1"/>
  <c r="AH176" i="4"/>
  <c r="BF176" i="4"/>
  <c r="AH248" i="4"/>
  <c r="BF248" i="4" s="1"/>
  <c r="AH215" i="4"/>
  <c r="BF215" i="4"/>
  <c r="AH115" i="4"/>
  <c r="BF115" i="4" s="1"/>
  <c r="AH157" i="4"/>
  <c r="BF157" i="4"/>
  <c r="AH199" i="4"/>
  <c r="BF199" i="4" s="1"/>
  <c r="AH241" i="4"/>
  <c r="BF241" i="4"/>
  <c r="AH283" i="4"/>
  <c r="BF283" i="4" s="1"/>
  <c r="AH29" i="4"/>
  <c r="BF29" i="4"/>
  <c r="AH191" i="4"/>
  <c r="BF191" i="4" s="1"/>
  <c r="AH317" i="4"/>
  <c r="BF317" i="4"/>
  <c r="AH36" i="4"/>
  <c r="BF36" i="4" s="1"/>
  <c r="AH78" i="4"/>
  <c r="BF78" i="4"/>
  <c r="AH120" i="4"/>
  <c r="BF120" i="4" s="1"/>
  <c r="AH162" i="4"/>
  <c r="BF162" i="4"/>
  <c r="AH252" i="4"/>
  <c r="BF252" i="4" s="1"/>
  <c r="AH294" i="4"/>
  <c r="BF294" i="4"/>
  <c r="AH71" i="4"/>
  <c r="BF71" i="4" s="1"/>
  <c r="AH287" i="4"/>
  <c r="BF287" i="4"/>
  <c r="AH111" i="4"/>
  <c r="BF111" i="4" s="1"/>
  <c r="AH153" i="4"/>
  <c r="BF153" i="4"/>
  <c r="AH201" i="4"/>
  <c r="BF201" i="4" s="1"/>
  <c r="AH243" i="4"/>
  <c r="BF243" i="4"/>
  <c r="AH17" i="4"/>
  <c r="BF17" i="4" s="1"/>
  <c r="AH155" i="4"/>
  <c r="BF155" i="4"/>
  <c r="AH298" i="4"/>
  <c r="BF298" i="4" s="1"/>
  <c r="AH274" i="4"/>
  <c r="BF274" i="4"/>
  <c r="AH244" i="4"/>
  <c r="BF244" i="4" s="1"/>
  <c r="AH52" i="4"/>
  <c r="BF52" i="4"/>
  <c r="AH304" i="4"/>
  <c r="BF304" i="4" s="1"/>
  <c r="AH106" i="4"/>
  <c r="BF106" i="4"/>
  <c r="AH56" i="4"/>
  <c r="BF56" i="4" s="1"/>
  <c r="AH128" i="4"/>
  <c r="BF128" i="4"/>
  <c r="AH200" i="4"/>
  <c r="BF200" i="4" s="1"/>
  <c r="AH11" i="4"/>
  <c r="BF11" i="4" s="1"/>
  <c r="AH67" i="4"/>
  <c r="BF67" i="4" s="1"/>
  <c r="AH121" i="4"/>
  <c r="BF121" i="4" s="1"/>
  <c r="AH163" i="4"/>
  <c r="BF163" i="4" s="1"/>
  <c r="AH205" i="4"/>
  <c r="BF205" i="4" s="1"/>
  <c r="AH247" i="4"/>
  <c r="BF247" i="4" s="1"/>
  <c r="AH295" i="4"/>
  <c r="BF295" i="4" s="1"/>
  <c r="AH47" i="4"/>
  <c r="BF47" i="4" s="1"/>
  <c r="AH197" i="4"/>
  <c r="BF197" i="4" s="1"/>
  <c r="AH42" i="4"/>
  <c r="BF42" i="4" s="1"/>
  <c r="AH84" i="4"/>
  <c r="BF84" i="4"/>
  <c r="AH126" i="4"/>
  <c r="BF126" i="4" s="1"/>
  <c r="AH168" i="4"/>
  <c r="BF168" i="4" s="1"/>
  <c r="AH216" i="4"/>
  <c r="BF216" i="4" s="1"/>
  <c r="AH258" i="4"/>
  <c r="BF258" i="4" s="1"/>
  <c r="AH300" i="4"/>
  <c r="BF300" i="4" s="1"/>
  <c r="AH125" i="4"/>
  <c r="BF125" i="4" s="1"/>
  <c r="AH311" i="4"/>
  <c r="BF311" i="4" s="1"/>
  <c r="AH33" i="4"/>
  <c r="BF33" i="4"/>
  <c r="AH75" i="4"/>
  <c r="BF75" i="4" s="1"/>
  <c r="AH117" i="4"/>
  <c r="BF117" i="4" s="1"/>
  <c r="AH165" i="4"/>
  <c r="BF165" i="4" s="1"/>
  <c r="AH207" i="4"/>
  <c r="BF207" i="4" s="1"/>
  <c r="AH249" i="4"/>
  <c r="BF249" i="4" s="1"/>
  <c r="AH291" i="4"/>
  <c r="BF291" i="4" s="1"/>
  <c r="AH41" i="4"/>
  <c r="BF41" i="4" s="1"/>
  <c r="AH173" i="4"/>
  <c r="BF173" i="4" s="1"/>
  <c r="AH184" i="4"/>
  <c r="BF184" i="4" s="1"/>
  <c r="AH82" i="4"/>
  <c r="BF82" i="4" s="1"/>
  <c r="AH280" i="4"/>
  <c r="BF280" i="4" s="1"/>
  <c r="AH88" i="4"/>
  <c r="BF88" i="4" s="1"/>
  <c r="AH62" i="4"/>
  <c r="BF62" i="4" s="1"/>
  <c r="AH134" i="4"/>
  <c r="BF134" i="4" s="1"/>
  <c r="AH206" i="4"/>
  <c r="BF206" i="4" s="1"/>
  <c r="AH278" i="4"/>
  <c r="BF278" i="4"/>
  <c r="AH25" i="4"/>
  <c r="BF25" i="4" s="1"/>
  <c r="AH85" i="4"/>
  <c r="BF85" i="4" s="1"/>
  <c r="AH127" i="4"/>
  <c r="BF127" i="4" s="1"/>
  <c r="AH211" i="4"/>
  <c r="BF211" i="4"/>
  <c r="AH259" i="4"/>
  <c r="BF259" i="4" s="1"/>
  <c r="AH65" i="4"/>
  <c r="BF65" i="4" s="1"/>
  <c r="AH239" i="4"/>
  <c r="BF239" i="4" s="1"/>
  <c r="AH48" i="4"/>
  <c r="BF48" i="4" s="1"/>
  <c r="AH90" i="4"/>
  <c r="BF90" i="4" s="1"/>
  <c r="AH132" i="4"/>
  <c r="BF132" i="4" s="1"/>
  <c r="AH180" i="4"/>
  <c r="BF180" i="4" s="1"/>
  <c r="AH222" i="4"/>
  <c r="BF222" i="4" s="1"/>
  <c r="AH264" i="4"/>
  <c r="BF264" i="4" s="1"/>
  <c r="AH306" i="4"/>
  <c r="BF306" i="4" s="1"/>
  <c r="AH149" i="4"/>
  <c r="BF149" i="4" s="1"/>
  <c r="AH81" i="4"/>
  <c r="BF81" i="4" s="1"/>
  <c r="AH129" i="4"/>
  <c r="BF129" i="4" s="1"/>
  <c r="AH171" i="4"/>
  <c r="BF171" i="4" s="1"/>
  <c r="AH213" i="4"/>
  <c r="BF213" i="4" s="1"/>
  <c r="AH297" i="4"/>
  <c r="BF297" i="4"/>
  <c r="AH59" i="4"/>
  <c r="BF59" i="4" s="1"/>
  <c r="AH227" i="4"/>
  <c r="BF227" i="4" s="1"/>
  <c r="AH256" i="4"/>
  <c r="BF256" i="4" s="1"/>
  <c r="AH118" i="4"/>
  <c r="BF118" i="4"/>
  <c r="AH160" i="4"/>
  <c r="BF160" i="4" s="1"/>
  <c r="AH28" i="4"/>
  <c r="BF28" i="4" s="1"/>
  <c r="AH178" i="4"/>
  <c r="BF178" i="4" s="1"/>
  <c r="AH13" i="4"/>
  <c r="BF13" i="4" s="1"/>
  <c r="AH68" i="4"/>
  <c r="BF68" i="4" s="1"/>
  <c r="AH140" i="4"/>
  <c r="BF140" i="4" s="1"/>
  <c r="AH212" i="4"/>
  <c r="BF212" i="4" s="1"/>
  <c r="AH284" i="4"/>
  <c r="BF284" i="4" s="1"/>
  <c r="AH53" i="4"/>
  <c r="BF53" i="4" s="1"/>
  <c r="AH31" i="4"/>
  <c r="BF31" i="4" s="1"/>
  <c r="AH133" i="4"/>
  <c r="BF133" i="4" s="1"/>
  <c r="AH223" i="4"/>
  <c r="BF223" i="4" s="1"/>
  <c r="AH265" i="4"/>
  <c r="BF265" i="4" s="1"/>
  <c r="AH307" i="4"/>
  <c r="BF307" i="4" s="1"/>
  <c r="AH269" i="4"/>
  <c r="BF269" i="4" s="1"/>
  <c r="AH54" i="4"/>
  <c r="BF54" i="4"/>
  <c r="AH144" i="4"/>
  <c r="BF144" i="4" s="1"/>
  <c r="AH228" i="4"/>
  <c r="BF228" i="4" s="1"/>
  <c r="AH270" i="4"/>
  <c r="BF270" i="4" s="1"/>
  <c r="AH312" i="4"/>
  <c r="BF312" i="4" s="1"/>
  <c r="AH179" i="4"/>
  <c r="BF179" i="4" s="1"/>
  <c r="AH45" i="4"/>
  <c r="BF45" i="4" s="1"/>
  <c r="AH93" i="4"/>
  <c r="BF93" i="4" s="1"/>
  <c r="AH135" i="4"/>
  <c r="BF135" i="4"/>
  <c r="AH177" i="4"/>
  <c r="BF177" i="4" s="1"/>
  <c r="AH219" i="4"/>
  <c r="BF219" i="4" s="1"/>
  <c r="AH261" i="4"/>
  <c r="BF261" i="4" s="1"/>
  <c r="AH309" i="4"/>
  <c r="BF309" i="4" s="1"/>
  <c r="AH83" i="4"/>
  <c r="BF83" i="4" s="1"/>
  <c r="AH233" i="4"/>
  <c r="BF233" i="4" s="1"/>
  <c r="AH40" i="4"/>
  <c r="BF40" i="4" s="1"/>
  <c r="AH292" i="4"/>
  <c r="BF292" i="4" s="1"/>
  <c r="AH196" i="4"/>
  <c r="BF196" i="4" s="1"/>
  <c r="AH22" i="4"/>
  <c r="BF22" i="4" s="1"/>
  <c r="AH214" i="4"/>
  <c r="BF214" i="4" s="1"/>
  <c r="AH275" i="4"/>
  <c r="BF275" i="4" s="1"/>
  <c r="AH58" i="4"/>
  <c r="BF58" i="4" s="1"/>
  <c r="AH286" i="4"/>
  <c r="BF286" i="4" s="1"/>
  <c r="L10" i="4"/>
  <c r="V8" i="4"/>
  <c r="U8" i="4"/>
  <c r="S8" i="4"/>
  <c r="W10" i="4" s="1"/>
  <c r="A10" i="30"/>
  <c r="A9" i="30"/>
  <c r="A7" i="30"/>
  <c r="A6" i="30"/>
  <c r="A5" i="30"/>
  <c r="AH100" i="4"/>
  <c r="BF100" i="4" s="1"/>
  <c r="AH154" i="4"/>
  <c r="BF154" i="4"/>
  <c r="AH316" i="4"/>
  <c r="BF316" i="4" s="1"/>
  <c r="AH169" i="4"/>
  <c r="BF169" i="4" s="1"/>
  <c r="AH19" i="4"/>
  <c r="BF19" i="4" s="1"/>
  <c r="AH185" i="4"/>
  <c r="BF185" i="4" s="1"/>
  <c r="AH26" i="4"/>
  <c r="BF26" i="4" s="1"/>
  <c r="AH57" i="4"/>
  <c r="BF57" i="4" s="1"/>
  <c r="AH276" i="4"/>
  <c r="BF276" i="4" s="1"/>
  <c r="AH61" i="4"/>
  <c r="BF61" i="4" s="1"/>
  <c r="AH237" i="4"/>
  <c r="BF237" i="4" s="1"/>
  <c r="AH193" i="4"/>
  <c r="BF193" i="4" s="1"/>
  <c r="AH76" i="4"/>
  <c r="BF76" i="4" s="1"/>
  <c r="AH46" i="4"/>
  <c r="BF46" i="4" s="1"/>
  <c r="AH95" i="4"/>
  <c r="BF95" i="4" s="1"/>
  <c r="AH186" i="4"/>
  <c r="BF186" i="4" s="1"/>
  <c r="AH101" i="4"/>
  <c r="BF101" i="4" s="1"/>
  <c r="AH175" i="4"/>
  <c r="BF175" i="4"/>
  <c r="AH301" i="4"/>
  <c r="BF301" i="4" s="1"/>
  <c r="AH272" i="4"/>
  <c r="BF272" i="4" s="1"/>
  <c r="AH310" i="4"/>
  <c r="BF310" i="4" s="1"/>
  <c r="AH69" i="4"/>
  <c r="BF69" i="4"/>
  <c r="AH35" i="4"/>
  <c r="BF35" i="4" s="1"/>
  <c r="AH260" i="4"/>
  <c r="BF260" i="4" s="1"/>
  <c r="AH209" i="4"/>
  <c r="BF209" i="4" s="1"/>
  <c r="AH39" i="4"/>
  <c r="BF39" i="4" s="1"/>
  <c r="AH23" i="4"/>
  <c r="BF23" i="4" s="1"/>
  <c r="AH148" i="4"/>
  <c r="BF148" i="4" s="1"/>
  <c r="AH285" i="4"/>
  <c r="BF285" i="4" s="1"/>
  <c r="AH27" i="4"/>
  <c r="BF27" i="4" s="1"/>
  <c r="AH170" i="4"/>
  <c r="BF170" i="4" s="1"/>
  <c r="AH172" i="4"/>
  <c r="BF172" i="4" s="1"/>
  <c r="AH86" i="4"/>
  <c r="BF86" i="4" s="1"/>
  <c r="AH96" i="4"/>
  <c r="BF96" i="4" s="1"/>
  <c r="AH91" i="4"/>
  <c r="BF91" i="4" s="1"/>
  <c r="AH255" i="4"/>
  <c r="BF255" i="4" s="1"/>
  <c r="AH142" i="4"/>
  <c r="BF142" i="4" s="1"/>
  <c r="AH204" i="4"/>
  <c r="BF204" i="4"/>
  <c r="AH105" i="4"/>
  <c r="BF105" i="4" s="1"/>
  <c r="AH98" i="4"/>
  <c r="BF98" i="4" s="1"/>
  <c r="AH94" i="4"/>
  <c r="BF94" i="4" s="1"/>
  <c r="AH188" i="4"/>
  <c r="BF188" i="4" s="1"/>
  <c r="AH102" i="4"/>
  <c r="BF102" i="4" s="1"/>
  <c r="B1393" i="31"/>
  <c r="B1392" i="31" s="1"/>
  <c r="B7" i="30"/>
  <c r="C7" i="30" s="1"/>
  <c r="B6" i="30"/>
  <c r="C6" i="30" s="1"/>
  <c r="B14" i="31"/>
  <c r="B46" i="31"/>
  <c r="B42" i="31"/>
  <c r="Z42" i="31" s="1"/>
  <c r="B38" i="31"/>
  <c r="T38" i="31" s="1"/>
  <c r="B34" i="31"/>
  <c r="C34" i="31" s="1"/>
  <c r="B30" i="31"/>
  <c r="B26" i="31"/>
  <c r="S26" i="31" s="1"/>
  <c r="B22" i="31"/>
  <c r="B18" i="31"/>
  <c r="P7" i="31"/>
  <c r="J7" i="31"/>
  <c r="H7" i="31"/>
  <c r="F7" i="31"/>
  <c r="B10" i="31"/>
  <c r="Z42" i="27"/>
  <c r="F6" i="31"/>
  <c r="G8" i="31" s="1"/>
  <c r="H6" i="31"/>
  <c r="I7" i="31" s="1"/>
  <c r="J6" i="31"/>
  <c r="K8" i="31" s="1"/>
  <c r="N6" i="31"/>
  <c r="O7" i="31" s="1"/>
  <c r="O8" i="31"/>
  <c r="P6" i="31"/>
  <c r="Q8" i="31" s="1"/>
  <c r="A1" i="31"/>
  <c r="D1" i="31"/>
  <c r="A2" i="31"/>
  <c r="D2" i="31"/>
  <c r="E2" i="31"/>
  <c r="F2" i="31"/>
  <c r="S2" i="31"/>
  <c r="A3" i="31"/>
  <c r="D3" i="31"/>
  <c r="F3" i="31"/>
  <c r="J3" i="31"/>
  <c r="A4" i="31"/>
  <c r="B4" i="31"/>
  <c r="T6" i="31"/>
  <c r="T7" i="31"/>
  <c r="T9" i="31"/>
  <c r="B56" i="31"/>
  <c r="AL56" i="31" s="1"/>
  <c r="B60" i="31"/>
  <c r="Z60" i="31" s="1"/>
  <c r="B64" i="31"/>
  <c r="S65" i="31" s="1"/>
  <c r="B68" i="31"/>
  <c r="N70" i="31" s="1"/>
  <c r="B72" i="31"/>
  <c r="D72" i="31" s="1"/>
  <c r="B76" i="31"/>
  <c r="N78" i="31" s="1"/>
  <c r="B80" i="31"/>
  <c r="B84" i="31"/>
  <c r="T86" i="31" s="1"/>
  <c r="B88" i="31"/>
  <c r="U89" i="31" s="1"/>
  <c r="B92" i="31"/>
  <c r="T93" i="31" s="1"/>
  <c r="B102" i="31"/>
  <c r="H102" i="31" s="1"/>
  <c r="B106" i="31"/>
  <c r="D106" i="31" s="1"/>
  <c r="B110" i="31"/>
  <c r="C110" i="31" s="1"/>
  <c r="B114" i="31"/>
  <c r="S114" i="31" s="1"/>
  <c r="B118" i="31"/>
  <c r="H120" i="31" s="1"/>
  <c r="B122" i="31"/>
  <c r="H124" i="31" s="1"/>
  <c r="B126" i="31"/>
  <c r="J128" i="31" s="1"/>
  <c r="B130" i="31"/>
  <c r="B134" i="31"/>
  <c r="D134" i="31" s="1"/>
  <c r="B138" i="31"/>
  <c r="T140" i="31" s="1"/>
  <c r="B148" i="31"/>
  <c r="F150" i="31" s="1"/>
  <c r="B152" i="31"/>
  <c r="N154" i="31" s="1"/>
  <c r="B156" i="31"/>
  <c r="T156" i="31" s="1"/>
  <c r="B160" i="31"/>
  <c r="C160" i="31" s="1"/>
  <c r="B164" i="31"/>
  <c r="D164" i="31" s="1"/>
  <c r="B168" i="31"/>
  <c r="U169" i="31" s="1"/>
  <c r="B172" i="31"/>
  <c r="T172" i="31" s="1"/>
  <c r="B176" i="31"/>
  <c r="L176" i="31" s="1"/>
  <c r="B180" i="31"/>
  <c r="F180" i="31" s="1"/>
  <c r="B184" i="31"/>
  <c r="B194" i="31"/>
  <c r="B198" i="31"/>
  <c r="T200" i="31" s="1"/>
  <c r="B202" i="31"/>
  <c r="T203" i="31" s="1"/>
  <c r="B206" i="31"/>
  <c r="AL206" i="31" s="1"/>
  <c r="B210" i="31"/>
  <c r="C210" i="31" s="1"/>
  <c r="B214" i="31"/>
  <c r="S216" i="31" s="1"/>
  <c r="B218" i="31"/>
  <c r="AL218" i="31" s="1"/>
  <c r="B222" i="31"/>
  <c r="T224" i="31" s="1"/>
  <c r="B226" i="31"/>
  <c r="Z226" i="31" s="1"/>
  <c r="B230" i="31"/>
  <c r="N230" i="31" s="1"/>
  <c r="B240" i="31"/>
  <c r="N240" i="31" s="1"/>
  <c r="B244" i="31"/>
  <c r="B248" i="31"/>
  <c r="AL248" i="31" s="1"/>
  <c r="B252" i="31"/>
  <c r="T254" i="31" s="1"/>
  <c r="B256" i="31"/>
  <c r="B260" i="31"/>
  <c r="P261" i="31" s="1"/>
  <c r="B264" i="31"/>
  <c r="B268" i="31"/>
  <c r="AL268" i="31" s="1"/>
  <c r="B272" i="31"/>
  <c r="AL272" i="31" s="1"/>
  <c r="B276" i="31"/>
  <c r="Z276" i="31" s="1"/>
  <c r="B286" i="31"/>
  <c r="U287" i="31" s="1"/>
  <c r="B290" i="31"/>
  <c r="D290" i="31" s="1"/>
  <c r="B294" i="31"/>
  <c r="J296" i="31" s="1"/>
  <c r="B298" i="31"/>
  <c r="B302" i="31"/>
  <c r="B306" i="31"/>
  <c r="P308" i="31" s="1"/>
  <c r="B310" i="31"/>
  <c r="B314" i="31"/>
  <c r="D314" i="31" s="1"/>
  <c r="B318" i="31"/>
  <c r="N318" i="31" s="1"/>
  <c r="B322" i="31"/>
  <c r="C322" i="31" s="1"/>
  <c r="B332" i="31"/>
  <c r="C332" i="31" s="1"/>
  <c r="B336" i="31"/>
  <c r="T336" i="31" s="1"/>
  <c r="B340" i="31"/>
  <c r="L341" i="31" s="1"/>
  <c r="B344" i="31"/>
  <c r="D344" i="31" s="1"/>
  <c r="B348" i="31"/>
  <c r="J350" i="31" s="1"/>
  <c r="B352" i="31"/>
  <c r="C352" i="31" s="1"/>
  <c r="B356" i="31"/>
  <c r="D356" i="31" s="1"/>
  <c r="B360" i="31"/>
  <c r="T360" i="31" s="1"/>
  <c r="B364" i="31"/>
  <c r="S364" i="31" s="1"/>
  <c r="B368" i="31"/>
  <c r="P369" i="31" s="1"/>
  <c r="B378" i="31"/>
  <c r="N378" i="31" s="1"/>
  <c r="B382" i="31"/>
  <c r="D382" i="31" s="1"/>
  <c r="B386" i="31"/>
  <c r="C386" i="31" s="1"/>
  <c r="B390" i="31"/>
  <c r="U390" i="31" s="1"/>
  <c r="B394" i="31"/>
  <c r="U395" i="31" s="1"/>
  <c r="B398" i="31"/>
  <c r="C398" i="31" s="1"/>
  <c r="B402" i="31"/>
  <c r="D402" i="31" s="1"/>
  <c r="B406" i="31"/>
  <c r="AL406" i="31" s="1"/>
  <c r="B410" i="31"/>
  <c r="B414" i="31"/>
  <c r="J415" i="31" s="1"/>
  <c r="B424" i="31"/>
  <c r="S425" i="31" s="1"/>
  <c r="B428" i="31"/>
  <c r="AL428" i="31" s="1"/>
  <c r="B432" i="31"/>
  <c r="U432" i="31" s="1"/>
  <c r="B436" i="31"/>
  <c r="C436" i="31" s="1"/>
  <c r="B440" i="31"/>
  <c r="H441" i="31" s="1"/>
  <c r="B444" i="31"/>
  <c r="F444" i="31" s="1"/>
  <c r="B448" i="31"/>
  <c r="L449" i="31" s="1"/>
  <c r="B452" i="31"/>
  <c r="AL452" i="31" s="1"/>
  <c r="B456" i="31"/>
  <c r="C456" i="31" s="1"/>
  <c r="B460" i="31"/>
  <c r="C460" i="31" s="1"/>
  <c r="B470" i="31"/>
  <c r="C470" i="31" s="1"/>
  <c r="B474" i="31"/>
  <c r="S475" i="31" s="1"/>
  <c r="B478" i="31"/>
  <c r="Z478" i="31" s="1"/>
  <c r="B482" i="31"/>
  <c r="F484" i="31" s="1"/>
  <c r="B486" i="31"/>
  <c r="B490" i="31"/>
  <c r="D490" i="31" s="1"/>
  <c r="B494" i="31"/>
  <c r="AL494" i="31" s="1"/>
  <c r="B498" i="31"/>
  <c r="Z498" i="31" s="1"/>
  <c r="B502" i="31"/>
  <c r="F502" i="31" s="1"/>
  <c r="B506" i="31"/>
  <c r="C506" i="31" s="1"/>
  <c r="B516" i="31"/>
  <c r="Z516" i="31" s="1"/>
  <c r="B520" i="31"/>
  <c r="L522" i="31" s="1"/>
  <c r="B524" i="31"/>
  <c r="B528" i="31"/>
  <c r="N530" i="31" s="1"/>
  <c r="B532" i="31"/>
  <c r="U533" i="31" s="1"/>
  <c r="B536" i="31"/>
  <c r="F537" i="31" s="1"/>
  <c r="B540" i="31"/>
  <c r="F541" i="31" s="1"/>
  <c r="B544" i="31"/>
  <c r="C544" i="31" s="1"/>
  <c r="B548" i="31"/>
  <c r="D548" i="31" s="1"/>
  <c r="B552" i="31"/>
  <c r="F553" i="31" s="1"/>
  <c r="B562" i="31"/>
  <c r="T562" i="31" s="1"/>
  <c r="B566" i="31"/>
  <c r="D566" i="31" s="1"/>
  <c r="B570" i="31"/>
  <c r="AL570" i="31" s="1"/>
  <c r="B574" i="31"/>
  <c r="F574" i="31" s="1"/>
  <c r="B578" i="31"/>
  <c r="D578" i="31" s="1"/>
  <c r="B582" i="31"/>
  <c r="L583" i="31" s="1"/>
  <c r="B586" i="31"/>
  <c r="U586" i="31" s="1"/>
  <c r="B590" i="31"/>
  <c r="AL590" i="31" s="1"/>
  <c r="B594" i="31"/>
  <c r="H594" i="31" s="1"/>
  <c r="B598" i="31"/>
  <c r="D598" i="31" s="1"/>
  <c r="B608" i="31"/>
  <c r="C608" i="31" s="1"/>
  <c r="B612" i="31"/>
  <c r="L613" i="31" s="1"/>
  <c r="B616" i="31"/>
  <c r="L617" i="31" s="1"/>
  <c r="B620" i="31"/>
  <c r="D620" i="31" s="1"/>
  <c r="B624" i="31"/>
  <c r="C624" i="31" s="1"/>
  <c r="B628" i="31"/>
  <c r="T629" i="31" s="1"/>
  <c r="B632" i="31"/>
  <c r="P634" i="31" s="1"/>
  <c r="B636" i="31"/>
  <c r="U638" i="31" s="1"/>
  <c r="B640" i="31"/>
  <c r="P640" i="31" s="1"/>
  <c r="B644" i="31"/>
  <c r="D644" i="31" s="1"/>
  <c r="B654" i="31"/>
  <c r="U654" i="31" s="1"/>
  <c r="B658" i="31"/>
  <c r="C658" i="31" s="1"/>
  <c r="B662" i="31"/>
  <c r="AL662" i="31" s="1"/>
  <c r="B666" i="31"/>
  <c r="H667" i="31" s="1"/>
  <c r="B670" i="31"/>
  <c r="S670" i="31" s="1"/>
  <c r="B674" i="31"/>
  <c r="N674" i="31" s="1"/>
  <c r="B678" i="31"/>
  <c r="C678" i="31" s="1"/>
  <c r="B682" i="31"/>
  <c r="Z682" i="31" s="1"/>
  <c r="B686" i="31"/>
  <c r="J686" i="31" s="1"/>
  <c r="B690" i="31"/>
  <c r="S690" i="31" s="1"/>
  <c r="B700" i="31"/>
  <c r="U702" i="31" s="1"/>
  <c r="B704" i="31"/>
  <c r="B708" i="31"/>
  <c r="U710" i="31" s="1"/>
  <c r="B712" i="31"/>
  <c r="AL712" i="31" s="1"/>
  <c r="B716" i="31"/>
  <c r="S716" i="31" s="1"/>
  <c r="B720" i="31"/>
  <c r="Z720" i="31" s="1"/>
  <c r="B724" i="31"/>
  <c r="Z724" i="31" s="1"/>
  <c r="B728" i="31"/>
  <c r="D728" i="31" s="1"/>
  <c r="B732" i="31"/>
  <c r="AL732" i="31" s="1"/>
  <c r="B736" i="31"/>
  <c r="N737" i="31" s="1"/>
  <c r="B746" i="31"/>
  <c r="N746" i="31" s="1"/>
  <c r="B750" i="31"/>
  <c r="H751" i="31" s="1"/>
  <c r="B754" i="31"/>
  <c r="T754" i="31" s="1"/>
  <c r="B758" i="31"/>
  <c r="D758" i="31" s="1"/>
  <c r="B762" i="31"/>
  <c r="C762" i="31" s="1"/>
  <c r="B766" i="31"/>
  <c r="C766" i="31" s="1"/>
  <c r="B770" i="31"/>
  <c r="D770" i="31" s="1"/>
  <c r="B774" i="31"/>
  <c r="T776" i="31" s="1"/>
  <c r="B778" i="31"/>
  <c r="B782" i="31"/>
  <c r="C782" i="31" s="1"/>
  <c r="B792" i="31"/>
  <c r="B796" i="31"/>
  <c r="AL796" i="31" s="1"/>
  <c r="B800" i="31"/>
  <c r="C800" i="31" s="1"/>
  <c r="B804" i="31"/>
  <c r="P804" i="31" s="1"/>
  <c r="B808" i="31"/>
  <c r="L808" i="31" s="1"/>
  <c r="B812" i="31"/>
  <c r="B816" i="31"/>
  <c r="B820" i="31"/>
  <c r="C820" i="31" s="1"/>
  <c r="B824" i="31"/>
  <c r="C824" i="31" s="1"/>
  <c r="B828" i="31"/>
  <c r="H829" i="31" s="1"/>
  <c r="B838" i="31"/>
  <c r="U839" i="31" s="1"/>
  <c r="B842" i="31"/>
  <c r="C842" i="31" s="1"/>
  <c r="B846" i="31"/>
  <c r="D846" i="31" s="1"/>
  <c r="B850" i="31"/>
  <c r="C850" i="31" s="1"/>
  <c r="B854" i="31"/>
  <c r="C854" i="31" s="1"/>
  <c r="B858" i="31"/>
  <c r="S860" i="31" s="1"/>
  <c r="B862" i="31"/>
  <c r="J862" i="31" s="1"/>
  <c r="B866" i="31"/>
  <c r="AL866" i="31" s="1"/>
  <c r="B870" i="31"/>
  <c r="C870" i="31" s="1"/>
  <c r="B874" i="31"/>
  <c r="C874" i="31" s="1"/>
  <c r="B884" i="31"/>
  <c r="B888" i="31"/>
  <c r="B892" i="31"/>
  <c r="S893" i="31" s="1"/>
  <c r="B896" i="31"/>
  <c r="C896" i="31" s="1"/>
  <c r="B900" i="31"/>
  <c r="C900" i="31" s="1"/>
  <c r="B904" i="31"/>
  <c r="AL904" i="31" s="1"/>
  <c r="B908" i="31"/>
  <c r="N910" i="31" s="1"/>
  <c r="B912" i="31"/>
  <c r="H913" i="31" s="1"/>
  <c r="B916" i="31"/>
  <c r="N916" i="31" s="1"/>
  <c r="B920" i="31"/>
  <c r="D920" i="31" s="1"/>
  <c r="B930" i="31"/>
  <c r="N932" i="31" s="1"/>
  <c r="B934" i="31"/>
  <c r="D934" i="31" s="1"/>
  <c r="B938" i="31"/>
  <c r="N940" i="31" s="1"/>
  <c r="B942" i="31"/>
  <c r="J942" i="31" s="1"/>
  <c r="B946" i="31"/>
  <c r="Z946" i="31" s="1"/>
  <c r="B950" i="31"/>
  <c r="C950" i="31" s="1"/>
  <c r="B954" i="31"/>
  <c r="AL954" i="31" s="1"/>
  <c r="B958" i="31"/>
  <c r="N960" i="31" s="1"/>
  <c r="B962" i="31"/>
  <c r="AL962" i="31" s="1"/>
  <c r="B966" i="31"/>
  <c r="H966" i="31" s="1"/>
  <c r="B976" i="31"/>
  <c r="D976" i="31" s="1"/>
  <c r="B980" i="31"/>
  <c r="D980" i="31" s="1"/>
  <c r="B984" i="31"/>
  <c r="AL984" i="31" s="1"/>
  <c r="B988" i="31"/>
  <c r="C988" i="31" s="1"/>
  <c r="B992" i="31"/>
  <c r="D992" i="31" s="1"/>
  <c r="B996" i="31"/>
  <c r="P998" i="31" s="1"/>
  <c r="B1000" i="31"/>
  <c r="F1000" i="31" s="1"/>
  <c r="B1004" i="31"/>
  <c r="AL1004" i="31" s="1"/>
  <c r="B1008" i="31"/>
  <c r="T1009" i="31" s="1"/>
  <c r="B1012" i="31"/>
  <c r="Z1012" i="31" s="1"/>
  <c r="B1022" i="31"/>
  <c r="S1023" i="31" s="1"/>
  <c r="B1026" i="31"/>
  <c r="N1027" i="31" s="1"/>
  <c r="B1030" i="31"/>
  <c r="H1032" i="31" s="1"/>
  <c r="B1034" i="31"/>
  <c r="B1038" i="31"/>
  <c r="B1042" i="31"/>
  <c r="D1042" i="31" s="1"/>
  <c r="B1046" i="31"/>
  <c r="AL1046" i="31" s="1"/>
  <c r="B1050" i="31"/>
  <c r="D1050" i="31" s="1"/>
  <c r="B1054" i="31"/>
  <c r="S1056" i="31" s="1"/>
  <c r="B1058" i="31"/>
  <c r="D1058" i="31" s="1"/>
  <c r="B1068" i="31"/>
  <c r="C1068" i="31" s="1"/>
  <c r="B1072" i="31"/>
  <c r="D1072" i="31" s="1"/>
  <c r="B1076" i="31"/>
  <c r="D1076" i="31" s="1"/>
  <c r="B1080" i="31"/>
  <c r="F1081" i="31" s="1"/>
  <c r="B1084" i="31"/>
  <c r="T1086" i="31" s="1"/>
  <c r="B1088" i="31"/>
  <c r="AL1088" i="31" s="1"/>
  <c r="B1092" i="31"/>
  <c r="AL1092" i="31" s="1"/>
  <c r="B1096" i="31"/>
  <c r="C1096" i="31" s="1"/>
  <c r="B1100" i="31"/>
  <c r="B1104" i="31"/>
  <c r="F1104" i="31" s="1"/>
  <c r="B1114" i="31"/>
  <c r="B1118" i="31"/>
  <c r="J1118" i="31" s="1"/>
  <c r="B1122" i="31"/>
  <c r="C1122" i="31" s="1"/>
  <c r="B1126" i="31"/>
  <c r="S1128" i="31" s="1"/>
  <c r="B1130" i="31"/>
  <c r="U1132" i="31" s="1"/>
  <c r="B1134" i="31"/>
  <c r="T1136" i="31" s="1"/>
  <c r="B1138" i="31"/>
  <c r="J1138" i="31" s="1"/>
  <c r="B1142" i="31"/>
  <c r="AL1142" i="31" s="1"/>
  <c r="B1146" i="31"/>
  <c r="D1146" i="31" s="1"/>
  <c r="B1150" i="31"/>
  <c r="C1150" i="31" s="1"/>
  <c r="B1160" i="31"/>
  <c r="AL1160" i="31" s="1"/>
  <c r="B1164" i="31"/>
  <c r="AL1164" i="31" s="1"/>
  <c r="B1168" i="31"/>
  <c r="Z1168" i="31" s="1"/>
  <c r="B1172" i="31"/>
  <c r="C1172" i="31" s="1"/>
  <c r="B1176" i="31"/>
  <c r="AL1176" i="31" s="1"/>
  <c r="B1180" i="31"/>
  <c r="C1180" i="31" s="1"/>
  <c r="B1184" i="31"/>
  <c r="S1185" i="31" s="1"/>
  <c r="B1188" i="31"/>
  <c r="U1189" i="31" s="1"/>
  <c r="B1192" i="31"/>
  <c r="P1193" i="31" s="1"/>
  <c r="B1196" i="31"/>
  <c r="D1196" i="31" s="1"/>
  <c r="B1206" i="31"/>
  <c r="T1206" i="31" s="1"/>
  <c r="B1210" i="31"/>
  <c r="D1210" i="31" s="1"/>
  <c r="B1214" i="31"/>
  <c r="N1216" i="31" s="1"/>
  <c r="B1218" i="31"/>
  <c r="D1218" i="31" s="1"/>
  <c r="B1222" i="31"/>
  <c r="F1222" i="31" s="1"/>
  <c r="B1226" i="31"/>
  <c r="C1226" i="31" s="1"/>
  <c r="B1230" i="31"/>
  <c r="N1232" i="31" s="1"/>
  <c r="B1234" i="31"/>
  <c r="P1236" i="31" s="1"/>
  <c r="B1238" i="31"/>
  <c r="D1238" i="31" s="1"/>
  <c r="B1242" i="31"/>
  <c r="C1242" i="31" s="1"/>
  <c r="B1252" i="31"/>
  <c r="P1253" i="31" s="1"/>
  <c r="B1256" i="31"/>
  <c r="N1257" i="31" s="1"/>
  <c r="B1260" i="31"/>
  <c r="B1264" i="31"/>
  <c r="B1268" i="31"/>
  <c r="S1270" i="31" s="1"/>
  <c r="B1272" i="31"/>
  <c r="B1276" i="31"/>
  <c r="S1277" i="31" s="1"/>
  <c r="B1280" i="31"/>
  <c r="D1280" i="31" s="1"/>
  <c r="B1284" i="31"/>
  <c r="C1284" i="31" s="1"/>
  <c r="B1288" i="31"/>
  <c r="N1289" i="31" s="1"/>
  <c r="B1298" i="31"/>
  <c r="B1302" i="31"/>
  <c r="D1302" i="31" s="1"/>
  <c r="B1306" i="31"/>
  <c r="F1307" i="31" s="1"/>
  <c r="B1310" i="31"/>
  <c r="AL1310" i="31" s="1"/>
  <c r="B1314" i="31"/>
  <c r="D1314" i="31" s="1"/>
  <c r="B1318" i="31"/>
  <c r="C1318" i="31" s="1"/>
  <c r="B1322" i="31"/>
  <c r="N1322" i="31" s="1"/>
  <c r="B1326" i="31"/>
  <c r="N1328" i="31" s="1"/>
  <c r="B1330" i="31"/>
  <c r="P1332" i="31" s="1"/>
  <c r="B1334" i="31"/>
  <c r="B1344" i="31"/>
  <c r="D1344" i="31" s="1"/>
  <c r="B1348" i="31"/>
  <c r="AL1348" i="31" s="1"/>
  <c r="B1352" i="31"/>
  <c r="H1353" i="31" s="1"/>
  <c r="B1356" i="31"/>
  <c r="H1357" i="31" s="1"/>
  <c r="B1360" i="31"/>
  <c r="J1362" i="31" s="1"/>
  <c r="B1364" i="31"/>
  <c r="AL1364" i="31" s="1"/>
  <c r="B1368" i="31"/>
  <c r="C1368" i="31" s="1"/>
  <c r="B1372" i="31"/>
  <c r="C1372" i="31" s="1"/>
  <c r="B1376" i="31"/>
  <c r="H1378" i="31" s="1"/>
  <c r="B1380" i="31"/>
  <c r="U1381" i="31" s="1"/>
  <c r="U855" i="31"/>
  <c r="Z1318" i="31"/>
  <c r="N296" i="31"/>
  <c r="G46" i="30"/>
  <c r="R25" i="30"/>
  <c r="G25" i="30"/>
  <c r="R67" i="30"/>
  <c r="R46" i="30"/>
  <c r="G67" i="30"/>
  <c r="R88" i="30"/>
  <c r="G88" i="30"/>
  <c r="AC46" i="30"/>
  <c r="AC25" i="30"/>
  <c r="B13" i="30"/>
  <c r="B12" i="30"/>
  <c r="A12" i="30"/>
  <c r="AN46" i="30"/>
  <c r="AN25" i="30"/>
  <c r="E7" i="30"/>
  <c r="AC88" i="30"/>
  <c r="AC67" i="30"/>
  <c r="AN67" i="30"/>
  <c r="AN88" i="30"/>
  <c r="C30" i="30" l="1"/>
  <c r="P32" i="30"/>
  <c r="AA29" i="30"/>
  <c r="AJ49" i="30"/>
  <c r="AM10" i="27"/>
  <c r="C169" i="27"/>
  <c r="W169" i="27"/>
  <c r="BK1" i="27"/>
  <c r="BK41" i="27" s="1"/>
  <c r="G6" i="31"/>
  <c r="AA10" i="30"/>
  <c r="AL53" i="30"/>
  <c r="C93" i="30"/>
  <c r="E87" i="27"/>
  <c r="C64" i="31"/>
  <c r="AL160" i="31"/>
  <c r="J138" i="31"/>
  <c r="D68" i="31"/>
  <c r="T474" i="31"/>
  <c r="C360" i="31"/>
  <c r="D474" i="31"/>
  <c r="S139" i="31"/>
  <c r="T583" i="31"/>
  <c r="C122" i="31"/>
  <c r="AL306" i="31"/>
  <c r="C176" i="31"/>
  <c r="D658" i="31"/>
  <c r="F84" i="31"/>
  <c r="U200" i="31"/>
  <c r="S122" i="31"/>
  <c r="D214" i="31"/>
  <c r="D804" i="31"/>
  <c r="T85" i="31"/>
  <c r="L254" i="31"/>
  <c r="I8" i="31"/>
  <c r="K6" i="31"/>
  <c r="K9" i="31" s="1"/>
  <c r="M8" i="31"/>
  <c r="C10" i="30"/>
  <c r="AL10" i="30"/>
  <c r="N93" i="30"/>
  <c r="N9" i="30"/>
  <c r="AA6" i="30"/>
  <c r="Y9" i="30"/>
  <c r="AL9" i="30"/>
  <c r="E29" i="30"/>
  <c r="C168" i="27"/>
  <c r="G124" i="27"/>
  <c r="AI84" i="27"/>
  <c r="AI90" i="27" s="1"/>
  <c r="AK87" i="27"/>
  <c r="AO87" i="27" s="1"/>
  <c r="AP87" i="27" s="1"/>
  <c r="AK88" i="27"/>
  <c r="AY129" i="27"/>
  <c r="C5" i="30"/>
  <c r="AJ95" i="30"/>
  <c r="N91" i="30"/>
  <c r="N8" i="30"/>
  <c r="AA94" i="30"/>
  <c r="AK50" i="27"/>
  <c r="AI125" i="27"/>
  <c r="AO125" i="27" s="1"/>
  <c r="AP125" i="27" s="1"/>
  <c r="AK85" i="27"/>
  <c r="AK84" i="27"/>
  <c r="S9" i="27"/>
  <c r="AM46" i="27"/>
  <c r="AM85" i="27"/>
  <c r="AM128" i="27"/>
  <c r="AM130" i="27" s="1"/>
  <c r="AY128" i="27"/>
  <c r="G169" i="27"/>
  <c r="Q7" i="31"/>
  <c r="AI9" i="27"/>
  <c r="W168" i="27"/>
  <c r="I168" i="27"/>
  <c r="J168" i="27" s="1"/>
  <c r="E125" i="27"/>
  <c r="C127" i="27"/>
  <c r="I127" i="27" s="1"/>
  <c r="J127" i="27" s="1"/>
  <c r="C84" i="27"/>
  <c r="I84" i="27" s="1"/>
  <c r="J84" i="27" s="1"/>
  <c r="BE129" i="27"/>
  <c r="BF129" i="27" s="1"/>
  <c r="I6" i="31"/>
  <c r="M7" i="31"/>
  <c r="M9" i="31" s="1"/>
  <c r="AL33" i="30"/>
  <c r="AJ91" i="30"/>
  <c r="AL92" i="30"/>
  <c r="AJ93" i="30"/>
  <c r="U164" i="27"/>
  <c r="C125" i="27"/>
  <c r="W126" i="27"/>
  <c r="C86" i="27"/>
  <c r="I86" i="27" s="1"/>
  <c r="J86" i="27" s="1"/>
  <c r="G7" i="31"/>
  <c r="AJ30" i="30"/>
  <c r="N52" i="30"/>
  <c r="E73" i="30"/>
  <c r="N5" i="30"/>
  <c r="Y5" i="30"/>
  <c r="AL31" i="30"/>
  <c r="E53" i="30"/>
  <c r="AL51" i="30"/>
  <c r="P74" i="30"/>
  <c r="E92" i="30"/>
  <c r="AA91" i="30"/>
  <c r="AM9" i="27"/>
  <c r="AK46" i="27"/>
  <c r="AO46" i="27" s="1"/>
  <c r="AP46" i="27" s="1"/>
  <c r="C165" i="27"/>
  <c r="S164" i="27"/>
  <c r="W125" i="27"/>
  <c r="U5" i="27"/>
  <c r="AY86" i="27"/>
  <c r="BC87" i="27"/>
  <c r="AM129" i="27"/>
  <c r="AI166" i="27"/>
  <c r="AO166" i="27" s="1"/>
  <c r="AP166" i="27" s="1"/>
  <c r="AM166" i="27"/>
  <c r="AK10" i="27"/>
  <c r="E124" i="27"/>
  <c r="I124" i="27" s="1"/>
  <c r="J124" i="27" s="1"/>
  <c r="AI86" i="27"/>
  <c r="AY9" i="27"/>
  <c r="I169" i="27"/>
  <c r="J169" i="27" s="1"/>
  <c r="AY166" i="27"/>
  <c r="K7" i="31"/>
  <c r="Q6" i="31"/>
  <c r="Q9" i="31" s="1"/>
  <c r="AA30" i="30"/>
  <c r="E74" i="30"/>
  <c r="Y51" i="30"/>
  <c r="N7" i="30"/>
  <c r="Y52" i="30"/>
  <c r="AA53" i="30"/>
  <c r="G6" i="27"/>
  <c r="BC45" i="27"/>
  <c r="AI45" i="27"/>
  <c r="AO45" i="27" s="1"/>
  <c r="AP45" i="27" s="1"/>
  <c r="AM49" i="27"/>
  <c r="AO49" i="27" s="1"/>
  <c r="AP49" i="27" s="1"/>
  <c r="AI168" i="27"/>
  <c r="BA169" i="27"/>
  <c r="AK129" i="27"/>
  <c r="C128" i="27"/>
  <c r="I128" i="27" s="1"/>
  <c r="J128" i="27" s="1"/>
  <c r="U125" i="27"/>
  <c r="BE126" i="27"/>
  <c r="BF126" i="27" s="1"/>
  <c r="AM88" i="27"/>
  <c r="C87" i="27"/>
  <c r="I87" i="27" s="1"/>
  <c r="J87" i="27" s="1"/>
  <c r="AK86" i="27"/>
  <c r="W86" i="27"/>
  <c r="Y86" i="27" s="1"/>
  <c r="Z86" i="27" s="1"/>
  <c r="BA9" i="27"/>
  <c r="W84" i="27"/>
  <c r="BA87" i="27"/>
  <c r="BE87" i="27" s="1"/>
  <c r="BF87" i="27" s="1"/>
  <c r="AM124" i="27"/>
  <c r="AK128" i="27"/>
  <c r="BC128" i="27"/>
  <c r="BA166" i="27"/>
  <c r="AY167" i="27"/>
  <c r="C268" i="31"/>
  <c r="D506" i="31"/>
  <c r="D322" i="31"/>
  <c r="U306" i="31"/>
  <c r="T290" i="31"/>
  <c r="N28" i="30"/>
  <c r="C54" i="30"/>
  <c r="Y92" i="30"/>
  <c r="P6" i="30"/>
  <c r="AL8" i="30"/>
  <c r="P31" i="30"/>
  <c r="AL32" i="30"/>
  <c r="C50" i="30"/>
  <c r="N54" i="30"/>
  <c r="AL52" i="30"/>
  <c r="P73" i="30"/>
  <c r="E6" i="27"/>
  <c r="AM6" i="27"/>
  <c r="AK168" i="27"/>
  <c r="W165" i="27"/>
  <c r="Y165" i="27" s="1"/>
  <c r="Z165" i="27" s="1"/>
  <c r="BC169" i="27"/>
  <c r="S5" i="27"/>
  <c r="Y5" i="27" s="1"/>
  <c r="Z5" i="27" s="1"/>
  <c r="AY45" i="27"/>
  <c r="AK124" i="27"/>
  <c r="AI164" i="27"/>
  <c r="AM169" i="27"/>
  <c r="BA167" i="27"/>
  <c r="C858" i="31"/>
  <c r="D414" i="31"/>
  <c r="C620" i="31"/>
  <c r="C1004" i="31"/>
  <c r="AL598" i="31"/>
  <c r="N416" i="31"/>
  <c r="AP2" i="27"/>
  <c r="N228" i="31"/>
  <c r="F61" i="31"/>
  <c r="C712" i="31"/>
  <c r="C912" i="31"/>
  <c r="D1134" i="31"/>
  <c r="AL616" i="31"/>
  <c r="AL1150" i="31"/>
  <c r="U691" i="31"/>
  <c r="D766" i="31"/>
  <c r="D950" i="31"/>
  <c r="C1188" i="31"/>
  <c r="BI242" i="4"/>
  <c r="BJ242" i="4" s="1"/>
  <c r="BI89" i="4"/>
  <c r="BJ89" i="4" s="1"/>
  <c r="BI205" i="4"/>
  <c r="BJ205" i="4" s="1"/>
  <c r="BI80" i="4"/>
  <c r="BJ80" i="4" s="1"/>
  <c r="BI15" i="4"/>
  <c r="BJ15" i="4" s="1"/>
  <c r="BI25" i="4"/>
  <c r="BJ25" i="4" s="1"/>
  <c r="BI58" i="4"/>
  <c r="BJ58" i="4" s="1"/>
  <c r="BI260" i="4"/>
  <c r="BJ260" i="4" s="1"/>
  <c r="BI156" i="4"/>
  <c r="BJ156" i="4" s="1"/>
  <c r="BI296" i="4"/>
  <c r="BJ296" i="4" s="1"/>
  <c r="BI39" i="4"/>
  <c r="BJ39" i="4" s="1"/>
  <c r="E6" i="30"/>
  <c r="C84" i="31"/>
  <c r="C290" i="31"/>
  <c r="D436" i="31"/>
  <c r="C582" i="31"/>
  <c r="C728" i="31"/>
  <c r="D912" i="31"/>
  <c r="C966" i="31"/>
  <c r="D1026" i="31"/>
  <c r="C1080" i="31"/>
  <c r="C1134" i="31"/>
  <c r="AL198" i="31"/>
  <c r="AL382" i="31"/>
  <c r="AL1302" i="31"/>
  <c r="L85" i="31"/>
  <c r="S85" i="31"/>
  <c r="L139" i="31"/>
  <c r="F200" i="31"/>
  <c r="S199" i="31"/>
  <c r="T252" i="31"/>
  <c r="P360" i="31"/>
  <c r="U414" i="31"/>
  <c r="H528" i="31"/>
  <c r="L636" i="31"/>
  <c r="P751" i="31"/>
  <c r="C68" i="31"/>
  <c r="C106" i="31"/>
  <c r="C214" i="31"/>
  <c r="D252" i="31"/>
  <c r="C306" i="31"/>
  <c r="D360" i="31"/>
  <c r="D398" i="31"/>
  <c r="C452" i="31"/>
  <c r="D544" i="31"/>
  <c r="C690" i="31"/>
  <c r="C750" i="31"/>
  <c r="C804" i="31"/>
  <c r="D842" i="31"/>
  <c r="D988" i="31"/>
  <c r="D1096" i="31"/>
  <c r="C1356" i="31"/>
  <c r="AL122" i="31"/>
  <c r="AL528" i="31"/>
  <c r="F85" i="31"/>
  <c r="S86" i="31"/>
  <c r="J140" i="31"/>
  <c r="U140" i="31"/>
  <c r="N200" i="31"/>
  <c r="J254" i="31"/>
  <c r="N308" i="31"/>
  <c r="S361" i="31"/>
  <c r="P475" i="31"/>
  <c r="H584" i="31"/>
  <c r="P690" i="31"/>
  <c r="T68" i="31"/>
  <c r="L290" i="31"/>
  <c r="O6" i="31"/>
  <c r="O9" i="31" s="1"/>
  <c r="BI154" i="4"/>
  <c r="BJ154" i="4" s="1"/>
  <c r="BI118" i="4"/>
  <c r="BJ118" i="4" s="1"/>
  <c r="BI244" i="4"/>
  <c r="BJ244" i="4" s="1"/>
  <c r="BI219" i="4"/>
  <c r="BJ219" i="4" s="1"/>
  <c r="AH10" i="4"/>
  <c r="D176" i="31"/>
  <c r="C474" i="31"/>
  <c r="BI103" i="4"/>
  <c r="BJ103" i="4" s="1"/>
  <c r="BI88" i="4"/>
  <c r="BJ88" i="4" s="1"/>
  <c r="D138" i="31"/>
  <c r="D230" i="31"/>
  <c r="D528" i="31"/>
  <c r="D674" i="31"/>
  <c r="D874" i="31"/>
  <c r="Z398" i="31"/>
  <c r="D946" i="31"/>
  <c r="C138" i="31"/>
  <c r="C198" i="31"/>
  <c r="C252" i="31"/>
  <c r="D582" i="31"/>
  <c r="C636" i="31"/>
  <c r="D690" i="31"/>
  <c r="C1026" i="31"/>
  <c r="AL84" i="31"/>
  <c r="AL230" i="31"/>
  <c r="AL858" i="31"/>
  <c r="N85" i="31"/>
  <c r="F140" i="31"/>
  <c r="U138" i="31"/>
  <c r="J198" i="31"/>
  <c r="H253" i="31"/>
  <c r="S254" i="31"/>
  <c r="L360" i="31"/>
  <c r="J476" i="31"/>
  <c r="U528" i="31"/>
  <c r="J638" i="31"/>
  <c r="U752" i="31"/>
  <c r="P231" i="31"/>
  <c r="BI319" i="4"/>
  <c r="BI77" i="4"/>
  <c r="BJ77" i="4" s="1"/>
  <c r="BI238" i="4"/>
  <c r="BJ238" i="4" s="1"/>
  <c r="BI81" i="4"/>
  <c r="BJ81" i="4" s="1"/>
  <c r="BI176" i="4"/>
  <c r="BJ176" i="4" s="1"/>
  <c r="AL55" i="30"/>
  <c r="AJ72" i="30"/>
  <c r="AL72" i="30"/>
  <c r="AM7" i="27"/>
  <c r="AI7" i="27"/>
  <c r="AK7" i="27"/>
  <c r="G47" i="27"/>
  <c r="C47" i="27"/>
  <c r="C49" i="27"/>
  <c r="E49" i="27"/>
  <c r="W50" i="27"/>
  <c r="U50" i="27"/>
  <c r="W88" i="27"/>
  <c r="U88" i="27"/>
  <c r="S88" i="27"/>
  <c r="AO124" i="27"/>
  <c r="O120" i="27"/>
  <c r="M95" i="27"/>
  <c r="AJ97" i="30"/>
  <c r="AL7" i="30"/>
  <c r="C28" i="30"/>
  <c r="C32" i="30"/>
  <c r="E52" i="30"/>
  <c r="C75" i="30"/>
  <c r="G49" i="27"/>
  <c r="AO129" i="27"/>
  <c r="AP129" i="27" s="1"/>
  <c r="Y126" i="27"/>
  <c r="Z126" i="27" s="1"/>
  <c r="S6" i="27"/>
  <c r="U6" i="27"/>
  <c r="C46" i="27"/>
  <c r="E46" i="27"/>
  <c r="W47" i="27"/>
  <c r="U47" i="27"/>
  <c r="AE48" i="27" s="1"/>
  <c r="X47" i="27"/>
  <c r="AE52" i="27" s="1"/>
  <c r="V46" i="27"/>
  <c r="S56" i="27"/>
  <c r="BC47" i="27"/>
  <c r="BA47" i="27"/>
  <c r="Y84" i="27"/>
  <c r="Z84" i="27" s="1"/>
  <c r="AO88" i="27"/>
  <c r="AP88" i="27" s="1"/>
  <c r="BA84" i="27"/>
  <c r="AY84" i="27"/>
  <c r="AY90" i="27" s="1"/>
  <c r="G126" i="27"/>
  <c r="G130" i="27" s="1"/>
  <c r="C126" i="27"/>
  <c r="E126" i="27"/>
  <c r="E130" i="27" s="1"/>
  <c r="AK127" i="27"/>
  <c r="AI127" i="27"/>
  <c r="AO127" i="27" s="1"/>
  <c r="AP127" i="27" s="1"/>
  <c r="I166" i="27"/>
  <c r="J166" i="27" s="1"/>
  <c r="N53" i="30"/>
  <c r="AJ54" i="30"/>
  <c r="C94" i="30"/>
  <c r="S15" i="30"/>
  <c r="Q7" i="30" s="1"/>
  <c r="U9" i="30" s="1"/>
  <c r="AJ6" i="30"/>
  <c r="AJ11" i="30" s="1"/>
  <c r="C31" i="30"/>
  <c r="N29" i="30"/>
  <c r="E51" i="30"/>
  <c r="N75" i="30"/>
  <c r="C91" i="30"/>
  <c r="E10" i="27"/>
  <c r="G10" i="27"/>
  <c r="BC124" i="27"/>
  <c r="AK90" i="27"/>
  <c r="AM8" i="27"/>
  <c r="AO8" i="27" s="1"/>
  <c r="AP8" i="27" s="1"/>
  <c r="AI8" i="27"/>
  <c r="G45" i="27"/>
  <c r="C45" i="27"/>
  <c r="I45" i="27" s="1"/>
  <c r="J45" i="27" s="1"/>
  <c r="G50" i="27"/>
  <c r="C50" i="27"/>
  <c r="AM48" i="27"/>
  <c r="AK48" i="27"/>
  <c r="AI48" i="27"/>
  <c r="AM50" i="27"/>
  <c r="C85" i="27"/>
  <c r="E85" i="27"/>
  <c r="W85" i="27"/>
  <c r="U85" i="27"/>
  <c r="S87" i="27"/>
  <c r="W87" i="27"/>
  <c r="U87" i="27"/>
  <c r="AO85" i="27"/>
  <c r="AP85" i="27" s="1"/>
  <c r="BC88" i="27"/>
  <c r="BA88" i="27"/>
  <c r="S127" i="27"/>
  <c r="W127" i="27"/>
  <c r="AI126" i="27"/>
  <c r="AK126" i="27"/>
  <c r="AK130" i="27" s="1"/>
  <c r="BC125" i="27"/>
  <c r="AY125" i="27"/>
  <c r="BA125" i="27"/>
  <c r="AY127" i="27"/>
  <c r="BE128" i="27"/>
  <c r="BF128" i="27" s="1"/>
  <c r="BE167" i="27"/>
  <c r="BF167" i="27" s="1"/>
  <c r="AA11" i="35"/>
  <c r="W7" i="27"/>
  <c r="S7" i="27"/>
  <c r="U7" i="27"/>
  <c r="W10" i="27"/>
  <c r="U10" i="27"/>
  <c r="BC5" i="27"/>
  <c r="BA5" i="27"/>
  <c r="BC8" i="27"/>
  <c r="AY8" i="27"/>
  <c r="E47" i="27"/>
  <c r="S46" i="27"/>
  <c r="U46" i="27"/>
  <c r="W48" i="27"/>
  <c r="W51" i="27" s="1"/>
  <c r="U48" i="27"/>
  <c r="S48" i="27"/>
  <c r="S50" i="27"/>
  <c r="AO50" i="27"/>
  <c r="AP50" i="27" s="1"/>
  <c r="BC46" i="27"/>
  <c r="BA46" i="27"/>
  <c r="BC48" i="27"/>
  <c r="AY48" i="27"/>
  <c r="BA48" i="27"/>
  <c r="U89" i="27"/>
  <c r="S89" i="27"/>
  <c r="AI89" i="27"/>
  <c r="AM89" i="27"/>
  <c r="C129" i="27"/>
  <c r="E129" i="27"/>
  <c r="G129" i="27"/>
  <c r="W124" i="27"/>
  <c r="S124" i="27"/>
  <c r="W129" i="27"/>
  <c r="U129" i="27"/>
  <c r="AY124" i="27"/>
  <c r="G164" i="27"/>
  <c r="G170" i="27" s="1"/>
  <c r="E164" i="27"/>
  <c r="W166" i="27"/>
  <c r="S166" i="27"/>
  <c r="AO164" i="27"/>
  <c r="AP164" i="27" s="1"/>
  <c r="AM167" i="27"/>
  <c r="AM170" i="27" s="1"/>
  <c r="AI167" i="27"/>
  <c r="BC165" i="27"/>
  <c r="BC170" i="27" s="1"/>
  <c r="AY165" i="27"/>
  <c r="BE166" i="27"/>
  <c r="BF166" i="27" s="1"/>
  <c r="C7" i="27"/>
  <c r="U8" i="27"/>
  <c r="U9" i="27"/>
  <c r="S45" i="27"/>
  <c r="S49" i="27"/>
  <c r="BC49" i="27"/>
  <c r="BA168" i="27"/>
  <c r="I165" i="27"/>
  <c r="J165" i="27" s="1"/>
  <c r="BE86" i="27"/>
  <c r="BF86" i="27" s="1"/>
  <c r="BE168" i="27"/>
  <c r="BF168" i="27" s="1"/>
  <c r="BD297" i="4"/>
  <c r="BE297" i="4" s="1"/>
  <c r="BD182" i="4"/>
  <c r="BE182" i="4" s="1"/>
  <c r="BD250" i="4"/>
  <c r="BE250" i="4" s="1"/>
  <c r="BD24" i="4"/>
  <c r="BE24" i="4" s="1"/>
  <c r="BD135" i="4"/>
  <c r="BE135" i="4" s="1"/>
  <c r="BD76" i="4"/>
  <c r="BE76" i="4" s="1"/>
  <c r="BD183" i="4"/>
  <c r="BE183" i="4" s="1"/>
  <c r="BD241" i="4"/>
  <c r="BE241" i="4" s="1"/>
  <c r="BD78" i="4"/>
  <c r="BE78" i="4" s="1"/>
  <c r="BD185" i="4"/>
  <c r="BE185" i="4" s="1"/>
  <c r="BD204" i="4"/>
  <c r="BE204" i="4" s="1"/>
  <c r="BD212" i="4"/>
  <c r="BE212" i="4" s="1"/>
  <c r="BD200" i="4"/>
  <c r="BE200" i="4" s="1"/>
  <c r="BD123" i="4"/>
  <c r="BE123" i="4" s="1"/>
  <c r="BD291" i="4"/>
  <c r="BE291" i="4" s="1"/>
  <c r="BD90" i="4"/>
  <c r="BE90" i="4" s="1"/>
  <c r="BD18" i="4"/>
  <c r="BE18" i="4" s="1"/>
  <c r="BD220" i="4"/>
  <c r="BE220" i="4" s="1"/>
  <c r="BD296" i="4"/>
  <c r="BE296" i="4" s="1"/>
  <c r="BD274" i="4"/>
  <c r="BE274" i="4" s="1"/>
  <c r="BD285" i="4"/>
  <c r="BE285" i="4" s="1"/>
  <c r="BD262" i="4"/>
  <c r="BE262" i="4" s="1"/>
  <c r="BD255" i="4"/>
  <c r="BE255" i="4" s="1"/>
  <c r="BD121" i="4"/>
  <c r="BE121" i="4" s="1"/>
  <c r="BD52" i="4"/>
  <c r="BE52" i="4" s="1"/>
  <c r="BD299" i="4"/>
  <c r="BE299" i="4" s="1"/>
  <c r="BD275" i="4"/>
  <c r="BE275" i="4" s="1"/>
  <c r="BD298" i="4"/>
  <c r="BE298" i="4" s="1"/>
  <c r="BD206" i="4"/>
  <c r="BE206" i="4" s="1"/>
  <c r="BD280" i="4"/>
  <c r="BE280" i="4" s="1"/>
  <c r="BD140" i="4"/>
  <c r="BE140" i="4" s="1"/>
  <c r="BD26" i="4"/>
  <c r="BE26" i="4" s="1"/>
  <c r="BD306" i="4"/>
  <c r="BD66" i="4"/>
  <c r="BE66" i="4" s="1"/>
  <c r="BD168" i="4"/>
  <c r="BE168" i="4" s="1"/>
  <c r="BD170" i="4"/>
  <c r="BE170" i="4" s="1"/>
  <c r="BD222" i="4"/>
  <c r="BE222" i="4" s="1"/>
  <c r="BD113" i="4"/>
  <c r="BE113" i="4" s="1"/>
  <c r="BD54" i="4"/>
  <c r="BE54" i="4" s="1"/>
  <c r="BD92" i="4"/>
  <c r="BE92" i="4" s="1"/>
  <c r="BD219" i="4"/>
  <c r="BE219" i="4" s="1"/>
  <c r="BD301" i="4"/>
  <c r="BE301" i="4" s="1"/>
  <c r="BD41" i="4"/>
  <c r="BE41" i="4" s="1"/>
  <c r="BD101" i="4"/>
  <c r="BE101" i="4" s="1"/>
  <c r="BD295" i="4"/>
  <c r="BE295" i="4" s="1"/>
  <c r="BD180" i="4"/>
  <c r="BE180" i="4" s="1"/>
  <c r="BD127" i="4"/>
  <c r="BE127" i="4" s="1"/>
  <c r="BD294" i="4"/>
  <c r="BE294" i="4" s="1"/>
  <c r="BD225" i="4"/>
  <c r="BE225" i="4" s="1"/>
  <c r="BD216" i="4"/>
  <c r="BE216" i="4" s="1"/>
  <c r="BD144" i="4"/>
  <c r="BE144" i="4" s="1"/>
  <c r="BD199" i="4"/>
  <c r="BE199" i="4" s="1"/>
  <c r="BD32" i="4"/>
  <c r="BE32" i="4" s="1"/>
  <c r="BD61" i="4"/>
  <c r="BE61" i="4" s="1"/>
  <c r="BD57" i="4"/>
  <c r="BE57" i="4" s="1"/>
  <c r="BD152" i="4"/>
  <c r="BE152" i="4" s="1"/>
  <c r="BD96" i="4"/>
  <c r="BE96" i="4" s="1"/>
  <c r="BD213" i="4"/>
  <c r="BE213" i="4" s="1"/>
  <c r="BD40" i="4"/>
  <c r="BE40" i="4" s="1"/>
  <c r="BD272" i="4"/>
  <c r="BE272" i="4" s="1"/>
  <c r="BD94" i="4"/>
  <c r="BE94" i="4" s="1"/>
  <c r="BD260" i="4"/>
  <c r="BE260" i="4" s="1"/>
  <c r="BD201" i="4"/>
  <c r="BE201" i="4" s="1"/>
  <c r="BD309" i="4"/>
  <c r="BE309" i="4" s="1"/>
  <c r="BD266" i="4"/>
  <c r="BE266" i="4" s="1"/>
  <c r="BD227" i="4"/>
  <c r="BE227" i="4" s="1"/>
  <c r="BD124" i="4"/>
  <c r="BE124" i="4" s="1"/>
  <c r="BD174" i="4"/>
  <c r="BE174" i="4" s="1"/>
  <c r="BD88" i="4"/>
  <c r="BE88" i="4" s="1"/>
  <c r="BD14" i="4"/>
  <c r="BE14" i="4" s="1"/>
  <c r="BD79" i="4"/>
  <c r="BE79" i="4" s="1"/>
  <c r="BD240" i="4"/>
  <c r="BE240" i="4" s="1"/>
  <c r="BD20" i="4"/>
  <c r="BE20" i="4" s="1"/>
  <c r="BD276" i="4"/>
  <c r="BE276" i="4" s="1"/>
  <c r="BD257" i="4"/>
  <c r="BE257" i="4" s="1"/>
  <c r="BD238" i="4"/>
  <c r="BE238" i="4" s="1"/>
  <c r="BD165" i="4"/>
  <c r="BE165" i="4" s="1"/>
  <c r="BD82" i="4"/>
  <c r="BE82" i="4" s="1"/>
  <c r="BD175" i="4"/>
  <c r="BE175" i="4" s="1"/>
  <c r="BD188" i="4"/>
  <c r="BE188" i="4" s="1"/>
  <c r="BD105" i="4"/>
  <c r="BE105" i="4" s="1"/>
  <c r="BD22" i="4"/>
  <c r="BE22" i="4" s="1"/>
  <c r="BD278" i="4"/>
  <c r="BE278" i="4" s="1"/>
  <c r="BD112" i="4"/>
  <c r="BE112" i="4" s="1"/>
  <c r="BD154" i="4"/>
  <c r="BE154" i="4" s="1"/>
  <c r="BD247" i="4"/>
  <c r="BE247" i="4" s="1"/>
  <c r="BD29" i="4"/>
  <c r="BE29" i="4" s="1"/>
  <c r="BD27" i="4"/>
  <c r="BE27" i="4" s="1"/>
  <c r="BD283" i="4"/>
  <c r="BE283" i="4" s="1"/>
  <c r="BD264" i="4"/>
  <c r="BE264" i="4" s="1"/>
  <c r="BD245" i="4"/>
  <c r="BE245" i="4" s="1"/>
  <c r="BD156" i="4"/>
  <c r="BE156" i="4" s="1"/>
  <c r="BD137" i="4"/>
  <c r="BE137" i="4" s="1"/>
  <c r="BD118" i="4"/>
  <c r="BE118" i="4" s="1"/>
  <c r="BD132" i="4"/>
  <c r="BE132" i="4" s="1"/>
  <c r="BD177" i="4"/>
  <c r="BE177" i="4" s="1"/>
  <c r="BD286" i="4"/>
  <c r="BE286" i="4" s="1"/>
  <c r="BD80" i="4"/>
  <c r="BE80" i="4" s="1"/>
  <c r="BD59" i="4"/>
  <c r="BE59" i="4" s="1"/>
  <c r="BD315" i="4"/>
  <c r="BE315" i="4" s="1"/>
  <c r="BD232" i="4"/>
  <c r="BE232" i="4" s="1"/>
  <c r="BD149" i="4"/>
  <c r="BE149" i="4" s="1"/>
  <c r="BD130" i="4"/>
  <c r="BE130" i="4" s="1"/>
  <c r="BD304" i="4"/>
  <c r="BE304" i="4" s="1"/>
  <c r="BD242" i="4"/>
  <c r="BE242" i="4" s="1"/>
  <c r="BD77" i="4"/>
  <c r="BE77" i="4" s="1"/>
  <c r="BD244" i="4"/>
  <c r="BE244" i="4" s="1"/>
  <c r="BD313" i="4"/>
  <c r="BE313" i="4" s="1"/>
  <c r="BD207" i="4"/>
  <c r="BE207" i="4" s="1"/>
  <c r="BD67" i="4"/>
  <c r="BE67" i="4" s="1"/>
  <c r="BD114" i="4"/>
  <c r="BE114" i="4" s="1"/>
  <c r="BD122" i="4"/>
  <c r="BE122" i="4" s="1"/>
  <c r="BD289" i="4"/>
  <c r="BE289" i="4" s="1"/>
  <c r="BD102" i="4"/>
  <c r="BE102" i="4" s="1"/>
  <c r="BD12" i="4"/>
  <c r="BE12" i="4" s="1"/>
  <c r="BD13" i="4"/>
  <c r="BE13" i="4" s="1"/>
  <c r="BD258" i="4"/>
  <c r="BE258" i="4" s="1"/>
  <c r="BD133" i="4"/>
  <c r="BE133" i="4" s="1"/>
  <c r="BD43" i="4"/>
  <c r="BE43" i="4" s="1"/>
  <c r="BD142" i="4"/>
  <c r="BE142" i="4" s="1"/>
  <c r="BD160" i="4"/>
  <c r="BE160" i="4" s="1"/>
  <c r="BD63" i="4"/>
  <c r="BE63" i="4" s="1"/>
  <c r="BD162" i="4"/>
  <c r="BE162" i="4" s="1"/>
  <c r="BD111" i="4"/>
  <c r="BE111" i="4" s="1"/>
  <c r="BD239" i="4"/>
  <c r="BE239" i="4" s="1"/>
  <c r="BD282" i="4"/>
  <c r="BE282" i="4" s="1"/>
  <c r="BD84" i="4"/>
  <c r="BE84" i="4" s="1"/>
  <c r="BD65" i="4"/>
  <c r="BE65" i="4" s="1"/>
  <c r="BD46" i="4"/>
  <c r="BE46" i="4" s="1"/>
  <c r="BD302" i="4"/>
  <c r="BE302" i="4" s="1"/>
  <c r="BD229" i="4"/>
  <c r="BE229" i="4" s="1"/>
  <c r="BD146" i="4"/>
  <c r="BE146" i="4" s="1"/>
  <c r="BD271" i="4"/>
  <c r="BE271" i="4" s="1"/>
  <c r="BD252" i="4"/>
  <c r="BE252" i="4" s="1"/>
  <c r="BD169" i="4"/>
  <c r="BE169" i="4" s="1"/>
  <c r="BD86" i="4"/>
  <c r="BE86" i="4" s="1"/>
  <c r="BD19" i="4"/>
  <c r="BD288" i="4"/>
  <c r="BE288" i="4" s="1"/>
  <c r="BD55" i="4"/>
  <c r="BE55" i="4" s="1"/>
  <c r="BD311" i="4"/>
  <c r="BD237" i="4"/>
  <c r="BE237" i="4" s="1"/>
  <c r="BD91" i="4"/>
  <c r="BE91" i="4" s="1"/>
  <c r="BD72" i="4"/>
  <c r="BE72" i="4" s="1"/>
  <c r="BD53" i="4"/>
  <c r="BE53" i="4" s="1"/>
  <c r="BD131" i="4"/>
  <c r="BE131" i="4" s="1"/>
  <c r="BD270" i="4"/>
  <c r="BE270" i="4" s="1"/>
  <c r="BD290" i="4"/>
  <c r="BE290" i="4" s="1"/>
  <c r="BD281" i="4"/>
  <c r="BE281" i="4" s="1"/>
  <c r="BD231" i="4"/>
  <c r="BE231" i="4" s="1"/>
  <c r="BD148" i="4"/>
  <c r="BE148" i="4" s="1"/>
  <c r="BD129" i="4"/>
  <c r="BE129" i="4" s="1"/>
  <c r="BD110" i="4"/>
  <c r="BE110" i="4" s="1"/>
  <c r="BD37" i="4"/>
  <c r="BE37" i="4" s="1"/>
  <c r="BD293" i="4"/>
  <c r="BE293" i="4" s="1"/>
  <c r="BD15" i="4"/>
  <c r="BE15" i="4" s="1"/>
  <c r="BD60" i="4"/>
  <c r="BE60" i="4" s="1"/>
  <c r="BD316" i="4"/>
  <c r="BE316" i="4" s="1"/>
  <c r="BD233" i="4"/>
  <c r="BE233" i="4" s="1"/>
  <c r="BD150" i="4"/>
  <c r="BE150" i="4" s="1"/>
  <c r="BD115" i="4"/>
  <c r="BE115" i="4" s="1"/>
  <c r="BD141" i="4"/>
  <c r="BE141" i="4" s="1"/>
  <c r="BD119" i="4"/>
  <c r="BE119" i="4" s="1"/>
  <c r="BD163" i="4"/>
  <c r="BE163" i="4" s="1"/>
  <c r="BD74" i="4"/>
  <c r="BE74" i="4" s="1"/>
  <c r="BD155" i="4"/>
  <c r="BE155" i="4" s="1"/>
  <c r="BD136" i="4"/>
  <c r="BE136" i="4" s="1"/>
  <c r="BD117" i="4"/>
  <c r="BE117" i="4" s="1"/>
  <c r="BD28" i="4"/>
  <c r="BE28" i="4" s="1"/>
  <c r="BD284" i="4"/>
  <c r="BE284" i="4" s="1"/>
  <c r="BD265" i="4"/>
  <c r="BE265" i="4" s="1"/>
  <c r="BD246" i="4"/>
  <c r="BE246" i="4" s="1"/>
  <c r="BD49" i="4"/>
  <c r="BE49" i="4" s="1"/>
  <c r="BD305" i="4"/>
  <c r="BE305" i="4" s="1"/>
  <c r="BD158" i="4"/>
  <c r="BE158" i="4" s="1"/>
  <c r="BD11" i="4"/>
  <c r="BE11" i="4" s="1"/>
  <c r="BD125" i="4"/>
  <c r="BE125" i="4" s="1"/>
  <c r="BD187" i="4"/>
  <c r="BE187" i="4" s="1"/>
  <c r="BD104" i="4"/>
  <c r="BE104" i="4" s="1"/>
  <c r="BD21" i="4"/>
  <c r="BD277" i="4"/>
  <c r="BE277" i="4" s="1"/>
  <c r="BD42" i="4"/>
  <c r="BE42" i="4" s="1"/>
  <c r="BD243" i="4"/>
  <c r="BE243" i="4" s="1"/>
  <c r="BD178" i="4"/>
  <c r="BE178" i="4" s="1"/>
  <c r="BD235" i="4"/>
  <c r="BE235" i="4" s="1"/>
  <c r="BD71" i="4"/>
  <c r="BE71" i="4" s="1"/>
  <c r="BD230" i="4"/>
  <c r="BE230" i="4" s="1"/>
  <c r="BD138" i="4"/>
  <c r="BE138" i="4" s="1"/>
  <c r="BD192" i="4"/>
  <c r="BE192" i="4" s="1"/>
  <c r="BD197" i="4"/>
  <c r="BE197" i="4" s="1"/>
  <c r="BD107" i="4"/>
  <c r="BE107" i="4" s="1"/>
  <c r="BD33" i="4"/>
  <c r="BE33" i="4" s="1"/>
  <c r="BD35" i="4"/>
  <c r="BE35" i="4" s="1"/>
  <c r="BD31" i="4"/>
  <c r="BE31" i="4" s="1"/>
  <c r="BD205" i="4"/>
  <c r="BE205" i="4" s="1"/>
  <c r="BD194" i="4"/>
  <c r="BE194" i="4" s="1"/>
  <c r="BD211" i="4"/>
  <c r="BE211" i="4" s="1"/>
  <c r="BD308" i="4"/>
  <c r="BE308" i="4" s="1"/>
  <c r="BD202" i="4"/>
  <c r="BE202" i="4" s="1"/>
  <c r="BD38" i="4"/>
  <c r="BE38" i="4" s="1"/>
  <c r="BD287" i="4"/>
  <c r="BE287" i="4" s="1"/>
  <c r="BD191" i="4"/>
  <c r="BE191" i="4" s="1"/>
  <c r="BD50" i="4"/>
  <c r="BE50" i="4" s="1"/>
  <c r="BD268" i="4"/>
  <c r="BE268" i="4" s="1"/>
  <c r="BD116" i="4"/>
  <c r="BE116" i="4" s="1"/>
  <c r="BD210" i="4"/>
  <c r="BE210" i="4" s="1"/>
  <c r="BD253" i="4"/>
  <c r="BE253" i="4" s="1"/>
  <c r="BD161" i="4"/>
  <c r="BE161" i="4" s="1"/>
  <c r="BD69" i="4"/>
  <c r="BE69" i="4" s="1"/>
  <c r="BD157" i="4"/>
  <c r="BE157" i="4" s="1"/>
  <c r="BD85" i="4"/>
  <c r="BE85" i="4" s="1"/>
  <c r="BD251" i="4"/>
  <c r="BE251" i="4" s="1"/>
  <c r="BD259" i="4"/>
  <c r="BE259" i="4" s="1"/>
  <c r="BD30" i="4"/>
  <c r="BE30" i="4" s="1"/>
  <c r="BD310" i="4"/>
  <c r="BE310" i="4" s="1"/>
  <c r="BD73" i="4"/>
  <c r="BE73" i="4" s="1"/>
  <c r="BD181" i="4"/>
  <c r="BE181" i="4" s="1"/>
  <c r="BD176" i="4"/>
  <c r="BE176" i="4" s="1"/>
  <c r="BD214" i="4"/>
  <c r="BE214" i="4" s="1"/>
  <c r="BD95" i="4"/>
  <c r="BE95" i="4" s="1"/>
  <c r="BD193" i="4"/>
  <c r="BE193" i="4" s="1"/>
  <c r="BD97" i="4"/>
  <c r="BE97" i="4" s="1"/>
  <c r="BD186" i="4"/>
  <c r="BE186" i="4" s="1"/>
  <c r="C1238" i="31"/>
  <c r="J42" i="27"/>
  <c r="S57" i="27"/>
  <c r="D654" i="31"/>
  <c r="H859" i="31"/>
  <c r="U583" i="31"/>
  <c r="P692" i="31"/>
  <c r="S806" i="31"/>
  <c r="H38" i="30"/>
  <c r="F32" i="30" s="1"/>
  <c r="H33" i="30" s="1"/>
  <c r="U24" i="30"/>
  <c r="U45" i="30" s="1"/>
  <c r="S59" i="30" s="1"/>
  <c r="P23" i="35"/>
  <c r="Q31" i="35" s="1"/>
  <c r="S38" i="30"/>
  <c r="Q28" i="30" s="1"/>
  <c r="S32" i="30" s="1"/>
  <c r="J66" i="30"/>
  <c r="J87" i="30" s="1"/>
  <c r="H101" i="30" s="1"/>
  <c r="H59" i="30"/>
  <c r="D53" i="30" s="1"/>
  <c r="H50" i="30" s="1"/>
  <c r="D5" i="30"/>
  <c r="H5" i="30" s="1"/>
  <c r="AD59" i="30"/>
  <c r="Z51" i="30" s="1"/>
  <c r="AF49" i="30" s="1"/>
  <c r="AF66" i="30"/>
  <c r="AF87" i="30" s="1"/>
  <c r="AD101" i="30" s="1"/>
  <c r="U66" i="30"/>
  <c r="U87" i="30" s="1"/>
  <c r="S101" i="30" s="1"/>
  <c r="O94" i="30" s="1"/>
  <c r="AD15" i="30"/>
  <c r="AB7" i="30" s="1"/>
  <c r="AF9" i="30" s="1"/>
  <c r="AD38" i="30"/>
  <c r="Z32" i="30" s="1"/>
  <c r="AQ1" i="30"/>
  <c r="BI231" i="4"/>
  <c r="BJ231" i="4" s="1"/>
  <c r="BI72" i="4"/>
  <c r="BJ72" i="4" s="1"/>
  <c r="BI300" i="4"/>
  <c r="BJ300" i="4" s="1"/>
  <c r="BI34" i="4"/>
  <c r="BJ34" i="4" s="1"/>
  <c r="BI223" i="4"/>
  <c r="BJ223" i="4" s="1"/>
  <c r="BI295" i="4"/>
  <c r="BJ295" i="4" s="1"/>
  <c r="BI188" i="4"/>
  <c r="BJ188" i="4" s="1"/>
  <c r="BI264" i="4"/>
  <c r="BJ264" i="4" s="1"/>
  <c r="BI255" i="4"/>
  <c r="BJ255" i="4" s="1"/>
  <c r="BI141" i="4"/>
  <c r="BJ141" i="4" s="1"/>
  <c r="BI134" i="4"/>
  <c r="BJ134" i="4" s="1"/>
  <c r="BI161" i="4"/>
  <c r="BJ161" i="4" s="1"/>
  <c r="BI310" i="4"/>
  <c r="BI131" i="4"/>
  <c r="BJ131" i="4" s="1"/>
  <c r="BI159" i="4"/>
  <c r="BJ159" i="4" s="1"/>
  <c r="BI240" i="4"/>
  <c r="BJ240" i="4" s="1"/>
  <c r="BI212" i="4"/>
  <c r="BJ212" i="4" s="1"/>
  <c r="BI133" i="4"/>
  <c r="BJ133" i="4" s="1"/>
  <c r="G9" i="31"/>
  <c r="BI148" i="4"/>
  <c r="BJ148" i="4" s="1"/>
  <c r="BI139" i="4"/>
  <c r="BJ139" i="4" s="1"/>
  <c r="BI92" i="4"/>
  <c r="BJ92" i="4" s="1"/>
  <c r="BI305" i="4"/>
  <c r="BI84" i="4"/>
  <c r="BJ84" i="4" s="1"/>
  <c r="BI86" i="4"/>
  <c r="BJ86" i="4" s="1"/>
  <c r="BI268" i="4"/>
  <c r="BJ268" i="4" s="1"/>
  <c r="BI70" i="4"/>
  <c r="BJ70" i="4" s="1"/>
  <c r="BI249" i="4"/>
  <c r="BJ249" i="4" s="1"/>
  <c r="BI261" i="4"/>
  <c r="BJ261" i="4" s="1"/>
  <c r="BI199" i="4"/>
  <c r="BJ199" i="4" s="1"/>
  <c r="BI160" i="4"/>
  <c r="BJ160" i="4" s="1"/>
  <c r="BI258" i="4"/>
  <c r="BJ258" i="4" s="1"/>
  <c r="BI94" i="4"/>
  <c r="BJ94" i="4" s="1"/>
  <c r="BI41" i="4"/>
  <c r="BJ41" i="4" s="1"/>
  <c r="BI16" i="4"/>
  <c r="BJ16" i="4" s="1"/>
  <c r="BI297" i="4"/>
  <c r="BJ297" i="4" s="1"/>
  <c r="BI112" i="4"/>
  <c r="BJ112" i="4" s="1"/>
  <c r="BI292" i="4"/>
  <c r="BJ292" i="4" s="1"/>
  <c r="BI299" i="4"/>
  <c r="BJ299" i="4" s="1"/>
  <c r="BI175" i="4"/>
  <c r="BJ175" i="4" s="1"/>
  <c r="BI138" i="4"/>
  <c r="BJ138" i="4" s="1"/>
  <c r="BI181" i="4"/>
  <c r="BJ181" i="4" s="1"/>
  <c r="AL704" i="31"/>
  <c r="D704" i="31"/>
  <c r="C184" i="31"/>
  <c r="AL184" i="31"/>
  <c r="AL130" i="31"/>
  <c r="D130" i="31"/>
  <c r="AC1" i="31"/>
  <c r="AC2" i="31"/>
  <c r="BI239" i="4"/>
  <c r="BJ239" i="4" s="1"/>
  <c r="BI47" i="4"/>
  <c r="BJ47" i="4" s="1"/>
  <c r="BI91" i="4"/>
  <c r="BJ91" i="4" s="1"/>
  <c r="BI207" i="4"/>
  <c r="BJ207" i="4" s="1"/>
  <c r="BI308" i="4"/>
  <c r="BI279" i="4"/>
  <c r="BJ279" i="4" s="1"/>
  <c r="BI290" i="4"/>
  <c r="BJ290" i="4" s="1"/>
  <c r="BI216" i="4"/>
  <c r="BJ216" i="4" s="1"/>
  <c r="BI222" i="4"/>
  <c r="BJ222" i="4" s="1"/>
  <c r="BI272" i="4"/>
  <c r="BJ272" i="4" s="1"/>
  <c r="BI71" i="4"/>
  <c r="BJ71" i="4" s="1"/>
  <c r="BI157" i="4"/>
  <c r="BJ157" i="4" s="1"/>
  <c r="BI198" i="4"/>
  <c r="BJ198" i="4" s="1"/>
  <c r="BI265" i="4"/>
  <c r="BJ265" i="4" s="1"/>
  <c r="BI12" i="4"/>
  <c r="BJ12" i="4" s="1"/>
  <c r="BI46" i="4"/>
  <c r="BJ46" i="4" s="1"/>
  <c r="BI106" i="4"/>
  <c r="BJ106" i="4" s="1"/>
  <c r="BI99" i="4"/>
  <c r="BJ99" i="4" s="1"/>
  <c r="BI195" i="4"/>
  <c r="BJ195" i="4" s="1"/>
  <c r="BI251" i="4"/>
  <c r="BJ251" i="4" s="1"/>
  <c r="BI214" i="4"/>
  <c r="BJ214" i="4" s="1"/>
  <c r="BI224" i="4"/>
  <c r="BJ224" i="4" s="1"/>
  <c r="BI193" i="4"/>
  <c r="BJ193" i="4" s="1"/>
  <c r="BI19" i="4"/>
  <c r="BJ19" i="4" s="1"/>
  <c r="BI227" i="4"/>
  <c r="BJ227" i="4" s="1"/>
  <c r="BI248" i="4"/>
  <c r="BJ248" i="4" s="1"/>
  <c r="BI22" i="4"/>
  <c r="BJ22" i="4" s="1"/>
  <c r="BI253" i="4"/>
  <c r="BJ253" i="4" s="1"/>
  <c r="BI291" i="4"/>
  <c r="BJ291" i="4" s="1"/>
  <c r="BI163" i="4"/>
  <c r="BJ163" i="4" s="1"/>
  <c r="BI121" i="4"/>
  <c r="BJ121" i="4" s="1"/>
  <c r="BI187" i="4"/>
  <c r="BJ187" i="4" s="1"/>
  <c r="BI197" i="4"/>
  <c r="BJ197" i="4" s="1"/>
  <c r="BI172" i="4"/>
  <c r="BJ172" i="4" s="1"/>
  <c r="BI288" i="4"/>
  <c r="BJ288" i="4" s="1"/>
  <c r="BI111" i="4"/>
  <c r="BJ111" i="4" s="1"/>
  <c r="BI185" i="4"/>
  <c r="BJ185" i="4" s="1"/>
  <c r="BI250" i="4"/>
  <c r="BJ250" i="4" s="1"/>
  <c r="BI44" i="4"/>
  <c r="BJ44" i="4" s="1"/>
  <c r="BI262" i="4"/>
  <c r="BJ262" i="4" s="1"/>
  <c r="BI315" i="4"/>
  <c r="BI95" i="4"/>
  <c r="BJ95" i="4" s="1"/>
  <c r="BI301" i="4"/>
  <c r="BJ301" i="4" s="1"/>
  <c r="BI151" i="4"/>
  <c r="BJ151" i="4" s="1"/>
  <c r="BI241" i="4"/>
  <c r="BJ241" i="4" s="1"/>
  <c r="BI273" i="4"/>
  <c r="BJ273" i="4" s="1"/>
  <c r="BI278" i="4"/>
  <c r="BJ278" i="4" s="1"/>
  <c r="BI252" i="4"/>
  <c r="BJ252" i="4" s="1"/>
  <c r="BI74" i="4"/>
  <c r="BJ74" i="4" s="1"/>
  <c r="BI282" i="4"/>
  <c r="BJ282" i="4" s="1"/>
  <c r="BI125" i="4"/>
  <c r="BJ125" i="4" s="1"/>
  <c r="BI48" i="4"/>
  <c r="BJ48" i="4" s="1"/>
  <c r="BI150" i="4"/>
  <c r="BJ150" i="4" s="1"/>
  <c r="BI53" i="4"/>
  <c r="BJ53" i="4" s="1"/>
  <c r="BI107" i="4"/>
  <c r="BJ107" i="4" s="1"/>
  <c r="BI57" i="4"/>
  <c r="BJ57" i="4" s="1"/>
  <c r="BI24" i="4"/>
  <c r="BJ24" i="4" s="1"/>
  <c r="BI79" i="4"/>
  <c r="BJ79" i="4" s="1"/>
  <c r="BI168" i="4"/>
  <c r="BJ168" i="4" s="1"/>
  <c r="BI123" i="4"/>
  <c r="BJ123" i="4" s="1"/>
  <c r="BI114" i="4"/>
  <c r="BJ114" i="4" s="1"/>
  <c r="BI137" i="4"/>
  <c r="BJ137" i="4" s="1"/>
  <c r="BI124" i="4"/>
  <c r="BJ124" i="4" s="1"/>
  <c r="BI50" i="4"/>
  <c r="BJ50" i="4" s="1"/>
  <c r="BI306" i="4"/>
  <c r="BJ306" i="4" s="1"/>
  <c r="BI192" i="4"/>
  <c r="BJ192" i="4" s="1"/>
  <c r="BI42" i="4"/>
  <c r="BJ42" i="4" s="1"/>
  <c r="BI259" i="4"/>
  <c r="BJ259" i="4" s="1"/>
  <c r="BI202" i="4"/>
  <c r="BJ202" i="4" s="1"/>
  <c r="BI280" i="4"/>
  <c r="BJ280" i="4" s="1"/>
  <c r="BI257" i="4"/>
  <c r="BJ257" i="4" s="1"/>
  <c r="BI129" i="4"/>
  <c r="BJ129" i="4" s="1"/>
  <c r="BI143" i="4"/>
  <c r="BJ143" i="4" s="1"/>
  <c r="BI235" i="4"/>
  <c r="BJ235" i="4" s="1"/>
  <c r="BI26" i="4"/>
  <c r="BJ26" i="4" s="1"/>
  <c r="BI221" i="4"/>
  <c r="BJ221" i="4" s="1"/>
  <c r="BI245" i="4"/>
  <c r="BJ245" i="4" s="1"/>
  <c r="BI75" i="4"/>
  <c r="BJ75" i="4" s="1"/>
  <c r="BI164" i="4"/>
  <c r="BJ164" i="4" s="1"/>
  <c r="BI304" i="4"/>
  <c r="BJ304" i="4" s="1"/>
  <c r="BI191" i="4"/>
  <c r="BJ191" i="4" s="1"/>
  <c r="BI217" i="4"/>
  <c r="BJ217" i="4" s="1"/>
  <c r="BI60" i="4"/>
  <c r="BJ60" i="4" s="1"/>
  <c r="BI275" i="4"/>
  <c r="BJ275" i="4" s="1"/>
  <c r="BI313" i="4"/>
  <c r="BI69" i="4"/>
  <c r="BJ69" i="4" s="1"/>
  <c r="BI281" i="4"/>
  <c r="BJ281" i="4" s="1"/>
  <c r="BI179" i="4"/>
  <c r="BJ179" i="4" s="1"/>
  <c r="BI225" i="4"/>
  <c r="BJ225" i="4" s="1"/>
  <c r="BI174" i="4"/>
  <c r="BJ174" i="4" s="1"/>
  <c r="BI152" i="4"/>
  <c r="BJ152" i="4" s="1"/>
  <c r="BI173" i="4"/>
  <c r="BJ173" i="4" s="1"/>
  <c r="BI98" i="4"/>
  <c r="BJ98" i="4" s="1"/>
  <c r="BI204" i="4"/>
  <c r="BJ204" i="4" s="1"/>
  <c r="BI178" i="4"/>
  <c r="BJ178" i="4" s="1"/>
  <c r="BI128" i="4"/>
  <c r="BJ128" i="4" s="1"/>
  <c r="BI51" i="4"/>
  <c r="BJ51" i="4" s="1"/>
  <c r="BI274" i="4"/>
  <c r="BJ274" i="4" s="1"/>
  <c r="BI109" i="4"/>
  <c r="BJ109" i="4" s="1"/>
  <c r="BI171" i="4"/>
  <c r="BJ171" i="4" s="1"/>
  <c r="BI293" i="4"/>
  <c r="BJ293" i="4" s="1"/>
  <c r="BI206" i="4"/>
  <c r="BJ206" i="4" s="1"/>
  <c r="BI283" i="4"/>
  <c r="BJ283" i="4" s="1"/>
  <c r="BI126" i="4"/>
  <c r="BJ126" i="4" s="1"/>
  <c r="BI316" i="4"/>
  <c r="BI120" i="4"/>
  <c r="BJ120" i="4" s="1"/>
  <c r="BI43" i="4"/>
  <c r="BJ43" i="4" s="1"/>
  <c r="BI78" i="4"/>
  <c r="BJ78" i="4" s="1"/>
  <c r="BI97" i="4"/>
  <c r="BJ97" i="4" s="1"/>
  <c r="BI298" i="4"/>
  <c r="BJ298" i="4" s="1"/>
  <c r="BI318" i="4"/>
  <c r="BI52" i="4"/>
  <c r="BJ52" i="4" s="1"/>
  <c r="BI28" i="4"/>
  <c r="BJ28" i="4" s="1"/>
  <c r="BI64" i="4"/>
  <c r="BJ64" i="4" s="1"/>
  <c r="BI144" i="4"/>
  <c r="BJ144" i="4" s="1"/>
  <c r="BI269" i="4"/>
  <c r="BJ269" i="4" s="1"/>
  <c r="BI155" i="4"/>
  <c r="BJ155" i="4" s="1"/>
  <c r="BI167" i="4"/>
  <c r="BJ167" i="4" s="1"/>
  <c r="BI32" i="4"/>
  <c r="BJ32" i="4" s="1"/>
  <c r="BI228" i="4"/>
  <c r="BJ228" i="4" s="1"/>
  <c r="BI194" i="4"/>
  <c r="BJ194" i="4" s="1"/>
  <c r="BI82" i="4"/>
  <c r="BJ82" i="4" s="1"/>
  <c r="BI294" i="4"/>
  <c r="BJ294" i="4" s="1"/>
  <c r="BI140" i="4"/>
  <c r="BJ140" i="4" s="1"/>
  <c r="BI49" i="4"/>
  <c r="BJ49" i="4" s="1"/>
  <c r="BI247" i="4"/>
  <c r="BJ247" i="4" s="1"/>
  <c r="BI266" i="4"/>
  <c r="BJ266" i="4" s="1"/>
  <c r="BI63" i="4"/>
  <c r="BJ63" i="4" s="1"/>
  <c r="BI267" i="4"/>
  <c r="BJ267" i="4" s="1"/>
  <c r="BI55" i="4"/>
  <c r="BJ55" i="4" s="1"/>
  <c r="BI271" i="4"/>
  <c r="BJ271" i="4" s="1"/>
  <c r="BI209" i="4"/>
  <c r="BJ209" i="4" s="1"/>
  <c r="BI56" i="4"/>
  <c r="BJ56" i="4" s="1"/>
  <c r="BI158" i="4"/>
  <c r="BJ158" i="4" s="1"/>
  <c r="BI317" i="4"/>
  <c r="BI213" i="4"/>
  <c r="BJ213" i="4" s="1"/>
  <c r="BI218" i="4"/>
  <c r="BJ218" i="4" s="1"/>
  <c r="BI237" i="4"/>
  <c r="BJ237" i="4" s="1"/>
  <c r="BI182" i="4"/>
  <c r="BJ182" i="4" s="1"/>
  <c r="BI201" i="4"/>
  <c r="BJ201" i="4" s="1"/>
  <c r="BI117" i="4"/>
  <c r="BJ117" i="4" s="1"/>
  <c r="BI110" i="4"/>
  <c r="BJ110" i="4" s="1"/>
  <c r="BI145" i="4"/>
  <c r="BJ145" i="4" s="1"/>
  <c r="BI256" i="4"/>
  <c r="BJ256" i="4" s="1"/>
  <c r="BI196" i="4"/>
  <c r="BJ196" i="4" s="1"/>
  <c r="BI180" i="4"/>
  <c r="BJ180" i="4" s="1"/>
  <c r="BI153" i="4"/>
  <c r="BJ153" i="4" s="1"/>
  <c r="BI200" i="4"/>
  <c r="BJ200" i="4" s="1"/>
  <c r="BI287" i="4"/>
  <c r="BJ287" i="4" s="1"/>
  <c r="BI177" i="4"/>
  <c r="BJ177" i="4" s="1"/>
  <c r="BI307" i="4"/>
  <c r="BI14" i="4"/>
  <c r="BJ14" i="4" s="1"/>
  <c r="BI286" i="4"/>
  <c r="BJ286" i="4" s="1"/>
  <c r="BI30" i="4"/>
  <c r="BJ30" i="4" s="1"/>
  <c r="BI17" i="4"/>
  <c r="BJ17" i="4" s="1"/>
  <c r="BI130" i="4"/>
  <c r="BJ130" i="4" s="1"/>
  <c r="BI243" i="4"/>
  <c r="BJ243" i="4" s="1"/>
  <c r="BI220" i="4"/>
  <c r="BJ220" i="4" s="1"/>
  <c r="BI13" i="4"/>
  <c r="BJ13" i="4" s="1"/>
  <c r="BI277" i="4"/>
  <c r="BJ277" i="4" s="1"/>
  <c r="BI232" i="4"/>
  <c r="BJ232" i="4" s="1"/>
  <c r="BI263" i="4"/>
  <c r="BJ263" i="4" s="1"/>
  <c r="BI23" i="4"/>
  <c r="BJ23" i="4" s="1"/>
  <c r="BI73" i="4"/>
  <c r="BJ73" i="4" s="1"/>
  <c r="BI33" i="4"/>
  <c r="BJ33" i="4" s="1"/>
  <c r="BI166" i="4"/>
  <c r="BJ166" i="4" s="1"/>
  <c r="BI236" i="4"/>
  <c r="BJ236" i="4" s="1"/>
  <c r="BI37" i="4"/>
  <c r="BJ37" i="4" s="1"/>
  <c r="BI113" i="4"/>
  <c r="BJ113" i="4" s="1"/>
  <c r="BI20" i="4"/>
  <c r="BJ20" i="4" s="1"/>
  <c r="BI11" i="4"/>
  <c r="BJ11" i="4" s="1"/>
  <c r="BI229" i="4"/>
  <c r="BJ229" i="4" s="1"/>
  <c r="BI54" i="4"/>
  <c r="BJ54" i="4" s="1"/>
  <c r="BI85" i="4"/>
  <c r="BJ85" i="4" s="1"/>
  <c r="BI170" i="4"/>
  <c r="BJ170" i="4" s="1"/>
  <c r="BI67" i="4"/>
  <c r="BJ67" i="4" s="1"/>
  <c r="BI246" i="4"/>
  <c r="BJ246" i="4" s="1"/>
  <c r="BI65" i="4"/>
  <c r="BJ65" i="4" s="1"/>
  <c r="BI122" i="4"/>
  <c r="BJ122" i="4" s="1"/>
  <c r="BI115" i="4"/>
  <c r="BJ115" i="4" s="1"/>
  <c r="BI87" i="4"/>
  <c r="BJ87" i="4" s="1"/>
  <c r="BI234" i="4"/>
  <c r="BJ234" i="4" s="1"/>
  <c r="BI21" i="4"/>
  <c r="BJ21" i="4" s="1"/>
  <c r="BI165" i="4"/>
  <c r="BJ165" i="4" s="1"/>
  <c r="BI289" i="4"/>
  <c r="BJ289" i="4" s="1"/>
  <c r="BI208" i="4"/>
  <c r="BJ208" i="4" s="1"/>
  <c r="BI105" i="4"/>
  <c r="BJ105" i="4" s="1"/>
  <c r="BI312" i="4"/>
  <c r="BJ312" i="4" s="1"/>
  <c r="BI183" i="4"/>
  <c r="BJ183" i="4" s="1"/>
  <c r="BI276" i="4"/>
  <c r="BJ276" i="4" s="1"/>
  <c r="BI215" i="4"/>
  <c r="BJ215" i="4" s="1"/>
  <c r="BI31" i="4"/>
  <c r="BJ31" i="4" s="1"/>
  <c r="BI38" i="4"/>
  <c r="BJ38" i="4" s="1"/>
  <c r="BI149" i="4"/>
  <c r="BJ149" i="4" s="1"/>
  <c r="BI61" i="4"/>
  <c r="BJ61" i="4" s="1"/>
  <c r="BI226" i="4"/>
  <c r="BJ226" i="4" s="1"/>
  <c r="BI83" i="4"/>
  <c r="BJ83" i="4" s="1"/>
  <c r="BI18" i="4"/>
  <c r="BJ18" i="4" s="1"/>
  <c r="BI203" i="4"/>
  <c r="BJ203" i="4" s="1"/>
  <c r="BI100" i="4"/>
  <c r="BJ100" i="4" s="1"/>
  <c r="BI29" i="4"/>
  <c r="BJ29" i="4" s="1"/>
  <c r="BI27" i="4"/>
  <c r="BJ27" i="4" s="1"/>
  <c r="BI142" i="4"/>
  <c r="BJ142" i="4" s="1"/>
  <c r="BI309" i="4"/>
  <c r="BI59" i="4"/>
  <c r="BJ59" i="4" s="1"/>
  <c r="BI311" i="4"/>
  <c r="BI96" i="4"/>
  <c r="BJ96" i="4" s="1"/>
  <c r="BI146" i="4"/>
  <c r="BJ146" i="4" s="1"/>
  <c r="BI101" i="4"/>
  <c r="BJ101" i="4" s="1"/>
  <c r="BI45" i="4"/>
  <c r="BJ45" i="4" s="1"/>
  <c r="BI302" i="4"/>
  <c r="BI162" i="4"/>
  <c r="BJ162" i="4" s="1"/>
  <c r="BI68" i="4"/>
  <c r="BJ68" i="4" s="1"/>
  <c r="BI132" i="4"/>
  <c r="BJ132" i="4" s="1"/>
  <c r="BI314" i="4"/>
  <c r="BI119" i="4"/>
  <c r="BJ119" i="4" s="1"/>
  <c r="BI285" i="4"/>
  <c r="BJ285" i="4" s="1"/>
  <c r="BI76" i="4"/>
  <c r="BJ76" i="4" s="1"/>
  <c r="BI90" i="4"/>
  <c r="BJ90" i="4" s="1"/>
  <c r="BI169" i="4"/>
  <c r="BJ169" i="4" s="1"/>
  <c r="BI36" i="4"/>
  <c r="BJ36" i="4" s="1"/>
  <c r="BI136" i="4"/>
  <c r="BJ136" i="4" s="1"/>
  <c r="BI40" i="4"/>
  <c r="BJ40" i="4" s="1"/>
  <c r="BI135" i="4"/>
  <c r="BJ135" i="4" s="1"/>
  <c r="BI93" i="4"/>
  <c r="BJ93" i="4" s="1"/>
  <c r="BI102" i="4"/>
  <c r="BJ102" i="4" s="1"/>
  <c r="BI116" i="4"/>
  <c r="BJ116" i="4" s="1"/>
  <c r="BI270" i="4"/>
  <c r="BJ270" i="4" s="1"/>
  <c r="BI189" i="4"/>
  <c r="BJ189" i="4" s="1"/>
  <c r="BI210" i="4"/>
  <c r="BJ210" i="4" s="1"/>
  <c r="BI233" i="4"/>
  <c r="BJ233" i="4" s="1"/>
  <c r="BI66" i="4"/>
  <c r="BJ66" i="4" s="1"/>
  <c r="BI190" i="4"/>
  <c r="BJ190" i="4" s="1"/>
  <c r="BI108" i="4"/>
  <c r="BJ108" i="4" s="1"/>
  <c r="BI284" i="4"/>
  <c r="BJ284" i="4" s="1"/>
  <c r="BI147" i="4"/>
  <c r="BJ147" i="4" s="1"/>
  <c r="BI186" i="4"/>
  <c r="BJ186" i="4" s="1"/>
  <c r="BI62" i="4"/>
  <c r="BJ62" i="4" s="1"/>
  <c r="BI104" i="4"/>
  <c r="BJ104" i="4" s="1"/>
  <c r="BI211" i="4"/>
  <c r="BJ211" i="4" s="1"/>
  <c r="BI254" i="4"/>
  <c r="BJ254" i="4" s="1"/>
  <c r="BI184" i="4"/>
  <c r="BJ184" i="4" s="1"/>
  <c r="BI35" i="4"/>
  <c r="BJ35" i="4" s="1"/>
  <c r="BI230" i="4"/>
  <c r="BJ230" i="4" s="1"/>
  <c r="BI127" i="4"/>
  <c r="BJ127" i="4" s="1"/>
  <c r="BI303" i="4"/>
  <c r="BJ310" i="4"/>
  <c r="BJ305" i="4"/>
  <c r="BJ316" i="4"/>
  <c r="BD108" i="4"/>
  <c r="BE108" i="4" s="1"/>
  <c r="BD25" i="4"/>
  <c r="BE25" i="4" s="1"/>
  <c r="BD134" i="4"/>
  <c r="BE134" i="4" s="1"/>
  <c r="BD269" i="4"/>
  <c r="BE269" i="4" s="1"/>
  <c r="BD51" i="4"/>
  <c r="BE51" i="4" s="1"/>
  <c r="BD128" i="4"/>
  <c r="BE128" i="4" s="1"/>
  <c r="BD218" i="4"/>
  <c r="BE218" i="4" s="1"/>
  <c r="BD139" i="4"/>
  <c r="BE139" i="4" s="1"/>
  <c r="BD267" i="4"/>
  <c r="BE267" i="4" s="1"/>
  <c r="BD120" i="4"/>
  <c r="BE120" i="4" s="1"/>
  <c r="BD248" i="4"/>
  <c r="BE248" i="4" s="1"/>
  <c r="BD100" i="4"/>
  <c r="BE100" i="4" s="1"/>
  <c r="BD228" i="4"/>
  <c r="BE228" i="4" s="1"/>
  <c r="BD17" i="4"/>
  <c r="BE17" i="4" s="1"/>
  <c r="BD145" i="4"/>
  <c r="BE145" i="4" s="1"/>
  <c r="BD273" i="4"/>
  <c r="BE273" i="4" s="1"/>
  <c r="BD126" i="4"/>
  <c r="BE126" i="4" s="1"/>
  <c r="BD254" i="4"/>
  <c r="BE254" i="4" s="1"/>
  <c r="BD98" i="4"/>
  <c r="BE98" i="4" s="1"/>
  <c r="BD143" i="4"/>
  <c r="BE143" i="4" s="1"/>
  <c r="BD303" i="4"/>
  <c r="BD83" i="4"/>
  <c r="BE83" i="4" s="1"/>
  <c r="BD16" i="4"/>
  <c r="BE16" i="4" s="1"/>
  <c r="BD45" i="4"/>
  <c r="BE45" i="4" s="1"/>
  <c r="BD58" i="4"/>
  <c r="BE58" i="4" s="1"/>
  <c r="BD23" i="4"/>
  <c r="BE23" i="4" s="1"/>
  <c r="BD151" i="4"/>
  <c r="BE151" i="4" s="1"/>
  <c r="BD279" i="4"/>
  <c r="BE279" i="4" s="1"/>
  <c r="BD261" i="4"/>
  <c r="BE261" i="4" s="1"/>
  <c r="BD236" i="4"/>
  <c r="BE236" i="4" s="1"/>
  <c r="BD153" i="4"/>
  <c r="BE153" i="4" s="1"/>
  <c r="BD195" i="4"/>
  <c r="BE195" i="4" s="1"/>
  <c r="BD103" i="4"/>
  <c r="BE103" i="4" s="1"/>
  <c r="BD307" i="4"/>
  <c r="BE307" i="4" s="1"/>
  <c r="BD189" i="4"/>
  <c r="BE189" i="4" s="1"/>
  <c r="BD75" i="4"/>
  <c r="BE75" i="4" s="1"/>
  <c r="BD203" i="4"/>
  <c r="BE203" i="4" s="1"/>
  <c r="BD56" i="4"/>
  <c r="BE56" i="4" s="1"/>
  <c r="BD184" i="4"/>
  <c r="BE184" i="4" s="1"/>
  <c r="BD312" i="4"/>
  <c r="BE312" i="4" s="1"/>
  <c r="BD36" i="4"/>
  <c r="BE36" i="4" s="1"/>
  <c r="BD164" i="4"/>
  <c r="BE164" i="4" s="1"/>
  <c r="BD292" i="4"/>
  <c r="BE292" i="4" s="1"/>
  <c r="BD81" i="4"/>
  <c r="BE81" i="4" s="1"/>
  <c r="BD209" i="4"/>
  <c r="BE209" i="4" s="1"/>
  <c r="BD62" i="4"/>
  <c r="BE62" i="4" s="1"/>
  <c r="BD190" i="4"/>
  <c r="BE190" i="4" s="1"/>
  <c r="BD318" i="4"/>
  <c r="BD34" i="4"/>
  <c r="BE34" i="4" s="1"/>
  <c r="BD47" i="4"/>
  <c r="BE47" i="4" s="1"/>
  <c r="BD223" i="4"/>
  <c r="BE223" i="4" s="1"/>
  <c r="BD147" i="4"/>
  <c r="BE147" i="4" s="1"/>
  <c r="BD208" i="4"/>
  <c r="BE208" i="4" s="1"/>
  <c r="BD221" i="4"/>
  <c r="BE221" i="4" s="1"/>
  <c r="BD234" i="4"/>
  <c r="BE234" i="4" s="1"/>
  <c r="BD87" i="4"/>
  <c r="BE87" i="4" s="1"/>
  <c r="BD215" i="4"/>
  <c r="BE215" i="4" s="1"/>
  <c r="BD68" i="4"/>
  <c r="BE68" i="4" s="1"/>
  <c r="BD196" i="4"/>
  <c r="BE196" i="4" s="1"/>
  <c r="BJ315" i="4"/>
  <c r="BD249" i="4"/>
  <c r="BE249" i="4" s="1"/>
  <c r="BD226" i="4"/>
  <c r="BE226" i="4" s="1"/>
  <c r="BD256" i="4"/>
  <c r="BE256" i="4" s="1"/>
  <c r="BD48" i="4"/>
  <c r="BE48" i="4" s="1"/>
  <c r="BD171" i="4"/>
  <c r="BE171" i="4" s="1"/>
  <c r="BD263" i="4"/>
  <c r="BE263" i="4" s="1"/>
  <c r="BD317" i="4"/>
  <c r="BD166" i="4"/>
  <c r="BE166" i="4" s="1"/>
  <c r="BD109" i="4"/>
  <c r="BE109" i="4" s="1"/>
  <c r="BD224" i="4"/>
  <c r="BE224" i="4" s="1"/>
  <c r="BD173" i="4"/>
  <c r="BE173" i="4" s="1"/>
  <c r="BD159" i="4"/>
  <c r="BE159" i="4" s="1"/>
  <c r="BD319" i="4"/>
  <c r="BE319" i="4" s="1"/>
  <c r="BD179" i="4"/>
  <c r="BE179" i="4" s="1"/>
  <c r="BD314" i="4"/>
  <c r="BE314" i="4" s="1"/>
  <c r="BD44" i="4"/>
  <c r="BE44" i="4" s="1"/>
  <c r="BD172" i="4"/>
  <c r="BE172" i="4" s="1"/>
  <c r="BD300" i="4"/>
  <c r="BE300" i="4" s="1"/>
  <c r="BD89" i="4"/>
  <c r="BE89" i="4" s="1"/>
  <c r="BD217" i="4"/>
  <c r="BE217" i="4" s="1"/>
  <c r="BD70" i="4"/>
  <c r="BE70" i="4" s="1"/>
  <c r="BD198" i="4"/>
  <c r="BE198" i="4" s="1"/>
  <c r="BD99" i="4"/>
  <c r="BE99" i="4" s="1"/>
  <c r="BD64" i="4"/>
  <c r="BE64" i="4" s="1"/>
  <c r="BD93" i="4"/>
  <c r="BE93" i="4" s="1"/>
  <c r="BD106" i="4"/>
  <c r="BE106" i="4" s="1"/>
  <c r="BD39" i="4"/>
  <c r="BE39" i="4" s="1"/>
  <c r="BD167" i="4"/>
  <c r="BE167" i="4" s="1"/>
  <c r="BJ313" i="4"/>
  <c r="N10" i="30"/>
  <c r="N11" i="30" s="1"/>
  <c r="P10" i="30"/>
  <c r="P11" i="30" s="1"/>
  <c r="E34" i="30"/>
  <c r="AL29" i="30"/>
  <c r="AJ29" i="30"/>
  <c r="C9" i="27"/>
  <c r="E9" i="27"/>
  <c r="G9" i="27"/>
  <c r="AY6" i="27"/>
  <c r="BA6" i="27"/>
  <c r="BC6" i="27"/>
  <c r="BC11" i="27" s="1"/>
  <c r="BE45" i="27"/>
  <c r="I85" i="27"/>
  <c r="G88" i="27"/>
  <c r="G90" i="27" s="1"/>
  <c r="C88" i="27"/>
  <c r="E88" i="27"/>
  <c r="E90" i="27" s="1"/>
  <c r="BE84" i="27"/>
  <c r="BJ302" i="4"/>
  <c r="P33" i="30"/>
  <c r="P34" i="30" s="1"/>
  <c r="N33" i="30"/>
  <c r="N34" i="30" s="1"/>
  <c r="AA31" i="30"/>
  <c r="AA34" i="30" s="1"/>
  <c r="Y31" i="30"/>
  <c r="P49" i="30"/>
  <c r="N49" i="30"/>
  <c r="P51" i="30"/>
  <c r="N51" i="30"/>
  <c r="AA49" i="30"/>
  <c r="Y49" i="30"/>
  <c r="AA54" i="30"/>
  <c r="Y54" i="30"/>
  <c r="AA73" i="30"/>
  <c r="Y73" i="30"/>
  <c r="N92" i="30"/>
  <c r="P92" i="30"/>
  <c r="N94" i="30"/>
  <c r="P94" i="30"/>
  <c r="P96" i="30"/>
  <c r="N96" i="30"/>
  <c r="E9" i="30"/>
  <c r="C9" i="30"/>
  <c r="E8" i="30"/>
  <c r="C8" i="30"/>
  <c r="Y8" i="30"/>
  <c r="Y11" i="30" s="1"/>
  <c r="AA8" i="30"/>
  <c r="AA11" i="30" s="1"/>
  <c r="AL28" i="30"/>
  <c r="AJ28" i="30"/>
  <c r="C95" i="30"/>
  <c r="E95" i="30"/>
  <c r="I125" i="27"/>
  <c r="C130" i="27"/>
  <c r="BJ307" i="4"/>
  <c r="BJ309" i="4"/>
  <c r="AA32" i="30"/>
  <c r="Y32" i="30"/>
  <c r="E49" i="30"/>
  <c r="E55" i="30" s="1"/>
  <c r="C49" i="30"/>
  <c r="C55" i="30" s="1"/>
  <c r="P50" i="30"/>
  <c r="N50" i="30"/>
  <c r="AA50" i="30"/>
  <c r="Y50" i="30"/>
  <c r="P70" i="30"/>
  <c r="N70" i="30"/>
  <c r="AJ71" i="30"/>
  <c r="AJ76" i="30" s="1"/>
  <c r="AL71" i="30"/>
  <c r="AL76" i="30" s="1"/>
  <c r="Y95" i="30"/>
  <c r="Y97" i="30" s="1"/>
  <c r="AA95" i="30"/>
  <c r="A45" i="35"/>
  <c r="B53" i="35" s="1"/>
  <c r="J55" i="35" s="1"/>
  <c r="C71" i="30"/>
  <c r="E71" i="30"/>
  <c r="AA70" i="30"/>
  <c r="AA93" i="30"/>
  <c r="AA97" i="30" s="1"/>
  <c r="AL96" i="30"/>
  <c r="AL97" i="30" s="1"/>
  <c r="I7" i="27"/>
  <c r="J7" i="27" s="1"/>
  <c r="I6" i="27"/>
  <c r="J6" i="27" s="1"/>
  <c r="C5" i="27"/>
  <c r="E5" i="27"/>
  <c r="AO86" i="27"/>
  <c r="AM90" i="27"/>
  <c r="AO6" i="27"/>
  <c r="AP6" i="27" s="1"/>
  <c r="G48" i="27"/>
  <c r="G51" i="27" s="1"/>
  <c r="E48" i="27"/>
  <c r="E51" i="27" s="1"/>
  <c r="C48" i="27"/>
  <c r="P71" i="30"/>
  <c r="N71" i="30"/>
  <c r="AA72" i="30"/>
  <c r="Y72" i="30"/>
  <c r="AA74" i="30"/>
  <c r="Y74" i="30"/>
  <c r="E96" i="30"/>
  <c r="C96" i="30"/>
  <c r="P95" i="30"/>
  <c r="N95" i="30"/>
  <c r="S130" i="27"/>
  <c r="Y124" i="27"/>
  <c r="BC10" i="27"/>
  <c r="BA10" i="27"/>
  <c r="AY10" i="27"/>
  <c r="E70" i="30"/>
  <c r="C70" i="30"/>
  <c r="E72" i="30"/>
  <c r="C72" i="30"/>
  <c r="E8" i="27"/>
  <c r="G8" i="27"/>
  <c r="Y164" i="27"/>
  <c r="AO9" i="27"/>
  <c r="AP9" i="27" s="1"/>
  <c r="Y125" i="27"/>
  <c r="Z125" i="27" s="1"/>
  <c r="Y9" i="27"/>
  <c r="Z9" i="27" s="1"/>
  <c r="AO10" i="27"/>
  <c r="AP10" i="27" s="1"/>
  <c r="BE8" i="27"/>
  <c r="BF8" i="27" s="1"/>
  <c r="BA51" i="27"/>
  <c r="BC50" i="27"/>
  <c r="BA50" i="27"/>
  <c r="AY50" i="27"/>
  <c r="AU120" i="27"/>
  <c r="AS95" i="27"/>
  <c r="Y10" i="27"/>
  <c r="Z10" i="27" s="1"/>
  <c r="AK5" i="27"/>
  <c r="AK11" i="27" s="1"/>
  <c r="AI5" i="27"/>
  <c r="BE5" i="27"/>
  <c r="BE9" i="27"/>
  <c r="BF9" i="27" s="1"/>
  <c r="AM47" i="27"/>
  <c r="AM51" i="27" s="1"/>
  <c r="AK47" i="27"/>
  <c r="AK51" i="27" s="1"/>
  <c r="AI47" i="27"/>
  <c r="G89" i="27"/>
  <c r="C89" i="27"/>
  <c r="S90" i="27"/>
  <c r="Y88" i="27"/>
  <c r="Z88" i="27" s="1"/>
  <c r="O160" i="27"/>
  <c r="M175" i="27" s="1"/>
  <c r="D167" i="27" s="1"/>
  <c r="M135" i="27"/>
  <c r="C137" i="27" s="1"/>
  <c r="AE120" i="27"/>
  <c r="AC95" i="27"/>
  <c r="BE46" i="27"/>
  <c r="BF46" i="27" s="1"/>
  <c r="BA170" i="27"/>
  <c r="S8" i="27"/>
  <c r="BA7" i="27"/>
  <c r="BE7" i="27" s="1"/>
  <c r="BF7" i="27" s="1"/>
  <c r="U45" i="27"/>
  <c r="U49" i="27"/>
  <c r="Y49" i="27" s="1"/>
  <c r="Z49" i="27" s="1"/>
  <c r="BC85" i="27"/>
  <c r="BC90" i="27" s="1"/>
  <c r="AY89" i="27"/>
  <c r="W128" i="27"/>
  <c r="W130" i="27" s="1"/>
  <c r="BA127" i="27"/>
  <c r="BE127" i="27" s="1"/>
  <c r="E167" i="27"/>
  <c r="E170" i="27" s="1"/>
  <c r="W167" i="27"/>
  <c r="W170" i="27" s="1"/>
  <c r="S169" i="27"/>
  <c r="Y169" i="27" s="1"/>
  <c r="Z169" i="27" s="1"/>
  <c r="AI165" i="27"/>
  <c r="AI169" i="27"/>
  <c r="AO169" i="27" s="1"/>
  <c r="AP169" i="27" s="1"/>
  <c r="AS56" i="27"/>
  <c r="AY49" i="27"/>
  <c r="BE49" i="27" s="1"/>
  <c r="BF49" i="27" s="1"/>
  <c r="BA85" i="27"/>
  <c r="BA90" i="27" s="1"/>
  <c r="BA89" i="27"/>
  <c r="U128" i="27"/>
  <c r="C164" i="27"/>
  <c r="C167" i="27"/>
  <c r="U167" i="27"/>
  <c r="U170" i="27" s="1"/>
  <c r="S168" i="27"/>
  <c r="AK165" i="27"/>
  <c r="AY164" i="27"/>
  <c r="AK167" i="27"/>
  <c r="AO167" i="27" s="1"/>
  <c r="AP167" i="27" s="1"/>
  <c r="K11" i="35"/>
  <c r="B13" i="35"/>
  <c r="C1072" i="31"/>
  <c r="D498" i="31"/>
  <c r="AL628" i="31"/>
  <c r="N61" i="31"/>
  <c r="U92" i="31"/>
  <c r="D866" i="31"/>
  <c r="AL996" i="31"/>
  <c r="S61" i="31"/>
  <c r="C260" i="31"/>
  <c r="L61" i="31"/>
  <c r="S60" i="31"/>
  <c r="AY175" i="4"/>
  <c r="AZ175" i="4" s="1"/>
  <c r="AY312" i="4"/>
  <c r="AZ312" i="4" s="1"/>
  <c r="AY261" i="4"/>
  <c r="AZ261" i="4" s="1"/>
  <c r="AY14" i="4"/>
  <c r="AZ14" i="4" s="1"/>
  <c r="AY289" i="4"/>
  <c r="AZ289" i="4" s="1"/>
  <c r="AY71" i="4"/>
  <c r="AZ71" i="4" s="1"/>
  <c r="AY55" i="4"/>
  <c r="AZ55" i="4" s="1"/>
  <c r="C502" i="31"/>
  <c r="C1092" i="31"/>
  <c r="C916" i="31"/>
  <c r="D386" i="31"/>
  <c r="AL318" i="31"/>
  <c r="AL516" i="31"/>
  <c r="S533" i="31"/>
  <c r="BG11" i="4"/>
  <c r="BJ319" i="4" s="1"/>
  <c r="AY237" i="4"/>
  <c r="AZ237" i="4" s="1"/>
  <c r="AY294" i="4"/>
  <c r="AZ294" i="4" s="1"/>
  <c r="AY91" i="4"/>
  <c r="AZ91" i="4" s="1"/>
  <c r="AY296" i="4"/>
  <c r="AZ296" i="4" s="1"/>
  <c r="AY118" i="4"/>
  <c r="AZ118" i="4" s="1"/>
  <c r="AY293" i="4"/>
  <c r="AZ293" i="4" s="1"/>
  <c r="AY114" i="4"/>
  <c r="AZ114" i="4" s="1"/>
  <c r="AY193" i="4"/>
  <c r="AZ193" i="4" s="1"/>
  <c r="AY83" i="4"/>
  <c r="AZ83" i="4" s="1"/>
  <c r="AY64" i="4"/>
  <c r="AZ64" i="4" s="1"/>
  <c r="AY148" i="4"/>
  <c r="AZ148" i="4" s="1"/>
  <c r="AY263" i="4"/>
  <c r="AZ263" i="4" s="1"/>
  <c r="AY105" i="4"/>
  <c r="AZ105" i="4" s="1"/>
  <c r="AY72" i="4"/>
  <c r="AZ72" i="4" s="1"/>
  <c r="AY96" i="4"/>
  <c r="AZ96" i="4" s="1"/>
  <c r="AY152" i="4"/>
  <c r="AZ152" i="4" s="1"/>
  <c r="AY241" i="4"/>
  <c r="AZ241" i="4" s="1"/>
  <c r="AY113" i="4"/>
  <c r="AZ113" i="4" s="1"/>
  <c r="AY309" i="4"/>
  <c r="AZ309" i="4" s="1"/>
  <c r="AY188" i="4"/>
  <c r="AZ188" i="4" s="1"/>
  <c r="AY195" i="4"/>
  <c r="AZ195" i="4" s="1"/>
  <c r="AY76" i="4"/>
  <c r="AZ76" i="4" s="1"/>
  <c r="AY244" i="4"/>
  <c r="AZ244" i="4" s="1"/>
  <c r="AY111" i="4"/>
  <c r="AZ111" i="4" s="1"/>
  <c r="AY133" i="4"/>
  <c r="AZ133" i="4" s="1"/>
  <c r="AY271" i="4"/>
  <c r="AZ271" i="4" s="1"/>
  <c r="AY26" i="4"/>
  <c r="AZ26" i="4" s="1"/>
  <c r="AY56" i="4"/>
  <c r="AZ56" i="4" s="1"/>
  <c r="AY33" i="4"/>
  <c r="AZ33" i="4" s="1"/>
  <c r="AY22" i="4"/>
  <c r="AZ22" i="4" s="1"/>
  <c r="AY77" i="4"/>
  <c r="AZ77" i="4" s="1"/>
  <c r="AY151" i="4"/>
  <c r="AZ151" i="4" s="1"/>
  <c r="AY209" i="4"/>
  <c r="AZ209" i="4" s="1"/>
  <c r="AY31" i="4"/>
  <c r="AZ31" i="4" s="1"/>
  <c r="AY29" i="4"/>
  <c r="AZ29" i="4" s="1"/>
  <c r="AY295" i="4"/>
  <c r="AZ295" i="4" s="1"/>
  <c r="AY57" i="4"/>
  <c r="AZ57" i="4" s="1"/>
  <c r="AY221" i="4"/>
  <c r="AZ221" i="4" s="1"/>
  <c r="AY257" i="4"/>
  <c r="AZ257" i="4" s="1"/>
  <c r="AY172" i="4"/>
  <c r="AZ172" i="4" s="1"/>
  <c r="AY177" i="4"/>
  <c r="AZ177" i="4" s="1"/>
  <c r="AY179" i="4"/>
  <c r="AZ179" i="4" s="1"/>
  <c r="AY217" i="4"/>
  <c r="AZ217" i="4" s="1"/>
  <c r="AY60" i="4"/>
  <c r="AZ60" i="4" s="1"/>
  <c r="AY65" i="4"/>
  <c r="AZ65" i="4" s="1"/>
  <c r="AY67" i="4"/>
  <c r="AZ67" i="4" s="1"/>
  <c r="AY300" i="4"/>
  <c r="AZ300" i="4" s="1"/>
  <c r="AY150" i="4"/>
  <c r="AZ150" i="4" s="1"/>
  <c r="AY145" i="4"/>
  <c r="AZ145" i="4" s="1"/>
  <c r="AY291" i="4"/>
  <c r="AZ291" i="4" s="1"/>
  <c r="AY250" i="4"/>
  <c r="AZ250" i="4" s="1"/>
  <c r="AY157" i="4"/>
  <c r="AZ157" i="4" s="1"/>
  <c r="AY280" i="4"/>
  <c r="AZ280" i="4" s="1"/>
  <c r="AY192" i="4"/>
  <c r="AZ192" i="4" s="1"/>
  <c r="AY70" i="4"/>
  <c r="AZ70" i="4" s="1"/>
  <c r="AY199" i="4"/>
  <c r="AZ199" i="4" s="1"/>
  <c r="AY20" i="4"/>
  <c r="AZ20" i="4" s="1"/>
  <c r="AY89" i="4"/>
  <c r="AZ89" i="4" s="1"/>
  <c r="AY27" i="4"/>
  <c r="AZ27" i="4" s="1"/>
  <c r="AY142" i="4"/>
  <c r="AZ142" i="4" s="1"/>
  <c r="AY141" i="4"/>
  <c r="AZ141" i="4" s="1"/>
  <c r="AY313" i="4"/>
  <c r="AZ313" i="4" s="1"/>
  <c r="AY212" i="4"/>
  <c r="AZ212" i="4" s="1"/>
  <c r="AY302" i="4"/>
  <c r="AZ302" i="4" s="1"/>
  <c r="AY319" i="4"/>
  <c r="AZ319" i="4" s="1"/>
  <c r="AY299" i="4"/>
  <c r="AZ299" i="4" s="1"/>
  <c r="AY154" i="4"/>
  <c r="AZ154" i="4" s="1"/>
  <c r="AY80" i="4"/>
  <c r="AZ80" i="4" s="1"/>
  <c r="AY164" i="4"/>
  <c r="AZ164" i="4" s="1"/>
  <c r="AY231" i="4"/>
  <c r="AZ231" i="4" s="1"/>
  <c r="AY200" i="4"/>
  <c r="AZ200" i="4" s="1"/>
  <c r="AY138" i="4"/>
  <c r="AZ138" i="4" s="1"/>
  <c r="AY174" i="4"/>
  <c r="AZ174" i="4" s="1"/>
  <c r="AY121" i="4"/>
  <c r="AZ121" i="4" s="1"/>
  <c r="AY266" i="4"/>
  <c r="AZ266" i="4" s="1"/>
  <c r="AY75" i="4"/>
  <c r="AZ75" i="4" s="1"/>
  <c r="AY147" i="4"/>
  <c r="AZ147" i="4" s="1"/>
  <c r="AY259" i="4"/>
  <c r="AZ259" i="4" s="1"/>
  <c r="AY160" i="4"/>
  <c r="AZ160" i="4" s="1"/>
  <c r="AY233" i="4"/>
  <c r="AZ233" i="4" s="1"/>
  <c r="AY109" i="4"/>
  <c r="AZ109" i="4" s="1"/>
  <c r="AY304" i="4"/>
  <c r="AZ304" i="4" s="1"/>
  <c r="AY306" i="4"/>
  <c r="AZ306" i="4" s="1"/>
  <c r="AY224" i="4"/>
  <c r="AZ224" i="4" s="1"/>
  <c r="AY311" i="4"/>
  <c r="AZ311" i="4" s="1"/>
  <c r="AY140" i="4"/>
  <c r="AZ140" i="4" s="1"/>
  <c r="AY190" i="4"/>
  <c r="AZ190" i="4" s="1"/>
  <c r="AY219" i="4"/>
  <c r="AZ219" i="4" s="1"/>
  <c r="AY39" i="4"/>
  <c r="AZ39" i="4" s="1"/>
  <c r="AY213" i="4"/>
  <c r="AZ213" i="4" s="1"/>
  <c r="AY262" i="4"/>
  <c r="AZ262" i="4" s="1"/>
  <c r="AY30" i="4"/>
  <c r="AZ30" i="4" s="1"/>
  <c r="AY267" i="4"/>
  <c r="AZ267" i="4" s="1"/>
  <c r="AY137" i="4"/>
  <c r="AZ137" i="4" s="1"/>
  <c r="AY223" i="4"/>
  <c r="AZ223" i="4" s="1"/>
  <c r="AY53" i="4"/>
  <c r="AZ53" i="4" s="1"/>
  <c r="AY310" i="4"/>
  <c r="AZ310" i="4" s="1"/>
  <c r="AY232" i="4"/>
  <c r="AZ232" i="4" s="1"/>
  <c r="AY162" i="4"/>
  <c r="AZ162" i="4" s="1"/>
  <c r="AY88" i="4"/>
  <c r="AZ88" i="4" s="1"/>
  <c r="AY187" i="4"/>
  <c r="AZ187" i="4" s="1"/>
  <c r="AY180" i="4"/>
  <c r="AZ180" i="4" s="1"/>
  <c r="AY102" i="4"/>
  <c r="AZ102" i="4" s="1"/>
  <c r="AY270" i="4"/>
  <c r="AZ270" i="4" s="1"/>
  <c r="AY264" i="4"/>
  <c r="AZ264" i="4" s="1"/>
  <c r="AY81" i="4"/>
  <c r="AZ81" i="4" s="1"/>
  <c r="AY240" i="4"/>
  <c r="AZ240" i="4" s="1"/>
  <c r="AY40" i="4"/>
  <c r="AZ40" i="4" s="1"/>
  <c r="AY202" i="4"/>
  <c r="AZ202" i="4" s="1"/>
  <c r="AY201" i="4"/>
  <c r="AZ201" i="4" s="1"/>
  <c r="AY183" i="4"/>
  <c r="AZ183" i="4" s="1"/>
  <c r="AY117" i="4"/>
  <c r="AZ117" i="4" s="1"/>
  <c r="AY78" i="4"/>
  <c r="AZ78" i="4" s="1"/>
  <c r="AY243" i="4"/>
  <c r="AZ243" i="4" s="1"/>
  <c r="AY156" i="4"/>
  <c r="AZ156" i="4" s="1"/>
  <c r="AY269" i="4"/>
  <c r="AZ269" i="4" s="1"/>
  <c r="AY318" i="4"/>
  <c r="AZ318" i="4" s="1"/>
  <c r="AY94" i="4"/>
  <c r="AZ94" i="4" s="1"/>
  <c r="AY258" i="4"/>
  <c r="AZ258" i="4" s="1"/>
  <c r="AY216" i="4"/>
  <c r="AZ216" i="4" s="1"/>
  <c r="AY107" i="4"/>
  <c r="AZ107" i="4" s="1"/>
  <c r="AY169" i="4"/>
  <c r="AZ169" i="4" s="1"/>
  <c r="AY255" i="4"/>
  <c r="AZ255" i="4" s="1"/>
  <c r="AY23" i="4"/>
  <c r="AZ23" i="4" s="1"/>
  <c r="AY21" i="4"/>
  <c r="AZ21" i="4" s="1"/>
  <c r="AY220" i="4"/>
  <c r="AZ220" i="4" s="1"/>
  <c r="AY214" i="4"/>
  <c r="AZ214" i="4" s="1"/>
  <c r="AY211" i="4"/>
  <c r="AZ211" i="4" s="1"/>
  <c r="AY225" i="4"/>
  <c r="AZ225" i="4" s="1"/>
  <c r="AY252" i="4"/>
  <c r="AZ252" i="4" s="1"/>
  <c r="AY173" i="4"/>
  <c r="AZ173" i="4" s="1"/>
  <c r="AY136" i="4"/>
  <c r="AZ136" i="4" s="1"/>
  <c r="AY256" i="4"/>
  <c r="AZ256" i="4" s="1"/>
  <c r="AY171" i="4"/>
  <c r="AZ171" i="4" s="1"/>
  <c r="AY42" i="4"/>
  <c r="AZ42" i="4" s="1"/>
  <c r="AY41" i="4"/>
  <c r="AZ41" i="4" s="1"/>
  <c r="AY158" i="4"/>
  <c r="AZ158" i="4" s="1"/>
  <c r="AY260" i="4"/>
  <c r="AZ260" i="4" s="1"/>
  <c r="AY86" i="4"/>
  <c r="AZ86" i="4" s="1"/>
  <c r="AY85" i="4"/>
  <c r="AZ85" i="4" s="1"/>
  <c r="AY16" i="4"/>
  <c r="AZ16" i="4" s="1"/>
  <c r="AY215" i="4"/>
  <c r="AZ215" i="4" s="1"/>
  <c r="AY15" i="4"/>
  <c r="AZ15" i="4" s="1"/>
  <c r="AY278" i="4"/>
  <c r="AZ278" i="4" s="1"/>
  <c r="AY298" i="4"/>
  <c r="AZ298" i="4" s="1"/>
  <c r="AY275" i="4"/>
  <c r="AZ275" i="4" s="1"/>
  <c r="AY161" i="4"/>
  <c r="AZ161" i="4" s="1"/>
  <c r="AY92" i="4"/>
  <c r="AZ92" i="4" s="1"/>
  <c r="AY205" i="4"/>
  <c r="AZ205" i="4" s="1"/>
  <c r="AY277" i="4"/>
  <c r="AZ277" i="4" s="1"/>
  <c r="AY308" i="4"/>
  <c r="AZ308" i="4" s="1"/>
  <c r="AY191" i="4"/>
  <c r="AZ191" i="4" s="1"/>
  <c r="AY62" i="4"/>
  <c r="AZ62" i="4" s="1"/>
  <c r="AY61" i="4"/>
  <c r="AZ61" i="4" s="1"/>
  <c r="AY120" i="4"/>
  <c r="AZ120" i="4" s="1"/>
  <c r="AY210" i="4"/>
  <c r="AZ210" i="4" s="1"/>
  <c r="AY288" i="4"/>
  <c r="AZ288" i="4" s="1"/>
  <c r="AY251" i="4"/>
  <c r="AZ251" i="4" s="1"/>
  <c r="AY248" i="4"/>
  <c r="AZ248" i="4" s="1"/>
  <c r="AY155" i="4"/>
  <c r="AZ155" i="4" s="1"/>
  <c r="AY229" i="4"/>
  <c r="AZ229" i="4" s="1"/>
  <c r="AY198" i="4"/>
  <c r="AZ198" i="4" s="1"/>
  <c r="AY265" i="4"/>
  <c r="AZ265" i="4" s="1"/>
  <c r="AY285" i="4"/>
  <c r="AZ285" i="4" s="1"/>
  <c r="AY273" i="4"/>
  <c r="AZ273" i="4" s="1"/>
  <c r="AY44" i="4"/>
  <c r="AZ44" i="4" s="1"/>
  <c r="AY108" i="4"/>
  <c r="AZ108" i="4" s="1"/>
  <c r="AY49" i="4"/>
  <c r="AZ49" i="4" s="1"/>
  <c r="AY50" i="4"/>
  <c r="AZ50" i="4" s="1"/>
  <c r="AY51" i="4"/>
  <c r="AZ51" i="4" s="1"/>
  <c r="AY115" i="4"/>
  <c r="AZ115" i="4" s="1"/>
  <c r="AY245" i="4"/>
  <c r="AZ245" i="4" s="1"/>
  <c r="AY281" i="4"/>
  <c r="AZ281" i="4" s="1"/>
  <c r="AY301" i="4"/>
  <c r="AZ301" i="4" s="1"/>
  <c r="AY305" i="4"/>
  <c r="AZ305" i="4" s="1"/>
  <c r="AY124" i="4"/>
  <c r="AZ124" i="4" s="1"/>
  <c r="AY129" i="4"/>
  <c r="AZ129" i="4" s="1"/>
  <c r="AY66" i="4"/>
  <c r="AZ66" i="4" s="1"/>
  <c r="AY130" i="4"/>
  <c r="AZ130" i="4" s="1"/>
  <c r="AY131" i="4"/>
  <c r="AZ131" i="4" s="1"/>
  <c r="AY297" i="4"/>
  <c r="AZ297" i="4" s="1"/>
  <c r="AY317" i="4"/>
  <c r="AZ317" i="4" s="1"/>
  <c r="AY17" i="4"/>
  <c r="AZ17" i="4" s="1"/>
  <c r="AY82" i="4"/>
  <c r="AZ82" i="4" s="1"/>
  <c r="AY194" i="4"/>
  <c r="AZ194" i="4" s="1"/>
  <c r="AY227" i="4"/>
  <c r="AZ227" i="4" s="1"/>
  <c r="AY314" i="4"/>
  <c r="AZ314" i="4" s="1"/>
  <c r="AY204" i="4"/>
  <c r="AZ204" i="4" s="1"/>
  <c r="AY230" i="4"/>
  <c r="AZ230" i="4" s="1"/>
  <c r="AY110" i="4"/>
  <c r="AZ110" i="4" s="1"/>
  <c r="AY247" i="4"/>
  <c r="AZ247" i="4" s="1"/>
  <c r="AY206" i="4"/>
  <c r="AZ206" i="4" s="1"/>
  <c r="AY128" i="4"/>
  <c r="AZ128" i="4" s="1"/>
  <c r="AY69" i="4"/>
  <c r="AZ69" i="4" s="1"/>
  <c r="AY197" i="4"/>
  <c r="AZ197" i="4" s="1"/>
  <c r="AY134" i="4"/>
  <c r="AZ134" i="4" s="1"/>
  <c r="AY135" i="4"/>
  <c r="AZ135" i="4" s="1"/>
  <c r="AY292" i="4"/>
  <c r="AZ292" i="4" s="1"/>
  <c r="AY207" i="4"/>
  <c r="AZ207" i="4" s="1"/>
  <c r="AY84" i="4"/>
  <c r="AZ84" i="4" s="1"/>
  <c r="AY25" i="4"/>
  <c r="AZ25" i="4" s="1"/>
  <c r="AY153" i="4"/>
  <c r="AZ153" i="4" s="1"/>
  <c r="AY90" i="4"/>
  <c r="AZ90" i="4" s="1"/>
  <c r="AY315" i="4"/>
  <c r="AZ315" i="4" s="1"/>
  <c r="AY274" i="4"/>
  <c r="AZ274" i="4" s="1"/>
  <c r="AY184" i="4"/>
  <c r="AZ184" i="4" s="1"/>
  <c r="AY63" i="4"/>
  <c r="AZ63" i="4" s="1"/>
  <c r="AY222" i="4"/>
  <c r="AZ222" i="4" s="1"/>
  <c r="AY166" i="4"/>
  <c r="AZ166" i="4" s="1"/>
  <c r="AY98" i="4"/>
  <c r="AZ98" i="4" s="1"/>
  <c r="AY234" i="4"/>
  <c r="AZ234" i="4" s="1"/>
  <c r="AY276" i="4"/>
  <c r="AZ276" i="4" s="1"/>
  <c r="AY144" i="4"/>
  <c r="AZ144" i="4" s="1"/>
  <c r="AY87" i="4"/>
  <c r="AZ87" i="4" s="1"/>
  <c r="AY100" i="4"/>
  <c r="AZ100" i="4" s="1"/>
  <c r="AY43" i="4"/>
  <c r="AZ43" i="4" s="1"/>
  <c r="AY170" i="4"/>
  <c r="AZ170" i="4" s="1"/>
  <c r="AY95" i="4"/>
  <c r="AZ95" i="4" s="1"/>
  <c r="AY99" i="4"/>
  <c r="AZ99" i="4" s="1"/>
  <c r="AY143" i="4"/>
  <c r="AZ143" i="4" s="1"/>
  <c r="AY149" i="4"/>
  <c r="AZ149" i="4" s="1"/>
  <c r="AY36" i="4"/>
  <c r="AZ36" i="4" s="1"/>
  <c r="AY106" i="4"/>
  <c r="AZ106" i="4" s="1"/>
  <c r="AY235" i="4"/>
  <c r="AZ235" i="4" s="1"/>
  <c r="AY13" i="4"/>
  <c r="AZ13" i="4" s="1"/>
  <c r="AY249" i="4"/>
  <c r="AZ249" i="4" s="1"/>
  <c r="AY34" i="4"/>
  <c r="AZ34" i="4" s="1"/>
  <c r="AY48" i="4"/>
  <c r="AZ48" i="4" s="1"/>
  <c r="AY132" i="4"/>
  <c r="AZ132" i="4" s="1"/>
  <c r="AY178" i="4"/>
  <c r="AZ178" i="4" s="1"/>
  <c r="AY12" i="4"/>
  <c r="AZ12" i="4" s="1"/>
  <c r="AY186" i="4"/>
  <c r="AZ186" i="4" s="1"/>
  <c r="AY103" i="4"/>
  <c r="AZ103" i="4" s="1"/>
  <c r="AY11" i="4"/>
  <c r="AZ11" i="4" s="1"/>
  <c r="AY97" i="4"/>
  <c r="AZ97" i="4" s="1"/>
  <c r="AY79" i="4"/>
  <c r="AZ79" i="4" s="1"/>
  <c r="AY196" i="4"/>
  <c r="AZ196" i="4" s="1"/>
  <c r="AY226" i="4"/>
  <c r="AZ226" i="4" s="1"/>
  <c r="AY185" i="4"/>
  <c r="AZ185" i="4" s="1"/>
  <c r="AY122" i="4"/>
  <c r="AZ122" i="4" s="1"/>
  <c r="AY182" i="4"/>
  <c r="AZ182" i="4" s="1"/>
  <c r="AY101" i="4"/>
  <c r="AZ101" i="4" s="1"/>
  <c r="AY126" i="4"/>
  <c r="AZ126" i="4" s="1"/>
  <c r="AY286" i="4"/>
  <c r="AZ286" i="4" s="1"/>
  <c r="AY228" i="4"/>
  <c r="AZ228" i="4" s="1"/>
  <c r="AY218" i="4"/>
  <c r="AZ218" i="4" s="1"/>
  <c r="AY123" i="4"/>
  <c r="AZ123" i="4" s="1"/>
  <c r="AY116" i="4"/>
  <c r="AZ116" i="4" s="1"/>
  <c r="AY167" i="4"/>
  <c r="AZ167" i="4" s="1"/>
  <c r="AY303" i="4"/>
  <c r="AZ303" i="4" s="1"/>
  <c r="AY32" i="4"/>
  <c r="AZ32" i="4" s="1"/>
  <c r="AY46" i="4"/>
  <c r="AZ46" i="4" s="1"/>
  <c r="AY253" i="4"/>
  <c r="AZ253" i="4" s="1"/>
  <c r="AY24" i="4"/>
  <c r="AZ24" i="4" s="1"/>
  <c r="AY38" i="4"/>
  <c r="AZ38" i="4" s="1"/>
  <c r="AY18" i="4"/>
  <c r="AZ18" i="4" s="1"/>
  <c r="AY159" i="4"/>
  <c r="AZ159" i="4" s="1"/>
  <c r="AY45" i="4"/>
  <c r="AZ45" i="4" s="1"/>
  <c r="AY104" i="4"/>
  <c r="AZ104" i="4" s="1"/>
  <c r="AY316" i="4"/>
  <c r="AZ316" i="4" s="1"/>
  <c r="AY203" i="4"/>
  <c r="AZ203" i="4" s="1"/>
  <c r="AY74" i="4"/>
  <c r="AZ74" i="4" s="1"/>
  <c r="AY68" i="4"/>
  <c r="AZ68" i="4" s="1"/>
  <c r="AY119" i="4"/>
  <c r="AZ119" i="4" s="1"/>
  <c r="AY181" i="4"/>
  <c r="AZ181" i="4" s="1"/>
  <c r="AY112" i="4"/>
  <c r="AZ112" i="4" s="1"/>
  <c r="AY238" i="4"/>
  <c r="AZ238" i="4" s="1"/>
  <c r="AY93" i="4"/>
  <c r="AZ93" i="4" s="1"/>
  <c r="AY236" i="4"/>
  <c r="AZ236" i="4" s="1"/>
  <c r="AY307" i="4"/>
  <c r="AZ307" i="4" s="1"/>
  <c r="AY35" i="4"/>
  <c r="AZ35" i="4" s="1"/>
  <c r="AY28" i="4"/>
  <c r="AZ28" i="4" s="1"/>
  <c r="AY127" i="4"/>
  <c r="AZ127" i="4" s="1"/>
  <c r="AY189" i="4"/>
  <c r="AZ189" i="4" s="1"/>
  <c r="AY242" i="4"/>
  <c r="AZ242" i="4" s="1"/>
  <c r="AY283" i="4"/>
  <c r="AZ283" i="4" s="1"/>
  <c r="AY59" i="4"/>
  <c r="AZ59" i="4" s="1"/>
  <c r="AY58" i="4"/>
  <c r="AZ58" i="4" s="1"/>
  <c r="AY52" i="4"/>
  <c r="AZ52" i="4" s="1"/>
  <c r="AY239" i="4"/>
  <c r="AZ239" i="4" s="1"/>
  <c r="AY165" i="4"/>
  <c r="AZ165" i="4" s="1"/>
  <c r="AY37" i="4"/>
  <c r="AZ37" i="4" s="1"/>
  <c r="AY208" i="4"/>
  <c r="AZ208" i="4" s="1"/>
  <c r="AY47" i="4"/>
  <c r="AZ47" i="4" s="1"/>
  <c r="AY282" i="4"/>
  <c r="AZ282" i="4" s="1"/>
  <c r="AY268" i="4"/>
  <c r="AZ268" i="4" s="1"/>
  <c r="AY19" i="4"/>
  <c r="AZ19" i="4" s="1"/>
  <c r="AY254" i="4"/>
  <c r="AZ254" i="4" s="1"/>
  <c r="AY125" i="4"/>
  <c r="AZ125" i="4" s="1"/>
  <c r="AY168" i="4"/>
  <c r="AZ168" i="4" s="1"/>
  <c r="AY290" i="4"/>
  <c r="AZ290" i="4" s="1"/>
  <c r="AY284" i="4"/>
  <c r="AZ284" i="4" s="1"/>
  <c r="AY139" i="4"/>
  <c r="AZ139" i="4" s="1"/>
  <c r="AY73" i="4"/>
  <c r="AZ73" i="4" s="1"/>
  <c r="AY287" i="4"/>
  <c r="AZ287" i="4" s="1"/>
  <c r="AY146" i="4"/>
  <c r="AZ146" i="4" s="1"/>
  <c r="AY54" i="4"/>
  <c r="AZ54" i="4" s="1"/>
  <c r="AY176" i="4"/>
  <c r="AZ176" i="4" s="1"/>
  <c r="AY279" i="4"/>
  <c r="AZ279" i="4" s="1"/>
  <c r="AY246" i="4"/>
  <c r="AZ246" i="4" s="1"/>
  <c r="AY272" i="4"/>
  <c r="AZ272" i="4" s="1"/>
  <c r="AY163" i="4"/>
  <c r="AZ163" i="4" s="1"/>
  <c r="AE1" i="35"/>
  <c r="AT1" i="35" s="1"/>
  <c r="AU9" i="35" s="1"/>
  <c r="BF11" i="35" s="1"/>
  <c r="V11" i="35"/>
  <c r="R2" i="30"/>
  <c r="C148" i="31"/>
  <c r="D1380" i="31"/>
  <c r="AL440" i="31"/>
  <c r="AL202" i="31"/>
  <c r="N88" i="31"/>
  <c r="S641" i="31"/>
  <c r="C294" i="31"/>
  <c r="C548" i="31"/>
  <c r="N364" i="31"/>
  <c r="C60" i="31"/>
  <c r="C206" i="31"/>
  <c r="D574" i="31"/>
  <c r="D1012" i="31"/>
  <c r="AL60" i="31"/>
  <c r="AL336" i="31"/>
  <c r="AL1072" i="31"/>
  <c r="H61" i="31"/>
  <c r="J60" i="31"/>
  <c r="J62" i="31"/>
  <c r="P61" i="31"/>
  <c r="T61" i="31"/>
  <c r="S62" i="31"/>
  <c r="H168" i="31"/>
  <c r="N277" i="31"/>
  <c r="Z2" i="27"/>
  <c r="V10" i="27"/>
  <c r="AD10" i="27" s="1"/>
  <c r="J2" i="27"/>
  <c r="C76" i="31"/>
  <c r="D406" i="31"/>
  <c r="D774" i="31"/>
  <c r="D1142" i="31"/>
  <c r="T116" i="31"/>
  <c r="D114" i="31"/>
  <c r="C482" i="31"/>
  <c r="D850" i="31"/>
  <c r="D1288" i="31"/>
  <c r="D60" i="31"/>
  <c r="D276" i="31"/>
  <c r="D720" i="31"/>
  <c r="D1088" i="31"/>
  <c r="AL92" i="31"/>
  <c r="AL774" i="31"/>
  <c r="AL1218" i="31"/>
  <c r="F60" i="31"/>
  <c r="F62" i="31"/>
  <c r="L62" i="31"/>
  <c r="P62" i="31"/>
  <c r="U61" i="31"/>
  <c r="J161" i="27"/>
  <c r="W16" i="27"/>
  <c r="D168" i="27"/>
  <c r="N165" i="27" s="1"/>
  <c r="C552" i="31"/>
  <c r="D996" i="31"/>
  <c r="D1364" i="31"/>
  <c r="D92" i="31"/>
  <c r="D428" i="31"/>
  <c r="C796" i="31"/>
  <c r="D1310" i="31"/>
  <c r="AL114" i="31"/>
  <c r="AL482" i="31"/>
  <c r="AL920" i="31"/>
  <c r="AL1288" i="31"/>
  <c r="N62" i="31"/>
  <c r="H62" i="31"/>
  <c r="L60" i="31"/>
  <c r="T62" i="31"/>
  <c r="U62" i="31"/>
  <c r="H223" i="31"/>
  <c r="D1164" i="31"/>
  <c r="N224" i="31"/>
  <c r="H93" i="31"/>
  <c r="S93" i="31"/>
  <c r="F77" i="31"/>
  <c r="T168" i="31"/>
  <c r="P276" i="31"/>
  <c r="L336" i="31"/>
  <c r="D76" i="31"/>
  <c r="C336" i="31"/>
  <c r="D628" i="31"/>
  <c r="C1268" i="31"/>
  <c r="C92" i="31"/>
  <c r="D942" i="31"/>
  <c r="D1234" i="31"/>
  <c r="AL76" i="31"/>
  <c r="AL260" i="31"/>
  <c r="AL552" i="31"/>
  <c r="AL850" i="31"/>
  <c r="H60" i="31"/>
  <c r="N60" i="31"/>
  <c r="J61" i="31"/>
  <c r="P60" i="31"/>
  <c r="U60" i="31"/>
  <c r="T60" i="31"/>
  <c r="J114" i="31"/>
  <c r="Z168" i="31"/>
  <c r="T222" i="31"/>
  <c r="U277" i="31"/>
  <c r="S338" i="31"/>
  <c r="J391" i="31"/>
  <c r="P444" i="31"/>
  <c r="P500" i="31"/>
  <c r="H552" i="31"/>
  <c r="L722" i="31"/>
  <c r="N775" i="31"/>
  <c r="L1050" i="31"/>
  <c r="N94" i="31"/>
  <c r="Z92" i="31"/>
  <c r="N430" i="31"/>
  <c r="N116" i="31"/>
  <c r="N392" i="31"/>
  <c r="S614" i="31"/>
  <c r="N722" i="31"/>
  <c r="P92" i="31"/>
  <c r="AL102" i="31"/>
  <c r="AL394" i="31"/>
  <c r="AL762" i="31"/>
  <c r="T7" i="27"/>
  <c r="AE5" i="27" s="1"/>
  <c r="T9" i="27"/>
  <c r="D166" i="27"/>
  <c r="O164" i="27" s="1"/>
  <c r="C102" i="31"/>
  <c r="D248" i="31"/>
  <c r="C394" i="31"/>
  <c r="C540" i="31"/>
  <c r="C686" i="31"/>
  <c r="D838" i="31"/>
  <c r="C984" i="31"/>
  <c r="C1130" i="31"/>
  <c r="C1276" i="31"/>
  <c r="D286" i="31"/>
  <c r="C432" i="31"/>
  <c r="C724" i="31"/>
  <c r="C1022" i="31"/>
  <c r="D1168" i="31"/>
  <c r="AL172" i="31"/>
  <c r="AL470" i="31"/>
  <c r="AL838" i="31"/>
  <c r="J65" i="31"/>
  <c r="W14" i="27"/>
  <c r="U18" i="27"/>
  <c r="T5" i="27"/>
  <c r="AC5" i="27" s="1"/>
  <c r="G174" i="27"/>
  <c r="H164" i="27"/>
  <c r="M171" i="27" s="1"/>
  <c r="D172" i="31"/>
  <c r="D318" i="31"/>
  <c r="C616" i="31"/>
  <c r="C908" i="31"/>
  <c r="D1054" i="31"/>
  <c r="D1206" i="31"/>
  <c r="C1352" i="31"/>
  <c r="AL540" i="31"/>
  <c r="S17" i="27"/>
  <c r="F169" i="27"/>
  <c r="O168" i="27" s="1"/>
  <c r="F167" i="27"/>
  <c r="F119" i="31"/>
  <c r="L394" i="31"/>
  <c r="F947" i="31"/>
  <c r="C176" i="27"/>
  <c r="AL1054" i="31"/>
  <c r="N174" i="31"/>
  <c r="Z448" i="31"/>
  <c r="H1307" i="31"/>
  <c r="C173" i="27"/>
  <c r="T90" i="31"/>
  <c r="U366" i="31"/>
  <c r="J478" i="31"/>
  <c r="E176" i="27"/>
  <c r="G132" i="27"/>
  <c r="G176" i="27"/>
  <c r="H167" i="27"/>
  <c r="M172" i="27" s="1"/>
  <c r="G175" i="27"/>
  <c r="H341" i="31"/>
  <c r="J425" i="31"/>
  <c r="P587" i="31"/>
  <c r="N1031" i="31"/>
  <c r="P848" i="31"/>
  <c r="C174" i="27"/>
  <c r="AL686" i="31"/>
  <c r="AL1352" i="31"/>
  <c r="F174" i="31"/>
  <c r="P286" i="31"/>
  <c r="T449" i="31"/>
  <c r="AL1130" i="31"/>
  <c r="J66" i="31"/>
  <c r="T119" i="31"/>
  <c r="U174" i="31"/>
  <c r="P227" i="31"/>
  <c r="T341" i="31"/>
  <c r="AL908" i="31"/>
  <c r="AL1206" i="31"/>
  <c r="S174" i="31"/>
  <c r="J288" i="31"/>
  <c r="U503" i="31"/>
  <c r="D11" i="35"/>
  <c r="F164" i="27"/>
  <c r="M167" i="27" s="1"/>
  <c r="F168" i="27"/>
  <c r="N168" i="27" s="1"/>
  <c r="I175" i="27"/>
  <c r="M177" i="27" s="1"/>
  <c r="H169" i="27"/>
  <c r="H165" i="27"/>
  <c r="N171" i="27" s="1"/>
  <c r="F126" i="27"/>
  <c r="G177" i="27"/>
  <c r="C171" i="27"/>
  <c r="AL1276" i="31"/>
  <c r="N170" i="31"/>
  <c r="J200" i="31"/>
  <c r="S200" i="31"/>
  <c r="P223" i="31"/>
  <c r="L252" i="31"/>
  <c r="S253" i="31"/>
  <c r="J336" i="31"/>
  <c r="U446" i="31"/>
  <c r="T66" i="31"/>
  <c r="N120" i="31"/>
  <c r="S120" i="31"/>
  <c r="F173" i="31"/>
  <c r="T227" i="31"/>
  <c r="P726" i="31"/>
  <c r="J94" i="31"/>
  <c r="P94" i="31"/>
  <c r="P314" i="31"/>
  <c r="G173" i="27"/>
  <c r="D165" i="27"/>
  <c r="N164" i="27" s="1"/>
  <c r="D169" i="27"/>
  <c r="O165" i="27" s="1"/>
  <c r="C177" i="27"/>
  <c r="F166" i="27"/>
  <c r="O167" i="27" s="1"/>
  <c r="E172" i="27"/>
  <c r="L65" i="31"/>
  <c r="N227" i="31"/>
  <c r="T726" i="31"/>
  <c r="C175" i="27"/>
  <c r="H166" i="27"/>
  <c r="O171" i="27" s="1"/>
  <c r="C172" i="27"/>
  <c r="E175" i="27"/>
  <c r="E136" i="27"/>
  <c r="G172" i="27"/>
  <c r="T1365" i="31"/>
  <c r="S1365" i="31"/>
  <c r="L1364" i="31"/>
  <c r="S1327" i="31"/>
  <c r="U1328" i="31"/>
  <c r="T1327" i="31"/>
  <c r="N1327" i="31"/>
  <c r="H1328" i="31"/>
  <c r="T1326" i="31"/>
  <c r="L1328" i="31"/>
  <c r="H1327" i="31"/>
  <c r="U1327" i="31"/>
  <c r="L1327" i="31"/>
  <c r="L1326" i="31"/>
  <c r="L1329" i="31" s="1"/>
  <c r="T1328" i="31"/>
  <c r="N1326" i="31"/>
  <c r="F1327" i="31"/>
  <c r="H1326" i="31"/>
  <c r="Z1272" i="31"/>
  <c r="U1274" i="31"/>
  <c r="T1273" i="31"/>
  <c r="J1272" i="31"/>
  <c r="L1273" i="31"/>
  <c r="T1272" i="31"/>
  <c r="L1274" i="31"/>
  <c r="H1274" i="31"/>
  <c r="U1273" i="31"/>
  <c r="L1272" i="31"/>
  <c r="H1272" i="31"/>
  <c r="S1273" i="31"/>
  <c r="N1274" i="31"/>
  <c r="S1274" i="31"/>
  <c r="H1273" i="31"/>
  <c r="T1218" i="31"/>
  <c r="U1220" i="31"/>
  <c r="F1219" i="31"/>
  <c r="L1218" i="31"/>
  <c r="N1218" i="31"/>
  <c r="T1220" i="31"/>
  <c r="L1220" i="31"/>
  <c r="J1220" i="31"/>
  <c r="Z1218" i="31"/>
  <c r="U1219" i="31"/>
  <c r="P1220" i="31"/>
  <c r="S1220" i="31"/>
  <c r="N1219" i="31"/>
  <c r="F1218" i="31"/>
  <c r="P1219" i="31"/>
  <c r="U1035" i="31"/>
  <c r="H1035" i="31"/>
  <c r="F1034" i="31"/>
  <c r="Z996" i="31"/>
  <c r="T997" i="31"/>
  <c r="S996" i="31"/>
  <c r="P996" i="31"/>
  <c r="P997" i="31"/>
  <c r="H996" i="31"/>
  <c r="U997" i="31"/>
  <c r="U998" i="31"/>
  <c r="F997" i="31"/>
  <c r="J998" i="31"/>
  <c r="J996" i="31"/>
  <c r="J997" i="31"/>
  <c r="U996" i="31"/>
  <c r="L998" i="31"/>
  <c r="N998" i="31"/>
  <c r="T996" i="31"/>
  <c r="N996" i="31"/>
  <c r="F998" i="31"/>
  <c r="N997" i="31"/>
  <c r="T943" i="31"/>
  <c r="Z942" i="31"/>
  <c r="U942" i="31"/>
  <c r="L944" i="31"/>
  <c r="J944" i="31"/>
  <c r="P943" i="31"/>
  <c r="H944" i="31"/>
  <c r="S944" i="31"/>
  <c r="T944" i="31"/>
  <c r="N944" i="31"/>
  <c r="F942" i="31"/>
  <c r="N943" i="31"/>
  <c r="U944" i="31"/>
  <c r="H943" i="31"/>
  <c r="S942" i="31"/>
  <c r="P942" i="31"/>
  <c r="U943" i="31"/>
  <c r="L942" i="31"/>
  <c r="N942" i="31"/>
  <c r="S890" i="31"/>
  <c r="T889" i="31"/>
  <c r="T890" i="31"/>
  <c r="P890" i="31"/>
  <c r="N888" i="31"/>
  <c r="N890" i="31"/>
  <c r="Z888" i="31"/>
  <c r="U888" i="31"/>
  <c r="L889" i="31"/>
  <c r="H890" i="31"/>
  <c r="H888" i="31"/>
  <c r="F889" i="31"/>
  <c r="S888" i="31"/>
  <c r="P889" i="31"/>
  <c r="U889" i="31"/>
  <c r="L888" i="31"/>
  <c r="F888" i="31"/>
  <c r="S889" i="31"/>
  <c r="J888" i="31"/>
  <c r="H889" i="31"/>
  <c r="Z828" i="31"/>
  <c r="U830" i="31"/>
  <c r="N830" i="31"/>
  <c r="J830" i="31"/>
  <c r="L829" i="31"/>
  <c r="L830" i="31"/>
  <c r="S830" i="31"/>
  <c r="T830" i="31"/>
  <c r="P829" i="31"/>
  <c r="P828" i="31"/>
  <c r="P830" i="31"/>
  <c r="T829" i="31"/>
  <c r="F830" i="31"/>
  <c r="U829" i="31"/>
  <c r="N829" i="31"/>
  <c r="H828" i="31"/>
  <c r="S829" i="31"/>
  <c r="L828" i="31"/>
  <c r="F828" i="31"/>
  <c r="S705" i="31"/>
  <c r="S706" i="31"/>
  <c r="H706" i="31"/>
  <c r="N706" i="31"/>
  <c r="F705" i="31"/>
  <c r="L704" i="31"/>
  <c r="S666" i="31"/>
  <c r="T667" i="31"/>
  <c r="P667" i="31"/>
  <c r="F666" i="31"/>
  <c r="N666" i="31"/>
  <c r="L667" i="31"/>
  <c r="H666" i="31"/>
  <c r="Z666" i="31"/>
  <c r="T666" i="31"/>
  <c r="S667" i="31"/>
  <c r="P666" i="31"/>
  <c r="H668" i="31"/>
  <c r="N667" i="31"/>
  <c r="J666" i="31"/>
  <c r="U667" i="31"/>
  <c r="U668" i="31"/>
  <c r="U666" i="31"/>
  <c r="J668" i="31"/>
  <c r="F667" i="31"/>
  <c r="L666" i="31"/>
  <c r="L668" i="31"/>
  <c r="S646" i="31"/>
  <c r="S645" i="31"/>
  <c r="U645" i="31"/>
  <c r="L645" i="31"/>
  <c r="J646" i="31"/>
  <c r="S644" i="31"/>
  <c r="Z612" i="31"/>
  <c r="T613" i="31"/>
  <c r="U614" i="31"/>
  <c r="P612" i="31"/>
  <c r="H614" i="31"/>
  <c r="N613" i="31"/>
  <c r="J612" i="31"/>
  <c r="U613" i="31"/>
  <c r="S613" i="31"/>
  <c r="T612" i="31"/>
  <c r="J614" i="31"/>
  <c r="F613" i="31"/>
  <c r="L612" i="31"/>
  <c r="L614" i="31"/>
  <c r="T614" i="31"/>
  <c r="U612" i="31"/>
  <c r="P614" i="31"/>
  <c r="H613" i="31"/>
  <c r="F614" i="31"/>
  <c r="N614" i="31"/>
  <c r="J613" i="31"/>
  <c r="Z552" i="31"/>
  <c r="U554" i="31"/>
  <c r="U553" i="31"/>
  <c r="F552" i="31"/>
  <c r="P554" i="31"/>
  <c r="J554" i="31"/>
  <c r="P553" i="31"/>
  <c r="S553" i="31"/>
  <c r="S552" i="31"/>
  <c r="U552" i="31"/>
  <c r="N554" i="31"/>
  <c r="J553" i="31"/>
  <c r="P552" i="31"/>
  <c r="L552" i="31"/>
  <c r="T553" i="31"/>
  <c r="T554" i="31"/>
  <c r="F554" i="31"/>
  <c r="L553" i="31"/>
  <c r="L554" i="31"/>
  <c r="H554" i="31"/>
  <c r="N553" i="31"/>
  <c r="S499" i="31"/>
  <c r="U498" i="31"/>
  <c r="T500" i="31"/>
  <c r="N500" i="31"/>
  <c r="J499" i="31"/>
  <c r="P498" i="31"/>
  <c r="L498" i="31"/>
  <c r="T499" i="31"/>
  <c r="T498" i="31"/>
  <c r="F500" i="31"/>
  <c r="L499" i="31"/>
  <c r="L500" i="31"/>
  <c r="H500" i="31"/>
  <c r="N499" i="31"/>
  <c r="S500" i="31"/>
  <c r="U500" i="31"/>
  <c r="F499" i="31"/>
  <c r="J498" i="31"/>
  <c r="H499" i="31"/>
  <c r="N498" i="31"/>
  <c r="H498" i="31"/>
  <c r="H408" i="31"/>
  <c r="L406" i="31"/>
  <c r="T407" i="31"/>
  <c r="F353" i="31"/>
  <c r="S354" i="31"/>
  <c r="P352" i="31"/>
  <c r="F299" i="31"/>
  <c r="J299" i="31"/>
  <c r="F300" i="31"/>
  <c r="N246" i="31"/>
  <c r="U244" i="31"/>
  <c r="T153" i="31"/>
  <c r="P154" i="31"/>
  <c r="H152" i="31"/>
  <c r="Z152" i="31"/>
  <c r="L152" i="31"/>
  <c r="N152" i="31"/>
  <c r="T152" i="31"/>
  <c r="F152" i="31"/>
  <c r="F153" i="31"/>
  <c r="S152" i="31"/>
  <c r="P153" i="31"/>
  <c r="C168" i="31"/>
  <c r="D244" i="31"/>
  <c r="C390" i="31"/>
  <c r="D536" i="31"/>
  <c r="D612" i="31"/>
  <c r="C682" i="31"/>
  <c r="C758" i="31"/>
  <c r="D828" i="31"/>
  <c r="C904" i="31"/>
  <c r="C1050" i="31"/>
  <c r="D1126" i="31"/>
  <c r="D1272" i="31"/>
  <c r="C1348" i="31"/>
  <c r="AL276" i="31"/>
  <c r="AL352" i="31"/>
  <c r="AL498" i="31"/>
  <c r="AL574" i="31"/>
  <c r="AL644" i="31"/>
  <c r="AL720" i="31"/>
  <c r="AL942" i="31"/>
  <c r="AL1012" i="31"/>
  <c r="AL1234" i="31"/>
  <c r="AL1380" i="31"/>
  <c r="N114" i="31"/>
  <c r="N115" i="31"/>
  <c r="N168" i="31"/>
  <c r="N169" i="31"/>
  <c r="H224" i="31"/>
  <c r="N223" i="31"/>
  <c r="S222" i="31"/>
  <c r="S223" i="31"/>
  <c r="N276" i="31"/>
  <c r="H278" i="31"/>
  <c r="P278" i="31"/>
  <c r="T277" i="31"/>
  <c r="N336" i="31"/>
  <c r="N338" i="31"/>
  <c r="S336" i="31"/>
  <c r="H390" i="31"/>
  <c r="T392" i="31"/>
  <c r="J445" i="31"/>
  <c r="Z444" i="31"/>
  <c r="F498" i="31"/>
  <c r="N552" i="31"/>
  <c r="S554" i="31"/>
  <c r="N612" i="31"/>
  <c r="S612" i="31"/>
  <c r="J667" i="31"/>
  <c r="N668" i="31"/>
  <c r="H720" i="31"/>
  <c r="U720" i="31"/>
  <c r="H830" i="31"/>
  <c r="P888" i="31"/>
  <c r="J943" i="31"/>
  <c r="H998" i="31"/>
  <c r="T1052" i="31"/>
  <c r="N1220" i="31"/>
  <c r="Z1326" i="31"/>
  <c r="U705" i="31"/>
  <c r="S1258" i="31"/>
  <c r="J1258" i="31"/>
  <c r="S1257" i="31"/>
  <c r="F1197" i="31"/>
  <c r="T1198" i="31"/>
  <c r="L1197" i="31"/>
  <c r="N1198" i="31"/>
  <c r="U1164" i="31"/>
  <c r="U1166" i="31"/>
  <c r="F1166" i="31"/>
  <c r="H1165" i="31"/>
  <c r="L1165" i="31"/>
  <c r="T1164" i="31"/>
  <c r="P1164" i="31"/>
  <c r="J1164" i="31"/>
  <c r="U1165" i="31"/>
  <c r="P1165" i="31"/>
  <c r="J1165" i="31"/>
  <c r="F1165" i="31"/>
  <c r="L1166" i="31"/>
  <c r="Z1164" i="31"/>
  <c r="L1164" i="31"/>
  <c r="U1106" i="31"/>
  <c r="T1105" i="31"/>
  <c r="T1106" i="31"/>
  <c r="H1106" i="31"/>
  <c r="P1105" i="31"/>
  <c r="L1105" i="31"/>
  <c r="U1105" i="31"/>
  <c r="F1105" i="31"/>
  <c r="J1106" i="31"/>
  <c r="H1104" i="31"/>
  <c r="S1104" i="31"/>
  <c r="L1106" i="31"/>
  <c r="N1105" i="31"/>
  <c r="H1105" i="31"/>
  <c r="U1104" i="31"/>
  <c r="L1104" i="31"/>
  <c r="S1105" i="31"/>
  <c r="P1106" i="31"/>
  <c r="Z980" i="31"/>
  <c r="S980" i="31"/>
  <c r="U980" i="31"/>
  <c r="L982" i="31"/>
  <c r="S920" i="31"/>
  <c r="S922" i="31"/>
  <c r="U920" i="31"/>
  <c r="J921" i="31"/>
  <c r="U868" i="31"/>
  <c r="S868" i="31"/>
  <c r="F868" i="31"/>
  <c r="U867" i="31"/>
  <c r="S814" i="31"/>
  <c r="N814" i="31"/>
  <c r="H814" i="31"/>
  <c r="U813" i="31"/>
  <c r="F814" i="31"/>
  <c r="Z774" i="31"/>
  <c r="S774" i="31"/>
  <c r="U776" i="31"/>
  <c r="N774" i="31"/>
  <c r="F775" i="31"/>
  <c r="J774" i="31"/>
  <c r="J775" i="31"/>
  <c r="S776" i="31"/>
  <c r="U774" i="31"/>
  <c r="N776" i="31"/>
  <c r="L774" i="31"/>
  <c r="P774" i="31"/>
  <c r="H774" i="31"/>
  <c r="L776" i="31"/>
  <c r="S775" i="31"/>
  <c r="P775" i="31"/>
  <c r="L775" i="31"/>
  <c r="T774" i="31"/>
  <c r="J776" i="31"/>
  <c r="P776" i="31"/>
  <c r="U775" i="31"/>
  <c r="T775" i="31"/>
  <c r="H776" i="31"/>
  <c r="F774" i="31"/>
  <c r="T521" i="31"/>
  <c r="H520" i="31"/>
  <c r="U460" i="31"/>
  <c r="J461" i="31"/>
  <c r="Z428" i="31"/>
  <c r="S430" i="31"/>
  <c r="H428" i="31"/>
  <c r="T429" i="31"/>
  <c r="L429" i="31"/>
  <c r="U429" i="31"/>
  <c r="P428" i="31"/>
  <c r="J429" i="31"/>
  <c r="H430" i="31"/>
  <c r="T428" i="31"/>
  <c r="T370" i="31"/>
  <c r="T368" i="31"/>
  <c r="N369" i="31"/>
  <c r="F369" i="31"/>
  <c r="J370" i="31"/>
  <c r="S369" i="31"/>
  <c r="L368" i="31"/>
  <c r="U369" i="31"/>
  <c r="F368" i="31"/>
  <c r="L370" i="31"/>
  <c r="S315" i="31"/>
  <c r="Z314" i="31"/>
  <c r="F315" i="31"/>
  <c r="H315" i="31"/>
  <c r="U315" i="31"/>
  <c r="L314" i="31"/>
  <c r="T314" i="31"/>
  <c r="N315" i="31"/>
  <c r="U316" i="31"/>
  <c r="J314" i="31"/>
  <c r="L316" i="31"/>
  <c r="T262" i="31"/>
  <c r="T260" i="31"/>
  <c r="L260" i="31"/>
  <c r="S261" i="31"/>
  <c r="N262" i="31"/>
  <c r="F262" i="31"/>
  <c r="U260" i="31"/>
  <c r="F261" i="31"/>
  <c r="N261" i="31"/>
  <c r="N260" i="31"/>
  <c r="T261" i="31"/>
  <c r="U208" i="31"/>
  <c r="U206" i="31"/>
  <c r="J206" i="31"/>
  <c r="U207" i="31"/>
  <c r="H208" i="31"/>
  <c r="P206" i="31"/>
  <c r="H207" i="31"/>
  <c r="S207" i="31"/>
  <c r="T206" i="31"/>
  <c r="L207" i="31"/>
  <c r="S169" i="31"/>
  <c r="S170" i="31"/>
  <c r="S168" i="31"/>
  <c r="L169" i="31"/>
  <c r="J168" i="31"/>
  <c r="J170" i="31"/>
  <c r="F170" i="31"/>
  <c r="T170" i="31"/>
  <c r="U168" i="31"/>
  <c r="P169" i="31"/>
  <c r="L168" i="31"/>
  <c r="L170" i="31"/>
  <c r="H170" i="31"/>
  <c r="J169" i="31"/>
  <c r="T115" i="31"/>
  <c r="U116" i="31"/>
  <c r="P116" i="31"/>
  <c r="L114" i="31"/>
  <c r="J116" i="31"/>
  <c r="F116" i="31"/>
  <c r="F114" i="31"/>
  <c r="Z114" i="31"/>
  <c r="T114" i="31"/>
  <c r="S116" i="31"/>
  <c r="P114" i="31"/>
  <c r="J115" i="31"/>
  <c r="H116" i="31"/>
  <c r="L115" i="31"/>
  <c r="BB27" i="4"/>
  <c r="D152" i="31"/>
  <c r="C298" i="31"/>
  <c r="D520" i="31"/>
  <c r="C666" i="31"/>
  <c r="D736" i="31"/>
  <c r="D888" i="31"/>
  <c r="C958" i="31"/>
  <c r="C1034" i="31"/>
  <c r="D1180" i="31"/>
  <c r="C1256" i="31"/>
  <c r="D1326" i="31"/>
  <c r="D168" i="31"/>
  <c r="C244" i="31"/>
  <c r="C314" i="31"/>
  <c r="D390" i="31"/>
  <c r="D460" i="31"/>
  <c r="C536" i="31"/>
  <c r="C612" i="31"/>
  <c r="D682" i="31"/>
  <c r="C828" i="31"/>
  <c r="D904" i="31"/>
  <c r="C980" i="31"/>
  <c r="C1126" i="31"/>
  <c r="C1196" i="31"/>
  <c r="C1272" i="31"/>
  <c r="D1348" i="31"/>
  <c r="AL152" i="31"/>
  <c r="AL222" i="31"/>
  <c r="AL298" i="31"/>
  <c r="AL368" i="31"/>
  <c r="AL444" i="31"/>
  <c r="AL520" i="31"/>
  <c r="AL666" i="31"/>
  <c r="AL736" i="31"/>
  <c r="AL812" i="31"/>
  <c r="AL888" i="31"/>
  <c r="AL958" i="31"/>
  <c r="AL1034" i="31"/>
  <c r="AL1104" i="31"/>
  <c r="AL1180" i="31"/>
  <c r="AL1256" i="31"/>
  <c r="AL1326" i="31"/>
  <c r="H115" i="31"/>
  <c r="F115" i="31"/>
  <c r="P115" i="31"/>
  <c r="U114" i="31"/>
  <c r="F169" i="31"/>
  <c r="P168" i="31"/>
  <c r="U170" i="31"/>
  <c r="J224" i="31"/>
  <c r="J223" i="31"/>
  <c r="F278" i="31"/>
  <c r="H276" i="31"/>
  <c r="S276" i="31"/>
  <c r="J337" i="31"/>
  <c r="P336" i="31"/>
  <c r="F337" i="31"/>
  <c r="N390" i="31"/>
  <c r="P499" i="31"/>
  <c r="S498" i="31"/>
  <c r="H553" i="31"/>
  <c r="T552" i="31"/>
  <c r="F612" i="31"/>
  <c r="P668" i="31"/>
  <c r="S668" i="31"/>
  <c r="P720" i="31"/>
  <c r="H775" i="31"/>
  <c r="T828" i="31"/>
  <c r="T888" i="31"/>
  <c r="S943" i="31"/>
  <c r="S998" i="31"/>
  <c r="N1166" i="31"/>
  <c r="S1219" i="31"/>
  <c r="J207" i="31"/>
  <c r="Z368" i="31"/>
  <c r="P867" i="31"/>
  <c r="T1312" i="31"/>
  <c r="H1310" i="31"/>
  <c r="T1311" i="31"/>
  <c r="U1143" i="31"/>
  <c r="P1142" i="31"/>
  <c r="J1142" i="31"/>
  <c r="T1143" i="31"/>
  <c r="J1143" i="31"/>
  <c r="T1088" i="31"/>
  <c r="H1090" i="31"/>
  <c r="J1090" i="31"/>
  <c r="F1088" i="31"/>
  <c r="U1051" i="31"/>
  <c r="Z1050" i="31"/>
  <c r="U1052" i="31"/>
  <c r="F1051" i="31"/>
  <c r="T1051" i="31"/>
  <c r="F1052" i="31"/>
  <c r="H1051" i="31"/>
  <c r="J1050" i="31"/>
  <c r="J1051" i="31"/>
  <c r="T1050" i="31"/>
  <c r="P1050" i="31"/>
  <c r="P1051" i="31"/>
  <c r="L1051" i="31"/>
  <c r="F1050" i="31"/>
  <c r="P1052" i="31"/>
  <c r="S1052" i="31"/>
  <c r="L1052" i="31"/>
  <c r="N1052" i="31"/>
  <c r="S1051" i="31"/>
  <c r="N1050" i="31"/>
  <c r="P798" i="31"/>
  <c r="L796" i="31"/>
  <c r="U759" i="31"/>
  <c r="N760" i="31"/>
  <c r="U760" i="31"/>
  <c r="H760" i="31"/>
  <c r="F759" i="31"/>
  <c r="U721" i="31"/>
  <c r="S721" i="31"/>
  <c r="T722" i="31"/>
  <c r="T720" i="31"/>
  <c r="N721" i="31"/>
  <c r="J722" i="31"/>
  <c r="F722" i="31"/>
  <c r="P722" i="31"/>
  <c r="H721" i="31"/>
  <c r="S720" i="31"/>
  <c r="U722" i="31"/>
  <c r="N720" i="31"/>
  <c r="F721" i="31"/>
  <c r="J720" i="31"/>
  <c r="J721" i="31"/>
  <c r="T721" i="31"/>
  <c r="S722" i="31"/>
  <c r="P721" i="31"/>
  <c r="H722" i="31"/>
  <c r="L721" i="31"/>
  <c r="F720" i="31"/>
  <c r="U590" i="31"/>
  <c r="U591" i="31"/>
  <c r="N590" i="31"/>
  <c r="N591" i="31"/>
  <c r="F591" i="31"/>
  <c r="S590" i="31"/>
  <c r="L592" i="31"/>
  <c r="U538" i="31"/>
  <c r="S538" i="31"/>
  <c r="J537" i="31"/>
  <c r="P537" i="31"/>
  <c r="U536" i="31"/>
  <c r="L538" i="31"/>
  <c r="L536" i="31"/>
  <c r="H538" i="31"/>
  <c r="S537" i="31"/>
  <c r="S483" i="31"/>
  <c r="S484" i="31"/>
  <c r="L483" i="31"/>
  <c r="P482" i="31"/>
  <c r="Z482" i="31"/>
  <c r="P483" i="31"/>
  <c r="S482" i="31"/>
  <c r="J483" i="31"/>
  <c r="P484" i="31"/>
  <c r="H484" i="31"/>
  <c r="U483" i="31"/>
  <c r="S445" i="31"/>
  <c r="S444" i="31"/>
  <c r="U444" i="31"/>
  <c r="N446" i="31"/>
  <c r="L446" i="31"/>
  <c r="H446" i="31"/>
  <c r="N445" i="31"/>
  <c r="T445" i="31"/>
  <c r="T446" i="31"/>
  <c r="F446" i="31"/>
  <c r="L445" i="31"/>
  <c r="H445" i="31"/>
  <c r="N444" i="31"/>
  <c r="H444" i="31"/>
  <c r="T444" i="31"/>
  <c r="S446" i="31"/>
  <c r="F445" i="31"/>
  <c r="J444" i="31"/>
  <c r="J446" i="31"/>
  <c r="P445" i="31"/>
  <c r="P446" i="31"/>
  <c r="T391" i="31"/>
  <c r="T390" i="31"/>
  <c r="F392" i="31"/>
  <c r="L391" i="31"/>
  <c r="J392" i="31"/>
  <c r="P391" i="31"/>
  <c r="P392" i="31"/>
  <c r="S392" i="31"/>
  <c r="U392" i="31"/>
  <c r="F391" i="31"/>
  <c r="J390" i="31"/>
  <c r="P390" i="31"/>
  <c r="L390" i="31"/>
  <c r="Z390" i="31"/>
  <c r="U391" i="31"/>
  <c r="S390" i="31"/>
  <c r="F390" i="31"/>
  <c r="L392" i="31"/>
  <c r="H392" i="31"/>
  <c r="N391" i="31"/>
  <c r="T337" i="31"/>
  <c r="T338" i="31"/>
  <c r="F338" i="31"/>
  <c r="L337" i="31"/>
  <c r="J338" i="31"/>
  <c r="P337" i="31"/>
  <c r="P338" i="31"/>
  <c r="Z336" i="31"/>
  <c r="U338" i="31"/>
  <c r="U337" i="31"/>
  <c r="F336" i="31"/>
  <c r="L338" i="31"/>
  <c r="H338" i="31"/>
  <c r="N337" i="31"/>
  <c r="S278" i="31"/>
  <c r="U278" i="31"/>
  <c r="P277" i="31"/>
  <c r="J277" i="31"/>
  <c r="F277" i="31"/>
  <c r="L277" i="31"/>
  <c r="F276" i="31"/>
  <c r="S277" i="31"/>
  <c r="U276" i="31"/>
  <c r="T278" i="31"/>
  <c r="J276" i="31"/>
  <c r="J278" i="31"/>
  <c r="L276" i="31"/>
  <c r="H277" i="31"/>
  <c r="Z222" i="31"/>
  <c r="U224" i="31"/>
  <c r="S224" i="31"/>
  <c r="P222" i="31"/>
  <c r="H222" i="31"/>
  <c r="J222" i="31"/>
  <c r="F222" i="31"/>
  <c r="T223" i="31"/>
  <c r="U222" i="31"/>
  <c r="P224" i="31"/>
  <c r="L224" i="31"/>
  <c r="L222" i="31"/>
  <c r="N222" i="31"/>
  <c r="F224" i="31"/>
  <c r="P184" i="31"/>
  <c r="J186" i="31"/>
  <c r="H186" i="31"/>
  <c r="U184" i="31"/>
  <c r="S131" i="31"/>
  <c r="L132" i="31"/>
  <c r="N131" i="31"/>
  <c r="D222" i="31"/>
  <c r="D368" i="31"/>
  <c r="C444" i="31"/>
  <c r="D590" i="31"/>
  <c r="D812" i="31"/>
  <c r="C1104" i="31"/>
  <c r="C152" i="31"/>
  <c r="C222" i="31"/>
  <c r="D298" i="31"/>
  <c r="C368" i="31"/>
  <c r="D444" i="31"/>
  <c r="C520" i="31"/>
  <c r="C590" i="31"/>
  <c r="D666" i="31"/>
  <c r="C736" i="31"/>
  <c r="C812" i="31"/>
  <c r="C888" i="31"/>
  <c r="D958" i="31"/>
  <c r="D1034" i="31"/>
  <c r="D1104" i="31"/>
  <c r="D1256" i="31"/>
  <c r="C1326" i="31"/>
  <c r="C114" i="31"/>
  <c r="D184" i="31"/>
  <c r="D260" i="31"/>
  <c r="D336" i="31"/>
  <c r="C406" i="31"/>
  <c r="D482" i="31"/>
  <c r="D552" i="31"/>
  <c r="C628" i="31"/>
  <c r="C704" i="31"/>
  <c r="C774" i="31"/>
  <c r="C920" i="31"/>
  <c r="C996" i="31"/>
  <c r="C1142" i="31"/>
  <c r="C1218" i="31"/>
  <c r="C1288" i="31"/>
  <c r="C1364" i="31"/>
  <c r="C130" i="31"/>
  <c r="D206" i="31"/>
  <c r="C276" i="31"/>
  <c r="D352" i="31"/>
  <c r="C428" i="31"/>
  <c r="C498" i="31"/>
  <c r="C574" i="31"/>
  <c r="C644" i="31"/>
  <c r="C720" i="31"/>
  <c r="D796" i="31"/>
  <c r="C866" i="31"/>
  <c r="C942" i="31"/>
  <c r="C1012" i="31"/>
  <c r="C1088" i="31"/>
  <c r="C1164" i="31"/>
  <c r="C1234" i="31"/>
  <c r="C1310" i="31"/>
  <c r="C1380" i="31"/>
  <c r="AL168" i="31"/>
  <c r="AL244" i="31"/>
  <c r="AL314" i="31"/>
  <c r="AL390" i="31"/>
  <c r="AL460" i="31"/>
  <c r="AL536" i="31"/>
  <c r="AL612" i="31"/>
  <c r="AL682" i="31"/>
  <c r="AL758" i="31"/>
  <c r="AL828" i="31"/>
  <c r="AL980" i="31"/>
  <c r="AL1050" i="31"/>
  <c r="AL1126" i="31"/>
  <c r="AL1196" i="31"/>
  <c r="AL1272" i="31"/>
  <c r="H114" i="31"/>
  <c r="L116" i="31"/>
  <c r="U115" i="31"/>
  <c r="S115" i="31"/>
  <c r="F168" i="31"/>
  <c r="H169" i="31"/>
  <c r="P170" i="31"/>
  <c r="T169" i="31"/>
  <c r="F223" i="31"/>
  <c r="L223" i="31"/>
  <c r="U223" i="31"/>
  <c r="N278" i="31"/>
  <c r="L278" i="31"/>
  <c r="T276" i="31"/>
  <c r="H336" i="31"/>
  <c r="H337" i="31"/>
  <c r="U336" i="31"/>
  <c r="S337" i="31"/>
  <c r="H391" i="31"/>
  <c r="S391" i="31"/>
  <c r="L444" i="31"/>
  <c r="U445" i="31"/>
  <c r="J500" i="31"/>
  <c r="U499" i="31"/>
  <c r="J552" i="31"/>
  <c r="H612" i="31"/>
  <c r="P613" i="31"/>
  <c r="F668" i="31"/>
  <c r="T668" i="31"/>
  <c r="L720" i="31"/>
  <c r="F776" i="31"/>
  <c r="J1105" i="31"/>
  <c r="S1164" i="31"/>
  <c r="F1272" i="31"/>
  <c r="N645" i="31"/>
  <c r="T1036" i="31"/>
  <c r="U1115" i="31"/>
  <c r="F1114" i="31"/>
  <c r="N778" i="31"/>
  <c r="P779" i="31"/>
  <c r="T618" i="31"/>
  <c r="Z616" i="31"/>
  <c r="F562" i="31"/>
  <c r="N562" i="31"/>
  <c r="Z502" i="31"/>
  <c r="N502" i="31"/>
  <c r="T448" i="31"/>
  <c r="H449" i="31"/>
  <c r="U394" i="31"/>
  <c r="F394" i="31"/>
  <c r="U341" i="31"/>
  <c r="Z340" i="31"/>
  <c r="T226" i="31"/>
  <c r="H227" i="31"/>
  <c r="S172" i="31"/>
  <c r="J174" i="31"/>
  <c r="S118" i="31"/>
  <c r="U119" i="31"/>
  <c r="F120" i="31"/>
  <c r="S66" i="31"/>
  <c r="U64" i="31"/>
  <c r="F66" i="31"/>
  <c r="S312" i="31"/>
  <c r="L311" i="31"/>
  <c r="S256" i="31"/>
  <c r="H258" i="31"/>
  <c r="U203" i="31"/>
  <c r="J202" i="31"/>
  <c r="S148" i="31"/>
  <c r="T148" i="31"/>
  <c r="H73" i="31"/>
  <c r="J72" i="31"/>
  <c r="F94" i="31"/>
  <c r="H92" i="31"/>
  <c r="S94" i="31"/>
  <c r="U76" i="31"/>
  <c r="P1001" i="31"/>
  <c r="P1170" i="31"/>
  <c r="N670" i="31"/>
  <c r="U779" i="31"/>
  <c r="S1001" i="31"/>
  <c r="J1289" i="31"/>
  <c r="C56" i="31"/>
  <c r="C180" i="31"/>
  <c r="D332" i="31"/>
  <c r="D624" i="31"/>
  <c r="C1360" i="31"/>
  <c r="C164" i="31"/>
  <c r="D456" i="31"/>
  <c r="D754" i="31"/>
  <c r="C1344" i="31"/>
  <c r="AL900" i="31"/>
  <c r="AL424" i="31"/>
  <c r="N90" i="31"/>
  <c r="J149" i="31"/>
  <c r="N204" i="31"/>
  <c r="F258" i="31"/>
  <c r="H312" i="31"/>
  <c r="N366" i="31"/>
  <c r="H426" i="31"/>
  <c r="T478" i="31"/>
  <c r="U587" i="31"/>
  <c r="J755" i="31"/>
  <c r="Z838" i="31"/>
  <c r="H976" i="31"/>
  <c r="H1084" i="31"/>
  <c r="U1169" i="31"/>
  <c r="N1331" i="31"/>
  <c r="P813" i="31"/>
  <c r="L866" i="31"/>
  <c r="P920" i="31"/>
  <c r="H981" i="31"/>
  <c r="J1036" i="31"/>
  <c r="Z1034" i="31"/>
  <c r="T1089" i="31"/>
  <c r="T1144" i="31"/>
  <c r="S1198" i="31"/>
  <c r="S1256" i="31"/>
  <c r="H1365" i="31"/>
  <c r="L126" i="31"/>
  <c r="P350" i="31"/>
  <c r="U220" i="31"/>
  <c r="D88" i="31"/>
  <c r="D218" i="31"/>
  <c r="C402" i="31"/>
  <c r="D700" i="31"/>
  <c r="D1068" i="31"/>
  <c r="C240" i="31"/>
  <c r="D532" i="31"/>
  <c r="AL88" i="31"/>
  <c r="AL1376" i="31"/>
  <c r="AL1122" i="31"/>
  <c r="AL1084" i="31"/>
  <c r="F88" i="31"/>
  <c r="H149" i="31"/>
  <c r="F202" i="31"/>
  <c r="T256" i="31"/>
  <c r="T312" i="31"/>
  <c r="P364" i="31"/>
  <c r="U424" i="31"/>
  <c r="S480" i="31"/>
  <c r="L533" i="31"/>
  <c r="J863" i="31"/>
  <c r="U1192" i="31"/>
  <c r="J1361" i="31"/>
  <c r="L180" i="31"/>
  <c r="S404" i="31"/>
  <c r="D110" i="31"/>
  <c r="C256" i="31"/>
  <c r="D478" i="31"/>
  <c r="C770" i="31"/>
  <c r="C1214" i="31"/>
  <c r="C310" i="31"/>
  <c r="D608" i="31"/>
  <c r="D1046" i="31"/>
  <c r="AL294" i="31"/>
  <c r="AL1306" i="31"/>
  <c r="P90" i="31"/>
  <c r="S149" i="31"/>
  <c r="T202" i="31"/>
  <c r="J256" i="31"/>
  <c r="U257" i="31"/>
  <c r="P311" i="31"/>
  <c r="S310" i="31"/>
  <c r="T364" i="31"/>
  <c r="J480" i="31"/>
  <c r="F532" i="31"/>
  <c r="L588" i="31"/>
  <c r="J241" i="31"/>
  <c r="S1139" i="31"/>
  <c r="U1140" i="31"/>
  <c r="U977" i="31"/>
  <c r="T976" i="31"/>
  <c r="T917" i="31"/>
  <c r="Z916" i="31"/>
  <c r="Z808" i="31"/>
  <c r="H808" i="31"/>
  <c r="Z700" i="31"/>
  <c r="H700" i="31"/>
  <c r="C846" i="31"/>
  <c r="C1138" i="31"/>
  <c r="AL938" i="31"/>
  <c r="AL1344" i="31"/>
  <c r="AL640" i="31"/>
  <c r="J829" i="31"/>
  <c r="J828" i="31"/>
  <c r="F829" i="31"/>
  <c r="N828" i="31"/>
  <c r="S828" i="31"/>
  <c r="U828" i="31"/>
  <c r="J890" i="31"/>
  <c r="J889" i="31"/>
  <c r="F890" i="31"/>
  <c r="N889" i="31"/>
  <c r="L890" i="31"/>
  <c r="U890" i="31"/>
  <c r="F943" i="31"/>
  <c r="P944" i="31"/>
  <c r="F944" i="31"/>
  <c r="H942" i="31"/>
  <c r="L943" i="31"/>
  <c r="T942" i="31"/>
  <c r="L997" i="31"/>
  <c r="L996" i="31"/>
  <c r="H997" i="31"/>
  <c r="F996" i="31"/>
  <c r="T998" i="31"/>
  <c r="S997" i="31"/>
  <c r="H1050" i="31"/>
  <c r="N1051" i="31"/>
  <c r="J1052" i="31"/>
  <c r="H1052" i="31"/>
  <c r="S1050" i="31"/>
  <c r="U1050" i="31"/>
  <c r="N1106" i="31"/>
  <c r="J1104" i="31"/>
  <c r="N1104" i="31"/>
  <c r="P1104" i="31"/>
  <c r="F1106" i="31"/>
  <c r="P1166" i="31"/>
  <c r="N1164" i="31"/>
  <c r="F1164" i="31"/>
  <c r="S1166" i="31"/>
  <c r="H1220" i="31"/>
  <c r="H1219" i="31"/>
  <c r="H1218" i="31"/>
  <c r="T1219" i="31"/>
  <c r="P1272" i="31"/>
  <c r="N1272" i="31"/>
  <c r="N1273" i="31"/>
  <c r="F1273" i="31"/>
  <c r="T1274" i="31"/>
  <c r="P1326" i="31"/>
  <c r="J1326" i="31"/>
  <c r="F1326" i="31"/>
  <c r="S1328" i="31"/>
  <c r="N755" i="31"/>
  <c r="S809" i="31"/>
  <c r="N863" i="31"/>
  <c r="S917" i="31"/>
  <c r="U978" i="31"/>
  <c r="S1031" i="31"/>
  <c r="T1085" i="31"/>
  <c r="N1307" i="31"/>
  <c r="U1360" i="31"/>
  <c r="N92" i="31"/>
  <c r="L94" i="31"/>
  <c r="L92" i="31"/>
  <c r="U94" i="31"/>
  <c r="T94" i="31"/>
  <c r="H153" i="31"/>
  <c r="H154" i="31"/>
  <c r="N153" i="31"/>
  <c r="S154" i="31"/>
  <c r="U154" i="31"/>
  <c r="N206" i="31"/>
  <c r="F208" i="31"/>
  <c r="N208" i="31"/>
  <c r="P207" i="31"/>
  <c r="T208" i="31"/>
  <c r="Z206" i="31"/>
  <c r="H262" i="31"/>
  <c r="H261" i="31"/>
  <c r="J261" i="31"/>
  <c r="P262" i="31"/>
  <c r="U261" i="31"/>
  <c r="P315" i="31"/>
  <c r="J315" i="31"/>
  <c r="N316" i="31"/>
  <c r="S316" i="31"/>
  <c r="U314" i="31"/>
  <c r="H370" i="31"/>
  <c r="J369" i="31"/>
  <c r="J368" i="31"/>
  <c r="S368" i="31"/>
  <c r="S370" i="31"/>
  <c r="H429" i="31"/>
  <c r="N429" i="31"/>
  <c r="F428" i="31"/>
  <c r="S428" i="31"/>
  <c r="S429" i="31"/>
  <c r="J484" i="31"/>
  <c r="N483" i="31"/>
  <c r="N484" i="31"/>
  <c r="U484" i="31"/>
  <c r="T483" i="31"/>
  <c r="P536" i="31"/>
  <c r="P538" i="31"/>
  <c r="N538" i="31"/>
  <c r="T538" i="31"/>
  <c r="Z536" i="31"/>
  <c r="H591" i="31"/>
  <c r="T590" i="31"/>
  <c r="Z590" i="31"/>
  <c r="F645" i="31"/>
  <c r="T645" i="31"/>
  <c r="F704" i="31"/>
  <c r="U706" i="31"/>
  <c r="Z704" i="31"/>
  <c r="J759" i="31"/>
  <c r="U758" i="31"/>
  <c r="F813" i="31"/>
  <c r="S812" i="31"/>
  <c r="H868" i="31"/>
  <c r="S866" i="31"/>
  <c r="J920" i="31"/>
  <c r="N922" i="31"/>
  <c r="Z920" i="31"/>
  <c r="P980" i="31"/>
  <c r="U981" i="31"/>
  <c r="N1036" i="31"/>
  <c r="U1034" i="31"/>
  <c r="L1090" i="31"/>
  <c r="S1090" i="31"/>
  <c r="J1144" i="31"/>
  <c r="F1143" i="31"/>
  <c r="N1197" i="31"/>
  <c r="L1198" i="31"/>
  <c r="S1197" i="31"/>
  <c r="J1257" i="31"/>
  <c r="L1311" i="31"/>
  <c r="S1312" i="31"/>
  <c r="H1364" i="31"/>
  <c r="F76" i="31"/>
  <c r="T77" i="31"/>
  <c r="P130" i="31"/>
  <c r="J184" i="31"/>
  <c r="L245" i="31"/>
  <c r="P300" i="31"/>
  <c r="P353" i="31"/>
  <c r="P407" i="31"/>
  <c r="N460" i="31"/>
  <c r="U520" i="31"/>
  <c r="P682" i="31"/>
  <c r="S797" i="31"/>
  <c r="C1192" i="31"/>
  <c r="AL862" i="31"/>
  <c r="L700" i="31"/>
  <c r="U810" i="31"/>
  <c r="T864" i="31"/>
  <c r="Z1030" i="31"/>
  <c r="J1254" i="31"/>
  <c r="T1307" i="31"/>
  <c r="H94" i="31"/>
  <c r="J93" i="31"/>
  <c r="N93" i="31"/>
  <c r="S92" i="31"/>
  <c r="J153" i="31"/>
  <c r="J154" i="31"/>
  <c r="P152" i="31"/>
  <c r="T154" i="31"/>
  <c r="L208" i="31"/>
  <c r="H206" i="31"/>
  <c r="L206" i="31"/>
  <c r="S206" i="31"/>
  <c r="F260" i="31"/>
  <c r="L261" i="31"/>
  <c r="L262" i="31"/>
  <c r="S260" i="31"/>
  <c r="N314" i="31"/>
  <c r="H314" i="31"/>
  <c r="F314" i="31"/>
  <c r="T316" i="31"/>
  <c r="P368" i="31"/>
  <c r="P370" i="31"/>
  <c r="N370" i="31"/>
  <c r="U370" i="31"/>
  <c r="N428" i="31"/>
  <c r="L430" i="31"/>
  <c r="L428" i="31"/>
  <c r="F430" i="31"/>
  <c r="U430" i="31"/>
  <c r="L484" i="31"/>
  <c r="L482" i="31"/>
  <c r="F482" i="31"/>
  <c r="U482" i="31"/>
  <c r="J538" i="31"/>
  <c r="N537" i="31"/>
  <c r="F536" i="31"/>
  <c r="R536" i="31" s="1"/>
  <c r="L590" i="31"/>
  <c r="J592" i="31"/>
  <c r="J644" i="31"/>
  <c r="F644" i="31"/>
  <c r="J704" i="31"/>
  <c r="J705" i="31"/>
  <c r="F760" i="31"/>
  <c r="L758" i="31"/>
  <c r="J813" i="31"/>
  <c r="J868" i="31"/>
  <c r="P921" i="31"/>
  <c r="J982" i="31"/>
  <c r="F980" i="31"/>
  <c r="H1036" i="31"/>
  <c r="N1090" i="31"/>
  <c r="H1143" i="31"/>
  <c r="N1196" i="31"/>
  <c r="J1256" i="31"/>
  <c r="L1310" i="31"/>
  <c r="F132" i="31"/>
  <c r="S959" i="31"/>
  <c r="H640" i="31"/>
  <c r="T702" i="31"/>
  <c r="J754" i="31"/>
  <c r="H917" i="31"/>
  <c r="N976" i="31"/>
  <c r="N1084" i="31"/>
  <c r="P1138" i="31"/>
  <c r="H1194" i="31"/>
  <c r="U1252" i="31"/>
  <c r="Z1364" i="31"/>
  <c r="U1366" i="31"/>
  <c r="F1365" i="31"/>
  <c r="P1366" i="31"/>
  <c r="T1366" i="31"/>
  <c r="N1364" i="31"/>
  <c r="F1366" i="31"/>
  <c r="J1366" i="31"/>
  <c r="U1326" i="31"/>
  <c r="S1326" i="31"/>
  <c r="F1328" i="31"/>
  <c r="J1327" i="31"/>
  <c r="P1328" i="31"/>
  <c r="J1328" i="31"/>
  <c r="P1327" i="31"/>
  <c r="Z1310" i="31"/>
  <c r="U1312" i="31"/>
  <c r="F1312" i="31"/>
  <c r="P1311" i="31"/>
  <c r="H1311" i="31"/>
  <c r="U1310" i="31"/>
  <c r="L1312" i="31"/>
  <c r="J1310" i="31"/>
  <c r="J1311" i="31"/>
  <c r="J1312" i="31"/>
  <c r="U1272" i="31"/>
  <c r="S1272" i="31"/>
  <c r="F1274" i="31"/>
  <c r="J1273" i="31"/>
  <c r="P1273" i="31"/>
  <c r="J1274" i="31"/>
  <c r="P1274" i="31"/>
  <c r="Z1256" i="31"/>
  <c r="U1258" i="31"/>
  <c r="F1257" i="31"/>
  <c r="P1256" i="31"/>
  <c r="L1256" i="31"/>
  <c r="U1256" i="31"/>
  <c r="L1258" i="31"/>
  <c r="P1258" i="31"/>
  <c r="T1257" i="31"/>
  <c r="N1256" i="31"/>
  <c r="U1218" i="31"/>
  <c r="S1218" i="31"/>
  <c r="F1220" i="31"/>
  <c r="J1219" i="31"/>
  <c r="L1219" i="31"/>
  <c r="P1218" i="31"/>
  <c r="J1218" i="31"/>
  <c r="Z1196" i="31"/>
  <c r="U1198" i="31"/>
  <c r="T1197" i="31"/>
  <c r="J1197" i="31"/>
  <c r="P1198" i="31"/>
  <c r="P1197" i="31"/>
  <c r="U1196" i="31"/>
  <c r="F1198" i="31"/>
  <c r="P1196" i="31"/>
  <c r="H1198" i="31"/>
  <c r="S1196" i="31"/>
  <c r="H1196" i="31"/>
  <c r="J1196" i="31"/>
  <c r="S1165" i="31"/>
  <c r="T1166" i="31"/>
  <c r="T1165" i="31"/>
  <c r="H1166" i="31"/>
  <c r="J1166" i="31"/>
  <c r="N1165" i="31"/>
  <c r="H1164" i="31"/>
  <c r="Z1142" i="31"/>
  <c r="S1143" i="31"/>
  <c r="S1144" i="31"/>
  <c r="H1144" i="31"/>
  <c r="N1144" i="31"/>
  <c r="N1142" i="31"/>
  <c r="U1144" i="31"/>
  <c r="F1144" i="31"/>
  <c r="H1142" i="31"/>
  <c r="L1142" i="31"/>
  <c r="T1142" i="31"/>
  <c r="P1144" i="31"/>
  <c r="N1143" i="31"/>
  <c r="Z1104" i="31"/>
  <c r="T1104" i="31"/>
  <c r="S1106" i="31"/>
  <c r="U1088" i="31"/>
  <c r="Z1088" i="31"/>
  <c r="U1090" i="31"/>
  <c r="F1090" i="31"/>
  <c r="L1089" i="31"/>
  <c r="H1089" i="31"/>
  <c r="N1089" i="31"/>
  <c r="U1089" i="31"/>
  <c r="S1089" i="31"/>
  <c r="H1088" i="31"/>
  <c r="P1089" i="31"/>
  <c r="S1088" i="31"/>
  <c r="P1088" i="31"/>
  <c r="L1088" i="31"/>
  <c r="T1035" i="31"/>
  <c r="S1035" i="31"/>
  <c r="S1034" i="31"/>
  <c r="P1034" i="31"/>
  <c r="L1036" i="31"/>
  <c r="L1034" i="31"/>
  <c r="S1036" i="31"/>
  <c r="F1036" i="31"/>
  <c r="H1034" i="31"/>
  <c r="P1035" i="31"/>
  <c r="U1036" i="31"/>
  <c r="L1035" i="31"/>
  <c r="N1035" i="31"/>
  <c r="T981" i="31"/>
  <c r="S982" i="31"/>
  <c r="T982" i="31"/>
  <c r="H982" i="31"/>
  <c r="N982" i="31"/>
  <c r="P981" i="31"/>
  <c r="S981" i="31"/>
  <c r="F982" i="31"/>
  <c r="H980" i="31"/>
  <c r="L980" i="31"/>
  <c r="U982" i="31"/>
  <c r="L981" i="31"/>
  <c r="N981" i="31"/>
  <c r="T921" i="31"/>
  <c r="U921" i="31"/>
  <c r="U922" i="31"/>
  <c r="L920" i="31"/>
  <c r="H921" i="31"/>
  <c r="P922" i="31"/>
  <c r="S921" i="31"/>
  <c r="L922" i="31"/>
  <c r="F920" i="31"/>
  <c r="H922" i="31"/>
  <c r="T922" i="31"/>
  <c r="J922" i="31"/>
  <c r="F921" i="31"/>
  <c r="T906" i="31"/>
  <c r="N904" i="31"/>
  <c r="T867" i="31"/>
  <c r="Z866" i="31"/>
  <c r="U866" i="31"/>
  <c r="N868" i="31"/>
  <c r="J867" i="31"/>
  <c r="F867" i="31"/>
  <c r="L867" i="31"/>
  <c r="S867" i="31"/>
  <c r="N866" i="31"/>
  <c r="L868" i="31"/>
  <c r="J866" i="31"/>
  <c r="T868" i="31"/>
  <c r="F866" i="31"/>
  <c r="H852" i="31"/>
  <c r="J851" i="31"/>
  <c r="P852" i="31"/>
  <c r="S813" i="31"/>
  <c r="U812" i="31"/>
  <c r="T812" i="31"/>
  <c r="L812" i="31"/>
  <c r="J814" i="31"/>
  <c r="J812" i="31"/>
  <c r="T814" i="31"/>
  <c r="N812" i="31"/>
  <c r="L814" i="31"/>
  <c r="L813" i="31"/>
  <c r="Z812" i="31"/>
  <c r="T813" i="31"/>
  <c r="F812" i="31"/>
  <c r="S758" i="31"/>
  <c r="T760" i="31"/>
  <c r="T759" i="31"/>
  <c r="P759" i="31"/>
  <c r="L760" i="31"/>
  <c r="T758" i="31"/>
  <c r="N758" i="31"/>
  <c r="J760" i="31"/>
  <c r="J758" i="31"/>
  <c r="Z758" i="31"/>
  <c r="S759" i="31"/>
  <c r="F758" i="31"/>
  <c r="L759" i="31"/>
  <c r="Z736" i="31"/>
  <c r="U738" i="31"/>
  <c r="L738" i="31"/>
  <c r="S704" i="31"/>
  <c r="T706" i="31"/>
  <c r="T704" i="31"/>
  <c r="P705" i="31"/>
  <c r="L706" i="31"/>
  <c r="F706" i="31"/>
  <c r="T705" i="31"/>
  <c r="N704" i="31"/>
  <c r="J706" i="31"/>
  <c r="L705" i="31"/>
  <c r="L684" i="31"/>
  <c r="N683" i="31"/>
  <c r="F684" i="31"/>
  <c r="T646" i="31"/>
  <c r="Z644" i="31"/>
  <c r="T644" i="31"/>
  <c r="P645" i="31"/>
  <c r="H646" i="31"/>
  <c r="L644" i="31"/>
  <c r="H644" i="31"/>
  <c r="U644" i="31"/>
  <c r="P644" i="31"/>
  <c r="N644" i="31"/>
  <c r="L646" i="31"/>
  <c r="N629" i="31"/>
  <c r="P630" i="31"/>
  <c r="J629" i="31"/>
  <c r="T592" i="31"/>
  <c r="S592" i="31"/>
  <c r="S591" i="31"/>
  <c r="H590" i="31"/>
  <c r="P591" i="31"/>
  <c r="N592" i="31"/>
  <c r="T591" i="31"/>
  <c r="F590" i="31"/>
  <c r="P590" i="31"/>
  <c r="J590" i="31"/>
  <c r="J575" i="31"/>
  <c r="N575" i="31"/>
  <c r="T575" i="31"/>
  <c r="T537" i="31"/>
  <c r="S536" i="31"/>
  <c r="F538" i="31"/>
  <c r="L537" i="31"/>
  <c r="T536" i="31"/>
  <c r="U537" i="31"/>
  <c r="J536" i="31"/>
  <c r="H536" i="31"/>
  <c r="H537" i="31"/>
  <c r="N536" i="31"/>
  <c r="U522" i="31"/>
  <c r="F520" i="31"/>
  <c r="F521" i="31"/>
  <c r="J522" i="31"/>
  <c r="T484" i="31"/>
  <c r="T482" i="31"/>
  <c r="F483" i="31"/>
  <c r="J482" i="31"/>
  <c r="H482" i="31"/>
  <c r="H483" i="31"/>
  <c r="N482" i="31"/>
  <c r="U462" i="31"/>
  <c r="T461" i="31"/>
  <c r="J460" i="31"/>
  <c r="H461" i="31"/>
  <c r="S460" i="31"/>
  <c r="P461" i="31"/>
  <c r="F462" i="31"/>
  <c r="U428" i="31"/>
  <c r="T430" i="31"/>
  <c r="F429" i="31"/>
  <c r="J428" i="31"/>
  <c r="P430" i="31"/>
  <c r="J430" i="31"/>
  <c r="P429" i="31"/>
  <c r="U407" i="31"/>
  <c r="F407" i="31"/>
  <c r="L408" i="31"/>
  <c r="T408" i="31"/>
  <c r="P406" i="31"/>
  <c r="U408" i="31"/>
  <c r="T369" i="31"/>
  <c r="U368" i="31"/>
  <c r="F370" i="31"/>
  <c r="L369" i="31"/>
  <c r="H368" i="31"/>
  <c r="H369" i="31"/>
  <c r="N368" i="31"/>
  <c r="S352" i="31"/>
  <c r="F354" i="31"/>
  <c r="N353" i="31"/>
  <c r="H354" i="31"/>
  <c r="T353" i="31"/>
  <c r="J354" i="31"/>
  <c r="T315" i="31"/>
  <c r="S314" i="31"/>
  <c r="F316" i="31"/>
  <c r="L315" i="31"/>
  <c r="P316" i="31"/>
  <c r="H316" i="31"/>
  <c r="J316" i="31"/>
  <c r="U298" i="31"/>
  <c r="U300" i="31"/>
  <c r="P299" i="31"/>
  <c r="U299" i="31"/>
  <c r="L298" i="31"/>
  <c r="P298" i="31"/>
  <c r="Z260" i="31"/>
  <c r="S262" i="31"/>
  <c r="U262" i="31"/>
  <c r="P260" i="31"/>
  <c r="H260" i="31"/>
  <c r="J260" i="31"/>
  <c r="J262" i="31"/>
  <c r="S244" i="31"/>
  <c r="U246" i="31"/>
  <c r="L244" i="31"/>
  <c r="P246" i="31"/>
  <c r="H246" i="31"/>
  <c r="P244" i="31"/>
  <c r="T207" i="31"/>
  <c r="S208" i="31"/>
  <c r="P208" i="31"/>
  <c r="N207" i="31"/>
  <c r="J208" i="31"/>
  <c r="F206" i="31"/>
  <c r="F207" i="31"/>
  <c r="S186" i="31"/>
  <c r="T186" i="31"/>
  <c r="J185" i="31"/>
  <c r="U186" i="31"/>
  <c r="H185" i="31"/>
  <c r="S185" i="31"/>
  <c r="L184" i="31"/>
  <c r="S153" i="31"/>
  <c r="U152" i="31"/>
  <c r="U153" i="31"/>
  <c r="J152" i="31"/>
  <c r="L153" i="31"/>
  <c r="F154" i="31"/>
  <c r="L154" i="31"/>
  <c r="T130" i="31"/>
  <c r="Z130" i="31"/>
  <c r="S130" i="31"/>
  <c r="J131" i="31"/>
  <c r="S132" i="31"/>
  <c r="L131" i="31"/>
  <c r="U130" i="31"/>
  <c r="J132" i="31"/>
  <c r="U93" i="31"/>
  <c r="T92" i="31"/>
  <c r="P93" i="31"/>
  <c r="J92" i="31"/>
  <c r="F92" i="31"/>
  <c r="F93" i="31"/>
  <c r="L93" i="31"/>
  <c r="T76" i="31"/>
  <c r="Z76" i="31"/>
  <c r="U77" i="31"/>
  <c r="H76" i="31"/>
  <c r="S78" i="31"/>
  <c r="H78" i="31"/>
  <c r="N76" i="31"/>
  <c r="P76" i="31"/>
  <c r="L892" i="31"/>
  <c r="J1056" i="31"/>
  <c r="BE306" i="4"/>
  <c r="P1364" i="31"/>
  <c r="J1364" i="31"/>
  <c r="J1365" i="31"/>
  <c r="S1364" i="31"/>
  <c r="S1234" i="31"/>
  <c r="BG22" i="4"/>
  <c r="BJ308" i="4" s="1"/>
  <c r="J433" i="31"/>
  <c r="H840" i="31"/>
  <c r="S948" i="31"/>
  <c r="Z1054" i="31"/>
  <c r="T1330" i="31"/>
  <c r="P1257" i="31"/>
  <c r="H1257" i="31"/>
  <c r="H1256" i="31"/>
  <c r="F1258" i="31"/>
  <c r="T1258" i="31"/>
  <c r="P1310" i="31"/>
  <c r="P1312" i="31"/>
  <c r="N1310" i="31"/>
  <c r="F1311" i="31"/>
  <c r="S1310" i="31"/>
  <c r="S1311" i="31"/>
  <c r="L1365" i="31"/>
  <c r="P1365" i="31"/>
  <c r="L1366" i="31"/>
  <c r="S1366" i="31"/>
  <c r="U1364" i="31"/>
  <c r="L1128" i="31"/>
  <c r="N1277" i="31"/>
  <c r="Z1360" i="31"/>
  <c r="S1361" i="31"/>
  <c r="T1362" i="31"/>
  <c r="F1360" i="31"/>
  <c r="P1360" i="31"/>
  <c r="J1360" i="31"/>
  <c r="S1362" i="31"/>
  <c r="U1362" i="31"/>
  <c r="F1361" i="31"/>
  <c r="H1362" i="31"/>
  <c r="L1361" i="31"/>
  <c r="L1362" i="31"/>
  <c r="S1360" i="31"/>
  <c r="T1360" i="31"/>
  <c r="P1361" i="31"/>
  <c r="L1360" i="31"/>
  <c r="H1360" i="31"/>
  <c r="H1361" i="31"/>
  <c r="Z1306" i="31"/>
  <c r="S1307" i="31"/>
  <c r="T1308" i="31"/>
  <c r="F1306" i="31"/>
  <c r="P1306" i="31"/>
  <c r="J1306" i="31"/>
  <c r="N1308" i="31"/>
  <c r="S1308" i="31"/>
  <c r="U1306" i="31"/>
  <c r="U1307" i="31"/>
  <c r="P1307" i="31"/>
  <c r="H1308" i="31"/>
  <c r="P1308" i="31"/>
  <c r="J1307" i="31"/>
  <c r="S1286" i="31"/>
  <c r="U1284" i="31"/>
  <c r="U1285" i="31"/>
  <c r="P1285" i="31"/>
  <c r="L1286" i="31"/>
  <c r="H1286" i="31"/>
  <c r="H1284" i="31"/>
  <c r="Z1284" i="31"/>
  <c r="U1286" i="31"/>
  <c r="F1285" i="31"/>
  <c r="J1285" i="31"/>
  <c r="L1284" i="31"/>
  <c r="J1284" i="31"/>
  <c r="S1284" i="31"/>
  <c r="T1286" i="31"/>
  <c r="N1286" i="31"/>
  <c r="P1286" i="31"/>
  <c r="F1286" i="31"/>
  <c r="J1286" i="31"/>
  <c r="T1285" i="31"/>
  <c r="F1284" i="31"/>
  <c r="P1284" i="31"/>
  <c r="S1285" i="31"/>
  <c r="N1284" i="31"/>
  <c r="L1285" i="31"/>
  <c r="H1285" i="31"/>
  <c r="N1285" i="31"/>
  <c r="T1253" i="31"/>
  <c r="T1252" i="31"/>
  <c r="F1253" i="31"/>
  <c r="L1254" i="31"/>
  <c r="N1254" i="31"/>
  <c r="H1254" i="31"/>
  <c r="L1253" i="31"/>
  <c r="Z1252" i="31"/>
  <c r="S1253" i="31"/>
  <c r="T1254" i="31"/>
  <c r="F1252" i="31"/>
  <c r="H1253" i="31"/>
  <c r="P1252" i="31"/>
  <c r="J1252" i="31"/>
  <c r="S1232" i="31"/>
  <c r="U1230" i="31"/>
  <c r="U1231" i="31"/>
  <c r="P1231" i="31"/>
  <c r="H1230" i="31"/>
  <c r="P1230" i="31"/>
  <c r="J1230" i="31"/>
  <c r="S1231" i="31"/>
  <c r="F1232" i="31"/>
  <c r="P1232" i="31"/>
  <c r="L1232" i="31"/>
  <c r="N1231" i="31"/>
  <c r="S1230" i="31"/>
  <c r="T1232" i="31"/>
  <c r="L1231" i="31"/>
  <c r="L1230" i="31"/>
  <c r="Z1230" i="31"/>
  <c r="F1231" i="31"/>
  <c r="H1231" i="31"/>
  <c r="T1231" i="31"/>
  <c r="F1230" i="31"/>
  <c r="J1232" i="31"/>
  <c r="U1232" i="31"/>
  <c r="N1230" i="31"/>
  <c r="N1233" i="31" s="1"/>
  <c r="H1232" i="31"/>
  <c r="J1231" i="31"/>
  <c r="T1230" i="31"/>
  <c r="S1192" i="31"/>
  <c r="U1194" i="31"/>
  <c r="F1194" i="31"/>
  <c r="N1192" i="31"/>
  <c r="P1192" i="31"/>
  <c r="J1192" i="31"/>
  <c r="P1194" i="31"/>
  <c r="T1193" i="31"/>
  <c r="T1192" i="31"/>
  <c r="F1193" i="31"/>
  <c r="L1194" i="31"/>
  <c r="J1194" i="31"/>
  <c r="N1193" i="31"/>
  <c r="J1193" i="31"/>
  <c r="J1160" i="31"/>
  <c r="P1160" i="31"/>
  <c r="Z1122" i="31"/>
  <c r="U1122" i="31"/>
  <c r="U1123" i="31"/>
  <c r="F1122" i="31"/>
  <c r="H1124" i="31"/>
  <c r="N1123" i="31"/>
  <c r="L1124" i="31"/>
  <c r="T1124" i="31"/>
  <c r="S1122" i="31"/>
  <c r="F1123" i="31"/>
  <c r="N1122" i="31"/>
  <c r="P1124" i="31"/>
  <c r="P1122" i="31"/>
  <c r="T1122" i="31"/>
  <c r="T1123" i="31"/>
  <c r="J1122" i="31"/>
  <c r="J1123" i="31"/>
  <c r="F1124" i="31"/>
  <c r="L1122" i="31"/>
  <c r="U1124" i="31"/>
  <c r="N1124" i="31"/>
  <c r="H1122" i="31"/>
  <c r="S1123" i="31"/>
  <c r="L1123" i="31"/>
  <c r="H1123" i="31"/>
  <c r="S1124" i="31"/>
  <c r="P1123" i="31"/>
  <c r="U1086" i="31"/>
  <c r="S1086" i="31"/>
  <c r="F1085" i="31"/>
  <c r="J1084" i="31"/>
  <c r="J1085" i="31"/>
  <c r="P1084" i="31"/>
  <c r="L1084" i="31"/>
  <c r="Z1084" i="31"/>
  <c r="U1084" i="31"/>
  <c r="U1085" i="31"/>
  <c r="F1084" i="31"/>
  <c r="N1085" i="31"/>
  <c r="L1086" i="31"/>
  <c r="H1086" i="31"/>
  <c r="U1032" i="31"/>
  <c r="S1032" i="31"/>
  <c r="T1030" i="31"/>
  <c r="N1032" i="31"/>
  <c r="H1030" i="31"/>
  <c r="H1031" i="31"/>
  <c r="N1030" i="31"/>
  <c r="U1030" i="31"/>
  <c r="U1031" i="31"/>
  <c r="F1032" i="31"/>
  <c r="L1031" i="31"/>
  <c r="P1032" i="31"/>
  <c r="J1032" i="31"/>
  <c r="P1031" i="31"/>
  <c r="L992" i="31"/>
  <c r="T994" i="31"/>
  <c r="N993" i="31"/>
  <c r="S992" i="31"/>
  <c r="T902" i="31"/>
  <c r="T901" i="31"/>
  <c r="L901" i="31"/>
  <c r="J901" i="31"/>
  <c r="J900" i="31"/>
  <c r="F900" i="31"/>
  <c r="N900" i="31"/>
  <c r="S900" i="31"/>
  <c r="T900" i="31"/>
  <c r="N902" i="31"/>
  <c r="P901" i="31"/>
  <c r="P900" i="31"/>
  <c r="Z900" i="31"/>
  <c r="U901" i="31"/>
  <c r="F902" i="31"/>
  <c r="H900" i="31"/>
  <c r="S901" i="31"/>
  <c r="F901" i="31"/>
  <c r="P902" i="31"/>
  <c r="U902" i="31"/>
  <c r="L902" i="31"/>
  <c r="J902" i="31"/>
  <c r="U900" i="31"/>
  <c r="L900" i="31"/>
  <c r="N901" i="31"/>
  <c r="H901" i="31"/>
  <c r="S902" i="31"/>
  <c r="Z862" i="31"/>
  <c r="S862" i="31"/>
  <c r="S863" i="31"/>
  <c r="N862" i="31"/>
  <c r="L863" i="31"/>
  <c r="L864" i="31"/>
  <c r="F864" i="31"/>
  <c r="U864" i="31"/>
  <c r="S864" i="31"/>
  <c r="T862" i="31"/>
  <c r="J864" i="31"/>
  <c r="H862" i="31"/>
  <c r="F863" i="31"/>
  <c r="L862" i="31"/>
  <c r="Z824" i="31"/>
  <c r="S826" i="31"/>
  <c r="L824" i="31"/>
  <c r="P825" i="31"/>
  <c r="U794" i="31"/>
  <c r="T792" i="31"/>
  <c r="S793" i="31"/>
  <c r="J794" i="31"/>
  <c r="L792" i="31"/>
  <c r="H792" i="31"/>
  <c r="F793" i="31"/>
  <c r="U792" i="31"/>
  <c r="U793" i="31"/>
  <c r="N792" i="31"/>
  <c r="P793" i="31"/>
  <c r="J793" i="31"/>
  <c r="T794" i="31"/>
  <c r="N794" i="31"/>
  <c r="F794" i="31"/>
  <c r="L794" i="31"/>
  <c r="S792" i="31"/>
  <c r="N793" i="31"/>
  <c r="J792" i="31"/>
  <c r="H794" i="31"/>
  <c r="S794" i="31"/>
  <c r="H793" i="31"/>
  <c r="L793" i="31"/>
  <c r="P792" i="31"/>
  <c r="Z792" i="31"/>
  <c r="T793" i="31"/>
  <c r="F792" i="31"/>
  <c r="F795" i="31" s="1"/>
  <c r="Z754" i="31"/>
  <c r="S755" i="31"/>
  <c r="U755" i="31"/>
  <c r="N754" i="31"/>
  <c r="L755" i="31"/>
  <c r="L756" i="31"/>
  <c r="F756" i="31"/>
  <c r="U756" i="31"/>
  <c r="S754" i="31"/>
  <c r="T755" i="31"/>
  <c r="J756" i="31"/>
  <c r="H754" i="31"/>
  <c r="F755" i="31"/>
  <c r="L754" i="31"/>
  <c r="N717" i="31"/>
  <c r="J717" i="31"/>
  <c r="Z716" i="31"/>
  <c r="F717" i="31"/>
  <c r="L718" i="31"/>
  <c r="L716" i="31"/>
  <c r="T717" i="31"/>
  <c r="U680" i="31"/>
  <c r="S680" i="31"/>
  <c r="S678" i="31"/>
  <c r="J680" i="31"/>
  <c r="L678" i="31"/>
  <c r="H678" i="31"/>
  <c r="F679" i="31"/>
  <c r="T680" i="31"/>
  <c r="N680" i="31"/>
  <c r="F678" i="31"/>
  <c r="L679" i="31"/>
  <c r="H680" i="31"/>
  <c r="T678" i="31"/>
  <c r="N679" i="31"/>
  <c r="P679" i="31"/>
  <c r="L680" i="31"/>
  <c r="U679" i="31"/>
  <c r="N678" i="31"/>
  <c r="J678" i="31"/>
  <c r="P678" i="31"/>
  <c r="Z678" i="31"/>
  <c r="T679" i="31"/>
  <c r="H679" i="31"/>
  <c r="P680" i="31"/>
  <c r="U678" i="31"/>
  <c r="S679" i="31"/>
  <c r="F680" i="31"/>
  <c r="U642" i="31"/>
  <c r="S640" i="31"/>
  <c r="T641" i="31"/>
  <c r="N641" i="31"/>
  <c r="J640" i="31"/>
  <c r="J642" i="31"/>
  <c r="F641" i="31"/>
  <c r="U640" i="31"/>
  <c r="T642" i="31"/>
  <c r="P642" i="31"/>
  <c r="L640" i="31"/>
  <c r="L642" i="31"/>
  <c r="H641" i="31"/>
  <c r="F642" i="31"/>
  <c r="D56" i="31"/>
  <c r="D180" i="31"/>
  <c r="D256" i="31"/>
  <c r="C478" i="31"/>
  <c r="C700" i="31"/>
  <c r="D916" i="31"/>
  <c r="C992" i="31"/>
  <c r="D1138" i="31"/>
  <c r="D1214" i="31"/>
  <c r="D1284" i="31"/>
  <c r="D1360" i="31"/>
  <c r="C72" i="31"/>
  <c r="D240" i="31"/>
  <c r="D310" i="31"/>
  <c r="C532" i="31"/>
  <c r="D678" i="31"/>
  <c r="C754" i="31"/>
  <c r="D824" i="31"/>
  <c r="D900" i="31"/>
  <c r="C976" i="31"/>
  <c r="C1046" i="31"/>
  <c r="D1122" i="31"/>
  <c r="D1192" i="31"/>
  <c r="D1268" i="31"/>
  <c r="AL126" i="31"/>
  <c r="AL348" i="31"/>
  <c r="AL792" i="31"/>
  <c r="AL992" i="31"/>
  <c r="AL1214" i="31"/>
  <c r="AL716" i="31"/>
  <c r="AL256" i="31"/>
  <c r="AL478" i="31"/>
  <c r="AL700" i="31"/>
  <c r="AL916" i="31"/>
  <c r="AL1138" i="31"/>
  <c r="AL1360" i="31"/>
  <c r="H90" i="31"/>
  <c r="L89" i="31"/>
  <c r="H89" i="31"/>
  <c r="U90" i="31"/>
  <c r="L148" i="31"/>
  <c r="N149" i="31"/>
  <c r="J150" i="31"/>
  <c r="T149" i="31"/>
  <c r="F204" i="31"/>
  <c r="J203" i="31"/>
  <c r="J204" i="31"/>
  <c r="U202" i="31"/>
  <c r="L256" i="31"/>
  <c r="F256" i="31"/>
  <c r="F257" i="31"/>
  <c r="S257" i="31"/>
  <c r="J312" i="31"/>
  <c r="P312" i="31"/>
  <c r="F310" i="31"/>
  <c r="T310" i="31"/>
  <c r="J366" i="31"/>
  <c r="L365" i="31"/>
  <c r="H366" i="31"/>
  <c r="U364" i="31"/>
  <c r="N426" i="31"/>
  <c r="F424" i="31"/>
  <c r="H479" i="31"/>
  <c r="N479" i="31"/>
  <c r="U478" i="31"/>
  <c r="N532" i="31"/>
  <c r="P534" i="31"/>
  <c r="F533" i="31"/>
  <c r="H588" i="31"/>
  <c r="N588" i="31"/>
  <c r="F588" i="31"/>
  <c r="N640" i="31"/>
  <c r="J641" i="31"/>
  <c r="P641" i="31"/>
  <c r="T640" i="31"/>
  <c r="F702" i="31"/>
  <c r="L701" i="31"/>
  <c r="S700" i="31"/>
  <c r="P755" i="31"/>
  <c r="P756" i="31"/>
  <c r="N756" i="31"/>
  <c r="U754" i="31"/>
  <c r="F810" i="31"/>
  <c r="L809" i="31"/>
  <c r="T809" i="31"/>
  <c r="P863" i="31"/>
  <c r="P864" i="31"/>
  <c r="N864" i="31"/>
  <c r="U862" i="31"/>
  <c r="N917" i="31"/>
  <c r="P917" i="31"/>
  <c r="J978" i="31"/>
  <c r="L977" i="31"/>
  <c r="P1030" i="31"/>
  <c r="J1030" i="31"/>
  <c r="T1031" i="31"/>
  <c r="J1086" i="31"/>
  <c r="L1085" i="31"/>
  <c r="S1084" i="31"/>
  <c r="J1140" i="31"/>
  <c r="L1139" i="31"/>
  <c r="L1192" i="31"/>
  <c r="F1192" i="31"/>
  <c r="S1193" i="31"/>
  <c r="H1252" i="31"/>
  <c r="J1253" i="31"/>
  <c r="F1254" i="31"/>
  <c r="S1252" i="31"/>
  <c r="L1308" i="31"/>
  <c r="L1306" i="31"/>
  <c r="F1308" i="31"/>
  <c r="S1306" i="31"/>
  <c r="N1362" i="31"/>
  <c r="N1360" i="31"/>
  <c r="T1361" i="31"/>
  <c r="J679" i="31"/>
  <c r="H902" i="31"/>
  <c r="J1124" i="31"/>
  <c r="T1284" i="31"/>
  <c r="Z1176" i="31"/>
  <c r="S1177" i="31"/>
  <c r="T1178" i="31"/>
  <c r="F1176" i="31"/>
  <c r="H1178" i="31"/>
  <c r="N1177" i="31"/>
  <c r="L1178" i="31"/>
  <c r="S1176" i="31"/>
  <c r="T1176" i="31"/>
  <c r="N1178" i="31"/>
  <c r="P1177" i="31"/>
  <c r="J1177" i="31"/>
  <c r="S1178" i="31"/>
  <c r="U1177" i="31"/>
  <c r="J1176" i="31"/>
  <c r="P1178" i="31"/>
  <c r="F1178" i="31"/>
  <c r="L1176" i="31"/>
  <c r="P1176" i="31"/>
  <c r="T1177" i="31"/>
  <c r="F1177" i="31"/>
  <c r="H1176" i="31"/>
  <c r="U1176" i="31"/>
  <c r="L1177" i="31"/>
  <c r="H1177" i="31"/>
  <c r="J1178" i="31"/>
  <c r="U1178" i="31"/>
  <c r="Z1138" i="31"/>
  <c r="U1139" i="31"/>
  <c r="U1138" i="31"/>
  <c r="F1138" i="31"/>
  <c r="N1139" i="31"/>
  <c r="L1140" i="31"/>
  <c r="H1140" i="31"/>
  <c r="T1140" i="31"/>
  <c r="T1139" i="31"/>
  <c r="S1138" i="31"/>
  <c r="N1140" i="31"/>
  <c r="H1138" i="31"/>
  <c r="H1139" i="31"/>
  <c r="N1138" i="31"/>
  <c r="N1102" i="31"/>
  <c r="J1102" i="31"/>
  <c r="Z1008" i="31"/>
  <c r="S1008" i="31"/>
  <c r="S1009" i="31"/>
  <c r="F1008" i="31"/>
  <c r="H1010" i="31"/>
  <c r="N1009" i="31"/>
  <c r="L1010" i="31"/>
  <c r="T1010" i="31"/>
  <c r="T1008" i="31"/>
  <c r="L1009" i="31"/>
  <c r="L1008" i="31"/>
  <c r="H1009" i="31"/>
  <c r="U1008" i="31"/>
  <c r="F1010" i="31"/>
  <c r="N1008" i="31"/>
  <c r="J1009" i="31"/>
  <c r="U1010" i="31"/>
  <c r="F1009" i="31"/>
  <c r="H1008" i="31"/>
  <c r="S1010" i="31"/>
  <c r="N1010" i="31"/>
  <c r="P1010" i="31"/>
  <c r="U1009" i="31"/>
  <c r="J1008" i="31"/>
  <c r="J1010" i="31"/>
  <c r="P1009" i="31"/>
  <c r="P1008" i="31"/>
  <c r="T978" i="31"/>
  <c r="T977" i="31"/>
  <c r="F977" i="31"/>
  <c r="J976" i="31"/>
  <c r="J977" i="31"/>
  <c r="P976" i="31"/>
  <c r="L976" i="31"/>
  <c r="Z976" i="31"/>
  <c r="S976" i="31"/>
  <c r="S977" i="31"/>
  <c r="F976" i="31"/>
  <c r="N977" i="31"/>
  <c r="L978" i="31"/>
  <c r="H978" i="31"/>
  <c r="Z954" i="31"/>
  <c r="S954" i="31"/>
  <c r="S955" i="31"/>
  <c r="L955" i="31"/>
  <c r="P955" i="31"/>
  <c r="H954" i="31"/>
  <c r="J956" i="31"/>
  <c r="U954" i="31"/>
  <c r="T955" i="31"/>
  <c r="L954" i="31"/>
  <c r="P956" i="31"/>
  <c r="F954" i="31"/>
  <c r="T956" i="31"/>
  <c r="F956" i="31"/>
  <c r="N954" i="31"/>
  <c r="F955" i="31"/>
  <c r="U956" i="31"/>
  <c r="N956" i="31"/>
  <c r="L956" i="31"/>
  <c r="S956" i="31"/>
  <c r="H956" i="31"/>
  <c r="H955" i="31"/>
  <c r="U955" i="31"/>
  <c r="P954" i="31"/>
  <c r="N955" i="31"/>
  <c r="J954" i="31"/>
  <c r="T954" i="31"/>
  <c r="U918" i="31"/>
  <c r="S918" i="31"/>
  <c r="T916" i="31"/>
  <c r="F918" i="31"/>
  <c r="N918" i="31"/>
  <c r="F917" i="31"/>
  <c r="J916" i="31"/>
  <c r="U916" i="31"/>
  <c r="U917" i="31"/>
  <c r="L918" i="31"/>
  <c r="P916" i="31"/>
  <c r="J917" i="31"/>
  <c r="J918" i="31"/>
  <c r="F916" i="31"/>
  <c r="P885" i="31"/>
  <c r="T885" i="31"/>
  <c r="L884" i="31"/>
  <c r="H885" i="31"/>
  <c r="T848" i="31"/>
  <c r="S847" i="31"/>
  <c r="N847" i="31"/>
  <c r="U846" i="31"/>
  <c r="T846" i="31"/>
  <c r="J848" i="31"/>
  <c r="L846" i="31"/>
  <c r="H846" i="31"/>
  <c r="F847" i="31"/>
  <c r="Z846" i="31"/>
  <c r="T847" i="31"/>
  <c r="H847" i="31"/>
  <c r="J846" i="31"/>
  <c r="L848" i="31"/>
  <c r="S848" i="31"/>
  <c r="F848" i="31"/>
  <c r="J847" i="31"/>
  <c r="U848" i="31"/>
  <c r="N848" i="31"/>
  <c r="P847" i="31"/>
  <c r="H848" i="31"/>
  <c r="S846" i="31"/>
  <c r="N846" i="31"/>
  <c r="L847" i="31"/>
  <c r="P846" i="31"/>
  <c r="U847" i="31"/>
  <c r="F846" i="31"/>
  <c r="U808" i="31"/>
  <c r="T808" i="31"/>
  <c r="N810" i="31"/>
  <c r="H809" i="31"/>
  <c r="P810" i="31"/>
  <c r="H810" i="31"/>
  <c r="P809" i="31"/>
  <c r="T810" i="31"/>
  <c r="S810" i="31"/>
  <c r="N809" i="31"/>
  <c r="F808" i="31"/>
  <c r="J809" i="31"/>
  <c r="P808" i="31"/>
  <c r="J808" i="31"/>
  <c r="U771" i="31"/>
  <c r="T771" i="31"/>
  <c r="L771" i="31"/>
  <c r="F770" i="31"/>
  <c r="U734" i="31"/>
  <c r="S733" i="31"/>
  <c r="U733" i="31"/>
  <c r="J734" i="31"/>
  <c r="L732" i="31"/>
  <c r="H732" i="31"/>
  <c r="F733" i="31"/>
  <c r="Z732" i="31"/>
  <c r="S732" i="31"/>
  <c r="N733" i="31"/>
  <c r="F734" i="31"/>
  <c r="P734" i="31"/>
  <c r="P732" i="31"/>
  <c r="T732" i="31"/>
  <c r="N734" i="31"/>
  <c r="P733" i="31"/>
  <c r="L734" i="31"/>
  <c r="T733" i="31"/>
  <c r="N732" i="31"/>
  <c r="J732" i="31"/>
  <c r="H734" i="31"/>
  <c r="T734" i="31"/>
  <c r="H733" i="31"/>
  <c r="L733" i="31"/>
  <c r="U732" i="31"/>
  <c r="S734" i="31"/>
  <c r="F732" i="31"/>
  <c r="F735" i="31" s="1"/>
  <c r="U700" i="31"/>
  <c r="T701" i="31"/>
  <c r="N702" i="31"/>
  <c r="H701" i="31"/>
  <c r="P702" i="31"/>
  <c r="H702" i="31"/>
  <c r="P701" i="31"/>
  <c r="T700" i="31"/>
  <c r="S701" i="31"/>
  <c r="N701" i="31"/>
  <c r="F700" i="31"/>
  <c r="J701" i="31"/>
  <c r="P700" i="31"/>
  <c r="J700" i="31"/>
  <c r="S663" i="31"/>
  <c r="J664" i="31"/>
  <c r="T664" i="31"/>
  <c r="N662" i="31"/>
  <c r="P663" i="31"/>
  <c r="L663" i="31"/>
  <c r="Z662" i="31"/>
  <c r="H662" i="31"/>
  <c r="Z624" i="31"/>
  <c r="T625" i="31"/>
  <c r="U625" i="31"/>
  <c r="P624" i="31"/>
  <c r="L625" i="31"/>
  <c r="H624" i="31"/>
  <c r="H626" i="31"/>
  <c r="U624" i="31"/>
  <c r="T626" i="31"/>
  <c r="N625" i="31"/>
  <c r="L626" i="31"/>
  <c r="F624" i="31"/>
  <c r="T624" i="31"/>
  <c r="P626" i="31"/>
  <c r="J624" i="31"/>
  <c r="F625" i="31"/>
  <c r="S625" i="31"/>
  <c r="P625" i="31"/>
  <c r="J625" i="31"/>
  <c r="F626" i="31"/>
  <c r="S624" i="31"/>
  <c r="L624" i="31"/>
  <c r="J626" i="31"/>
  <c r="N624" i="31"/>
  <c r="H625" i="31"/>
  <c r="U626" i="31"/>
  <c r="S626" i="31"/>
  <c r="T610" i="31"/>
  <c r="H608" i="31"/>
  <c r="N609" i="31"/>
  <c r="T608" i="31"/>
  <c r="S608" i="31"/>
  <c r="J609" i="31"/>
  <c r="H610" i="31"/>
  <c r="T586" i="31"/>
  <c r="T587" i="31"/>
  <c r="F587" i="31"/>
  <c r="P588" i="31"/>
  <c r="L587" i="31"/>
  <c r="H586" i="31"/>
  <c r="P586" i="31"/>
  <c r="Z586" i="31"/>
  <c r="S588" i="31"/>
  <c r="S587" i="31"/>
  <c r="F586" i="31"/>
  <c r="F589" i="31" s="1"/>
  <c r="N587" i="31"/>
  <c r="J586" i="31"/>
  <c r="J588" i="31"/>
  <c r="Z570" i="31"/>
  <c r="T570" i="31"/>
  <c r="S571" i="31"/>
  <c r="F570" i="31"/>
  <c r="J571" i="31"/>
  <c r="N571" i="31"/>
  <c r="L570" i="31"/>
  <c r="S572" i="31"/>
  <c r="T572" i="31"/>
  <c r="U571" i="31"/>
  <c r="F572" i="31"/>
  <c r="L572" i="31"/>
  <c r="L571" i="31"/>
  <c r="J570" i="31"/>
  <c r="U572" i="31"/>
  <c r="F571" i="31"/>
  <c r="H570" i="31"/>
  <c r="H571" i="31"/>
  <c r="J572" i="31"/>
  <c r="T571" i="31"/>
  <c r="P571" i="31"/>
  <c r="H572" i="31"/>
  <c r="P572" i="31"/>
  <c r="P570" i="31"/>
  <c r="S570" i="31"/>
  <c r="N572" i="31"/>
  <c r="U570" i="31"/>
  <c r="U548" i="31"/>
  <c r="P550" i="31"/>
  <c r="P549" i="31"/>
  <c r="U549" i="31"/>
  <c r="H548" i="31"/>
  <c r="S550" i="31"/>
  <c r="J549" i="31"/>
  <c r="T549" i="31"/>
  <c r="N548" i="31"/>
  <c r="L548" i="31"/>
  <c r="S549" i="31"/>
  <c r="F548" i="31"/>
  <c r="S534" i="31"/>
  <c r="U532" i="31"/>
  <c r="T533" i="31"/>
  <c r="H534" i="31"/>
  <c r="N533" i="31"/>
  <c r="H532" i="31"/>
  <c r="H533" i="31"/>
  <c r="S532" i="31"/>
  <c r="T532" i="31"/>
  <c r="F534" i="31"/>
  <c r="P532" i="31"/>
  <c r="J532" i="31"/>
  <c r="N534" i="31"/>
  <c r="J534" i="31"/>
  <c r="U517" i="31"/>
  <c r="T516" i="31"/>
  <c r="F517" i="31"/>
  <c r="L518" i="31"/>
  <c r="P517" i="31"/>
  <c r="P518" i="31"/>
  <c r="J517" i="31"/>
  <c r="S518" i="31"/>
  <c r="U516" i="31"/>
  <c r="F516" i="31"/>
  <c r="J518" i="31"/>
  <c r="J516" i="31"/>
  <c r="S516" i="31"/>
  <c r="U518" i="31"/>
  <c r="H518" i="31"/>
  <c r="N516" i="31"/>
  <c r="L517" i="31"/>
  <c r="T517" i="31"/>
  <c r="T518" i="31"/>
  <c r="P516" i="31"/>
  <c r="L516" i="31"/>
  <c r="H516" i="31"/>
  <c r="S517" i="31"/>
  <c r="N518" i="31"/>
  <c r="F518" i="31"/>
  <c r="H517" i="31"/>
  <c r="T495" i="31"/>
  <c r="L495" i="31"/>
  <c r="P495" i="31"/>
  <c r="S496" i="31"/>
  <c r="F494" i="31"/>
  <c r="J494" i="31"/>
  <c r="T494" i="31"/>
  <c r="N494" i="31"/>
  <c r="F495" i="31"/>
  <c r="H494" i="31"/>
  <c r="J495" i="31"/>
  <c r="U495" i="31"/>
  <c r="S478" i="31"/>
  <c r="T479" i="31"/>
  <c r="F480" i="31"/>
  <c r="P478" i="31"/>
  <c r="P480" i="31"/>
  <c r="J479" i="31"/>
  <c r="N478" i="31"/>
  <c r="U479" i="31"/>
  <c r="S479" i="31"/>
  <c r="F479" i="31"/>
  <c r="L478" i="31"/>
  <c r="L479" i="31"/>
  <c r="L480" i="31"/>
  <c r="P479" i="31"/>
  <c r="U457" i="31"/>
  <c r="T457" i="31"/>
  <c r="F457" i="31"/>
  <c r="J458" i="31"/>
  <c r="N457" i="31"/>
  <c r="H456" i="31"/>
  <c r="H457" i="31"/>
  <c r="Z456" i="31"/>
  <c r="U458" i="31"/>
  <c r="F458" i="31"/>
  <c r="N456" i="31"/>
  <c r="P458" i="31"/>
  <c r="L458" i="31"/>
  <c r="S458" i="31"/>
  <c r="T458" i="31"/>
  <c r="F456" i="31"/>
  <c r="P457" i="31"/>
  <c r="L457" i="31"/>
  <c r="S456" i="31"/>
  <c r="S457" i="31"/>
  <c r="H458" i="31"/>
  <c r="L456" i="31"/>
  <c r="N458" i="31"/>
  <c r="J456" i="31"/>
  <c r="T456" i="31"/>
  <c r="J457" i="31"/>
  <c r="U456" i="31"/>
  <c r="T440" i="31"/>
  <c r="N442" i="31"/>
  <c r="L440" i="31"/>
  <c r="F441" i="31"/>
  <c r="N440" i="31"/>
  <c r="F440" i="31"/>
  <c r="L441" i="31"/>
  <c r="S442" i="31"/>
  <c r="J441" i="31"/>
  <c r="H440" i="31"/>
  <c r="U440" i="31"/>
  <c r="N441" i="31"/>
  <c r="S441" i="31"/>
  <c r="S424" i="31"/>
  <c r="T424" i="31"/>
  <c r="F426" i="31"/>
  <c r="P424" i="31"/>
  <c r="L425" i="31"/>
  <c r="L426" i="31"/>
  <c r="P425" i="31"/>
  <c r="U425" i="31"/>
  <c r="U426" i="31"/>
  <c r="F425" i="31"/>
  <c r="N425" i="31"/>
  <c r="H424" i="31"/>
  <c r="H425" i="31"/>
  <c r="L424" i="31"/>
  <c r="S402" i="31"/>
  <c r="U402" i="31"/>
  <c r="F404" i="31"/>
  <c r="P402" i="31"/>
  <c r="L402" i="31"/>
  <c r="L403" i="31"/>
  <c r="L404" i="31"/>
  <c r="U403" i="31"/>
  <c r="U404" i="31"/>
  <c r="H404" i="31"/>
  <c r="N403" i="31"/>
  <c r="N404" i="31"/>
  <c r="T403" i="31"/>
  <c r="T404" i="31"/>
  <c r="J404" i="31"/>
  <c r="J402" i="31"/>
  <c r="J403" i="31"/>
  <c r="Z402" i="31"/>
  <c r="S403" i="31"/>
  <c r="F403" i="31"/>
  <c r="N402" i="31"/>
  <c r="T402" i="31"/>
  <c r="H402" i="31"/>
  <c r="F402" i="31"/>
  <c r="H403" i="31"/>
  <c r="P403" i="31"/>
  <c r="Z386" i="31"/>
  <c r="S387" i="31"/>
  <c r="F387" i="31"/>
  <c r="N388" i="31"/>
  <c r="P387" i="31"/>
  <c r="L387" i="31"/>
  <c r="S386" i="31"/>
  <c r="T386" i="31"/>
  <c r="H386" i="31"/>
  <c r="L386" i="31"/>
  <c r="U386" i="31"/>
  <c r="L388" i="31"/>
  <c r="P388" i="31"/>
  <c r="F388" i="31"/>
  <c r="H387" i="31"/>
  <c r="U387" i="31"/>
  <c r="J388" i="31"/>
  <c r="N387" i="31"/>
  <c r="T388" i="31"/>
  <c r="F386" i="31"/>
  <c r="P386" i="31"/>
  <c r="P389" i="31" s="1"/>
  <c r="U365" i="31"/>
  <c r="S365" i="31"/>
  <c r="F365" i="31"/>
  <c r="N365" i="31"/>
  <c r="H364" i="31"/>
  <c r="H365" i="31"/>
  <c r="L364" i="31"/>
  <c r="Z364" i="31"/>
  <c r="S348" i="31"/>
  <c r="T350" i="31"/>
  <c r="F350" i="31"/>
  <c r="P348" i="31"/>
  <c r="L348" i="31"/>
  <c r="L349" i="31"/>
  <c r="L350" i="31"/>
  <c r="S350" i="31"/>
  <c r="T349" i="31"/>
  <c r="F348" i="31"/>
  <c r="U349" i="31"/>
  <c r="S349" i="31"/>
  <c r="H350" i="31"/>
  <c r="N349" i="31"/>
  <c r="N350" i="31"/>
  <c r="U350" i="31"/>
  <c r="N348" i="31"/>
  <c r="H348" i="31"/>
  <c r="U348" i="31"/>
  <c r="P349" i="31"/>
  <c r="J349" i="31"/>
  <c r="Z348" i="31"/>
  <c r="F349" i="31"/>
  <c r="J348" i="31"/>
  <c r="H349" i="31"/>
  <c r="U332" i="31"/>
  <c r="F334" i="31"/>
  <c r="P334" i="31"/>
  <c r="J334" i="31"/>
  <c r="L333" i="31"/>
  <c r="S332" i="31"/>
  <c r="T333" i="31"/>
  <c r="N334" i="31"/>
  <c r="L332" i="31"/>
  <c r="T334" i="31"/>
  <c r="L334" i="31"/>
  <c r="H332" i="31"/>
  <c r="Z332" i="31"/>
  <c r="F333" i="31"/>
  <c r="H333" i="31"/>
  <c r="F332" i="31"/>
  <c r="P333" i="31"/>
  <c r="U333" i="31"/>
  <c r="N333" i="31"/>
  <c r="U334" i="31"/>
  <c r="P332" i="31"/>
  <c r="U311" i="31"/>
  <c r="U312" i="31"/>
  <c r="F311" i="31"/>
  <c r="N311" i="31"/>
  <c r="H310" i="31"/>
  <c r="N310" i="31"/>
  <c r="H311" i="31"/>
  <c r="S296" i="31"/>
  <c r="S295" i="31"/>
  <c r="T296" i="31"/>
  <c r="P294" i="31"/>
  <c r="L294" i="31"/>
  <c r="J295" i="31"/>
  <c r="L295" i="31"/>
  <c r="Z294" i="31"/>
  <c r="U294" i="31"/>
  <c r="F295" i="31"/>
  <c r="P295" i="31"/>
  <c r="F294" i="31"/>
  <c r="P296" i="31"/>
  <c r="S294" i="31"/>
  <c r="U296" i="31"/>
  <c r="N294" i="31"/>
  <c r="L296" i="31"/>
  <c r="U295" i="31"/>
  <c r="F296" i="31"/>
  <c r="N295" i="31"/>
  <c r="H295" i="31"/>
  <c r="T295" i="31"/>
  <c r="H296" i="31"/>
  <c r="J294" i="31"/>
  <c r="H294" i="31"/>
  <c r="U273" i="31"/>
  <c r="T272" i="31"/>
  <c r="N272" i="31"/>
  <c r="H273" i="31"/>
  <c r="J273" i="31"/>
  <c r="S272" i="31"/>
  <c r="P274" i="31"/>
  <c r="L273" i="31"/>
  <c r="N273" i="31"/>
  <c r="U272" i="31"/>
  <c r="J274" i="31"/>
  <c r="L274" i="31"/>
  <c r="Z272" i="31"/>
  <c r="P273" i="31"/>
  <c r="F272" i="31"/>
  <c r="T274" i="31"/>
  <c r="F273" i="31"/>
  <c r="N274" i="31"/>
  <c r="H272" i="31"/>
  <c r="S273" i="31"/>
  <c r="P272" i="31"/>
  <c r="Z256" i="31"/>
  <c r="U258" i="31"/>
  <c r="U256" i="31"/>
  <c r="P256" i="31"/>
  <c r="J258" i="31"/>
  <c r="N257" i="31"/>
  <c r="N258" i="31"/>
  <c r="S242" i="31"/>
  <c r="U242" i="31"/>
  <c r="T241" i="31"/>
  <c r="F242" i="31"/>
  <c r="F240" i="31"/>
  <c r="L241" i="31"/>
  <c r="J240" i="31"/>
  <c r="T240" i="31"/>
  <c r="P242" i="31"/>
  <c r="J242" i="31"/>
  <c r="N241" i="31"/>
  <c r="L242" i="31"/>
  <c r="S240" i="31"/>
  <c r="T242" i="31"/>
  <c r="H241" i="31"/>
  <c r="L240" i="31"/>
  <c r="U241" i="31"/>
  <c r="P241" i="31"/>
  <c r="H242" i="31"/>
  <c r="N242" i="31"/>
  <c r="S241" i="31"/>
  <c r="P240" i="31"/>
  <c r="F241" i="31"/>
  <c r="H240" i="31"/>
  <c r="S218" i="31"/>
  <c r="T220" i="31"/>
  <c r="P218" i="31"/>
  <c r="F218" i="31"/>
  <c r="L219" i="31"/>
  <c r="J218" i="31"/>
  <c r="U219" i="31"/>
  <c r="P220" i="31"/>
  <c r="H219" i="31"/>
  <c r="J219" i="31"/>
  <c r="H218" i="31"/>
  <c r="T219" i="31"/>
  <c r="H220" i="31"/>
  <c r="N220" i="31"/>
  <c r="Z218" i="31"/>
  <c r="P219" i="31"/>
  <c r="F219" i="31"/>
  <c r="L220" i="31"/>
  <c r="N218" i="31"/>
  <c r="J220" i="31"/>
  <c r="N219" i="31"/>
  <c r="U218" i="31"/>
  <c r="L218" i="31"/>
  <c r="S202" i="31"/>
  <c r="T204" i="31"/>
  <c r="P204" i="31"/>
  <c r="H203" i="31"/>
  <c r="L203" i="31"/>
  <c r="L204" i="31"/>
  <c r="N203" i="31"/>
  <c r="S182" i="31"/>
  <c r="U180" i="31"/>
  <c r="S181" i="31"/>
  <c r="J182" i="31"/>
  <c r="F181" i="31"/>
  <c r="L182" i="31"/>
  <c r="N181" i="31"/>
  <c r="U181" i="31"/>
  <c r="T181" i="31"/>
  <c r="H181" i="31"/>
  <c r="N182" i="31"/>
  <c r="J180" i="31"/>
  <c r="S180" i="31"/>
  <c r="P182" i="31"/>
  <c r="H182" i="31"/>
  <c r="F182" i="31"/>
  <c r="T182" i="31"/>
  <c r="P181" i="31"/>
  <c r="J181" i="31"/>
  <c r="H180" i="31"/>
  <c r="T180" i="31"/>
  <c r="P180" i="31"/>
  <c r="P183" i="31" s="1"/>
  <c r="N180" i="31"/>
  <c r="L181" i="31"/>
  <c r="S166" i="31"/>
  <c r="T166" i="31"/>
  <c r="T164" i="31"/>
  <c r="J166" i="31"/>
  <c r="F165" i="31"/>
  <c r="N165" i="31"/>
  <c r="N166" i="31"/>
  <c r="U166" i="31"/>
  <c r="P166" i="31"/>
  <c r="F164" i="31"/>
  <c r="J164" i="31"/>
  <c r="N164" i="31"/>
  <c r="U165" i="31"/>
  <c r="P165" i="31"/>
  <c r="L164" i="31"/>
  <c r="J165" i="31"/>
  <c r="T165" i="31"/>
  <c r="P164" i="31"/>
  <c r="F166" i="31"/>
  <c r="L166" i="31"/>
  <c r="Z164" i="31"/>
  <c r="H165" i="31"/>
  <c r="S165" i="31"/>
  <c r="L165" i="31"/>
  <c r="U164" i="31"/>
  <c r="H166" i="31"/>
  <c r="S164" i="31"/>
  <c r="H164" i="31"/>
  <c r="U149" i="31"/>
  <c r="T150" i="31"/>
  <c r="P149" i="31"/>
  <c r="F148" i="31"/>
  <c r="L149" i="31"/>
  <c r="L150" i="31"/>
  <c r="H148" i="31"/>
  <c r="Z126" i="31"/>
  <c r="U126" i="31"/>
  <c r="T126" i="31"/>
  <c r="P126" i="31"/>
  <c r="F126" i="31"/>
  <c r="L128" i="31"/>
  <c r="N127" i="31"/>
  <c r="S128" i="31"/>
  <c r="T127" i="31"/>
  <c r="P127" i="31"/>
  <c r="F127" i="31"/>
  <c r="F128" i="31"/>
  <c r="J127" i="31"/>
  <c r="S126" i="31"/>
  <c r="U128" i="31"/>
  <c r="H127" i="31"/>
  <c r="J126" i="31"/>
  <c r="J129" i="31" s="1"/>
  <c r="U127" i="31"/>
  <c r="P128" i="31"/>
  <c r="N128" i="31"/>
  <c r="H126" i="31"/>
  <c r="T128" i="31"/>
  <c r="H128" i="31"/>
  <c r="N126" i="31"/>
  <c r="L127" i="31"/>
  <c r="S112" i="31"/>
  <c r="T110" i="31"/>
  <c r="U110" i="31"/>
  <c r="J112" i="31"/>
  <c r="N112" i="31"/>
  <c r="N110" i="31"/>
  <c r="J110" i="31"/>
  <c r="U111" i="31"/>
  <c r="T111" i="31"/>
  <c r="H111" i="31"/>
  <c r="F111" i="31"/>
  <c r="N111" i="31"/>
  <c r="S111" i="31"/>
  <c r="P111" i="31"/>
  <c r="L112" i="31"/>
  <c r="H110" i="31"/>
  <c r="U112" i="31"/>
  <c r="P110" i="31"/>
  <c r="H112" i="31"/>
  <c r="J111" i="31"/>
  <c r="Z110" i="31"/>
  <c r="F110" i="31"/>
  <c r="L111" i="31"/>
  <c r="S110" i="31"/>
  <c r="F112" i="31"/>
  <c r="T112" i="31"/>
  <c r="L110" i="31"/>
  <c r="L113" i="31" s="1"/>
  <c r="P112" i="31"/>
  <c r="Z88" i="31"/>
  <c r="T89" i="31"/>
  <c r="T88" i="31"/>
  <c r="P88" i="31"/>
  <c r="J88" i="31"/>
  <c r="H88" i="31"/>
  <c r="F89" i="31"/>
  <c r="Z72" i="31"/>
  <c r="T73" i="31"/>
  <c r="T74" i="31"/>
  <c r="P72" i="31"/>
  <c r="F73" i="31"/>
  <c r="L72" i="31"/>
  <c r="H72" i="31"/>
  <c r="T72" i="31"/>
  <c r="P74" i="31"/>
  <c r="F72" i="31"/>
  <c r="N73" i="31"/>
  <c r="J73" i="31"/>
  <c r="U72" i="31"/>
  <c r="S74" i="31"/>
  <c r="N72" i="31"/>
  <c r="L73" i="31"/>
  <c r="U73" i="31"/>
  <c r="P73" i="31"/>
  <c r="H74" i="31"/>
  <c r="N74" i="31"/>
  <c r="U74" i="31"/>
  <c r="J74" i="31"/>
  <c r="F74" i="31"/>
  <c r="L74" i="31"/>
  <c r="S57" i="31"/>
  <c r="T57" i="31"/>
  <c r="T58" i="31"/>
  <c r="J58" i="31"/>
  <c r="N58" i="31"/>
  <c r="H58" i="31"/>
  <c r="N57" i="31"/>
  <c r="U56" i="31"/>
  <c r="U58" i="31"/>
  <c r="P56" i="31"/>
  <c r="J57" i="31"/>
  <c r="F58" i="31"/>
  <c r="U57" i="31"/>
  <c r="P57" i="31"/>
  <c r="L58" i="31"/>
  <c r="J56" i="31"/>
  <c r="T56" i="31"/>
  <c r="H57" i="31"/>
  <c r="F57" i="31"/>
  <c r="H56" i="31"/>
  <c r="Z56" i="31"/>
  <c r="F56" i="31"/>
  <c r="S56" i="31"/>
  <c r="L56" i="31"/>
  <c r="P58" i="31"/>
  <c r="L57" i="31"/>
  <c r="N56" i="31"/>
  <c r="C88" i="31"/>
  <c r="D148" i="31"/>
  <c r="C218" i="31"/>
  <c r="D294" i="31"/>
  <c r="C364" i="31"/>
  <c r="D440" i="31"/>
  <c r="D516" i="31"/>
  <c r="C586" i="31"/>
  <c r="C662" i="31"/>
  <c r="C732" i="31"/>
  <c r="D808" i="31"/>
  <c r="D884" i="31"/>
  <c r="C954" i="31"/>
  <c r="C1030" i="31"/>
  <c r="D1100" i="31"/>
  <c r="D1176" i="31"/>
  <c r="D1252" i="31"/>
  <c r="C1322" i="31"/>
  <c r="D126" i="31"/>
  <c r="C202" i="31"/>
  <c r="C272" i="31"/>
  <c r="C348" i="31"/>
  <c r="D424" i="31"/>
  <c r="C494" i="31"/>
  <c r="D570" i="31"/>
  <c r="D640" i="31"/>
  <c r="D716" i="31"/>
  <c r="D792" i="31"/>
  <c r="C862" i="31"/>
  <c r="D938" i="31"/>
  <c r="D1008" i="31"/>
  <c r="D1084" i="31"/>
  <c r="D1160" i="31"/>
  <c r="C1230" i="31"/>
  <c r="D1306" i="31"/>
  <c r="D1376" i="31"/>
  <c r="AL180" i="31"/>
  <c r="AL402" i="31"/>
  <c r="AL624" i="31"/>
  <c r="AL824" i="31"/>
  <c r="AL1268" i="31"/>
  <c r="AL110" i="31"/>
  <c r="AL310" i="31"/>
  <c r="AL548" i="31"/>
  <c r="AL770" i="31"/>
  <c r="AL1008" i="31"/>
  <c r="AL1230" i="31"/>
  <c r="AL72" i="31"/>
  <c r="AL332" i="31"/>
  <c r="AL532" i="31"/>
  <c r="AL754" i="31"/>
  <c r="AL976" i="31"/>
  <c r="AL1192" i="31"/>
  <c r="L90" i="31"/>
  <c r="N89" i="31"/>
  <c r="J90" i="31"/>
  <c r="U88" i="31"/>
  <c r="S88" i="31"/>
  <c r="N148" i="31"/>
  <c r="F149" i="31"/>
  <c r="P148" i="31"/>
  <c r="U150" i="31"/>
  <c r="S150" i="31"/>
  <c r="L202" i="31"/>
  <c r="F203" i="31"/>
  <c r="P202" i="31"/>
  <c r="S203" i="31"/>
  <c r="S204" i="31"/>
  <c r="H256" i="31"/>
  <c r="J257" i="31"/>
  <c r="H257" i="31"/>
  <c r="P257" i="31"/>
  <c r="T257" i="31"/>
  <c r="S258" i="31"/>
  <c r="L312" i="31"/>
  <c r="J311" i="31"/>
  <c r="J310" i="31"/>
  <c r="F312" i="31"/>
  <c r="U310" i="31"/>
  <c r="Z310" i="31"/>
  <c r="L366" i="31"/>
  <c r="P366" i="31"/>
  <c r="F364" i="31"/>
  <c r="T365" i="31"/>
  <c r="S366" i="31"/>
  <c r="N424" i="31"/>
  <c r="P426" i="31"/>
  <c r="T425" i="31"/>
  <c r="S426" i="31"/>
  <c r="N480" i="31"/>
  <c r="N481" i="31" s="1"/>
  <c r="H480" i="31"/>
  <c r="T480" i="31"/>
  <c r="L534" i="31"/>
  <c r="L532" i="31"/>
  <c r="T534" i="31"/>
  <c r="Z532" i="31"/>
  <c r="H587" i="31"/>
  <c r="L586" i="31"/>
  <c r="S586" i="31"/>
  <c r="U588" i="31"/>
  <c r="H642" i="31"/>
  <c r="L641" i="31"/>
  <c r="U641" i="31"/>
  <c r="Z640" i="31"/>
  <c r="F701" i="31"/>
  <c r="J702" i="31"/>
  <c r="U701" i="31"/>
  <c r="P754" i="31"/>
  <c r="F754" i="31"/>
  <c r="S756" i="31"/>
  <c r="F809" i="31"/>
  <c r="J810" i="31"/>
  <c r="U809" i="31"/>
  <c r="P862" i="31"/>
  <c r="F862" i="31"/>
  <c r="T863" i="31"/>
  <c r="H918" i="31"/>
  <c r="L916" i="31"/>
  <c r="S916" i="31"/>
  <c r="H977" i="31"/>
  <c r="N978" i="31"/>
  <c r="S978" i="31"/>
  <c r="L1032" i="31"/>
  <c r="F1030" i="31"/>
  <c r="S1030" i="31"/>
  <c r="H1085" i="31"/>
  <c r="N1086" i="31"/>
  <c r="S1085" i="31"/>
  <c r="L1138" i="31"/>
  <c r="J1139" i="31"/>
  <c r="J1141" i="31" s="1"/>
  <c r="F1139" i="31"/>
  <c r="S1140" i="31"/>
  <c r="L1193" i="31"/>
  <c r="N1194" i="31"/>
  <c r="U1193" i="31"/>
  <c r="S1194" i="31"/>
  <c r="N1253" i="31"/>
  <c r="P1254" i="31"/>
  <c r="U1253" i="31"/>
  <c r="S1254" i="31"/>
  <c r="H1306" i="31"/>
  <c r="J1308" i="31"/>
  <c r="T1306" i="31"/>
  <c r="P1362" i="31"/>
  <c r="F1362" i="31"/>
  <c r="S72" i="31"/>
  <c r="S127" i="31"/>
  <c r="U182" i="31"/>
  <c r="U240" i="31"/>
  <c r="T294" i="31"/>
  <c r="T348" i="31"/>
  <c r="P456" i="31"/>
  <c r="N570" i="31"/>
  <c r="J733" i="31"/>
  <c r="N1176" i="31"/>
  <c r="S1378" i="31"/>
  <c r="U1376" i="31"/>
  <c r="U1377" i="31"/>
  <c r="P1377" i="31"/>
  <c r="P1378" i="31"/>
  <c r="J1377" i="31"/>
  <c r="P1376" i="31"/>
  <c r="T1377" i="31"/>
  <c r="T1378" i="31"/>
  <c r="N1376" i="31"/>
  <c r="H1376" i="31"/>
  <c r="J1378" i="31"/>
  <c r="Z1376" i="31"/>
  <c r="T1376" i="31"/>
  <c r="N1377" i="31"/>
  <c r="L1378" i="31"/>
  <c r="F1378" i="31"/>
  <c r="L1377" i="31"/>
  <c r="L1376" i="31"/>
  <c r="S1376" i="31"/>
  <c r="F1377" i="31"/>
  <c r="N1378" i="31"/>
  <c r="S1377" i="31"/>
  <c r="F1376" i="31"/>
  <c r="H1377" i="31"/>
  <c r="U1378" i="31"/>
  <c r="J1376" i="31"/>
  <c r="S1346" i="31"/>
  <c r="U1344" i="31"/>
  <c r="U1345" i="31"/>
  <c r="P1345" i="31"/>
  <c r="L1346" i="31"/>
  <c r="H1346" i="31"/>
  <c r="P1346" i="31"/>
  <c r="S1344" i="31"/>
  <c r="T1344" i="31"/>
  <c r="F1344" i="31"/>
  <c r="H1345" i="31"/>
  <c r="N1345" i="31"/>
  <c r="Z1344" i="31"/>
  <c r="T1346" i="31"/>
  <c r="N1346" i="31"/>
  <c r="L1344" i="31"/>
  <c r="F1346" i="31"/>
  <c r="J1346" i="31"/>
  <c r="H1344" i="31"/>
  <c r="T1345" i="31"/>
  <c r="F1345" i="31"/>
  <c r="P1344" i="31"/>
  <c r="S1345" i="31"/>
  <c r="N1344" i="31"/>
  <c r="J1344" i="31"/>
  <c r="U1346" i="31"/>
  <c r="J1345" i="31"/>
  <c r="L1345" i="31"/>
  <c r="Z1068" i="31"/>
  <c r="U1068" i="31"/>
  <c r="U1069" i="31"/>
  <c r="F1068" i="31"/>
  <c r="H1070" i="31"/>
  <c r="N1069" i="31"/>
  <c r="L1070" i="31"/>
  <c r="S1069" i="31"/>
  <c r="F1070" i="31"/>
  <c r="J1068" i="31"/>
  <c r="H1068" i="31"/>
  <c r="J1070" i="31"/>
  <c r="T1068" i="31"/>
  <c r="T1069" i="31"/>
  <c r="N1068" i="31"/>
  <c r="J1069" i="31"/>
  <c r="T1070" i="31"/>
  <c r="F1069" i="31"/>
  <c r="L1068" i="31"/>
  <c r="U1070" i="31"/>
  <c r="N1070" i="31"/>
  <c r="P1070" i="31"/>
  <c r="S1068" i="31"/>
  <c r="L1069" i="31"/>
  <c r="H1069" i="31"/>
  <c r="S1070" i="31"/>
  <c r="P1069" i="31"/>
  <c r="P1068" i="31"/>
  <c r="D364" i="31"/>
  <c r="C440" i="31"/>
  <c r="C516" i="31"/>
  <c r="D586" i="31"/>
  <c r="D662" i="31"/>
  <c r="D732" i="31"/>
  <c r="C808" i="31"/>
  <c r="C884" i="31"/>
  <c r="D954" i="31"/>
  <c r="D1030" i="31"/>
  <c r="C1100" i="31"/>
  <c r="C1176" i="31"/>
  <c r="C1252" i="31"/>
  <c r="D1322" i="31"/>
  <c r="C126" i="31"/>
  <c r="D202" i="31"/>
  <c r="D272" i="31"/>
  <c r="D348" i="31"/>
  <c r="C424" i="31"/>
  <c r="D494" i="31"/>
  <c r="C570" i="31"/>
  <c r="C640" i="31"/>
  <c r="C716" i="31"/>
  <c r="C792" i="31"/>
  <c r="D862" i="31"/>
  <c r="C938" i="31"/>
  <c r="C1008" i="31"/>
  <c r="C1084" i="31"/>
  <c r="C1160" i="31"/>
  <c r="D1230" i="31"/>
  <c r="C1306" i="31"/>
  <c r="C1376" i="31"/>
  <c r="AL240" i="31"/>
  <c r="AL456" i="31"/>
  <c r="AL678" i="31"/>
  <c r="AL884" i="31"/>
  <c r="AL1100" i="31"/>
  <c r="AL1322" i="31"/>
  <c r="AL164" i="31"/>
  <c r="AL364" i="31"/>
  <c r="AL608" i="31"/>
  <c r="AL846" i="31"/>
  <c r="AL1068" i="31"/>
  <c r="AL1284" i="31"/>
  <c r="AL148" i="31"/>
  <c r="AL386" i="31"/>
  <c r="AL586" i="31"/>
  <c r="AL808" i="31"/>
  <c r="AL1030" i="31"/>
  <c r="AL1252" i="31"/>
  <c r="F90" i="31"/>
  <c r="J89" i="31"/>
  <c r="L88" i="31"/>
  <c r="P89" i="31"/>
  <c r="S89" i="31"/>
  <c r="S90" i="31"/>
  <c r="J148" i="31"/>
  <c r="N150" i="31"/>
  <c r="H150" i="31"/>
  <c r="P150" i="31"/>
  <c r="U148" i="31"/>
  <c r="Z148" i="31"/>
  <c r="H202" i="31"/>
  <c r="N202" i="31"/>
  <c r="H204" i="31"/>
  <c r="P203" i="31"/>
  <c r="U204" i="31"/>
  <c r="Z202" i="31"/>
  <c r="L258" i="31"/>
  <c r="L257" i="31"/>
  <c r="N256" i="31"/>
  <c r="P258" i="31"/>
  <c r="T258" i="31"/>
  <c r="L310" i="31"/>
  <c r="N312" i="31"/>
  <c r="P310" i="31"/>
  <c r="T311" i="31"/>
  <c r="S311" i="31"/>
  <c r="P365" i="31"/>
  <c r="J365" i="31"/>
  <c r="J364" i="31"/>
  <c r="F366" i="31"/>
  <c r="T366" i="31"/>
  <c r="J426" i="31"/>
  <c r="J424" i="31"/>
  <c r="T426" i="31"/>
  <c r="Z424" i="31"/>
  <c r="H478" i="31"/>
  <c r="F478" i="31"/>
  <c r="U480" i="31"/>
  <c r="J533" i="31"/>
  <c r="P533" i="31"/>
  <c r="U534" i="31"/>
  <c r="J587" i="31"/>
  <c r="N586" i="31"/>
  <c r="T588" i="31"/>
  <c r="F640" i="31"/>
  <c r="N642" i="31"/>
  <c r="S642" i="31"/>
  <c r="L702" i="31"/>
  <c r="N700" i="31"/>
  <c r="S702" i="31"/>
  <c r="H756" i="31"/>
  <c r="H755" i="31"/>
  <c r="T756" i="31"/>
  <c r="L810" i="31"/>
  <c r="N808" i="31"/>
  <c r="S808" i="31"/>
  <c r="H864" i="31"/>
  <c r="H863" i="31"/>
  <c r="U863" i="31"/>
  <c r="P918" i="31"/>
  <c r="H916" i="31"/>
  <c r="L917" i="31"/>
  <c r="T918" i="31"/>
  <c r="P977" i="31"/>
  <c r="P978" i="31"/>
  <c r="F978" i="31"/>
  <c r="U976" i="31"/>
  <c r="L1030" i="31"/>
  <c r="J1031" i="31"/>
  <c r="F1031" i="31"/>
  <c r="T1032" i="31"/>
  <c r="P1085" i="31"/>
  <c r="P1086" i="31"/>
  <c r="F1086" i="31"/>
  <c r="T1084" i="31"/>
  <c r="P1139" i="31"/>
  <c r="P1140" i="31"/>
  <c r="F1140" i="31"/>
  <c r="T1138" i="31"/>
  <c r="H1192" i="31"/>
  <c r="H1193" i="31"/>
  <c r="T1194" i="31"/>
  <c r="Z1192" i="31"/>
  <c r="L1252" i="31"/>
  <c r="N1252" i="31"/>
  <c r="U1254" i="31"/>
  <c r="L1307" i="31"/>
  <c r="N1306" i="31"/>
  <c r="U1308" i="31"/>
  <c r="N1361" i="31"/>
  <c r="U1361" i="31"/>
  <c r="S73" i="31"/>
  <c r="Z180" i="31"/>
  <c r="Z240" i="31"/>
  <c r="P404" i="31"/>
  <c r="N517" i="31"/>
  <c r="N626" i="31"/>
  <c r="P794" i="31"/>
  <c r="J955" i="31"/>
  <c r="S58" i="31"/>
  <c r="L591" i="31"/>
  <c r="P592" i="31"/>
  <c r="H592" i="31"/>
  <c r="J591" i="31"/>
  <c r="F592" i="31"/>
  <c r="U592" i="31"/>
  <c r="J645" i="31"/>
  <c r="N646" i="31"/>
  <c r="F646" i="31"/>
  <c r="H645" i="31"/>
  <c r="P646" i="31"/>
  <c r="U646" i="31"/>
  <c r="H704" i="31"/>
  <c r="P704" i="31"/>
  <c r="H705" i="31"/>
  <c r="P706" i="31"/>
  <c r="N705" i="31"/>
  <c r="U704" i="31"/>
  <c r="H758" i="31"/>
  <c r="P758" i="31"/>
  <c r="H759" i="31"/>
  <c r="P760" i="31"/>
  <c r="N759" i="31"/>
  <c r="S760" i="31"/>
  <c r="H812" i="31"/>
  <c r="P812" i="31"/>
  <c r="H813" i="31"/>
  <c r="P814" i="31"/>
  <c r="N813" i="31"/>
  <c r="U814" i="31"/>
  <c r="H866" i="31"/>
  <c r="P866" i="31"/>
  <c r="H867" i="31"/>
  <c r="P868" i="31"/>
  <c r="N867" i="31"/>
  <c r="T866" i="31"/>
  <c r="N920" i="31"/>
  <c r="N921" i="31"/>
  <c r="F922" i="31"/>
  <c r="H920" i="31"/>
  <c r="L921" i="31"/>
  <c r="T920" i="31"/>
  <c r="J980" i="31"/>
  <c r="N980" i="31"/>
  <c r="J981" i="31"/>
  <c r="P982" i="31"/>
  <c r="F981" i="31"/>
  <c r="T980" i="31"/>
  <c r="J1034" i="31"/>
  <c r="N1034" i="31"/>
  <c r="J1035" i="31"/>
  <c r="P1036" i="31"/>
  <c r="F1035" i="31"/>
  <c r="T1034" i="31"/>
  <c r="J1088" i="31"/>
  <c r="N1088" i="31"/>
  <c r="J1089" i="31"/>
  <c r="P1090" i="31"/>
  <c r="F1089" i="31"/>
  <c r="T1090" i="31"/>
  <c r="P1143" i="31"/>
  <c r="L1144" i="31"/>
  <c r="L1143" i="31"/>
  <c r="F1142" i="31"/>
  <c r="S1142" i="31"/>
  <c r="U1142" i="31"/>
  <c r="L1196" i="31"/>
  <c r="H1197" i="31"/>
  <c r="J1198" i="31"/>
  <c r="F1196" i="31"/>
  <c r="U1197" i="31"/>
  <c r="T1196" i="31"/>
  <c r="N1258" i="31"/>
  <c r="L1257" i="31"/>
  <c r="H1258" i="31"/>
  <c r="F1256" i="31"/>
  <c r="U1257" i="31"/>
  <c r="T1256" i="31"/>
  <c r="N1312" i="31"/>
  <c r="N1311" i="31"/>
  <c r="H1312" i="31"/>
  <c r="F1310" i="31"/>
  <c r="U1311" i="31"/>
  <c r="T1310" i="31"/>
  <c r="N1366" i="31"/>
  <c r="N1365" i="31"/>
  <c r="H1366" i="31"/>
  <c r="F1364" i="31"/>
  <c r="U1365" i="31"/>
  <c r="T1364" i="31"/>
  <c r="H77" i="31"/>
  <c r="F78" i="31"/>
  <c r="P77" i="31"/>
  <c r="N130" i="31"/>
  <c r="J130" i="31"/>
  <c r="P131" i="31"/>
  <c r="N184" i="31"/>
  <c r="L185" i="31"/>
  <c r="U185" i="31"/>
  <c r="J246" i="31"/>
  <c r="L246" i="31"/>
  <c r="H299" i="31"/>
  <c r="L299" i="31"/>
  <c r="J353" i="31"/>
  <c r="F352" i="31"/>
  <c r="J407" i="31"/>
  <c r="F406" i="31"/>
  <c r="P462" i="31"/>
  <c r="F460" i="31"/>
  <c r="P521" i="31"/>
  <c r="H737" i="31"/>
  <c r="Z904" i="31"/>
  <c r="L1126" i="31"/>
  <c r="N1349" i="31"/>
  <c r="F1348" i="31"/>
  <c r="N1182" i="31"/>
  <c r="P1180" i="31"/>
  <c r="F1072" i="31"/>
  <c r="L1073" i="31"/>
  <c r="L1014" i="31"/>
  <c r="L1012" i="31"/>
  <c r="L850" i="31"/>
  <c r="T850" i="31"/>
  <c r="U850" i="31"/>
  <c r="S798" i="31"/>
  <c r="T798" i="31"/>
  <c r="H796" i="31"/>
  <c r="T797" i="31"/>
  <c r="J798" i="31"/>
  <c r="T736" i="31"/>
  <c r="T738" i="31"/>
  <c r="H736" i="31"/>
  <c r="N736" i="31"/>
  <c r="N684" i="31"/>
  <c r="U684" i="31"/>
  <c r="J682" i="31"/>
  <c r="T683" i="31"/>
  <c r="H684" i="31"/>
  <c r="S628" i="31"/>
  <c r="S629" i="31"/>
  <c r="N628" i="31"/>
  <c r="F628" i="31"/>
  <c r="U575" i="31"/>
  <c r="U576" i="31"/>
  <c r="N574" i="31"/>
  <c r="U574" i="31"/>
  <c r="H575" i="31"/>
  <c r="Z520" i="31"/>
  <c r="F522" i="31"/>
  <c r="H522" i="31"/>
  <c r="H521" i="31"/>
  <c r="Z460" i="31"/>
  <c r="U461" i="31"/>
  <c r="L461" i="31"/>
  <c r="L460" i="31"/>
  <c r="U406" i="31"/>
  <c r="Z406" i="31"/>
  <c r="S406" i="31"/>
  <c r="L407" i="31"/>
  <c r="P408" i="31"/>
  <c r="U354" i="31"/>
  <c r="Z352" i="31"/>
  <c r="U353" i="31"/>
  <c r="J352" i="31"/>
  <c r="P354" i="31"/>
  <c r="T299" i="31"/>
  <c r="Z298" i="31"/>
  <c r="T300" i="31"/>
  <c r="J298" i="31"/>
  <c r="H298" i="31"/>
  <c r="Z244" i="31"/>
  <c r="T245" i="31"/>
  <c r="T244" i="31"/>
  <c r="J245" i="31"/>
  <c r="N244" i="31"/>
  <c r="T185" i="31"/>
  <c r="Z184" i="31"/>
  <c r="T184" i="31"/>
  <c r="P185" i="31"/>
  <c r="N186" i="31"/>
  <c r="L186" i="31"/>
  <c r="F184" i="31"/>
  <c r="T131" i="31"/>
  <c r="T132" i="31"/>
  <c r="U132" i="31"/>
  <c r="N132" i="31"/>
  <c r="H131" i="31"/>
  <c r="H132" i="31"/>
  <c r="S76" i="31"/>
  <c r="U78" i="31"/>
  <c r="T78" i="31"/>
  <c r="N77" i="31"/>
  <c r="L77" i="31"/>
  <c r="L78" i="31"/>
  <c r="T11" i="35"/>
  <c r="M11" i="35"/>
  <c r="AM56" i="27"/>
  <c r="AK53" i="27"/>
  <c r="S11" i="35"/>
  <c r="B11" i="35"/>
  <c r="AN7" i="27"/>
  <c r="AU12" i="27" s="1"/>
  <c r="AN49" i="27"/>
  <c r="AT53" i="27" s="1"/>
  <c r="AO56" i="27"/>
  <c r="AS58" i="27" s="1"/>
  <c r="M10" i="35"/>
  <c r="F11" i="35"/>
  <c r="T1288" i="31"/>
  <c r="U1348" i="31"/>
  <c r="F15" i="31"/>
  <c r="S15" i="31"/>
  <c r="J78" i="31"/>
  <c r="J77" i="31"/>
  <c r="J76" i="31"/>
  <c r="L76" i="31"/>
  <c r="P78" i="31"/>
  <c r="S77" i="31"/>
  <c r="H130" i="31"/>
  <c r="F131" i="31"/>
  <c r="F130" i="31"/>
  <c r="L130" i="31"/>
  <c r="P132" i="31"/>
  <c r="U131" i="31"/>
  <c r="H184" i="31"/>
  <c r="F185" i="31"/>
  <c r="F186" i="31"/>
  <c r="N185" i="31"/>
  <c r="P186" i="31"/>
  <c r="S184" i="31"/>
  <c r="F246" i="31"/>
  <c r="F245" i="31"/>
  <c r="H244" i="31"/>
  <c r="P245" i="31"/>
  <c r="S246" i="31"/>
  <c r="L300" i="31"/>
  <c r="N298" i="31"/>
  <c r="F298" i="31"/>
  <c r="S298" i="31"/>
  <c r="L354" i="31"/>
  <c r="L352" i="31"/>
  <c r="L353" i="31"/>
  <c r="U352" i="31"/>
  <c r="J408" i="31"/>
  <c r="N407" i="31"/>
  <c r="J406" i="31"/>
  <c r="F408" i="31"/>
  <c r="J462" i="31"/>
  <c r="H460" i="31"/>
  <c r="P460" i="31"/>
  <c r="F461" i="31"/>
  <c r="S462" i="31"/>
  <c r="N521" i="31"/>
  <c r="J520" i="31"/>
  <c r="S520" i="31"/>
  <c r="P575" i="31"/>
  <c r="J628" i="31"/>
  <c r="H629" i="31"/>
  <c r="J683" i="31"/>
  <c r="P736" i="31"/>
  <c r="J736" i="31"/>
  <c r="H797" i="31"/>
  <c r="N796" i="31"/>
  <c r="J1046" i="31"/>
  <c r="T1048" i="31"/>
  <c r="N939" i="31"/>
  <c r="U939" i="31"/>
  <c r="H825" i="31"/>
  <c r="T825" i="31"/>
  <c r="Z770" i="31"/>
  <c r="L770" i="31"/>
  <c r="U718" i="31"/>
  <c r="N716" i="31"/>
  <c r="J716" i="31"/>
  <c r="S662" i="31"/>
  <c r="N664" i="31"/>
  <c r="F663" i="31"/>
  <c r="U609" i="31"/>
  <c r="N610" i="31"/>
  <c r="F609" i="31"/>
  <c r="T550" i="31"/>
  <c r="H550" i="31"/>
  <c r="L550" i="31"/>
  <c r="Z494" i="31"/>
  <c r="U494" i="31"/>
  <c r="H496" i="31"/>
  <c r="H495" i="31"/>
  <c r="Z440" i="31"/>
  <c r="T442" i="31"/>
  <c r="P440" i="31"/>
  <c r="J442" i="31"/>
  <c r="J440" i="31"/>
  <c r="S388" i="31"/>
  <c r="T387" i="31"/>
  <c r="U388" i="31"/>
  <c r="H388" i="31"/>
  <c r="J387" i="31"/>
  <c r="N386" i="31"/>
  <c r="J386" i="31"/>
  <c r="S334" i="31"/>
  <c r="T332" i="31"/>
  <c r="S333" i="31"/>
  <c r="H334" i="31"/>
  <c r="J333" i="31"/>
  <c r="N332" i="31"/>
  <c r="J332" i="31"/>
  <c r="S274" i="31"/>
  <c r="T273" i="31"/>
  <c r="U274" i="31"/>
  <c r="F274" i="31"/>
  <c r="J272" i="31"/>
  <c r="H274" i="31"/>
  <c r="L272" i="31"/>
  <c r="S220" i="31"/>
  <c r="S219" i="31"/>
  <c r="T218" i="31"/>
  <c r="F220" i="31"/>
  <c r="T50" i="27"/>
  <c r="AE46" i="27" s="1"/>
  <c r="S53" i="27"/>
  <c r="AN45" i="27"/>
  <c r="AS52" i="27" s="1"/>
  <c r="AM96" i="27"/>
  <c r="AL46" i="27"/>
  <c r="AT48" i="27" s="1"/>
  <c r="AK96" i="27"/>
  <c r="V50" i="27"/>
  <c r="AD50" i="27" s="1"/>
  <c r="AK58" i="27"/>
  <c r="AI56" i="27"/>
  <c r="AJ49" i="27"/>
  <c r="AT46" i="27" s="1"/>
  <c r="Z1352" i="31"/>
  <c r="U1316" i="31"/>
  <c r="T1315" i="31"/>
  <c r="F1315" i="31"/>
  <c r="H1316" i="31"/>
  <c r="P1316" i="31"/>
  <c r="J1315" i="31"/>
  <c r="P1314" i="31"/>
  <c r="Z1314" i="31"/>
  <c r="T1314" i="31"/>
  <c r="S1315" i="31"/>
  <c r="F1314" i="31"/>
  <c r="L1314" i="31"/>
  <c r="L1315" i="31"/>
  <c r="L1316" i="31"/>
  <c r="S1314" i="31"/>
  <c r="F1316" i="31"/>
  <c r="J1314" i="31"/>
  <c r="J1316" i="31"/>
  <c r="T1316" i="31"/>
  <c r="P1315" i="31"/>
  <c r="H1314" i="31"/>
  <c r="S1316" i="31"/>
  <c r="N1315" i="31"/>
  <c r="U1315" i="31"/>
  <c r="N1316" i="31"/>
  <c r="U1314" i="31"/>
  <c r="H1315" i="31"/>
  <c r="N1314" i="31"/>
  <c r="U1262" i="31"/>
  <c r="T1261" i="31"/>
  <c r="F1261" i="31"/>
  <c r="H1262" i="31"/>
  <c r="P1262" i="31"/>
  <c r="L1262" i="31"/>
  <c r="J1261" i="31"/>
  <c r="Z1260" i="31"/>
  <c r="T1260" i="31"/>
  <c r="S1261" i="31"/>
  <c r="F1260" i="31"/>
  <c r="L1260" i="31"/>
  <c r="H1261" i="31"/>
  <c r="H1260" i="31"/>
  <c r="U1261" i="31"/>
  <c r="N1260" i="31"/>
  <c r="J1260" i="31"/>
  <c r="S1262" i="31"/>
  <c r="U1260" i="31"/>
  <c r="J1262" i="31"/>
  <c r="N1261" i="31"/>
  <c r="T1262" i="31"/>
  <c r="N1262" i="31"/>
  <c r="F1262" i="31"/>
  <c r="L1261" i="31"/>
  <c r="P1261" i="31"/>
  <c r="S1260" i="31"/>
  <c r="P1260" i="31"/>
  <c r="S1224" i="31"/>
  <c r="T1224" i="31"/>
  <c r="U1222" i="31"/>
  <c r="P1223" i="31"/>
  <c r="H1224" i="31"/>
  <c r="J1223" i="31"/>
  <c r="P1222" i="31"/>
  <c r="U1224" i="31"/>
  <c r="S1223" i="31"/>
  <c r="N1222" i="31"/>
  <c r="L1223" i="31"/>
  <c r="L1224" i="31"/>
  <c r="T1222" i="31"/>
  <c r="F1224" i="31"/>
  <c r="N1223" i="31"/>
  <c r="P1224" i="31"/>
  <c r="J1224" i="31"/>
  <c r="Z1222" i="31"/>
  <c r="U1223" i="31"/>
  <c r="F1223" i="31"/>
  <c r="J1222" i="31"/>
  <c r="N1224" i="31"/>
  <c r="L1222" i="31"/>
  <c r="T1039" i="31"/>
  <c r="S1038" i="31"/>
  <c r="F1039" i="31"/>
  <c r="J1038" i="31"/>
  <c r="H1039" i="31"/>
  <c r="U1038" i="31"/>
  <c r="S1040" i="31"/>
  <c r="N1040" i="31"/>
  <c r="L1040" i="31"/>
  <c r="N1038" i="31"/>
  <c r="H1038" i="31"/>
  <c r="S1039" i="31"/>
  <c r="U1039" i="31"/>
  <c r="L1039" i="31"/>
  <c r="J1040" i="31"/>
  <c r="P1039" i="31"/>
  <c r="T1040" i="31"/>
  <c r="J1039" i="31"/>
  <c r="N1039" i="31"/>
  <c r="Z1038" i="31"/>
  <c r="F1040" i="31"/>
  <c r="P1038" i="31"/>
  <c r="U1040" i="31"/>
  <c r="F1038" i="31"/>
  <c r="H1040" i="31"/>
  <c r="P1040" i="31"/>
  <c r="L1038" i="31"/>
  <c r="T985" i="31"/>
  <c r="S984" i="31"/>
  <c r="F985" i="31"/>
  <c r="J984" i="31"/>
  <c r="H985" i="31"/>
  <c r="N984" i="31"/>
  <c r="H984" i="31"/>
  <c r="Z984" i="31"/>
  <c r="S985" i="31"/>
  <c r="S986" i="31"/>
  <c r="F984" i="31"/>
  <c r="P986" i="31"/>
  <c r="J986" i="31"/>
  <c r="P985" i="31"/>
  <c r="T986" i="31"/>
  <c r="L985" i="31"/>
  <c r="H986" i="31"/>
  <c r="U986" i="31"/>
  <c r="U985" i="31"/>
  <c r="J985" i="31"/>
  <c r="L984" i="31"/>
  <c r="U984" i="31"/>
  <c r="F986" i="31"/>
  <c r="L986" i="31"/>
  <c r="N985" i="31"/>
  <c r="P984" i="31"/>
  <c r="T984" i="31"/>
  <c r="T931" i="31"/>
  <c r="S930" i="31"/>
  <c r="L931" i="31"/>
  <c r="P931" i="31"/>
  <c r="H930" i="31"/>
  <c r="H932" i="31"/>
  <c r="P932" i="31"/>
  <c r="Z930" i="31"/>
  <c r="S931" i="31"/>
  <c r="S932" i="31"/>
  <c r="L930" i="31"/>
  <c r="N930" i="31"/>
  <c r="J932" i="31"/>
  <c r="F931" i="31"/>
  <c r="U930" i="31"/>
  <c r="L932" i="31"/>
  <c r="J931" i="31"/>
  <c r="J930" i="31"/>
  <c r="T930" i="31"/>
  <c r="F932" i="31"/>
  <c r="H931" i="31"/>
  <c r="T932" i="31"/>
  <c r="P930" i="31"/>
  <c r="F930" i="31"/>
  <c r="N931" i="31"/>
  <c r="U932" i="31"/>
  <c r="U931" i="31"/>
  <c r="T871" i="31"/>
  <c r="S870" i="31"/>
  <c r="L871" i="31"/>
  <c r="N872" i="31"/>
  <c r="F872" i="31"/>
  <c r="N871" i="31"/>
  <c r="F870" i="31"/>
  <c r="Z870" i="31"/>
  <c r="S871" i="31"/>
  <c r="S872" i="31"/>
  <c r="L870" i="31"/>
  <c r="H871" i="31"/>
  <c r="N870" i="31"/>
  <c r="H870" i="31"/>
  <c r="T872" i="31"/>
  <c r="F871" i="31"/>
  <c r="J870" i="31"/>
  <c r="U872" i="31"/>
  <c r="U871" i="31"/>
  <c r="J872" i="31"/>
  <c r="P872" i="31"/>
  <c r="U870" i="31"/>
  <c r="L872" i="31"/>
  <c r="P870" i="31"/>
  <c r="J871" i="31"/>
  <c r="T870" i="31"/>
  <c r="H872" i="31"/>
  <c r="L800" i="31"/>
  <c r="S801" i="31"/>
  <c r="F800" i="31"/>
  <c r="H800" i="31"/>
  <c r="S747" i="31"/>
  <c r="J748" i="31"/>
  <c r="P746" i="31"/>
  <c r="T746" i="31"/>
  <c r="J746" i="31"/>
  <c r="P748" i="31"/>
  <c r="U748" i="31"/>
  <c r="J747" i="31"/>
  <c r="T747" i="31"/>
  <c r="U688" i="31"/>
  <c r="N688" i="31"/>
  <c r="J687" i="31"/>
  <c r="U686" i="31"/>
  <c r="J688" i="31"/>
  <c r="P686" i="31"/>
  <c r="L687" i="31"/>
  <c r="S688" i="31"/>
  <c r="F688" i="31"/>
  <c r="S686" i="31"/>
  <c r="S632" i="31"/>
  <c r="L632" i="31"/>
  <c r="H633" i="31"/>
  <c r="T634" i="31"/>
  <c r="N634" i="31"/>
  <c r="F632" i="31"/>
  <c r="P633" i="31"/>
  <c r="N632" i="31"/>
  <c r="U632" i="31"/>
  <c r="L634" i="31"/>
  <c r="U633" i="31"/>
  <c r="J633" i="31"/>
  <c r="F634" i="31"/>
  <c r="T580" i="31"/>
  <c r="F578" i="31"/>
  <c r="J578" i="31"/>
  <c r="U578" i="31"/>
  <c r="P579" i="31"/>
  <c r="L580" i="31"/>
  <c r="S580" i="31"/>
  <c r="L578" i="31"/>
  <c r="S579" i="31"/>
  <c r="H580" i="31"/>
  <c r="T578" i="31"/>
  <c r="P578" i="31"/>
  <c r="N579" i="31"/>
  <c r="Z578" i="31"/>
  <c r="S524" i="31"/>
  <c r="F526" i="31"/>
  <c r="L524" i="31"/>
  <c r="L526" i="31"/>
  <c r="S525" i="31"/>
  <c r="H526" i="31"/>
  <c r="P526" i="31"/>
  <c r="U525" i="31"/>
  <c r="J525" i="31"/>
  <c r="P524" i="31"/>
  <c r="S526" i="31"/>
  <c r="P525" i="31"/>
  <c r="T524" i="31"/>
  <c r="L525" i="31"/>
  <c r="U471" i="31"/>
  <c r="P470" i="31"/>
  <c r="H470" i="31"/>
  <c r="S472" i="31"/>
  <c r="T470" i="31"/>
  <c r="L470" i="31"/>
  <c r="L472" i="31"/>
  <c r="H472" i="31"/>
  <c r="S470" i="31"/>
  <c r="N471" i="31"/>
  <c r="T472" i="31"/>
  <c r="L471" i="31"/>
  <c r="F472" i="31"/>
  <c r="H471" i="31"/>
  <c r="T410" i="31"/>
  <c r="P410" i="31"/>
  <c r="H410" i="31"/>
  <c r="U412" i="31"/>
  <c r="J412" i="31"/>
  <c r="N412" i="31"/>
  <c r="U410" i="31"/>
  <c r="J410" i="31"/>
  <c r="F412" i="31"/>
  <c r="H411" i="31"/>
  <c r="F411" i="31"/>
  <c r="N410" i="31"/>
  <c r="N411" i="31"/>
  <c r="S410" i="31"/>
  <c r="S356" i="31"/>
  <c r="F358" i="31"/>
  <c r="N357" i="31"/>
  <c r="H357" i="31"/>
  <c r="U356" i="31"/>
  <c r="F357" i="31"/>
  <c r="J356" i="31"/>
  <c r="J358" i="31"/>
  <c r="T357" i="31"/>
  <c r="N358" i="31"/>
  <c r="P356" i="31"/>
  <c r="N356" i="31"/>
  <c r="U357" i="31"/>
  <c r="H356" i="31"/>
  <c r="Z318" i="31"/>
  <c r="S319" i="31"/>
  <c r="U319" i="31"/>
  <c r="F318" i="31"/>
  <c r="P320" i="31"/>
  <c r="J319" i="31"/>
  <c r="P319" i="31"/>
  <c r="S320" i="31"/>
  <c r="T318" i="31"/>
  <c r="T319" i="31"/>
  <c r="H320" i="31"/>
  <c r="L319" i="31"/>
  <c r="L320" i="31"/>
  <c r="L318" i="31"/>
  <c r="S318" i="31"/>
  <c r="U320" i="31"/>
  <c r="F320" i="31"/>
  <c r="P318" i="31"/>
  <c r="H318" i="31"/>
  <c r="H319" i="31"/>
  <c r="N319" i="31"/>
  <c r="J318" i="31"/>
  <c r="U318" i="31"/>
  <c r="N320" i="31"/>
  <c r="T320" i="31"/>
  <c r="J320" i="31"/>
  <c r="S288" i="31"/>
  <c r="T287" i="31"/>
  <c r="T288" i="31"/>
  <c r="F288" i="31"/>
  <c r="N288" i="31"/>
  <c r="H287" i="31"/>
  <c r="H286" i="31"/>
  <c r="S286" i="31"/>
  <c r="S287" i="31"/>
  <c r="P288" i="31"/>
  <c r="N286" i="31"/>
  <c r="L287" i="31"/>
  <c r="F286" i="31"/>
  <c r="L288" i="31"/>
  <c r="U248" i="31"/>
  <c r="P249" i="31"/>
  <c r="H250" i="31"/>
  <c r="J249" i="31"/>
  <c r="S248" i="31"/>
  <c r="F250" i="31"/>
  <c r="L250" i="31"/>
  <c r="U249" i="31"/>
  <c r="N248" i="31"/>
  <c r="L249" i="31"/>
  <c r="S249" i="31"/>
  <c r="F248" i="31"/>
  <c r="P250" i="31"/>
  <c r="J248" i="31"/>
  <c r="Z210" i="31"/>
  <c r="S211" i="31"/>
  <c r="U211" i="31"/>
  <c r="P210" i="31"/>
  <c r="H212" i="31"/>
  <c r="L212" i="31"/>
  <c r="N211" i="31"/>
  <c r="S212" i="31"/>
  <c r="T211" i="31"/>
  <c r="T210" i="31"/>
  <c r="J212" i="31"/>
  <c r="F211" i="31"/>
  <c r="L210" i="31"/>
  <c r="H210" i="31"/>
  <c r="S210" i="31"/>
  <c r="U212" i="31"/>
  <c r="P212" i="31"/>
  <c r="H211" i="31"/>
  <c r="N212" i="31"/>
  <c r="F212" i="31"/>
  <c r="L211" i="31"/>
  <c r="T212" i="31"/>
  <c r="J210" i="31"/>
  <c r="P211" i="31"/>
  <c r="J211" i="31"/>
  <c r="F210" i="31"/>
  <c r="Z134" i="31"/>
  <c r="T134" i="31"/>
  <c r="T135" i="31"/>
  <c r="P134" i="31"/>
  <c r="F134" i="31"/>
  <c r="N135" i="31"/>
  <c r="N136" i="31"/>
  <c r="S136" i="31"/>
  <c r="T136" i="31"/>
  <c r="P135" i="31"/>
  <c r="H136" i="31"/>
  <c r="L135" i="31"/>
  <c r="J134" i="31"/>
  <c r="S134" i="31"/>
  <c r="U135" i="31"/>
  <c r="F135" i="31"/>
  <c r="F136" i="31"/>
  <c r="J135" i="31"/>
  <c r="U134" i="31"/>
  <c r="S135" i="31"/>
  <c r="J136" i="31"/>
  <c r="L134" i="31"/>
  <c r="N134" i="31"/>
  <c r="H134" i="31"/>
  <c r="U136" i="31"/>
  <c r="L136" i="31"/>
  <c r="P136" i="31"/>
  <c r="Z80" i="31"/>
  <c r="U80" i="31"/>
  <c r="T82" i="31"/>
  <c r="P80" i="31"/>
  <c r="T80" i="31"/>
  <c r="P82" i="31"/>
  <c r="F80" i="31"/>
  <c r="J80" i="31"/>
  <c r="J81" i="31"/>
  <c r="F82" i="31"/>
  <c r="S81" i="31"/>
  <c r="U82" i="31"/>
  <c r="P81" i="31"/>
  <c r="N80" i="31"/>
  <c r="L81" i="31"/>
  <c r="L82" i="31"/>
  <c r="S82" i="31"/>
  <c r="S80" i="31"/>
  <c r="J82" i="31"/>
  <c r="L80" i="31"/>
  <c r="H80" i="31"/>
  <c r="F81" i="31"/>
  <c r="H81" i="31"/>
  <c r="N81" i="31"/>
  <c r="T81" i="31"/>
  <c r="U81" i="31"/>
  <c r="N82" i="31"/>
  <c r="H82" i="31"/>
  <c r="AL708" i="31"/>
  <c r="J64" i="31"/>
  <c r="N64" i="31"/>
  <c r="H64" i="31"/>
  <c r="P64" i="31"/>
  <c r="S64" i="31"/>
  <c r="T65" i="31"/>
  <c r="Z64" i="31"/>
  <c r="L118" i="31"/>
  <c r="J119" i="31"/>
  <c r="F118" i="31"/>
  <c r="P118" i="31"/>
  <c r="T120" i="31"/>
  <c r="S119" i="31"/>
  <c r="Z118" i="31"/>
  <c r="L172" i="31"/>
  <c r="J173" i="31"/>
  <c r="H174" i="31"/>
  <c r="P172" i="31"/>
  <c r="S173" i="31"/>
  <c r="T174" i="31"/>
  <c r="Z172" i="31"/>
  <c r="H226" i="31"/>
  <c r="L226" i="31"/>
  <c r="J228" i="31"/>
  <c r="P228" i="31"/>
  <c r="J287" i="31"/>
  <c r="J286" i="31"/>
  <c r="P287" i="31"/>
  <c r="U286" i="31"/>
  <c r="P342" i="31"/>
  <c r="L342" i="31"/>
  <c r="J395" i="31"/>
  <c r="P395" i="31"/>
  <c r="F395" i="31"/>
  <c r="P450" i="31"/>
  <c r="L450" i="31"/>
  <c r="U449" i="31"/>
  <c r="H502" i="31"/>
  <c r="J504" i="31"/>
  <c r="F503" i="31"/>
  <c r="U502" i="31"/>
  <c r="J563" i="31"/>
  <c r="Z562" i="31"/>
  <c r="P616" i="31"/>
  <c r="P672" i="31"/>
  <c r="S671" i="31"/>
  <c r="P725" i="31"/>
  <c r="T725" i="31"/>
  <c r="H780" i="31"/>
  <c r="Z778" i="31"/>
  <c r="N838" i="31"/>
  <c r="N894" i="31"/>
  <c r="S894" i="31"/>
  <c r="J948" i="31"/>
  <c r="S947" i="31"/>
  <c r="J1002" i="31"/>
  <c r="Z1000" i="31"/>
  <c r="F1054" i="31"/>
  <c r="P1116" i="31"/>
  <c r="P1169" i="31"/>
  <c r="T1223" i="31"/>
  <c r="N1276" i="31"/>
  <c r="L1332" i="31"/>
  <c r="N210" i="31"/>
  <c r="F319" i="31"/>
  <c r="N986" i="31"/>
  <c r="J1370" i="31"/>
  <c r="S1299" i="31"/>
  <c r="F1298" i="31"/>
  <c r="U1208" i="31"/>
  <c r="T1207" i="31"/>
  <c r="F1207" i="31"/>
  <c r="J1208" i="31"/>
  <c r="L1207" i="31"/>
  <c r="H1207" i="31"/>
  <c r="J1206" i="31"/>
  <c r="S1208" i="31"/>
  <c r="U1207" i="31"/>
  <c r="F1206" i="31"/>
  <c r="N1207" i="31"/>
  <c r="N1208" i="31"/>
  <c r="S1206" i="31"/>
  <c r="S1207" i="31"/>
  <c r="P1207" i="31"/>
  <c r="H1206" i="31"/>
  <c r="L1208" i="31"/>
  <c r="T1208" i="31"/>
  <c r="P1206" i="31"/>
  <c r="H1208" i="31"/>
  <c r="U1206" i="31"/>
  <c r="P1208" i="31"/>
  <c r="Z1206" i="31"/>
  <c r="F1208" i="31"/>
  <c r="J1207" i="31"/>
  <c r="N1206" i="31"/>
  <c r="L1206" i="31"/>
  <c r="S1170" i="31"/>
  <c r="T1170" i="31"/>
  <c r="U1168" i="31"/>
  <c r="N1170" i="31"/>
  <c r="S1168" i="31"/>
  <c r="T1169" i="31"/>
  <c r="F1168" i="31"/>
  <c r="P1168" i="31"/>
  <c r="L1168" i="31"/>
  <c r="J1169" i="31"/>
  <c r="U1170" i="31"/>
  <c r="S1169" i="31"/>
  <c r="L1169" i="31"/>
  <c r="H1170" i="31"/>
  <c r="N1169" i="31"/>
  <c r="L1170" i="31"/>
  <c r="T1168" i="31"/>
  <c r="F1170" i="31"/>
  <c r="J1168" i="31"/>
  <c r="N1168" i="31"/>
  <c r="H1168" i="31"/>
  <c r="H1169" i="31"/>
  <c r="T1116" i="31"/>
  <c r="S1115" i="31"/>
  <c r="T1115" i="31"/>
  <c r="N1116" i="31"/>
  <c r="P1114" i="31"/>
  <c r="L1114" i="31"/>
  <c r="J1115" i="31"/>
  <c r="T1114" i="31"/>
  <c r="S1114" i="31"/>
  <c r="F1116" i="31"/>
  <c r="L1115" i="31"/>
  <c r="H1116" i="31"/>
  <c r="N1115" i="31"/>
  <c r="L1116" i="31"/>
  <c r="U1116" i="31"/>
  <c r="S1116" i="31"/>
  <c r="F1115" i="31"/>
  <c r="J1114" i="31"/>
  <c r="N1114" i="31"/>
  <c r="H1114" i="31"/>
  <c r="H1115" i="31"/>
  <c r="T817" i="31"/>
  <c r="U817" i="31"/>
  <c r="N817" i="31"/>
  <c r="F816" i="31"/>
  <c r="F817" i="31"/>
  <c r="L816" i="31"/>
  <c r="H816" i="31"/>
  <c r="Z816" i="31"/>
  <c r="T816" i="31"/>
  <c r="S818" i="31"/>
  <c r="N816" i="31"/>
  <c r="P818" i="31"/>
  <c r="H818" i="31"/>
  <c r="P817" i="31"/>
  <c r="U816" i="31"/>
  <c r="N818" i="31"/>
  <c r="L818" i="31"/>
  <c r="L817" i="31"/>
  <c r="T818" i="31"/>
  <c r="J818" i="31"/>
  <c r="P816" i="31"/>
  <c r="S816" i="31"/>
  <c r="H817" i="31"/>
  <c r="F818" i="31"/>
  <c r="U818" i="31"/>
  <c r="S817" i="31"/>
  <c r="J817" i="31"/>
  <c r="U763" i="31"/>
  <c r="S764" i="31"/>
  <c r="N763" i="31"/>
  <c r="F762" i="31"/>
  <c r="F763" i="31"/>
  <c r="L762" i="31"/>
  <c r="H762" i="31"/>
  <c r="Z762" i="31"/>
  <c r="T762" i="31"/>
  <c r="T763" i="31"/>
  <c r="N762" i="31"/>
  <c r="P764" i="31"/>
  <c r="H764" i="31"/>
  <c r="P763" i="31"/>
  <c r="T764" i="31"/>
  <c r="H763" i="31"/>
  <c r="F764" i="31"/>
  <c r="U764" i="31"/>
  <c r="S763" i="31"/>
  <c r="J763" i="31"/>
  <c r="J762" i="31"/>
  <c r="U762" i="31"/>
  <c r="N764" i="31"/>
  <c r="L764" i="31"/>
  <c r="L763" i="31"/>
  <c r="S762" i="31"/>
  <c r="J764" i="31"/>
  <c r="P762" i="31"/>
  <c r="U709" i="31"/>
  <c r="T708" i="31"/>
  <c r="N709" i="31"/>
  <c r="F708" i="31"/>
  <c r="F709" i="31"/>
  <c r="L708" i="31"/>
  <c r="H708" i="31"/>
  <c r="Z708" i="31"/>
  <c r="S710" i="31"/>
  <c r="S708" i="31"/>
  <c r="N708" i="31"/>
  <c r="P710" i="31"/>
  <c r="H710" i="31"/>
  <c r="P709" i="31"/>
  <c r="U708" i="31"/>
  <c r="N710" i="31"/>
  <c r="L710" i="31"/>
  <c r="L709" i="31"/>
  <c r="T709" i="31"/>
  <c r="J710" i="31"/>
  <c r="P708" i="31"/>
  <c r="S709" i="31"/>
  <c r="H709" i="31"/>
  <c r="F710" i="31"/>
  <c r="T710" i="31"/>
  <c r="J709" i="31"/>
  <c r="J708" i="31"/>
  <c r="U655" i="31"/>
  <c r="T654" i="31"/>
  <c r="T655" i="31"/>
  <c r="P654" i="31"/>
  <c r="L655" i="31"/>
  <c r="H654" i="31"/>
  <c r="H656" i="31"/>
  <c r="Z654" i="31"/>
  <c r="S654" i="31"/>
  <c r="S655" i="31"/>
  <c r="N655" i="31"/>
  <c r="J654" i="31"/>
  <c r="J656" i="31"/>
  <c r="F655" i="31"/>
  <c r="U656" i="31"/>
  <c r="T656" i="31"/>
  <c r="P656" i="31"/>
  <c r="L654" i="31"/>
  <c r="L656" i="31"/>
  <c r="H655" i="31"/>
  <c r="F656" i="31"/>
  <c r="S656" i="31"/>
  <c r="F654" i="31"/>
  <c r="P655" i="31"/>
  <c r="N654" i="31"/>
  <c r="N656" i="31"/>
  <c r="Z594" i="31"/>
  <c r="S596" i="31"/>
  <c r="T594" i="31"/>
  <c r="F594" i="31"/>
  <c r="N595" i="31"/>
  <c r="J594" i="31"/>
  <c r="J596" i="31"/>
  <c r="U596" i="31"/>
  <c r="T595" i="31"/>
  <c r="S594" i="31"/>
  <c r="P595" i="31"/>
  <c r="L594" i="31"/>
  <c r="L596" i="31"/>
  <c r="H595" i="31"/>
  <c r="U594" i="31"/>
  <c r="S595" i="31"/>
  <c r="F596" i="31"/>
  <c r="N594" i="31"/>
  <c r="N596" i="31"/>
  <c r="J595" i="31"/>
  <c r="H596" i="31"/>
  <c r="F595" i="31"/>
  <c r="P594" i="31"/>
  <c r="P596" i="31"/>
  <c r="U595" i="31"/>
  <c r="L595" i="31"/>
  <c r="Z540" i="31"/>
  <c r="S541" i="31"/>
  <c r="U541" i="31"/>
  <c r="F540" i="31"/>
  <c r="J540" i="31"/>
  <c r="N542" i="31"/>
  <c r="J542" i="31"/>
  <c r="S542" i="31"/>
  <c r="T540" i="31"/>
  <c r="T541" i="31"/>
  <c r="H542" i="31"/>
  <c r="P542" i="31"/>
  <c r="J541" i="31"/>
  <c r="N540" i="31"/>
  <c r="S540" i="31"/>
  <c r="U542" i="31"/>
  <c r="F542" i="31"/>
  <c r="P540" i="31"/>
  <c r="L541" i="31"/>
  <c r="L542" i="31"/>
  <c r="P541" i="31"/>
  <c r="N541" i="31"/>
  <c r="U540" i="31"/>
  <c r="H540" i="31"/>
  <c r="T542" i="31"/>
  <c r="H541" i="31"/>
  <c r="Z486" i="31"/>
  <c r="T488" i="31"/>
  <c r="T486" i="31"/>
  <c r="F486" i="31"/>
  <c r="J486" i="31"/>
  <c r="N488" i="31"/>
  <c r="J488" i="31"/>
  <c r="S488" i="31"/>
  <c r="U487" i="31"/>
  <c r="U488" i="31"/>
  <c r="H488" i="31"/>
  <c r="P488" i="31"/>
  <c r="J487" i="31"/>
  <c r="N486" i="31"/>
  <c r="S486" i="31"/>
  <c r="T487" i="31"/>
  <c r="F488" i="31"/>
  <c r="P486" i="31"/>
  <c r="L487" i="31"/>
  <c r="L488" i="31"/>
  <c r="P487" i="31"/>
  <c r="U486" i="31"/>
  <c r="H486" i="31"/>
  <c r="S487" i="31"/>
  <c r="H487" i="31"/>
  <c r="F487" i="31"/>
  <c r="L486" i="31"/>
  <c r="Z432" i="31"/>
  <c r="S433" i="31"/>
  <c r="U433" i="31"/>
  <c r="F432" i="31"/>
  <c r="L433" i="31"/>
  <c r="L434" i="31"/>
  <c r="P433" i="31"/>
  <c r="S434" i="31"/>
  <c r="T432" i="31"/>
  <c r="T433" i="31"/>
  <c r="H434" i="31"/>
  <c r="H432" i="31"/>
  <c r="H433" i="31"/>
  <c r="L432" i="31"/>
  <c r="S432" i="31"/>
  <c r="U434" i="31"/>
  <c r="F434" i="31"/>
  <c r="P432" i="31"/>
  <c r="N434" i="31"/>
  <c r="J434" i="31"/>
  <c r="N433" i="31"/>
  <c r="T434" i="31"/>
  <c r="N432" i="31"/>
  <c r="F433" i="31"/>
  <c r="J432" i="31"/>
  <c r="P434" i="31"/>
  <c r="S396" i="31"/>
  <c r="T395" i="31"/>
  <c r="T396" i="31"/>
  <c r="H396" i="31"/>
  <c r="J396" i="31"/>
  <c r="N395" i="31"/>
  <c r="H394" i="31"/>
  <c r="S394" i="31"/>
  <c r="S395" i="31"/>
  <c r="F396" i="31"/>
  <c r="P394" i="31"/>
  <c r="N394" i="31"/>
  <c r="J394" i="31"/>
  <c r="N396" i="31"/>
  <c r="S342" i="31"/>
  <c r="U342" i="31"/>
  <c r="S341" i="31"/>
  <c r="H342" i="31"/>
  <c r="J342" i="31"/>
  <c r="N341" i="31"/>
  <c r="H340" i="31"/>
  <c r="S340" i="31"/>
  <c r="T342" i="31"/>
  <c r="F342" i="31"/>
  <c r="P340" i="31"/>
  <c r="N340" i="31"/>
  <c r="J340" i="31"/>
  <c r="N342" i="31"/>
  <c r="U304" i="31"/>
  <c r="P303" i="31"/>
  <c r="H303" i="31"/>
  <c r="F304" i="31"/>
  <c r="P304" i="31"/>
  <c r="S302" i="31"/>
  <c r="F303" i="31"/>
  <c r="L304" i="31"/>
  <c r="U302" i="31"/>
  <c r="P302" i="31"/>
  <c r="N304" i="31"/>
  <c r="J302" i="31"/>
  <c r="J303" i="31"/>
  <c r="T302" i="31"/>
  <c r="Z264" i="31"/>
  <c r="T266" i="31"/>
  <c r="T264" i="31"/>
  <c r="P264" i="31"/>
  <c r="L265" i="31"/>
  <c r="H266" i="31"/>
  <c r="H264" i="31"/>
  <c r="S266" i="31"/>
  <c r="U265" i="31"/>
  <c r="U266" i="31"/>
  <c r="F266" i="31"/>
  <c r="J266" i="31"/>
  <c r="F265" i="31"/>
  <c r="L266" i="31"/>
  <c r="S264" i="31"/>
  <c r="T265" i="31"/>
  <c r="P266" i="31"/>
  <c r="N264" i="31"/>
  <c r="H265" i="31"/>
  <c r="L264" i="31"/>
  <c r="N265" i="31"/>
  <c r="U264" i="31"/>
  <c r="F264" i="31"/>
  <c r="S265" i="31"/>
  <c r="J264" i="31"/>
  <c r="P265" i="31"/>
  <c r="J265" i="31"/>
  <c r="S228" i="31"/>
  <c r="U228" i="31"/>
  <c r="U227" i="31"/>
  <c r="F228" i="31"/>
  <c r="F226" i="31"/>
  <c r="T195" i="31"/>
  <c r="P196" i="31"/>
  <c r="H195" i="31"/>
  <c r="N195" i="31"/>
  <c r="N196" i="31"/>
  <c r="U194" i="31"/>
  <c r="P195" i="31"/>
  <c r="F196" i="31"/>
  <c r="J195" i="31"/>
  <c r="S195" i="31"/>
  <c r="H196" i="31"/>
  <c r="J194" i="31"/>
  <c r="N194" i="31"/>
  <c r="S196" i="31"/>
  <c r="T194" i="31"/>
  <c r="J196" i="31"/>
  <c r="H194" i="31"/>
  <c r="L196" i="31"/>
  <c r="S194" i="31"/>
  <c r="L194" i="31"/>
  <c r="T196" i="31"/>
  <c r="F195" i="31"/>
  <c r="L195" i="31"/>
  <c r="Z156" i="31"/>
  <c r="U158" i="31"/>
  <c r="T158" i="31"/>
  <c r="P156" i="31"/>
  <c r="F156" i="31"/>
  <c r="N156" i="31"/>
  <c r="J156" i="31"/>
  <c r="S158" i="31"/>
  <c r="T157" i="31"/>
  <c r="U157" i="31"/>
  <c r="F157" i="31"/>
  <c r="H158" i="31"/>
  <c r="L158" i="31"/>
  <c r="N157" i="31"/>
  <c r="S156" i="31"/>
  <c r="S157" i="31"/>
  <c r="P158" i="31"/>
  <c r="J158" i="31"/>
  <c r="J157" i="31"/>
  <c r="L156" i="31"/>
  <c r="H156" i="31"/>
  <c r="P157" i="31"/>
  <c r="L157" i="31"/>
  <c r="H157" i="31"/>
  <c r="U156" i="31"/>
  <c r="N158" i="31"/>
  <c r="Z102" i="31"/>
  <c r="T103" i="31"/>
  <c r="S103" i="31"/>
  <c r="P102" i="31"/>
  <c r="N103" i="31"/>
  <c r="L104" i="31"/>
  <c r="F104" i="31"/>
  <c r="S104" i="31"/>
  <c r="U104" i="31"/>
  <c r="T102" i="31"/>
  <c r="J104" i="31"/>
  <c r="L103" i="31"/>
  <c r="F103" i="31"/>
  <c r="L102" i="31"/>
  <c r="S102" i="31"/>
  <c r="T104" i="31"/>
  <c r="P104" i="31"/>
  <c r="H103" i="31"/>
  <c r="N104" i="31"/>
  <c r="H104" i="31"/>
  <c r="J102" i="31"/>
  <c r="F102" i="31"/>
  <c r="U102" i="31"/>
  <c r="J103" i="31"/>
  <c r="U103" i="31"/>
  <c r="N102" i="31"/>
  <c r="D102" i="31"/>
  <c r="C172" i="31"/>
  <c r="D210" i="31"/>
  <c r="C286" i="31"/>
  <c r="C356" i="31"/>
  <c r="D432" i="31"/>
  <c r="D502" i="31"/>
  <c r="C578" i="31"/>
  <c r="D686" i="31"/>
  <c r="D724" i="31"/>
  <c r="D800" i="31"/>
  <c r="D870" i="31"/>
  <c r="C946" i="31"/>
  <c r="D1022" i="31"/>
  <c r="D1130" i="31"/>
  <c r="C1206" i="31"/>
  <c r="D1276" i="31"/>
  <c r="C1314" i="31"/>
  <c r="AL118" i="31"/>
  <c r="AL264" i="31"/>
  <c r="AL410" i="31"/>
  <c r="AL632" i="31"/>
  <c r="AL854" i="31"/>
  <c r="AL1000" i="31"/>
  <c r="AL1146" i="31"/>
  <c r="AL1298" i="31"/>
  <c r="C80" i="31"/>
  <c r="D118" i="31"/>
  <c r="D156" i="31"/>
  <c r="C194" i="31"/>
  <c r="C226" i="31"/>
  <c r="D264" i="31"/>
  <c r="D302" i="31"/>
  <c r="D340" i="31"/>
  <c r="D378" i="31"/>
  <c r="C410" i="31"/>
  <c r="C448" i="31"/>
  <c r="C486" i="31"/>
  <c r="C524" i="31"/>
  <c r="C562" i="31"/>
  <c r="C594" i="31"/>
  <c r="C632" i="31"/>
  <c r="C670" i="31"/>
  <c r="C708" i="31"/>
  <c r="D746" i="31"/>
  <c r="D778" i="31"/>
  <c r="D816" i="31"/>
  <c r="D854" i="31"/>
  <c r="C892" i="31"/>
  <c r="D930" i="31"/>
  <c r="C962" i="31"/>
  <c r="C1000" i="31"/>
  <c r="D1038" i="31"/>
  <c r="C1076" i="31"/>
  <c r="D1114" i="31"/>
  <c r="C1184" i="31"/>
  <c r="C1222" i="31"/>
  <c r="D1260" i="31"/>
  <c r="C1298" i="31"/>
  <c r="C1330" i="31"/>
  <c r="AL64" i="31"/>
  <c r="AL134" i="31"/>
  <c r="AL210" i="31"/>
  <c r="AL286" i="31"/>
  <c r="AL356" i="31"/>
  <c r="AL432" i="31"/>
  <c r="AL502" i="31"/>
  <c r="AL578" i="31"/>
  <c r="AL654" i="31"/>
  <c r="AL724" i="31"/>
  <c r="AL800" i="31"/>
  <c r="AL870" i="31"/>
  <c r="AL946" i="31"/>
  <c r="AL1022" i="31"/>
  <c r="AL1168" i="31"/>
  <c r="AL1238" i="31"/>
  <c r="AL1314" i="31"/>
  <c r="F65" i="31"/>
  <c r="N65" i="31"/>
  <c r="H66" i="31"/>
  <c r="F64" i="31"/>
  <c r="P65" i="31"/>
  <c r="U66" i="31"/>
  <c r="U65" i="31"/>
  <c r="H118" i="31"/>
  <c r="L120" i="31"/>
  <c r="N119" i="31"/>
  <c r="H119" i="31"/>
  <c r="P119" i="31"/>
  <c r="U120" i="31"/>
  <c r="U118" i="31"/>
  <c r="H172" i="31"/>
  <c r="L174" i="31"/>
  <c r="L173" i="31"/>
  <c r="F172" i="31"/>
  <c r="P173" i="31"/>
  <c r="T173" i="31"/>
  <c r="U172" i="31"/>
  <c r="J227" i="31"/>
  <c r="L228" i="31"/>
  <c r="F227" i="31"/>
  <c r="N226" i="31"/>
  <c r="T228" i="31"/>
  <c r="U226" i="31"/>
  <c r="F287" i="31"/>
  <c r="L286" i="31"/>
  <c r="U288" i="31"/>
  <c r="Z286" i="31"/>
  <c r="L340" i="31"/>
  <c r="F340" i="31"/>
  <c r="T340" i="31"/>
  <c r="L395" i="31"/>
  <c r="H395" i="31"/>
  <c r="U396" i="31"/>
  <c r="Z394" i="31"/>
  <c r="L448" i="31"/>
  <c r="F448" i="31"/>
  <c r="J502" i="31"/>
  <c r="J503" i="31"/>
  <c r="U504" i="31"/>
  <c r="H618" i="31"/>
  <c r="P671" i="31"/>
  <c r="H726" i="31"/>
  <c r="P840" i="31"/>
  <c r="H892" i="31"/>
  <c r="N946" i="31"/>
  <c r="P1056" i="31"/>
  <c r="P1115" i="31"/>
  <c r="U1114" i="31"/>
  <c r="J1170" i="31"/>
  <c r="H1223" i="31"/>
  <c r="S1222" i="31"/>
  <c r="P103" i="31"/>
  <c r="U210" i="31"/>
  <c r="N487" i="31"/>
  <c r="T596" i="31"/>
  <c r="J816" i="31"/>
  <c r="T1038" i="31"/>
  <c r="U1370" i="31"/>
  <c r="T1369" i="31"/>
  <c r="F1369" i="31"/>
  <c r="H1370" i="31"/>
  <c r="P1370" i="31"/>
  <c r="J1369" i="31"/>
  <c r="P1368" i="31"/>
  <c r="Z1368" i="31"/>
  <c r="T1368" i="31"/>
  <c r="S1369" i="31"/>
  <c r="F1368" i="31"/>
  <c r="L1368" i="31"/>
  <c r="L1369" i="31"/>
  <c r="L1370" i="31"/>
  <c r="U1369" i="31"/>
  <c r="N1368" i="31"/>
  <c r="N1370" i="31"/>
  <c r="S1370" i="31"/>
  <c r="U1368" i="31"/>
  <c r="N1369" i="31"/>
  <c r="H1369" i="31"/>
  <c r="P1369" i="31"/>
  <c r="S1368" i="31"/>
  <c r="J1368" i="31"/>
  <c r="T1370" i="31"/>
  <c r="H1368" i="31"/>
  <c r="F1370" i="31"/>
  <c r="S1332" i="31"/>
  <c r="T1332" i="31"/>
  <c r="U1330" i="31"/>
  <c r="P1331" i="31"/>
  <c r="H1330" i="31"/>
  <c r="H1331" i="31"/>
  <c r="L1330" i="31"/>
  <c r="Z1330" i="31"/>
  <c r="U1331" i="31"/>
  <c r="F1331" i="31"/>
  <c r="L1331" i="31"/>
  <c r="J1332" i="31"/>
  <c r="J1330" i="31"/>
  <c r="S1330" i="31"/>
  <c r="T1331" i="31"/>
  <c r="F1330" i="31"/>
  <c r="N1332" i="31"/>
  <c r="P1330" i="31"/>
  <c r="U1332" i="31"/>
  <c r="S1331" i="31"/>
  <c r="N1330" i="31"/>
  <c r="J1331" i="31"/>
  <c r="H1332" i="31"/>
  <c r="S1278" i="31"/>
  <c r="T1278" i="31"/>
  <c r="U1276" i="31"/>
  <c r="P1277" i="31"/>
  <c r="H1276" i="31"/>
  <c r="H1278" i="31"/>
  <c r="L1278" i="31"/>
  <c r="T1276" i="31"/>
  <c r="F1278" i="31"/>
  <c r="P1278" i="31"/>
  <c r="J1276" i="31"/>
  <c r="L1276" i="31"/>
  <c r="Z1276" i="31"/>
  <c r="U1277" i="31"/>
  <c r="F1277" i="31"/>
  <c r="L1277" i="31"/>
  <c r="J1277" i="31"/>
  <c r="J1278" i="31"/>
  <c r="S1276" i="31"/>
  <c r="T1277" i="31"/>
  <c r="F1276" i="31"/>
  <c r="N1278" i="31"/>
  <c r="H1277" i="31"/>
  <c r="T1146" i="31"/>
  <c r="T1147" i="31"/>
  <c r="F1147" i="31"/>
  <c r="J1146" i="31"/>
  <c r="H1147" i="31"/>
  <c r="N1146" i="31"/>
  <c r="H1146" i="31"/>
  <c r="Z1146" i="31"/>
  <c r="S1146" i="31"/>
  <c r="F1148" i="31"/>
  <c r="P1148" i="31"/>
  <c r="P1146" i="31"/>
  <c r="N1147" i="31"/>
  <c r="S1148" i="31"/>
  <c r="U1147" i="31"/>
  <c r="F1146" i="31"/>
  <c r="J1147" i="31"/>
  <c r="H1148" i="31"/>
  <c r="U1146" i="31"/>
  <c r="J1148" i="31"/>
  <c r="U1148" i="31"/>
  <c r="N1148" i="31"/>
  <c r="P1147" i="31"/>
  <c r="T1148" i="31"/>
  <c r="L1147" i="31"/>
  <c r="L1146" i="31"/>
  <c r="S1147" i="31"/>
  <c r="U1094" i="31"/>
  <c r="S1094" i="31"/>
  <c r="F1093" i="31"/>
  <c r="J1092" i="31"/>
  <c r="H1093" i="31"/>
  <c r="N1092" i="31"/>
  <c r="H1092" i="31"/>
  <c r="U1092" i="31"/>
  <c r="T1093" i="31"/>
  <c r="L1093" i="31"/>
  <c r="J1094" i="31"/>
  <c r="L1092" i="31"/>
  <c r="Z1092" i="31"/>
  <c r="S1093" i="31"/>
  <c r="F1094" i="31"/>
  <c r="P1094" i="31"/>
  <c r="P1092" i="31"/>
  <c r="N1093" i="31"/>
  <c r="T1092" i="31"/>
  <c r="N1094" i="31"/>
  <c r="P1093" i="31"/>
  <c r="S1092" i="31"/>
  <c r="J1093" i="31"/>
  <c r="U1093" i="31"/>
  <c r="L1094" i="31"/>
  <c r="T1094" i="31"/>
  <c r="F1092" i="31"/>
  <c r="H1094" i="31"/>
  <c r="U1056" i="31"/>
  <c r="T1054" i="31"/>
  <c r="U1055" i="31"/>
  <c r="N1056" i="31"/>
  <c r="P1054" i="31"/>
  <c r="L1054" i="31"/>
  <c r="J1055" i="31"/>
  <c r="U1054" i="31"/>
  <c r="T1056" i="31"/>
  <c r="F1056" i="31"/>
  <c r="L1055" i="31"/>
  <c r="H1056" i="31"/>
  <c r="N1055" i="31"/>
  <c r="L1056" i="31"/>
  <c r="T1055" i="31"/>
  <c r="S1054" i="31"/>
  <c r="F1055" i="31"/>
  <c r="J1054" i="31"/>
  <c r="N1054" i="31"/>
  <c r="H1054" i="31"/>
  <c r="H1055" i="31"/>
  <c r="U1002" i="31"/>
  <c r="T1000" i="31"/>
  <c r="U1001" i="31"/>
  <c r="N1002" i="31"/>
  <c r="P1000" i="31"/>
  <c r="L1000" i="31"/>
  <c r="J1001" i="31"/>
  <c r="U1000" i="31"/>
  <c r="T1002" i="31"/>
  <c r="F1002" i="31"/>
  <c r="L1001" i="31"/>
  <c r="H1002" i="31"/>
  <c r="N1001" i="31"/>
  <c r="L1002" i="31"/>
  <c r="T1001" i="31"/>
  <c r="S1000" i="31"/>
  <c r="F1001" i="31"/>
  <c r="J1000" i="31"/>
  <c r="N1000" i="31"/>
  <c r="H1000" i="31"/>
  <c r="H1001" i="31"/>
  <c r="U948" i="31"/>
  <c r="T946" i="31"/>
  <c r="U947" i="31"/>
  <c r="F948" i="31"/>
  <c r="N948" i="31"/>
  <c r="H947" i="31"/>
  <c r="P948" i="31"/>
  <c r="U946" i="31"/>
  <c r="T948" i="31"/>
  <c r="L948" i="31"/>
  <c r="P946" i="31"/>
  <c r="J947" i="31"/>
  <c r="F946" i="31"/>
  <c r="N947" i="31"/>
  <c r="T947" i="31"/>
  <c r="S946" i="31"/>
  <c r="L947" i="31"/>
  <c r="P947" i="31"/>
  <c r="H946" i="31"/>
  <c r="H948" i="31"/>
  <c r="J946" i="31"/>
  <c r="U894" i="31"/>
  <c r="T892" i="31"/>
  <c r="U893" i="31"/>
  <c r="H894" i="31"/>
  <c r="P893" i="31"/>
  <c r="P894" i="31"/>
  <c r="H893" i="31"/>
  <c r="U892" i="31"/>
  <c r="T894" i="31"/>
  <c r="L894" i="31"/>
  <c r="F893" i="31"/>
  <c r="J892" i="31"/>
  <c r="J893" i="31"/>
  <c r="J894" i="31"/>
  <c r="T893" i="31"/>
  <c r="S892" i="31"/>
  <c r="L893" i="31"/>
  <c r="F894" i="31"/>
  <c r="N893" i="31"/>
  <c r="F892" i="31"/>
  <c r="P892" i="31"/>
  <c r="U840" i="31"/>
  <c r="T840" i="31"/>
  <c r="S839" i="31"/>
  <c r="J840" i="31"/>
  <c r="P838" i="31"/>
  <c r="J838" i="31"/>
  <c r="J839" i="31"/>
  <c r="U838" i="31"/>
  <c r="S838" i="31"/>
  <c r="N840" i="31"/>
  <c r="H839" i="31"/>
  <c r="F840" i="31"/>
  <c r="L839" i="31"/>
  <c r="L840" i="31"/>
  <c r="T839" i="31"/>
  <c r="S840" i="31"/>
  <c r="N839" i="31"/>
  <c r="F838" i="31"/>
  <c r="L838" i="31"/>
  <c r="H838" i="31"/>
  <c r="F839" i="31"/>
  <c r="U780" i="31"/>
  <c r="S780" i="31"/>
  <c r="T780" i="31"/>
  <c r="J780" i="31"/>
  <c r="P778" i="31"/>
  <c r="J778" i="31"/>
  <c r="J779" i="31"/>
  <c r="U778" i="31"/>
  <c r="S779" i="31"/>
  <c r="N780" i="31"/>
  <c r="H779" i="31"/>
  <c r="F780" i="31"/>
  <c r="L779" i="31"/>
  <c r="L780" i="31"/>
  <c r="T779" i="31"/>
  <c r="T778" i="31"/>
  <c r="N779" i="31"/>
  <c r="F778" i="31"/>
  <c r="L778" i="31"/>
  <c r="H778" i="31"/>
  <c r="F779" i="31"/>
  <c r="U726" i="31"/>
  <c r="S725" i="31"/>
  <c r="S726" i="31"/>
  <c r="J726" i="31"/>
  <c r="P724" i="31"/>
  <c r="J724" i="31"/>
  <c r="J725" i="31"/>
  <c r="U724" i="31"/>
  <c r="T724" i="31"/>
  <c r="N726" i="31"/>
  <c r="H725" i="31"/>
  <c r="F726" i="31"/>
  <c r="L725" i="31"/>
  <c r="L726" i="31"/>
  <c r="U725" i="31"/>
  <c r="S724" i="31"/>
  <c r="N725" i="31"/>
  <c r="F724" i="31"/>
  <c r="L724" i="31"/>
  <c r="H724" i="31"/>
  <c r="F725" i="31"/>
  <c r="U672" i="31"/>
  <c r="T672" i="31"/>
  <c r="T670" i="31"/>
  <c r="J672" i="31"/>
  <c r="P670" i="31"/>
  <c r="J670" i="31"/>
  <c r="J671" i="31"/>
  <c r="U670" i="31"/>
  <c r="S672" i="31"/>
  <c r="N672" i="31"/>
  <c r="H671" i="31"/>
  <c r="F672" i="31"/>
  <c r="L671" i="31"/>
  <c r="L672" i="31"/>
  <c r="U671" i="31"/>
  <c r="T671" i="31"/>
  <c r="N671" i="31"/>
  <c r="F670" i="31"/>
  <c r="L670" i="31"/>
  <c r="H670" i="31"/>
  <c r="F671" i="31"/>
  <c r="U618" i="31"/>
  <c r="S617" i="31"/>
  <c r="S616" i="31"/>
  <c r="N617" i="31"/>
  <c r="J616" i="31"/>
  <c r="J618" i="31"/>
  <c r="F617" i="31"/>
  <c r="U616" i="31"/>
  <c r="T616" i="31"/>
  <c r="P618" i="31"/>
  <c r="L616" i="31"/>
  <c r="L618" i="31"/>
  <c r="H617" i="31"/>
  <c r="F618" i="31"/>
  <c r="U617" i="31"/>
  <c r="S618" i="31"/>
  <c r="P617" i="31"/>
  <c r="N618" i="31"/>
  <c r="J617" i="31"/>
  <c r="F616" i="31"/>
  <c r="N616" i="31"/>
  <c r="S564" i="31"/>
  <c r="U564" i="31"/>
  <c r="S563" i="31"/>
  <c r="L564" i="31"/>
  <c r="N564" i="31"/>
  <c r="P563" i="31"/>
  <c r="L563" i="31"/>
  <c r="S562" i="31"/>
  <c r="T564" i="31"/>
  <c r="F564" i="31"/>
  <c r="H564" i="31"/>
  <c r="H563" i="31"/>
  <c r="L562" i="31"/>
  <c r="H562" i="31"/>
  <c r="U562" i="31"/>
  <c r="U563" i="31"/>
  <c r="F563" i="31"/>
  <c r="P562" i="31"/>
  <c r="J564" i="31"/>
  <c r="N563" i="31"/>
  <c r="P564" i="31"/>
  <c r="S504" i="31"/>
  <c r="T503" i="31"/>
  <c r="T504" i="31"/>
  <c r="H504" i="31"/>
  <c r="L504" i="31"/>
  <c r="P503" i="31"/>
  <c r="P504" i="31"/>
  <c r="S502" i="31"/>
  <c r="S503" i="31"/>
  <c r="F504" i="31"/>
  <c r="P502" i="31"/>
  <c r="H503" i="31"/>
  <c r="L502" i="31"/>
  <c r="L503" i="31"/>
  <c r="S450" i="31"/>
  <c r="U450" i="31"/>
  <c r="S449" i="31"/>
  <c r="H450" i="31"/>
  <c r="J450" i="31"/>
  <c r="N449" i="31"/>
  <c r="H448" i="31"/>
  <c r="S448" i="31"/>
  <c r="T450" i="31"/>
  <c r="F450" i="31"/>
  <c r="P448" i="31"/>
  <c r="N448" i="31"/>
  <c r="J448" i="31"/>
  <c r="N450" i="31"/>
  <c r="Z378" i="31"/>
  <c r="T380" i="31"/>
  <c r="T378" i="31"/>
  <c r="F378" i="31"/>
  <c r="L379" i="31"/>
  <c r="L380" i="31"/>
  <c r="P379" i="31"/>
  <c r="S380" i="31"/>
  <c r="U379" i="31"/>
  <c r="U380" i="31"/>
  <c r="H380" i="31"/>
  <c r="H378" i="31"/>
  <c r="H379" i="31"/>
  <c r="L378" i="31"/>
  <c r="S378" i="31"/>
  <c r="T379" i="31"/>
  <c r="F380" i="31"/>
  <c r="P378" i="31"/>
  <c r="N380" i="31"/>
  <c r="J380" i="31"/>
  <c r="N379" i="31"/>
  <c r="F379" i="31"/>
  <c r="J378" i="31"/>
  <c r="P380" i="31"/>
  <c r="U378" i="31"/>
  <c r="J379" i="31"/>
  <c r="D64" i="31"/>
  <c r="C134" i="31"/>
  <c r="C248" i="31"/>
  <c r="C318" i="31"/>
  <c r="D394" i="31"/>
  <c r="D470" i="31"/>
  <c r="D540" i="31"/>
  <c r="D616" i="31"/>
  <c r="C654" i="31"/>
  <c r="D762" i="31"/>
  <c r="C838" i="31"/>
  <c r="D908" i="31"/>
  <c r="D984" i="31"/>
  <c r="C1054" i="31"/>
  <c r="D1092" i="31"/>
  <c r="C1168" i="31"/>
  <c r="D1352" i="31"/>
  <c r="AL194" i="31"/>
  <c r="AL340" i="31"/>
  <c r="AL486" i="31"/>
  <c r="AL562" i="31"/>
  <c r="AL778" i="31"/>
  <c r="AL930" i="31"/>
  <c r="AL1076" i="31"/>
  <c r="AL1222" i="31"/>
  <c r="AL1368" i="31"/>
  <c r="D80" i="31"/>
  <c r="C118" i="31"/>
  <c r="C156" i="31"/>
  <c r="D194" i="31"/>
  <c r="D226" i="31"/>
  <c r="C264" i="31"/>
  <c r="C302" i="31"/>
  <c r="C340" i="31"/>
  <c r="C378" i="31"/>
  <c r="D410" i="31"/>
  <c r="D448" i="31"/>
  <c r="D486" i="31"/>
  <c r="D524" i="31"/>
  <c r="D562" i="31"/>
  <c r="D594" i="31"/>
  <c r="D632" i="31"/>
  <c r="D670" i="31"/>
  <c r="D708" i="31"/>
  <c r="C746" i="31"/>
  <c r="C778" i="31"/>
  <c r="C816" i="31"/>
  <c r="D892" i="31"/>
  <c r="C930" i="31"/>
  <c r="D962" i="31"/>
  <c r="D1000" i="31"/>
  <c r="C1038" i="31"/>
  <c r="C1114" i="31"/>
  <c r="C1146" i="31"/>
  <c r="D1184" i="31"/>
  <c r="D1222" i="31"/>
  <c r="C1260" i="31"/>
  <c r="D1298" i="31"/>
  <c r="D1330" i="31"/>
  <c r="D1368" i="31"/>
  <c r="AL80" i="31"/>
  <c r="AL156" i="31"/>
  <c r="AL226" i="31"/>
  <c r="AL302" i="31"/>
  <c r="AL378" i="31"/>
  <c r="AL448" i="31"/>
  <c r="AL524" i="31"/>
  <c r="AL594" i="31"/>
  <c r="AL670" i="31"/>
  <c r="AL746" i="31"/>
  <c r="AL816" i="31"/>
  <c r="AL892" i="31"/>
  <c r="AL1038" i="31"/>
  <c r="AL1114" i="31"/>
  <c r="AL1184" i="31"/>
  <c r="AL1260" i="31"/>
  <c r="AL1330" i="31"/>
  <c r="N66" i="31"/>
  <c r="L64" i="31"/>
  <c r="L66" i="31"/>
  <c r="H65" i="31"/>
  <c r="P66" i="31"/>
  <c r="T64" i="31"/>
  <c r="J118" i="31"/>
  <c r="N118" i="31"/>
  <c r="L119" i="31"/>
  <c r="J120" i="31"/>
  <c r="P120" i="31"/>
  <c r="T118" i="31"/>
  <c r="J172" i="31"/>
  <c r="N172" i="31"/>
  <c r="N173" i="31"/>
  <c r="H173" i="31"/>
  <c r="P174" i="31"/>
  <c r="U173" i="31"/>
  <c r="L227" i="31"/>
  <c r="J226" i="31"/>
  <c r="J229" i="31" s="1"/>
  <c r="H228" i="31"/>
  <c r="P226" i="31"/>
  <c r="S227" i="31"/>
  <c r="S226" i="31"/>
  <c r="H288" i="31"/>
  <c r="N287" i="31"/>
  <c r="T286" i="31"/>
  <c r="J341" i="31"/>
  <c r="P341" i="31"/>
  <c r="F341" i="31"/>
  <c r="U340" i="31"/>
  <c r="P396" i="31"/>
  <c r="L396" i="31"/>
  <c r="T394" i="31"/>
  <c r="J449" i="31"/>
  <c r="P449" i="31"/>
  <c r="F449" i="31"/>
  <c r="U448" i="31"/>
  <c r="N503" i="31"/>
  <c r="N504" i="31"/>
  <c r="T502" i="31"/>
  <c r="J562" i="31"/>
  <c r="T563" i="31"/>
  <c r="H616" i="31"/>
  <c r="T617" i="31"/>
  <c r="H672" i="31"/>
  <c r="Z670" i="31"/>
  <c r="N724" i="31"/>
  <c r="P780" i="31"/>
  <c r="S778" i="31"/>
  <c r="P839" i="31"/>
  <c r="T838" i="31"/>
  <c r="N892" i="31"/>
  <c r="Z892" i="31"/>
  <c r="L946" i="31"/>
  <c r="P1002" i="31"/>
  <c r="S1002" i="31"/>
  <c r="P1055" i="31"/>
  <c r="S1055" i="31"/>
  <c r="J1116" i="31"/>
  <c r="Z1114" i="31"/>
  <c r="F1169" i="31"/>
  <c r="H1222" i="31"/>
  <c r="P1276" i="31"/>
  <c r="U1278" i="31"/>
  <c r="F1332" i="31"/>
  <c r="F158" i="31"/>
  <c r="N266" i="31"/>
  <c r="S379" i="31"/>
  <c r="L540" i="31"/>
  <c r="J655" i="31"/>
  <c r="P871" i="31"/>
  <c r="L1148" i="31"/>
  <c r="H135" i="31"/>
  <c r="BE311" i="4"/>
  <c r="BG19" i="4"/>
  <c r="BJ311" i="4" s="1"/>
  <c r="H938" i="31"/>
  <c r="J992" i="31"/>
  <c r="P1046" i="31"/>
  <c r="M31" i="35"/>
  <c r="AJ47" i="27"/>
  <c r="AU45" i="27" s="1"/>
  <c r="AM54" i="27"/>
  <c r="AN47" i="27"/>
  <c r="AU52" i="27" s="1"/>
  <c r="AI57" i="27"/>
  <c r="AL49" i="27"/>
  <c r="AS50" i="27" s="1"/>
  <c r="AI55" i="27"/>
  <c r="AJ45" i="27"/>
  <c r="AS45" i="27" s="1"/>
  <c r="X15" i="30"/>
  <c r="AJ46" i="27"/>
  <c r="AT45" i="27" s="1"/>
  <c r="AM53" i="27"/>
  <c r="AM55" i="27"/>
  <c r="AL48" i="27"/>
  <c r="AS49" i="27" s="1"/>
  <c r="AJ50" i="27"/>
  <c r="F50" i="27"/>
  <c r="O49" i="27" s="1"/>
  <c r="AI58" i="27"/>
  <c r="AM58" i="27"/>
  <c r="AK57" i="27"/>
  <c r="AN50" i="27"/>
  <c r="AK54" i="27"/>
  <c r="AN46" i="27"/>
  <c r="AT52" i="27" s="1"/>
  <c r="AJ48" i="27"/>
  <c r="AS46" i="27" s="1"/>
  <c r="AL50" i="27"/>
  <c r="AT50" i="27" s="1"/>
  <c r="AM57" i="27"/>
  <c r="AN86" i="27"/>
  <c r="AU91" i="27" s="1"/>
  <c r="H126" i="27"/>
  <c r="O131" i="27" s="1"/>
  <c r="F1238" i="31"/>
  <c r="H1238" i="31"/>
  <c r="Z1238" i="31"/>
  <c r="F1184" i="31"/>
  <c r="H1185" i="31"/>
  <c r="P1186" i="31"/>
  <c r="F1131" i="31"/>
  <c r="U1131" i="31"/>
  <c r="H1130" i="31"/>
  <c r="U1078" i="31"/>
  <c r="U1076" i="31"/>
  <c r="H1077" i="31"/>
  <c r="S1022" i="31"/>
  <c r="H1022" i="31"/>
  <c r="P1023" i="31"/>
  <c r="T963" i="31"/>
  <c r="H963" i="31"/>
  <c r="F962" i="31"/>
  <c r="S908" i="31"/>
  <c r="H910" i="31"/>
  <c r="T855" i="31"/>
  <c r="P856" i="31"/>
  <c r="S856" i="31"/>
  <c r="U802" i="31"/>
  <c r="T801" i="31"/>
  <c r="N802" i="31"/>
  <c r="J800" i="31"/>
  <c r="P800" i="31"/>
  <c r="Z800" i="31"/>
  <c r="N801" i="31"/>
  <c r="J801" i="31"/>
  <c r="T800" i="31"/>
  <c r="H801" i="31"/>
  <c r="L802" i="31"/>
  <c r="U746" i="31"/>
  <c r="S746" i="31"/>
  <c r="N748" i="31"/>
  <c r="H747" i="31"/>
  <c r="L747" i="31"/>
  <c r="L748" i="31"/>
  <c r="F748" i="31"/>
  <c r="U747" i="31"/>
  <c r="T748" i="31"/>
  <c r="N747" i="31"/>
  <c r="F746" i="31"/>
  <c r="H746" i="31"/>
  <c r="F747" i="31"/>
  <c r="L746" i="31"/>
  <c r="U687" i="31"/>
  <c r="S687" i="31"/>
  <c r="N687" i="31"/>
  <c r="F686" i="31"/>
  <c r="H686" i="31"/>
  <c r="F687" i="31"/>
  <c r="L686" i="31"/>
  <c r="Z686" i="31"/>
  <c r="T688" i="31"/>
  <c r="T686" i="31"/>
  <c r="N686" i="31"/>
  <c r="P687" i="31"/>
  <c r="P688" i="31"/>
  <c r="H688" i="31"/>
  <c r="Z632" i="31"/>
  <c r="S633" i="31"/>
  <c r="S634" i="31"/>
  <c r="P632" i="31"/>
  <c r="L633" i="31"/>
  <c r="H632" i="31"/>
  <c r="H634" i="31"/>
  <c r="U634" i="31"/>
  <c r="T632" i="31"/>
  <c r="T633" i="31"/>
  <c r="N633" i="31"/>
  <c r="J632" i="31"/>
  <c r="J634" i="31"/>
  <c r="F633" i="31"/>
  <c r="S578" i="31"/>
  <c r="U579" i="31"/>
  <c r="F580" i="31"/>
  <c r="N578" i="31"/>
  <c r="N580" i="31"/>
  <c r="J579" i="31"/>
  <c r="J580" i="31"/>
  <c r="U580" i="31"/>
  <c r="T579" i="31"/>
  <c r="F579" i="31"/>
  <c r="P580" i="31"/>
  <c r="L579" i="31"/>
  <c r="H578" i="31"/>
  <c r="H579" i="31"/>
  <c r="U524" i="31"/>
  <c r="U526" i="31"/>
  <c r="F525" i="31"/>
  <c r="J526" i="31"/>
  <c r="N525" i="31"/>
  <c r="H524" i="31"/>
  <c r="H525" i="31"/>
  <c r="Z524" i="31"/>
  <c r="T525" i="31"/>
  <c r="T526" i="31"/>
  <c r="F524" i="31"/>
  <c r="N524" i="31"/>
  <c r="J524" i="31"/>
  <c r="N526" i="31"/>
  <c r="U470" i="31"/>
  <c r="T471" i="31"/>
  <c r="F471" i="31"/>
  <c r="J472" i="31"/>
  <c r="J470" i="31"/>
  <c r="N472" i="31"/>
  <c r="N470" i="31"/>
  <c r="Z470" i="31"/>
  <c r="U472" i="31"/>
  <c r="S471" i="31"/>
  <c r="F470" i="31"/>
  <c r="P471" i="31"/>
  <c r="P472" i="31"/>
  <c r="J471" i="31"/>
  <c r="Z410" i="31"/>
  <c r="T411" i="31"/>
  <c r="T412" i="31"/>
  <c r="F410" i="31"/>
  <c r="P411" i="31"/>
  <c r="P412" i="31"/>
  <c r="J411" i="31"/>
  <c r="S412" i="31"/>
  <c r="S411" i="31"/>
  <c r="U411" i="31"/>
  <c r="H412" i="31"/>
  <c r="L410" i="31"/>
  <c r="L411" i="31"/>
  <c r="L412" i="31"/>
  <c r="Z356" i="31"/>
  <c r="U358" i="31"/>
  <c r="S357" i="31"/>
  <c r="F356" i="31"/>
  <c r="P357" i="31"/>
  <c r="P358" i="31"/>
  <c r="J357" i="31"/>
  <c r="S358" i="31"/>
  <c r="T358" i="31"/>
  <c r="T356" i="31"/>
  <c r="H358" i="31"/>
  <c r="L356" i="31"/>
  <c r="L357" i="31"/>
  <c r="L358" i="31"/>
  <c r="Z302" i="31"/>
  <c r="T303" i="31"/>
  <c r="T304" i="31"/>
  <c r="F302" i="31"/>
  <c r="L302" i="31"/>
  <c r="L303" i="31"/>
  <c r="J304" i="31"/>
  <c r="S304" i="31"/>
  <c r="S303" i="31"/>
  <c r="U303" i="31"/>
  <c r="H304" i="31"/>
  <c r="N303" i="31"/>
  <c r="H302" i="31"/>
  <c r="N302" i="31"/>
  <c r="Z248" i="31"/>
  <c r="U250" i="31"/>
  <c r="T248" i="31"/>
  <c r="P248" i="31"/>
  <c r="J250" i="31"/>
  <c r="L248" i="31"/>
  <c r="H248" i="31"/>
  <c r="S250" i="31"/>
  <c r="T250" i="31"/>
  <c r="T249" i="31"/>
  <c r="F249" i="31"/>
  <c r="H249" i="31"/>
  <c r="N250" i="31"/>
  <c r="N249" i="31"/>
  <c r="Z194" i="31"/>
  <c r="U195" i="31"/>
  <c r="U196" i="31"/>
  <c r="P194" i="31"/>
  <c r="F194" i="31"/>
  <c r="T18" i="31"/>
  <c r="S18" i="31"/>
  <c r="U35" i="31"/>
  <c r="T35" i="31"/>
  <c r="H35" i="31"/>
  <c r="N34" i="31"/>
  <c r="T15" i="31"/>
  <c r="H14" i="31"/>
  <c r="D14" i="31"/>
  <c r="U14" i="31"/>
  <c r="N14" i="31"/>
  <c r="AL14" i="31"/>
  <c r="L16" i="31"/>
  <c r="L688" i="31"/>
  <c r="H687" i="31"/>
  <c r="T687" i="31"/>
  <c r="H748" i="31"/>
  <c r="P747" i="31"/>
  <c r="S748" i="31"/>
  <c r="Z746" i="31"/>
  <c r="F802" i="31"/>
  <c r="S800" i="31"/>
  <c r="S910" i="31"/>
  <c r="J962" i="31"/>
  <c r="F1076" i="31"/>
  <c r="F18" i="31"/>
  <c r="U885" i="31"/>
  <c r="H884" i="31"/>
  <c r="T772" i="31"/>
  <c r="L772" i="31"/>
  <c r="Q33" i="30"/>
  <c r="T33" i="30" s="1"/>
  <c r="W54" i="27"/>
  <c r="W55" i="27"/>
  <c r="X49" i="27"/>
  <c r="AD53" i="27" s="1"/>
  <c r="X45" i="27"/>
  <c r="AC52" i="27" s="1"/>
  <c r="U58" i="27"/>
  <c r="X50" i="27"/>
  <c r="X46" i="27"/>
  <c r="AD52" i="27" s="1"/>
  <c r="T46" i="27"/>
  <c r="AD45" i="27" s="1"/>
  <c r="AN88" i="27"/>
  <c r="AT92" i="27" s="1"/>
  <c r="AJ89" i="27"/>
  <c r="AU85" i="27" s="1"/>
  <c r="U54" i="27"/>
  <c r="T48" i="27"/>
  <c r="AC46" i="27" s="1"/>
  <c r="T49" i="27"/>
  <c r="AD46" i="27" s="1"/>
  <c r="T45" i="27"/>
  <c r="AC45" i="27" s="1"/>
  <c r="W58" i="27"/>
  <c r="W53" i="27"/>
  <c r="T47" i="27"/>
  <c r="AA47" i="27" s="1"/>
  <c r="W57" i="27"/>
  <c r="V48" i="27"/>
  <c r="AC49" i="27" s="1"/>
  <c r="U55" i="27"/>
  <c r="H12" i="31"/>
  <c r="U12" i="31"/>
  <c r="AL10" i="31"/>
  <c r="F12" i="31"/>
  <c r="Z10" i="31"/>
  <c r="S31" i="31"/>
  <c r="H32" i="31"/>
  <c r="P31" i="31"/>
  <c r="T30" i="31"/>
  <c r="N31" i="31"/>
  <c r="S46" i="31"/>
  <c r="D46" i="31"/>
  <c r="N47" i="31"/>
  <c r="L1323" i="31"/>
  <c r="J1324" i="31"/>
  <c r="T1270" i="31"/>
  <c r="H1270" i="31"/>
  <c r="H1269" i="31"/>
  <c r="U1215" i="31"/>
  <c r="U1214" i="31"/>
  <c r="N1214" i="31"/>
  <c r="S1162" i="31"/>
  <c r="S1161" i="31"/>
  <c r="L1160" i="31"/>
  <c r="U1161" i="31"/>
  <c r="U1100" i="31"/>
  <c r="S1100" i="31"/>
  <c r="P1101" i="31"/>
  <c r="U1101" i="31"/>
  <c r="H1100" i="31"/>
  <c r="S1047" i="31"/>
  <c r="F1048" i="31"/>
  <c r="L1046" i="31"/>
  <c r="U1046" i="31"/>
  <c r="F1046" i="31"/>
  <c r="N1047" i="31"/>
  <c r="T993" i="31"/>
  <c r="S993" i="31"/>
  <c r="H993" i="31"/>
  <c r="H992" i="31"/>
  <c r="U994" i="31"/>
  <c r="T992" i="31"/>
  <c r="P992" i="31"/>
  <c r="U940" i="31"/>
  <c r="T940" i="31"/>
  <c r="L939" i="31"/>
  <c r="H939" i="31"/>
  <c r="S940" i="31"/>
  <c r="P938" i="31"/>
  <c r="P940" i="31"/>
  <c r="S884" i="31"/>
  <c r="U884" i="31"/>
  <c r="S885" i="31"/>
  <c r="P884" i="31"/>
  <c r="P886" i="31"/>
  <c r="T886" i="31"/>
  <c r="L885" i="31"/>
  <c r="N884" i="31"/>
  <c r="J885" i="31"/>
  <c r="U824" i="31"/>
  <c r="S824" i="31"/>
  <c r="N826" i="31"/>
  <c r="F825" i="31"/>
  <c r="H824" i="31"/>
  <c r="U825" i="31"/>
  <c r="N824" i="31"/>
  <c r="F826" i="31"/>
  <c r="P826" i="31"/>
  <c r="U772" i="31"/>
  <c r="S770" i="31"/>
  <c r="N771" i="31"/>
  <c r="P770" i="31"/>
  <c r="H770" i="31"/>
  <c r="T770" i="31"/>
  <c r="J772" i="31"/>
  <c r="F772" i="31"/>
  <c r="J771" i="31"/>
  <c r="T716" i="31"/>
  <c r="T718" i="31"/>
  <c r="J718" i="31"/>
  <c r="P716" i="31"/>
  <c r="L717" i="31"/>
  <c r="U717" i="31"/>
  <c r="S718" i="31"/>
  <c r="F716" i="31"/>
  <c r="F718" i="31"/>
  <c r="H716" i="31"/>
  <c r="U664" i="31"/>
  <c r="U663" i="31"/>
  <c r="P662" i="31"/>
  <c r="J662" i="31"/>
  <c r="F662" i="31"/>
  <c r="T662" i="31"/>
  <c r="T663" i="31"/>
  <c r="N663" i="31"/>
  <c r="J663" i="31"/>
  <c r="H664" i="31"/>
  <c r="Z608" i="31"/>
  <c r="T609" i="31"/>
  <c r="P609" i="31"/>
  <c r="L609" i="31"/>
  <c r="J610" i="31"/>
  <c r="N608" i="31"/>
  <c r="U610" i="31"/>
  <c r="S610" i="31"/>
  <c r="P608" i="31"/>
  <c r="J608" i="31"/>
  <c r="F608" i="31"/>
  <c r="Z548" i="31"/>
  <c r="T548" i="31"/>
  <c r="F549" i="31"/>
  <c r="L549" i="31"/>
  <c r="H549" i="31"/>
  <c r="J548" i="31"/>
  <c r="T496" i="31"/>
  <c r="U496" i="31"/>
  <c r="P496" i="31"/>
  <c r="L496" i="31"/>
  <c r="L494" i="31"/>
  <c r="U441" i="31"/>
  <c r="T441" i="31"/>
  <c r="H442" i="31"/>
  <c r="L442" i="31"/>
  <c r="P441" i="31"/>
  <c r="P442" i="31"/>
  <c r="L826" i="31"/>
  <c r="U826" i="31"/>
  <c r="F885" i="31"/>
  <c r="Z884" i="31"/>
  <c r="J938" i="31"/>
  <c r="L940" i="31"/>
  <c r="F992" i="31"/>
  <c r="S1046" i="31"/>
  <c r="T1161" i="31"/>
  <c r="L1215" i="31"/>
  <c r="U1269" i="31"/>
  <c r="S1323" i="31"/>
  <c r="W92" i="27"/>
  <c r="D18" i="31"/>
  <c r="L15" i="31"/>
  <c r="H36" i="31"/>
  <c r="S35" i="31"/>
  <c r="P18" i="31"/>
  <c r="B32" i="35"/>
  <c r="V87" i="27"/>
  <c r="AC88" i="27" s="1"/>
  <c r="N15" i="31"/>
  <c r="L34" i="31"/>
  <c r="S14" i="31"/>
  <c r="P19" i="31"/>
  <c r="C93" i="27"/>
  <c r="BG16" i="4"/>
  <c r="BJ314" i="4" s="1"/>
  <c r="P20" i="31"/>
  <c r="T19" i="31"/>
  <c r="D7" i="27"/>
  <c r="O5" i="27" s="1"/>
  <c r="Y16" i="30"/>
  <c r="AA17" i="30"/>
  <c r="T86" i="27"/>
  <c r="AE84" i="27" s="1"/>
  <c r="E97" i="27"/>
  <c r="AL6" i="27"/>
  <c r="AT8" i="27" s="1"/>
  <c r="V84" i="27"/>
  <c r="AC87" i="27" s="1"/>
  <c r="F84" i="27"/>
  <c r="M87" i="27" s="1"/>
  <c r="J770" i="31"/>
  <c r="F771" i="31"/>
  <c r="N770" i="31"/>
  <c r="S772" i="31"/>
  <c r="L825" i="31"/>
  <c r="H826" i="31"/>
  <c r="J826" i="31"/>
  <c r="T824" i="31"/>
  <c r="P855" i="31"/>
  <c r="N886" i="31"/>
  <c r="J884" i="31"/>
  <c r="J886" i="31"/>
  <c r="L886" i="31"/>
  <c r="N909" i="31"/>
  <c r="S909" i="31"/>
  <c r="F938" i="31"/>
  <c r="P939" i="31"/>
  <c r="T938" i="31"/>
  <c r="Z962" i="31"/>
  <c r="H994" i="31"/>
  <c r="N994" i="31"/>
  <c r="N1022" i="31"/>
  <c r="P1048" i="31"/>
  <c r="J1048" i="31"/>
  <c r="J1078" i="31"/>
  <c r="Z1076" i="31"/>
  <c r="L1101" i="31"/>
  <c r="N1161" i="31"/>
  <c r="F1160" i="31"/>
  <c r="J1215" i="31"/>
  <c r="L1270" i="31"/>
  <c r="L14" i="31"/>
  <c r="P15" i="31"/>
  <c r="J34" i="31"/>
  <c r="L36" i="31"/>
  <c r="Z34" i="31"/>
  <c r="J19" i="31"/>
  <c r="L19" i="31"/>
  <c r="U19" i="31"/>
  <c r="Y12" i="30"/>
  <c r="AI16" i="27"/>
  <c r="AJ5" i="27"/>
  <c r="AS5" i="27" s="1"/>
  <c r="AJ10" i="27"/>
  <c r="AU6" i="27" s="1"/>
  <c r="D89" i="27"/>
  <c r="O85" i="27" s="1"/>
  <c r="E15" i="27"/>
  <c r="U94" i="27"/>
  <c r="W96" i="27"/>
  <c r="AK13" i="27"/>
  <c r="S97" i="27"/>
  <c r="AN5" i="27"/>
  <c r="AS12" i="27" s="1"/>
  <c r="AJ6" i="27"/>
  <c r="AT5" i="27" s="1"/>
  <c r="AJ7" i="27"/>
  <c r="AU5" i="27" s="1"/>
  <c r="AN8" i="27"/>
  <c r="AS13" i="27" s="1"/>
  <c r="S1373" i="31"/>
  <c r="U1372" i="31"/>
  <c r="S1372" i="31"/>
  <c r="L1374" i="31"/>
  <c r="L1372" i="31"/>
  <c r="L1373" i="31"/>
  <c r="P1372" i="31"/>
  <c r="S1374" i="31"/>
  <c r="U1374" i="31"/>
  <c r="F1374" i="31"/>
  <c r="J1373" i="31"/>
  <c r="N1373" i="31"/>
  <c r="N1374" i="31"/>
  <c r="H1374" i="31"/>
  <c r="U1373" i="31"/>
  <c r="T1372" i="31"/>
  <c r="F1373" i="31"/>
  <c r="H1372" i="31"/>
  <c r="J1372" i="31"/>
  <c r="H1373" i="31"/>
  <c r="N1372" i="31"/>
  <c r="T1373" i="31"/>
  <c r="P1374" i="31"/>
  <c r="T1374" i="31"/>
  <c r="J1374" i="31"/>
  <c r="F1372" i="31"/>
  <c r="Z1372" i="31"/>
  <c r="P1373" i="31"/>
  <c r="D1372" i="31"/>
  <c r="Z1356" i="31"/>
  <c r="T1357" i="31"/>
  <c r="T1358" i="31"/>
  <c r="F1356" i="31"/>
  <c r="J1358" i="31"/>
  <c r="P1357" i="31"/>
  <c r="P1358" i="31"/>
  <c r="S1357" i="31"/>
  <c r="U1356" i="31"/>
  <c r="S1356" i="31"/>
  <c r="L1358" i="31"/>
  <c r="P1356" i="31"/>
  <c r="L1356" i="31"/>
  <c r="L1357" i="31"/>
  <c r="S1358" i="31"/>
  <c r="U1358" i="31"/>
  <c r="F1358" i="31"/>
  <c r="J1357" i="31"/>
  <c r="H1358" i="31"/>
  <c r="N1357" i="31"/>
  <c r="N1358" i="31"/>
  <c r="H1356" i="31"/>
  <c r="AL1356" i="31"/>
  <c r="U1357" i="31"/>
  <c r="N1356" i="31"/>
  <c r="T1356" i="31"/>
  <c r="J1356" i="31"/>
  <c r="S1335" i="31"/>
  <c r="U1334" i="31"/>
  <c r="S1334" i="31"/>
  <c r="L1336" i="31"/>
  <c r="L1335" i="31"/>
  <c r="P1334" i="31"/>
  <c r="L1334" i="31"/>
  <c r="S1336" i="31"/>
  <c r="U1336" i="31"/>
  <c r="F1336" i="31"/>
  <c r="J1335" i="31"/>
  <c r="N1336" i="31"/>
  <c r="H1336" i="31"/>
  <c r="N1335" i="31"/>
  <c r="U1335" i="31"/>
  <c r="T1334" i="31"/>
  <c r="F1335" i="31"/>
  <c r="H1334" i="31"/>
  <c r="H1335" i="31"/>
  <c r="N1334" i="31"/>
  <c r="J1334" i="31"/>
  <c r="T1336" i="31"/>
  <c r="P1335" i="31"/>
  <c r="F1334" i="31"/>
  <c r="Z1334" i="31"/>
  <c r="P1336" i="31"/>
  <c r="J1336" i="31"/>
  <c r="AL1334" i="31"/>
  <c r="D1334" i="31"/>
  <c r="S1319" i="31"/>
  <c r="S1320" i="31"/>
  <c r="T1318" i="31"/>
  <c r="F1318" i="31"/>
  <c r="N1319" i="31"/>
  <c r="H1319" i="31"/>
  <c r="U1319" i="31"/>
  <c r="F1320" i="31"/>
  <c r="P1319" i="31"/>
  <c r="J1320" i="31"/>
  <c r="U1320" i="31"/>
  <c r="J1319" i="31"/>
  <c r="P1320" i="31"/>
  <c r="N1318" i="31"/>
  <c r="T1319" i="31"/>
  <c r="J1318" i="31"/>
  <c r="T1320" i="31"/>
  <c r="N1320" i="31"/>
  <c r="F1319" i="31"/>
  <c r="H1320" i="31"/>
  <c r="H1318" i="31"/>
  <c r="AL1318" i="31"/>
  <c r="Z1302" i="31"/>
  <c r="T1303" i="31"/>
  <c r="T1304" i="31"/>
  <c r="F1302" i="31"/>
  <c r="J1304" i="31"/>
  <c r="P1303" i="31"/>
  <c r="P1304" i="31"/>
  <c r="S1303" i="31"/>
  <c r="U1302" i="31"/>
  <c r="S1302" i="31"/>
  <c r="L1304" i="31"/>
  <c r="P1302" i="31"/>
  <c r="L1302" i="31"/>
  <c r="L1303" i="31"/>
  <c r="S1304" i="31"/>
  <c r="U1304" i="31"/>
  <c r="F1304" i="31"/>
  <c r="J1303" i="31"/>
  <c r="H1304" i="31"/>
  <c r="N1303" i="31"/>
  <c r="N1304" i="31"/>
  <c r="U1303" i="31"/>
  <c r="N1302" i="31"/>
  <c r="T1302" i="31"/>
  <c r="J1302" i="31"/>
  <c r="F1303" i="31"/>
  <c r="H1303" i="31"/>
  <c r="C1302" i="31"/>
  <c r="S1281" i="31"/>
  <c r="U1280" i="31"/>
  <c r="S1280" i="31"/>
  <c r="L1282" i="31"/>
  <c r="L1281" i="31"/>
  <c r="N1280" i="31"/>
  <c r="P1281" i="31"/>
  <c r="S1282" i="31"/>
  <c r="U1282" i="31"/>
  <c r="F1282" i="31"/>
  <c r="J1281" i="31"/>
  <c r="N1282" i="31"/>
  <c r="N1281" i="31"/>
  <c r="P1280" i="31"/>
  <c r="U1281" i="31"/>
  <c r="T1280" i="31"/>
  <c r="F1281" i="31"/>
  <c r="H1280" i="31"/>
  <c r="H1281" i="31"/>
  <c r="J1280" i="31"/>
  <c r="L1280" i="31"/>
  <c r="F1280" i="31"/>
  <c r="Z1280" i="31"/>
  <c r="P1282" i="31"/>
  <c r="T1281" i="31"/>
  <c r="H1282" i="31"/>
  <c r="AL1280" i="31"/>
  <c r="T1282" i="31"/>
  <c r="J1282" i="31"/>
  <c r="S1265" i="31"/>
  <c r="U1265" i="31"/>
  <c r="T1266" i="31"/>
  <c r="J1265" i="31"/>
  <c r="N1264" i="31"/>
  <c r="P1266" i="31"/>
  <c r="Z1264" i="31"/>
  <c r="U1266" i="31"/>
  <c r="F1265" i="31"/>
  <c r="P1265" i="31"/>
  <c r="L1265" i="31"/>
  <c r="J1264" i="31"/>
  <c r="T1264" i="31"/>
  <c r="H1266" i="31"/>
  <c r="F1266" i="31"/>
  <c r="J1266" i="31"/>
  <c r="S1266" i="31"/>
  <c r="F1264" i="31"/>
  <c r="H1265" i="31"/>
  <c r="T1265" i="31"/>
  <c r="H1264" i="31"/>
  <c r="N1266" i="31"/>
  <c r="AL1264" i="31"/>
  <c r="D1264" i="31"/>
  <c r="Z1242" i="31"/>
  <c r="T1243" i="31"/>
  <c r="T1244" i="31"/>
  <c r="F1242" i="31"/>
  <c r="N1244" i="31"/>
  <c r="H1244" i="31"/>
  <c r="N1243" i="31"/>
  <c r="S1243" i="31"/>
  <c r="U1242" i="31"/>
  <c r="S1242" i="31"/>
  <c r="L1244" i="31"/>
  <c r="H1243" i="31"/>
  <c r="L1242" i="31"/>
  <c r="L1243" i="31"/>
  <c r="S1244" i="31"/>
  <c r="U1244" i="31"/>
  <c r="F1244" i="31"/>
  <c r="J1243" i="31"/>
  <c r="J1244" i="31"/>
  <c r="P1243" i="31"/>
  <c r="P1244" i="31"/>
  <c r="T1242" i="31"/>
  <c r="J1242" i="31"/>
  <c r="F1243" i="31"/>
  <c r="P1242" i="31"/>
  <c r="H1242" i="31"/>
  <c r="AL1242" i="31"/>
  <c r="S1227" i="31"/>
  <c r="U1226" i="31"/>
  <c r="S1226" i="31"/>
  <c r="L1228" i="31"/>
  <c r="J1226" i="31"/>
  <c r="L1226" i="31"/>
  <c r="H1227" i="31"/>
  <c r="S1228" i="31"/>
  <c r="U1228" i="31"/>
  <c r="F1228" i="31"/>
  <c r="J1227" i="31"/>
  <c r="J1228" i="31"/>
  <c r="P1227" i="31"/>
  <c r="N1228" i="31"/>
  <c r="U1227" i="31"/>
  <c r="T1226" i="31"/>
  <c r="F1227" i="31"/>
  <c r="H1226" i="31"/>
  <c r="N1226" i="31"/>
  <c r="L1227" i="31"/>
  <c r="P1226" i="31"/>
  <c r="Z1226" i="31"/>
  <c r="N1227" i="31"/>
  <c r="T1227" i="31"/>
  <c r="H1228" i="31"/>
  <c r="T1228" i="31"/>
  <c r="P1228" i="31"/>
  <c r="D1226" i="31"/>
  <c r="S1211" i="31"/>
  <c r="T1211" i="31"/>
  <c r="F1212" i="31"/>
  <c r="H1210" i="31"/>
  <c r="P1211" i="31"/>
  <c r="N1212" i="31"/>
  <c r="S1212" i="31"/>
  <c r="T1210" i="31"/>
  <c r="F1210" i="31"/>
  <c r="J1212" i="31"/>
  <c r="L1211" i="31"/>
  <c r="U1212" i="31"/>
  <c r="H1212" i="31"/>
  <c r="P1210" i="31"/>
  <c r="T1212" i="31"/>
  <c r="L1210" i="31"/>
  <c r="Z1210" i="31"/>
  <c r="F1211" i="31"/>
  <c r="N1211" i="31"/>
  <c r="U1211" i="31"/>
  <c r="J1211" i="31"/>
  <c r="P1212" i="31"/>
  <c r="AL1210" i="31"/>
  <c r="Z1188" i="31"/>
  <c r="T1189" i="31"/>
  <c r="T1190" i="31"/>
  <c r="F1188" i="31"/>
  <c r="N1190" i="31"/>
  <c r="P1189" i="31"/>
  <c r="P1190" i="31"/>
  <c r="S1189" i="31"/>
  <c r="U1188" i="31"/>
  <c r="S1188" i="31"/>
  <c r="L1190" i="31"/>
  <c r="H1189" i="31"/>
  <c r="J1188" i="31"/>
  <c r="P1188" i="31"/>
  <c r="U1190" i="31"/>
  <c r="J1189" i="31"/>
  <c r="N1189" i="31"/>
  <c r="T1188" i="31"/>
  <c r="H1188" i="31"/>
  <c r="L1189" i="31"/>
  <c r="AL1188" i="31"/>
  <c r="S1190" i="31"/>
  <c r="F1190" i="31"/>
  <c r="H1190" i="31"/>
  <c r="J1190" i="31"/>
  <c r="D1188" i="31"/>
  <c r="S1173" i="31"/>
  <c r="U1172" i="31"/>
  <c r="S1172" i="31"/>
  <c r="H1174" i="31"/>
  <c r="P1173" i="31"/>
  <c r="P1174" i="31"/>
  <c r="J1173" i="31"/>
  <c r="S1174" i="31"/>
  <c r="U1174" i="31"/>
  <c r="F1174" i="31"/>
  <c r="P1172" i="31"/>
  <c r="L1172" i="31"/>
  <c r="L1173" i="31"/>
  <c r="L1174" i="31"/>
  <c r="U1173" i="31"/>
  <c r="T1172" i="31"/>
  <c r="F1173" i="31"/>
  <c r="J1174" i="31"/>
  <c r="N1173" i="31"/>
  <c r="H1172" i="31"/>
  <c r="H1173" i="31"/>
  <c r="T1173" i="31"/>
  <c r="J1172" i="31"/>
  <c r="T1174" i="31"/>
  <c r="N1174" i="31"/>
  <c r="F1172" i="31"/>
  <c r="Z1172" i="31"/>
  <c r="N1172" i="31"/>
  <c r="AL1172" i="31"/>
  <c r="S1151" i="31"/>
  <c r="Z1150" i="31"/>
  <c r="U1152" i="31"/>
  <c r="F1151" i="31"/>
  <c r="J1151" i="31"/>
  <c r="L1150" i="31"/>
  <c r="H1150" i="31"/>
  <c r="U1151" i="31"/>
  <c r="T1152" i="31"/>
  <c r="P1150" i="31"/>
  <c r="J1152" i="31"/>
  <c r="J1150" i="31"/>
  <c r="T1151" i="31"/>
  <c r="N1152" i="31"/>
  <c r="L1151" i="31"/>
  <c r="T1150" i="31"/>
  <c r="H1151" i="31"/>
  <c r="F1152" i="31"/>
  <c r="N1150" i="31"/>
  <c r="N1151" i="31"/>
  <c r="S1152" i="31"/>
  <c r="F1150" i="31"/>
  <c r="D1150" i="31"/>
  <c r="Z1134" i="31"/>
  <c r="T1134" i="31"/>
  <c r="S1136" i="31"/>
  <c r="F1134" i="31"/>
  <c r="J1134" i="31"/>
  <c r="N1136" i="31"/>
  <c r="J1136" i="31"/>
  <c r="T1135" i="31"/>
  <c r="U1136" i="31"/>
  <c r="S1135" i="31"/>
  <c r="H1136" i="31"/>
  <c r="P1136" i="31"/>
  <c r="J1135" i="31"/>
  <c r="N1134" i="31"/>
  <c r="U1135" i="31"/>
  <c r="F1136" i="31"/>
  <c r="L1135" i="31"/>
  <c r="P1135" i="31"/>
  <c r="AL1134" i="31"/>
  <c r="U1134" i="31"/>
  <c r="F1135" i="31"/>
  <c r="H1134" i="31"/>
  <c r="L1134" i="31"/>
  <c r="S1134" i="31"/>
  <c r="P1134" i="31"/>
  <c r="L1136" i="31"/>
  <c r="T1119" i="31"/>
  <c r="U1120" i="31"/>
  <c r="S1119" i="31"/>
  <c r="H1120" i="31"/>
  <c r="P1119" i="31"/>
  <c r="P1120" i="31"/>
  <c r="J1119" i="31"/>
  <c r="U1119" i="31"/>
  <c r="S1118" i="31"/>
  <c r="F1120" i="31"/>
  <c r="P1118" i="31"/>
  <c r="L1118" i="31"/>
  <c r="L1119" i="31"/>
  <c r="L1120" i="31"/>
  <c r="U1118" i="31"/>
  <c r="T1120" i="31"/>
  <c r="F1119" i="31"/>
  <c r="J1120" i="31"/>
  <c r="N1119" i="31"/>
  <c r="H1118" i="31"/>
  <c r="H1119" i="31"/>
  <c r="S1120" i="31"/>
  <c r="N1120" i="31"/>
  <c r="F1118" i="31"/>
  <c r="Z1118" i="31"/>
  <c r="N1118" i="31"/>
  <c r="AL1118" i="31"/>
  <c r="T1118" i="31"/>
  <c r="D1118" i="31"/>
  <c r="Z1096" i="31"/>
  <c r="T1096" i="31"/>
  <c r="S1098" i="31"/>
  <c r="F1096" i="31"/>
  <c r="J1097" i="31"/>
  <c r="N1096" i="31"/>
  <c r="J1096" i="31"/>
  <c r="U1097" i="31"/>
  <c r="S1096" i="31"/>
  <c r="F1098" i="31"/>
  <c r="P1096" i="31"/>
  <c r="H1097" i="31"/>
  <c r="L1096" i="31"/>
  <c r="L1097" i="31"/>
  <c r="T1097" i="31"/>
  <c r="S1097" i="31"/>
  <c r="L1098" i="31"/>
  <c r="P1098" i="31"/>
  <c r="U1096" i="31"/>
  <c r="F1097" i="31"/>
  <c r="J1098" i="31"/>
  <c r="H1096" i="31"/>
  <c r="U1098" i="31"/>
  <c r="H1098" i="31"/>
  <c r="P1097" i="31"/>
  <c r="T1098" i="31"/>
  <c r="N1098" i="31"/>
  <c r="N1097" i="31"/>
  <c r="AL1096" i="31"/>
  <c r="Z1080" i="31"/>
  <c r="T1080" i="31"/>
  <c r="S1082" i="31"/>
  <c r="F1080" i="31"/>
  <c r="J1080" i="31"/>
  <c r="N1082" i="31"/>
  <c r="J1082" i="31"/>
  <c r="T1081" i="31"/>
  <c r="U1082" i="31"/>
  <c r="S1081" i="31"/>
  <c r="H1082" i="31"/>
  <c r="P1082" i="31"/>
  <c r="J1081" i="31"/>
  <c r="N1080" i="31"/>
  <c r="S1080" i="31"/>
  <c r="P1080" i="31"/>
  <c r="L1082" i="31"/>
  <c r="T1082" i="31"/>
  <c r="N1081" i="31"/>
  <c r="H1081" i="31"/>
  <c r="U1081" i="31"/>
  <c r="F1082" i="31"/>
  <c r="L1081" i="31"/>
  <c r="P1081" i="31"/>
  <c r="D1080" i="31"/>
  <c r="T1059" i="31"/>
  <c r="U1060" i="31"/>
  <c r="S1059" i="31"/>
  <c r="H1060" i="31"/>
  <c r="P1059" i="31"/>
  <c r="P1060" i="31"/>
  <c r="J1059" i="31"/>
  <c r="U1059" i="31"/>
  <c r="S1058" i="31"/>
  <c r="F1060" i="31"/>
  <c r="P1058" i="31"/>
  <c r="L1058" i="31"/>
  <c r="L1059" i="31"/>
  <c r="L1060" i="31"/>
  <c r="U1058" i="31"/>
  <c r="T1060" i="31"/>
  <c r="F1059" i="31"/>
  <c r="J1060" i="31"/>
  <c r="N1059" i="31"/>
  <c r="H1058" i="31"/>
  <c r="H1059" i="31"/>
  <c r="F1058" i="31"/>
  <c r="Z1058" i="31"/>
  <c r="N1058" i="31"/>
  <c r="T1058" i="31"/>
  <c r="J1058" i="31"/>
  <c r="S1060" i="31"/>
  <c r="AL1058" i="31"/>
  <c r="N1060" i="31"/>
  <c r="U1042" i="31"/>
  <c r="S1042" i="31"/>
  <c r="F1044" i="31"/>
  <c r="P1042" i="31"/>
  <c r="H1043" i="31"/>
  <c r="L1042" i="31"/>
  <c r="L1043" i="31"/>
  <c r="Z1042" i="31"/>
  <c r="T1042" i="31"/>
  <c r="T1043" i="31"/>
  <c r="F1042" i="31"/>
  <c r="J1043" i="31"/>
  <c r="N1042" i="31"/>
  <c r="J1042" i="31"/>
  <c r="U1043" i="31"/>
  <c r="S1043" i="31"/>
  <c r="L1044" i="31"/>
  <c r="P1044" i="31"/>
  <c r="U1044" i="31"/>
  <c r="F1043" i="31"/>
  <c r="J1044" i="31"/>
  <c r="H1042" i="31"/>
  <c r="T1044" i="31"/>
  <c r="H1044" i="31"/>
  <c r="P1043" i="31"/>
  <c r="S1044" i="31"/>
  <c r="N1044" i="31"/>
  <c r="N1043" i="31"/>
  <c r="AL1042" i="31"/>
  <c r="C1042" i="31"/>
  <c r="Z1026" i="31"/>
  <c r="T1026" i="31"/>
  <c r="T1027" i="31"/>
  <c r="F1026" i="31"/>
  <c r="J1026" i="31"/>
  <c r="N1028" i="31"/>
  <c r="J1028" i="31"/>
  <c r="U1027" i="31"/>
  <c r="T1028" i="31"/>
  <c r="S1027" i="31"/>
  <c r="H1028" i="31"/>
  <c r="P1028" i="31"/>
  <c r="J1027" i="31"/>
  <c r="N1026" i="31"/>
  <c r="N1029" i="31" s="1"/>
  <c r="U1026" i="31"/>
  <c r="F1028" i="31"/>
  <c r="L1027" i="31"/>
  <c r="P1027" i="31"/>
  <c r="U1028" i="31"/>
  <c r="F1027" i="31"/>
  <c r="H1026" i="31"/>
  <c r="L1026" i="31"/>
  <c r="S1026" i="31"/>
  <c r="P1026" i="31"/>
  <c r="L1028" i="31"/>
  <c r="AL1026" i="31"/>
  <c r="U1005" i="31"/>
  <c r="T1006" i="31"/>
  <c r="S1005" i="31"/>
  <c r="H1006" i="31"/>
  <c r="P1005" i="31"/>
  <c r="P1006" i="31"/>
  <c r="J1005" i="31"/>
  <c r="U1004" i="31"/>
  <c r="S1004" i="31"/>
  <c r="F1006" i="31"/>
  <c r="P1004" i="31"/>
  <c r="L1004" i="31"/>
  <c r="L1005" i="31"/>
  <c r="L1006" i="31"/>
  <c r="U1006" i="31"/>
  <c r="S1006" i="31"/>
  <c r="F1005" i="31"/>
  <c r="J1006" i="31"/>
  <c r="N1005" i="31"/>
  <c r="H1004" i="31"/>
  <c r="H1005" i="31"/>
  <c r="Z1004" i="31"/>
  <c r="N1004" i="31"/>
  <c r="T1004" i="31"/>
  <c r="J1004" i="31"/>
  <c r="T1005" i="31"/>
  <c r="N1006" i="31"/>
  <c r="F1004" i="31"/>
  <c r="D1004" i="31"/>
  <c r="U990" i="31"/>
  <c r="S990" i="31"/>
  <c r="F989" i="31"/>
  <c r="N990" i="31"/>
  <c r="J990" i="31"/>
  <c r="N989" i="31"/>
  <c r="H988" i="31"/>
  <c r="U989" i="31"/>
  <c r="T990" i="31"/>
  <c r="S989" i="31"/>
  <c r="H990" i="31"/>
  <c r="L990" i="31"/>
  <c r="P989" i="31"/>
  <c r="P990" i="31"/>
  <c r="S988" i="31"/>
  <c r="P988" i="31"/>
  <c r="L988" i="31"/>
  <c r="Z988" i="31"/>
  <c r="T989" i="31"/>
  <c r="J989" i="31"/>
  <c r="J988" i="31"/>
  <c r="U988" i="31"/>
  <c r="F990" i="31"/>
  <c r="H989" i="31"/>
  <c r="L989" i="31"/>
  <c r="F988" i="31"/>
  <c r="N988" i="31"/>
  <c r="T988" i="31"/>
  <c r="AL988" i="31"/>
  <c r="Z966" i="31"/>
  <c r="T966" i="31"/>
  <c r="T967" i="31"/>
  <c r="F966" i="31"/>
  <c r="J966" i="31"/>
  <c r="N968" i="31"/>
  <c r="J968" i="31"/>
  <c r="U967" i="31"/>
  <c r="T968" i="31"/>
  <c r="S967" i="31"/>
  <c r="H968" i="31"/>
  <c r="P968" i="31"/>
  <c r="J967" i="31"/>
  <c r="N966" i="31"/>
  <c r="S966" i="31"/>
  <c r="P966" i="31"/>
  <c r="L968" i="31"/>
  <c r="S968" i="31"/>
  <c r="N967" i="31"/>
  <c r="H967" i="31"/>
  <c r="AL966" i="31"/>
  <c r="U966" i="31"/>
  <c r="F968" i="31"/>
  <c r="L967" i="31"/>
  <c r="P967" i="31"/>
  <c r="D966" i="31"/>
  <c r="U951" i="31"/>
  <c r="T952" i="31"/>
  <c r="S951" i="31"/>
  <c r="N952" i="31"/>
  <c r="H951" i="31"/>
  <c r="P951" i="31"/>
  <c r="J950" i="31"/>
  <c r="U950" i="31"/>
  <c r="S950" i="31"/>
  <c r="L952" i="31"/>
  <c r="J951" i="31"/>
  <c r="F950" i="31"/>
  <c r="N950" i="31"/>
  <c r="F951" i="31"/>
  <c r="U952" i="31"/>
  <c r="S952" i="31"/>
  <c r="L951" i="31"/>
  <c r="H950" i="31"/>
  <c r="F952" i="31"/>
  <c r="P952" i="31"/>
  <c r="H952" i="31"/>
  <c r="T950" i="31"/>
  <c r="P950" i="31"/>
  <c r="T951" i="31"/>
  <c r="N951" i="31"/>
  <c r="L950" i="31"/>
  <c r="J952" i="31"/>
  <c r="AL950" i="31"/>
  <c r="U935" i="31"/>
  <c r="T936" i="31"/>
  <c r="S935" i="31"/>
  <c r="N936" i="31"/>
  <c r="H935" i="31"/>
  <c r="P935" i="31"/>
  <c r="J934" i="31"/>
  <c r="U936" i="31"/>
  <c r="S936" i="31"/>
  <c r="L935" i="31"/>
  <c r="H934" i="31"/>
  <c r="F936" i="31"/>
  <c r="P936" i="31"/>
  <c r="F935" i="31"/>
  <c r="S934" i="31"/>
  <c r="J935" i="31"/>
  <c r="N934" i="31"/>
  <c r="Z934" i="31"/>
  <c r="T935" i="31"/>
  <c r="J936" i="31"/>
  <c r="N935" i="31"/>
  <c r="U934" i="31"/>
  <c r="L936" i="31"/>
  <c r="F934" i="31"/>
  <c r="H936" i="31"/>
  <c r="T934" i="31"/>
  <c r="L934" i="31"/>
  <c r="P934" i="31"/>
  <c r="C934" i="31"/>
  <c r="Z912" i="31"/>
  <c r="T912" i="31"/>
  <c r="T913" i="31"/>
  <c r="U913" i="31"/>
  <c r="T914" i="31"/>
  <c r="S913" i="31"/>
  <c r="U912" i="31"/>
  <c r="L914" i="31"/>
  <c r="J913" i="31"/>
  <c r="F912" i="31"/>
  <c r="N913" i="31"/>
  <c r="N912" i="31"/>
  <c r="AL912" i="31"/>
  <c r="U914" i="31"/>
  <c r="L913" i="31"/>
  <c r="H912" i="31"/>
  <c r="F914" i="31"/>
  <c r="J912" i="31"/>
  <c r="H914" i="31"/>
  <c r="S912" i="31"/>
  <c r="L912" i="31"/>
  <c r="J914" i="31"/>
  <c r="P912" i="31"/>
  <c r="P913" i="31"/>
  <c r="U897" i="31"/>
  <c r="T898" i="31"/>
  <c r="S897" i="31"/>
  <c r="P898" i="31"/>
  <c r="N896" i="31"/>
  <c r="F896" i="31"/>
  <c r="F897" i="31"/>
  <c r="U896" i="31"/>
  <c r="S896" i="31"/>
  <c r="L898" i="31"/>
  <c r="N897" i="31"/>
  <c r="P897" i="31"/>
  <c r="N898" i="31"/>
  <c r="H898" i="31"/>
  <c r="U898" i="31"/>
  <c r="S898" i="31"/>
  <c r="L897" i="31"/>
  <c r="J896" i="31"/>
  <c r="H896" i="31"/>
  <c r="H897" i="31"/>
  <c r="P896" i="31"/>
  <c r="T897" i="31"/>
  <c r="J898" i="31"/>
  <c r="L896" i="31"/>
  <c r="Z896" i="31"/>
  <c r="F898" i="31"/>
  <c r="T896" i="31"/>
  <c r="AL896" i="31"/>
  <c r="J897" i="31"/>
  <c r="D896" i="31"/>
  <c r="U874" i="31"/>
  <c r="S874" i="31"/>
  <c r="L876" i="31"/>
  <c r="N875" i="31"/>
  <c r="H876" i="31"/>
  <c r="P875" i="31"/>
  <c r="N876" i="31"/>
  <c r="Z874" i="31"/>
  <c r="T874" i="31"/>
  <c r="T875" i="31"/>
  <c r="L874" i="31"/>
  <c r="J876" i="31"/>
  <c r="F876" i="31"/>
  <c r="J875" i="31"/>
  <c r="T876" i="31"/>
  <c r="P876" i="31"/>
  <c r="N874" i="31"/>
  <c r="S876" i="31"/>
  <c r="J874" i="31"/>
  <c r="H874" i="31"/>
  <c r="U875" i="31"/>
  <c r="S875" i="31"/>
  <c r="F875" i="31"/>
  <c r="F874" i="31"/>
  <c r="P874" i="31"/>
  <c r="H875" i="31"/>
  <c r="U876" i="31"/>
  <c r="L875" i="31"/>
  <c r="AL874" i="31"/>
  <c r="U858" i="31"/>
  <c r="T859" i="31"/>
  <c r="N860" i="31"/>
  <c r="L858" i="31"/>
  <c r="J859" i="31"/>
  <c r="J860" i="31"/>
  <c r="F860" i="31"/>
  <c r="T860" i="31"/>
  <c r="S859" i="31"/>
  <c r="N859" i="31"/>
  <c r="L859" i="31"/>
  <c r="F858" i="31"/>
  <c r="F859" i="31"/>
  <c r="J858" i="31"/>
  <c r="Z858" i="31"/>
  <c r="S858" i="31"/>
  <c r="U860" i="31"/>
  <c r="N858" i="31"/>
  <c r="H858" i="31"/>
  <c r="L860" i="31"/>
  <c r="H860" i="31"/>
  <c r="D858" i="31"/>
  <c r="U843" i="31"/>
  <c r="S844" i="31"/>
  <c r="T842" i="31"/>
  <c r="P843" i="31"/>
  <c r="F844" i="31"/>
  <c r="P844" i="31"/>
  <c r="H843" i="31"/>
  <c r="U842" i="31"/>
  <c r="T843" i="31"/>
  <c r="N844" i="31"/>
  <c r="L842" i="31"/>
  <c r="J842" i="31"/>
  <c r="J843" i="31"/>
  <c r="J844" i="31"/>
  <c r="T844" i="31"/>
  <c r="S843" i="31"/>
  <c r="N843" i="31"/>
  <c r="H844" i="31"/>
  <c r="L843" i="31"/>
  <c r="F842" i="31"/>
  <c r="F843" i="31"/>
  <c r="N842" i="31"/>
  <c r="Z842" i="31"/>
  <c r="P842" i="31"/>
  <c r="S842" i="31"/>
  <c r="H842" i="31"/>
  <c r="L844" i="31"/>
  <c r="AL842" i="31"/>
  <c r="Z820" i="31"/>
  <c r="S820" i="31"/>
  <c r="T820" i="31"/>
  <c r="N820" i="31"/>
  <c r="H821" i="31"/>
  <c r="P820" i="31"/>
  <c r="H820" i="31"/>
  <c r="U820" i="31"/>
  <c r="T821" i="31"/>
  <c r="N822" i="31"/>
  <c r="L820" i="31"/>
  <c r="F821" i="31"/>
  <c r="J820" i="31"/>
  <c r="J821" i="31"/>
  <c r="S822" i="31"/>
  <c r="P821" i="31"/>
  <c r="F822" i="31"/>
  <c r="S821" i="31"/>
  <c r="L822" i="31"/>
  <c r="L821" i="31"/>
  <c r="U821" i="31"/>
  <c r="U822" i="31"/>
  <c r="J822" i="31"/>
  <c r="P822" i="31"/>
  <c r="T822" i="31"/>
  <c r="N821" i="31"/>
  <c r="H822" i="31"/>
  <c r="AL820" i="31"/>
  <c r="F820" i="31"/>
  <c r="D820" i="31"/>
  <c r="U804" i="31"/>
  <c r="S804" i="31"/>
  <c r="N806" i="31"/>
  <c r="L804" i="31"/>
  <c r="J805" i="31"/>
  <c r="J806" i="31"/>
  <c r="F806" i="31"/>
  <c r="S805" i="31"/>
  <c r="U806" i="31"/>
  <c r="N805" i="31"/>
  <c r="L805" i="31"/>
  <c r="F804" i="31"/>
  <c r="F805" i="31"/>
  <c r="J804" i="31"/>
  <c r="Z804" i="31"/>
  <c r="T805" i="31"/>
  <c r="T806" i="31"/>
  <c r="N804" i="31"/>
  <c r="H804" i="31"/>
  <c r="L806" i="31"/>
  <c r="H806" i="31"/>
  <c r="AL804" i="31"/>
  <c r="U783" i="31"/>
  <c r="S784" i="31"/>
  <c r="U784" i="31"/>
  <c r="P783" i="31"/>
  <c r="F784" i="31"/>
  <c r="P784" i="31"/>
  <c r="H783" i="31"/>
  <c r="U782" i="31"/>
  <c r="T783" i="31"/>
  <c r="N784" i="31"/>
  <c r="L782" i="31"/>
  <c r="J782" i="31"/>
  <c r="J783" i="31"/>
  <c r="J784" i="31"/>
  <c r="S783" i="31"/>
  <c r="T782" i="31"/>
  <c r="N783" i="31"/>
  <c r="H784" i="31"/>
  <c r="L783" i="31"/>
  <c r="F782" i="31"/>
  <c r="F783" i="31"/>
  <c r="Z782" i="31"/>
  <c r="P782" i="31"/>
  <c r="T784" i="31"/>
  <c r="H782" i="31"/>
  <c r="S782" i="31"/>
  <c r="L784" i="31"/>
  <c r="N782" i="31"/>
  <c r="D782" i="31"/>
  <c r="S767" i="31"/>
  <c r="T768" i="31"/>
  <c r="N768" i="31"/>
  <c r="L766" i="31"/>
  <c r="F767" i="31"/>
  <c r="J766" i="31"/>
  <c r="J767" i="31"/>
  <c r="Z766" i="31"/>
  <c r="U768" i="31"/>
  <c r="T767" i="31"/>
  <c r="N766" i="31"/>
  <c r="H767" i="31"/>
  <c r="P766" i="31"/>
  <c r="H766" i="31"/>
  <c r="S766" i="31"/>
  <c r="P767" i="31"/>
  <c r="F768" i="31"/>
  <c r="S768" i="31"/>
  <c r="L768" i="31"/>
  <c r="L767" i="31"/>
  <c r="U767" i="31"/>
  <c r="U766" i="31"/>
  <c r="J768" i="31"/>
  <c r="P768" i="31"/>
  <c r="H768" i="31"/>
  <c r="F766" i="31"/>
  <c r="T766" i="31"/>
  <c r="N767" i="31"/>
  <c r="AL766" i="31"/>
  <c r="S751" i="31"/>
  <c r="S750" i="31"/>
  <c r="N752" i="31"/>
  <c r="L750" i="31"/>
  <c r="J751" i="31"/>
  <c r="J752" i="31"/>
  <c r="F752" i="31"/>
  <c r="U750" i="31"/>
  <c r="T752" i="31"/>
  <c r="N751" i="31"/>
  <c r="L751" i="31"/>
  <c r="F750" i="31"/>
  <c r="F751" i="31"/>
  <c r="J750" i="31"/>
  <c r="AL750" i="31"/>
  <c r="Z750" i="31"/>
  <c r="T750" i="31"/>
  <c r="S752" i="31"/>
  <c r="N750" i="31"/>
  <c r="H750" i="31"/>
  <c r="L752" i="31"/>
  <c r="H752" i="31"/>
  <c r="D750" i="31"/>
  <c r="S729" i="31"/>
  <c r="U730" i="31"/>
  <c r="N730" i="31"/>
  <c r="L728" i="31"/>
  <c r="J728" i="31"/>
  <c r="J729" i="31"/>
  <c r="J730" i="31"/>
  <c r="T729" i="31"/>
  <c r="S728" i="31"/>
  <c r="N729" i="31"/>
  <c r="H730" i="31"/>
  <c r="L729" i="31"/>
  <c r="F728" i="31"/>
  <c r="F729" i="31"/>
  <c r="U729" i="31"/>
  <c r="S730" i="31"/>
  <c r="F730" i="31"/>
  <c r="H729" i="31"/>
  <c r="U728" i="31"/>
  <c r="N728" i="31"/>
  <c r="H728" i="31"/>
  <c r="T728" i="31"/>
  <c r="P729" i="31"/>
  <c r="P730" i="31"/>
  <c r="P728" i="31"/>
  <c r="L730" i="31"/>
  <c r="Z728" i="31"/>
  <c r="AL728" i="31"/>
  <c r="S714" i="31"/>
  <c r="U714" i="31"/>
  <c r="N713" i="31"/>
  <c r="L714" i="31"/>
  <c r="H714" i="31"/>
  <c r="L713" i="31"/>
  <c r="F712" i="31"/>
  <c r="U713" i="31"/>
  <c r="U712" i="31"/>
  <c r="T714" i="31"/>
  <c r="P713" i="31"/>
  <c r="J714" i="31"/>
  <c r="F714" i="31"/>
  <c r="P714" i="31"/>
  <c r="S713" i="31"/>
  <c r="N714" i="31"/>
  <c r="F713" i="31"/>
  <c r="J713" i="31"/>
  <c r="T713" i="31"/>
  <c r="N712" i="31"/>
  <c r="P712" i="31"/>
  <c r="T712" i="31"/>
  <c r="L712" i="31"/>
  <c r="J712" i="31"/>
  <c r="H712" i="31"/>
  <c r="Z712" i="31"/>
  <c r="S712" i="31"/>
  <c r="H713" i="31"/>
  <c r="D712" i="31"/>
  <c r="S691" i="31"/>
  <c r="U690" i="31"/>
  <c r="N692" i="31"/>
  <c r="L690" i="31"/>
  <c r="J691" i="31"/>
  <c r="J692" i="31"/>
  <c r="F692" i="31"/>
  <c r="AL690" i="31"/>
  <c r="T692" i="31"/>
  <c r="T690" i="31"/>
  <c r="N691" i="31"/>
  <c r="L691" i="31"/>
  <c r="F690" i="31"/>
  <c r="F691" i="31"/>
  <c r="J690" i="31"/>
  <c r="Z690" i="31"/>
  <c r="S692" i="31"/>
  <c r="U692" i="31"/>
  <c r="N690" i="31"/>
  <c r="N693" i="31" s="1"/>
  <c r="H690" i="31"/>
  <c r="L692" i="31"/>
  <c r="H692" i="31"/>
  <c r="S675" i="31"/>
  <c r="S676" i="31"/>
  <c r="N676" i="31"/>
  <c r="L674" i="31"/>
  <c r="J674" i="31"/>
  <c r="J675" i="31"/>
  <c r="J676" i="31"/>
  <c r="U676" i="31"/>
  <c r="T675" i="31"/>
  <c r="N675" i="31"/>
  <c r="H676" i="31"/>
  <c r="L675" i="31"/>
  <c r="F674" i="31"/>
  <c r="F675" i="31"/>
  <c r="T676" i="31"/>
  <c r="P675" i="31"/>
  <c r="P676" i="31"/>
  <c r="Z674" i="31"/>
  <c r="U674" i="31"/>
  <c r="P674" i="31"/>
  <c r="L676" i="31"/>
  <c r="U675" i="31"/>
  <c r="T674" i="31"/>
  <c r="F676" i="31"/>
  <c r="H675" i="31"/>
  <c r="H674" i="31"/>
  <c r="AL674" i="31"/>
  <c r="S674" i="31"/>
  <c r="C674" i="31"/>
  <c r="Z658" i="31"/>
  <c r="U660" i="31"/>
  <c r="T659" i="31"/>
  <c r="P658" i="31"/>
  <c r="H660" i="31"/>
  <c r="N659" i="31"/>
  <c r="J658" i="31"/>
  <c r="S659" i="31"/>
  <c r="T660" i="31"/>
  <c r="P660" i="31"/>
  <c r="H659" i="31"/>
  <c r="F660" i="31"/>
  <c r="N660" i="31"/>
  <c r="J659" i="31"/>
  <c r="U659" i="31"/>
  <c r="U658" i="31"/>
  <c r="F659" i="31"/>
  <c r="L660" i="31"/>
  <c r="T658" i="31"/>
  <c r="P659" i="31"/>
  <c r="N658" i="31"/>
  <c r="H658" i="31"/>
  <c r="S658" i="31"/>
  <c r="J660" i="31"/>
  <c r="L658" i="31"/>
  <c r="S660" i="31"/>
  <c r="F658" i="31"/>
  <c r="L659" i="31"/>
  <c r="AL658" i="31"/>
  <c r="S637" i="31"/>
  <c r="S636" i="31"/>
  <c r="P638" i="31"/>
  <c r="H637" i="31"/>
  <c r="F638" i="31"/>
  <c r="N638" i="31"/>
  <c r="J637" i="31"/>
  <c r="U636" i="31"/>
  <c r="T638" i="31"/>
  <c r="P637" i="31"/>
  <c r="F636" i="31"/>
  <c r="N636" i="31"/>
  <c r="L637" i="31"/>
  <c r="H636" i="31"/>
  <c r="Z636" i="31"/>
  <c r="T636" i="31"/>
  <c r="S638" i="31"/>
  <c r="P636" i="31"/>
  <c r="H638" i="31"/>
  <c r="N637" i="31"/>
  <c r="J636" i="31"/>
  <c r="D636" i="31"/>
  <c r="S621" i="31"/>
  <c r="S622" i="31"/>
  <c r="P622" i="31"/>
  <c r="H621" i="31"/>
  <c r="F622" i="31"/>
  <c r="N622" i="31"/>
  <c r="J621" i="31"/>
  <c r="T621" i="31"/>
  <c r="U622" i="31"/>
  <c r="P621" i="31"/>
  <c r="F620" i="31"/>
  <c r="N620" i="31"/>
  <c r="L621" i="31"/>
  <c r="H620" i="31"/>
  <c r="U621" i="31"/>
  <c r="S620" i="31"/>
  <c r="F621" i="31"/>
  <c r="L622" i="31"/>
  <c r="U620" i="31"/>
  <c r="P620" i="31"/>
  <c r="N621" i="31"/>
  <c r="T620" i="31"/>
  <c r="J622" i="31"/>
  <c r="L620" i="31"/>
  <c r="J620" i="31"/>
  <c r="AL620" i="31"/>
  <c r="Z620" i="31"/>
  <c r="T622" i="31"/>
  <c r="S599" i="31"/>
  <c r="T600" i="31"/>
  <c r="P600" i="31"/>
  <c r="H599" i="31"/>
  <c r="F600" i="31"/>
  <c r="N600" i="31"/>
  <c r="J599" i="31"/>
  <c r="Z598" i="31"/>
  <c r="T599" i="31"/>
  <c r="U599" i="31"/>
  <c r="T598" i="31"/>
  <c r="J600" i="31"/>
  <c r="N598" i="31"/>
  <c r="J598" i="31"/>
  <c r="S600" i="31"/>
  <c r="S598" i="31"/>
  <c r="F598" i="31"/>
  <c r="N599" i="31"/>
  <c r="L600" i="31"/>
  <c r="U598" i="31"/>
  <c r="P599" i="31"/>
  <c r="H600" i="31"/>
  <c r="L598" i="31"/>
  <c r="H598" i="31"/>
  <c r="L599" i="31"/>
  <c r="U600" i="31"/>
  <c r="P598" i="31"/>
  <c r="F599" i="31"/>
  <c r="C598" i="31"/>
  <c r="S583" i="31"/>
  <c r="S582" i="31"/>
  <c r="F584" i="31"/>
  <c r="H582" i="31"/>
  <c r="P582" i="31"/>
  <c r="N583" i="31"/>
  <c r="J582" i="31"/>
  <c r="T584" i="31"/>
  <c r="U582" i="31"/>
  <c r="F583" i="31"/>
  <c r="J584" i="31"/>
  <c r="P583" i="31"/>
  <c r="L582" i="31"/>
  <c r="J583" i="31"/>
  <c r="Z582" i="31"/>
  <c r="S584" i="31"/>
  <c r="T582" i="31"/>
  <c r="F582" i="31"/>
  <c r="H583" i="31"/>
  <c r="N582" i="31"/>
  <c r="N584" i="31"/>
  <c r="AL582" i="31"/>
  <c r="T568" i="31"/>
  <c r="S568" i="31"/>
  <c r="F568" i="31"/>
  <c r="J567" i="31"/>
  <c r="N568" i="31"/>
  <c r="H568" i="31"/>
  <c r="P568" i="31"/>
  <c r="S566" i="31"/>
  <c r="U567" i="31"/>
  <c r="F567" i="31"/>
  <c r="H566" i="31"/>
  <c r="L567" i="31"/>
  <c r="N567" i="31"/>
  <c r="L566" i="31"/>
  <c r="U568" i="31"/>
  <c r="L568" i="31"/>
  <c r="J568" i="31"/>
  <c r="Z566" i="31"/>
  <c r="T567" i="31"/>
  <c r="P567" i="31"/>
  <c r="H567" i="31"/>
  <c r="S567" i="31"/>
  <c r="U566" i="31"/>
  <c r="N566" i="31"/>
  <c r="P566" i="31"/>
  <c r="T566" i="31"/>
  <c r="F566" i="31"/>
  <c r="C566" i="31"/>
  <c r="Z544" i="31"/>
  <c r="U544" i="31"/>
  <c r="U545" i="31"/>
  <c r="F544" i="31"/>
  <c r="N545" i="31"/>
  <c r="L546" i="31"/>
  <c r="H546" i="31"/>
  <c r="T544" i="31"/>
  <c r="F546" i="31"/>
  <c r="J544" i="31"/>
  <c r="H545" i="31"/>
  <c r="P545" i="31"/>
  <c r="S545" i="31"/>
  <c r="U546" i="31"/>
  <c r="F545" i="31"/>
  <c r="H544" i="31"/>
  <c r="J546" i="31"/>
  <c r="L544" i="31"/>
  <c r="T546" i="31"/>
  <c r="S546" i="31"/>
  <c r="N546" i="31"/>
  <c r="P546" i="31"/>
  <c r="P544" i="31"/>
  <c r="T545" i="31"/>
  <c r="L545" i="31"/>
  <c r="J545" i="31"/>
  <c r="N544" i="31"/>
  <c r="AL544" i="31"/>
  <c r="T530" i="31"/>
  <c r="T528" i="31"/>
  <c r="F530" i="31"/>
  <c r="L529" i="31"/>
  <c r="P529" i="31"/>
  <c r="P530" i="31"/>
  <c r="J530" i="31"/>
  <c r="S528" i="31"/>
  <c r="U530" i="31"/>
  <c r="F529" i="31"/>
  <c r="J528" i="31"/>
  <c r="L528" i="31"/>
  <c r="J529" i="31"/>
  <c r="P528" i="31"/>
  <c r="Z528" i="31"/>
  <c r="T529" i="31"/>
  <c r="S530" i="31"/>
  <c r="F528" i="31"/>
  <c r="H530" i="31"/>
  <c r="N529" i="31"/>
  <c r="L530" i="31"/>
  <c r="C528" i="31"/>
  <c r="T508" i="31"/>
  <c r="U506" i="31"/>
  <c r="F508" i="31"/>
  <c r="L507" i="31"/>
  <c r="J508" i="31"/>
  <c r="P507" i="31"/>
  <c r="P508" i="31"/>
  <c r="S506" i="31"/>
  <c r="T506" i="31"/>
  <c r="F507" i="31"/>
  <c r="J506" i="31"/>
  <c r="P506" i="31"/>
  <c r="L506" i="31"/>
  <c r="J507" i="31"/>
  <c r="S507" i="31"/>
  <c r="S508" i="31"/>
  <c r="H507" i="31"/>
  <c r="H506" i="31"/>
  <c r="U507" i="31"/>
  <c r="F506" i="31"/>
  <c r="H508" i="31"/>
  <c r="T507" i="31"/>
  <c r="N508" i="31"/>
  <c r="N506" i="31"/>
  <c r="Z506" i="31"/>
  <c r="U508" i="31"/>
  <c r="L508" i="31"/>
  <c r="AL506" i="31"/>
  <c r="Z490" i="31"/>
  <c r="S492" i="31"/>
  <c r="T490" i="31"/>
  <c r="F490" i="31"/>
  <c r="N491" i="31"/>
  <c r="L492" i="31"/>
  <c r="H492" i="31"/>
  <c r="S490" i="31"/>
  <c r="U492" i="31"/>
  <c r="L491" i="31"/>
  <c r="J491" i="31"/>
  <c r="N490" i="31"/>
  <c r="U491" i="31"/>
  <c r="F492" i="31"/>
  <c r="J490" i="31"/>
  <c r="H491" i="31"/>
  <c r="P491" i="31"/>
  <c r="S491" i="31"/>
  <c r="T491" i="31"/>
  <c r="F491" i="31"/>
  <c r="H490" i="31"/>
  <c r="J492" i="31"/>
  <c r="L490" i="31"/>
  <c r="T492" i="31"/>
  <c r="P490" i="31"/>
  <c r="U490" i="31"/>
  <c r="N492" i="31"/>
  <c r="P492" i="31"/>
  <c r="C490" i="31"/>
  <c r="T476" i="31"/>
  <c r="U475" i="31"/>
  <c r="F476" i="31"/>
  <c r="L475" i="31"/>
  <c r="L474" i="31"/>
  <c r="J475" i="31"/>
  <c r="P474" i="31"/>
  <c r="AL474" i="31"/>
  <c r="S474" i="31"/>
  <c r="T475" i="31"/>
  <c r="F475" i="31"/>
  <c r="J474" i="31"/>
  <c r="N475" i="31"/>
  <c r="L476" i="31"/>
  <c r="N474" i="31"/>
  <c r="Z474" i="31"/>
  <c r="U476" i="31"/>
  <c r="U474" i="31"/>
  <c r="F474" i="31"/>
  <c r="H476" i="31"/>
  <c r="H474" i="31"/>
  <c r="H475" i="31"/>
  <c r="T454" i="31"/>
  <c r="S454" i="31"/>
  <c r="F454" i="31"/>
  <c r="L453" i="31"/>
  <c r="P452" i="31"/>
  <c r="L452" i="31"/>
  <c r="J453" i="31"/>
  <c r="S452" i="31"/>
  <c r="U453" i="31"/>
  <c r="F453" i="31"/>
  <c r="J452" i="31"/>
  <c r="H454" i="31"/>
  <c r="N453" i="31"/>
  <c r="L454" i="31"/>
  <c r="U454" i="31"/>
  <c r="N454" i="31"/>
  <c r="P453" i="31"/>
  <c r="Z452" i="31"/>
  <c r="T453" i="31"/>
  <c r="H453" i="31"/>
  <c r="H452" i="31"/>
  <c r="S453" i="31"/>
  <c r="U452" i="31"/>
  <c r="J454" i="31"/>
  <c r="P454" i="31"/>
  <c r="T452" i="31"/>
  <c r="F452" i="31"/>
  <c r="N452" i="31"/>
  <c r="D452" i="31"/>
  <c r="S436" i="31"/>
  <c r="S438" i="31"/>
  <c r="F437" i="31"/>
  <c r="J436" i="31"/>
  <c r="L438" i="31"/>
  <c r="H438" i="31"/>
  <c r="N437" i="31"/>
  <c r="Z436" i="31"/>
  <c r="T436" i="31"/>
  <c r="F438" i="31"/>
  <c r="H436" i="31"/>
  <c r="J438" i="31"/>
  <c r="L436" i="31"/>
  <c r="S437" i="31"/>
  <c r="U438" i="31"/>
  <c r="F436" i="31"/>
  <c r="P438" i="31"/>
  <c r="P436" i="31"/>
  <c r="T438" i="31"/>
  <c r="U437" i="31"/>
  <c r="N438" i="31"/>
  <c r="J437" i="31"/>
  <c r="N436" i="31"/>
  <c r="L437" i="31"/>
  <c r="H437" i="31"/>
  <c r="U436" i="31"/>
  <c r="P437" i="31"/>
  <c r="T437" i="31"/>
  <c r="AL436" i="31"/>
  <c r="T416" i="31"/>
  <c r="T414" i="31"/>
  <c r="F416" i="31"/>
  <c r="L415" i="31"/>
  <c r="N415" i="31"/>
  <c r="L416" i="31"/>
  <c r="H416" i="31"/>
  <c r="S414" i="31"/>
  <c r="U416" i="31"/>
  <c r="F415" i="31"/>
  <c r="J414" i="31"/>
  <c r="H414" i="31"/>
  <c r="H415" i="31"/>
  <c r="N414" i="31"/>
  <c r="Z414" i="31"/>
  <c r="T415" i="31"/>
  <c r="S416" i="31"/>
  <c r="F414" i="31"/>
  <c r="P415" i="31"/>
  <c r="P416" i="31"/>
  <c r="J416" i="31"/>
  <c r="C414" i="31"/>
  <c r="T400" i="31"/>
  <c r="U398" i="31"/>
  <c r="F400" i="31"/>
  <c r="L399" i="31"/>
  <c r="P398" i="31"/>
  <c r="L398" i="31"/>
  <c r="J399" i="31"/>
  <c r="S398" i="31"/>
  <c r="T398" i="31"/>
  <c r="F399" i="31"/>
  <c r="J398" i="31"/>
  <c r="H400" i="31"/>
  <c r="N399" i="31"/>
  <c r="L400" i="31"/>
  <c r="S399" i="31"/>
  <c r="S400" i="31"/>
  <c r="J400" i="31"/>
  <c r="P400" i="31"/>
  <c r="U399" i="31"/>
  <c r="F398" i="31"/>
  <c r="N398" i="31"/>
  <c r="T399" i="31"/>
  <c r="N400" i="31"/>
  <c r="P399" i="31"/>
  <c r="U400" i="31"/>
  <c r="AL398" i="31"/>
  <c r="H399" i="31"/>
  <c r="H398" i="31"/>
  <c r="T384" i="31"/>
  <c r="T383" i="31"/>
  <c r="F384" i="31"/>
  <c r="L383" i="31"/>
  <c r="L384" i="31"/>
  <c r="H384" i="31"/>
  <c r="N383" i="31"/>
  <c r="S382" i="31"/>
  <c r="T382" i="31"/>
  <c r="N384" i="31"/>
  <c r="H383" i="31"/>
  <c r="P383" i="31"/>
  <c r="S384" i="31"/>
  <c r="U384" i="31"/>
  <c r="J382" i="31"/>
  <c r="J384" i="31"/>
  <c r="L382" i="31"/>
  <c r="Z382" i="31"/>
  <c r="U383" i="31"/>
  <c r="F383" i="31"/>
  <c r="P384" i="31"/>
  <c r="P382" i="31"/>
  <c r="H382" i="31"/>
  <c r="S383" i="31"/>
  <c r="N382" i="31"/>
  <c r="U382" i="31"/>
  <c r="F382" i="31"/>
  <c r="J383" i="31"/>
  <c r="C382" i="31"/>
  <c r="T362" i="31"/>
  <c r="U361" i="31"/>
  <c r="F362" i="31"/>
  <c r="L361" i="31"/>
  <c r="N361" i="31"/>
  <c r="L362" i="31"/>
  <c r="H362" i="31"/>
  <c r="S360" i="31"/>
  <c r="T361" i="31"/>
  <c r="F361" i="31"/>
  <c r="J360" i="31"/>
  <c r="H360" i="31"/>
  <c r="H361" i="31"/>
  <c r="N360" i="31"/>
  <c r="Z360" i="31"/>
  <c r="U362" i="31"/>
  <c r="U360" i="31"/>
  <c r="F360" i="31"/>
  <c r="P361" i="31"/>
  <c r="P362" i="31"/>
  <c r="J362" i="31"/>
  <c r="AL360" i="31"/>
  <c r="T346" i="31"/>
  <c r="S346" i="31"/>
  <c r="F346" i="31"/>
  <c r="L345" i="31"/>
  <c r="P344" i="31"/>
  <c r="L344" i="31"/>
  <c r="J345" i="31"/>
  <c r="S344" i="31"/>
  <c r="U345" i="31"/>
  <c r="F345" i="31"/>
  <c r="J344" i="31"/>
  <c r="H346" i="31"/>
  <c r="N345" i="31"/>
  <c r="H345" i="31"/>
  <c r="U346" i="31"/>
  <c r="N346" i="31"/>
  <c r="P345" i="31"/>
  <c r="Z344" i="31"/>
  <c r="T345" i="31"/>
  <c r="L346" i="31"/>
  <c r="H344" i="31"/>
  <c r="S345" i="31"/>
  <c r="U344" i="31"/>
  <c r="J346" i="31"/>
  <c r="P346" i="31"/>
  <c r="F344" i="31"/>
  <c r="N344" i="31"/>
  <c r="C344" i="31"/>
  <c r="S323" i="31"/>
  <c r="T322" i="31"/>
  <c r="T323" i="31"/>
  <c r="N324" i="31"/>
  <c r="J323" i="31"/>
  <c r="P322" i="31"/>
  <c r="L322" i="31"/>
  <c r="Z322" i="31"/>
  <c r="U324" i="31"/>
  <c r="F323" i="31"/>
  <c r="P324" i="31"/>
  <c r="H324" i="31"/>
  <c r="H322" i="31"/>
  <c r="T324" i="31"/>
  <c r="S324" i="31"/>
  <c r="F322" i="31"/>
  <c r="L324" i="31"/>
  <c r="N322" i="31"/>
  <c r="S322" i="31"/>
  <c r="U323" i="31"/>
  <c r="L323" i="31"/>
  <c r="H323" i="31"/>
  <c r="P323" i="31"/>
  <c r="J322" i="31"/>
  <c r="J324" i="31"/>
  <c r="U322" i="31"/>
  <c r="N323" i="31"/>
  <c r="F324" i="31"/>
  <c r="AL322" i="31"/>
  <c r="T308" i="31"/>
  <c r="T306" i="31"/>
  <c r="F308" i="31"/>
  <c r="L307" i="31"/>
  <c r="L306" i="31"/>
  <c r="J307" i="31"/>
  <c r="H307" i="31"/>
  <c r="S306" i="31"/>
  <c r="U308" i="31"/>
  <c r="F307" i="31"/>
  <c r="J306" i="31"/>
  <c r="N307" i="31"/>
  <c r="J308" i="31"/>
  <c r="L308" i="31"/>
  <c r="Z306" i="31"/>
  <c r="T307" i="31"/>
  <c r="S308" i="31"/>
  <c r="F306" i="31"/>
  <c r="N306" i="31"/>
  <c r="H306" i="31"/>
  <c r="P306" i="31"/>
  <c r="D306" i="31"/>
  <c r="C1058" i="31"/>
  <c r="C1118" i="31"/>
  <c r="D1172" i="31"/>
  <c r="C1210" i="31"/>
  <c r="C1264" i="31"/>
  <c r="D1318" i="31"/>
  <c r="D1356" i="31"/>
  <c r="AL344" i="31"/>
  <c r="AL490" i="31"/>
  <c r="AL636" i="31"/>
  <c r="AL934" i="31"/>
  <c r="AL1226" i="31"/>
  <c r="H308" i="31"/>
  <c r="U307" i="31"/>
  <c r="J361" i="31"/>
  <c r="S362" i="31"/>
  <c r="L414" i="31"/>
  <c r="S415" i="31"/>
  <c r="N476" i="31"/>
  <c r="H529" i="31"/>
  <c r="U529" i="31"/>
  <c r="P584" i="31"/>
  <c r="U584" i="31"/>
  <c r="F637" i="31"/>
  <c r="U637" i="31"/>
  <c r="P691" i="31"/>
  <c r="P693" i="31" s="1"/>
  <c r="P750" i="31"/>
  <c r="T751" i="31"/>
  <c r="H805" i="31"/>
  <c r="T804" i="31"/>
  <c r="P860" i="31"/>
  <c r="U859" i="31"/>
  <c r="N914" i="31"/>
  <c r="F967" i="31"/>
  <c r="S1028" i="31"/>
  <c r="U1080" i="31"/>
  <c r="N1188" i="31"/>
  <c r="N1242" i="31"/>
  <c r="F1357" i="31"/>
  <c r="N507" i="31"/>
  <c r="T730" i="31"/>
  <c r="F1226" i="31"/>
  <c r="S544" i="31"/>
  <c r="P806" i="31"/>
  <c r="U805" i="31"/>
  <c r="P859" i="31"/>
  <c r="F913" i="31"/>
  <c r="S914" i="31"/>
  <c r="U968" i="31"/>
  <c r="L1080" i="31"/>
  <c r="H1135" i="31"/>
  <c r="L1188" i="31"/>
  <c r="U1243" i="31"/>
  <c r="J566" i="31"/>
  <c r="U844" i="31"/>
  <c r="T1335" i="31"/>
  <c r="D1242" i="31"/>
  <c r="C1280" i="31"/>
  <c r="C1334" i="31"/>
  <c r="AL414" i="31"/>
  <c r="AL566" i="31"/>
  <c r="AL782" i="31"/>
  <c r="AL1080" i="31"/>
  <c r="AL1372" i="31"/>
  <c r="P307" i="31"/>
  <c r="S307" i="31"/>
  <c r="N362" i="31"/>
  <c r="P414" i="31"/>
  <c r="U415" i="31"/>
  <c r="P476" i="31"/>
  <c r="S476" i="31"/>
  <c r="N528" i="31"/>
  <c r="S529" i="31"/>
  <c r="L584" i="31"/>
  <c r="L638" i="31"/>
  <c r="T637" i="31"/>
  <c r="H691" i="31"/>
  <c r="T691" i="31"/>
  <c r="P752" i="31"/>
  <c r="U751" i="31"/>
  <c r="P805" i="31"/>
  <c r="P858" i="31"/>
  <c r="T858" i="31"/>
  <c r="P914" i="31"/>
  <c r="L966" i="31"/>
  <c r="H1027" i="31"/>
  <c r="H1080" i="31"/>
  <c r="N1135" i="31"/>
  <c r="N1137" i="31" s="1"/>
  <c r="F1189" i="31"/>
  <c r="H1302" i="31"/>
  <c r="T344" i="31"/>
  <c r="H622" i="31"/>
  <c r="Z950" i="31"/>
  <c r="T292" i="31"/>
  <c r="U290" i="31"/>
  <c r="S290" i="31"/>
  <c r="S291" i="31"/>
  <c r="U292" i="31"/>
  <c r="P290" i="31"/>
  <c r="H290" i="31"/>
  <c r="H292" i="31"/>
  <c r="N292" i="31"/>
  <c r="U291" i="31"/>
  <c r="S292" i="31"/>
  <c r="J290" i="31"/>
  <c r="J292" i="31"/>
  <c r="F291" i="31"/>
  <c r="L291" i="31"/>
  <c r="T291" i="31"/>
  <c r="P292" i="31"/>
  <c r="L292" i="31"/>
  <c r="H291" i="31"/>
  <c r="N291" i="31"/>
  <c r="F292" i="31"/>
  <c r="Z268" i="31"/>
  <c r="S270" i="31"/>
  <c r="T268" i="31"/>
  <c r="P268" i="31"/>
  <c r="H268" i="31"/>
  <c r="L268" i="31"/>
  <c r="F268" i="31"/>
  <c r="S268" i="31"/>
  <c r="U270" i="31"/>
  <c r="L270" i="31"/>
  <c r="N269" i="31"/>
  <c r="J270" i="31"/>
  <c r="U269" i="31"/>
  <c r="P270" i="31"/>
  <c r="J269" i="31"/>
  <c r="N270" i="31"/>
  <c r="F270" i="31"/>
  <c r="S269" i="31"/>
  <c r="T269" i="31"/>
  <c r="P269" i="31"/>
  <c r="H270" i="31"/>
  <c r="J268" i="31"/>
  <c r="H269" i="31"/>
  <c r="T270" i="31"/>
  <c r="N268" i="31"/>
  <c r="U268" i="31"/>
  <c r="L269" i="31"/>
  <c r="F269" i="31"/>
  <c r="Z230" i="31"/>
  <c r="T230" i="31"/>
  <c r="U231" i="31"/>
  <c r="P230" i="31"/>
  <c r="H230" i="31"/>
  <c r="J230" i="31"/>
  <c r="F232" i="31"/>
  <c r="S231" i="31"/>
  <c r="U232" i="31"/>
  <c r="S232" i="31"/>
  <c r="N232" i="31"/>
  <c r="N231" i="31"/>
  <c r="J232" i="31"/>
  <c r="H231" i="31"/>
  <c r="T232" i="31"/>
  <c r="T231" i="31"/>
  <c r="P232" i="31"/>
  <c r="L232" i="31"/>
  <c r="L230" i="31"/>
  <c r="F230" i="31"/>
  <c r="F231" i="31"/>
  <c r="S214" i="31"/>
  <c r="T214" i="31"/>
  <c r="P215" i="31"/>
  <c r="J215" i="31"/>
  <c r="N216" i="31"/>
  <c r="H215" i="31"/>
  <c r="F214" i="31"/>
  <c r="Z214" i="31"/>
  <c r="T215" i="31"/>
  <c r="P216" i="31"/>
  <c r="H214" i="31"/>
  <c r="H216" i="31"/>
  <c r="J216" i="31"/>
  <c r="S215" i="31"/>
  <c r="U215" i="31"/>
  <c r="P214" i="31"/>
  <c r="N215" i="31"/>
  <c r="F216" i="31"/>
  <c r="T216" i="31"/>
  <c r="U216" i="31"/>
  <c r="J214" i="31"/>
  <c r="L214" i="31"/>
  <c r="F215" i="31"/>
  <c r="L216" i="31"/>
  <c r="L215" i="31"/>
  <c r="U214" i="31"/>
  <c r="N214" i="31"/>
  <c r="Z176" i="31"/>
  <c r="S178" i="31"/>
  <c r="T177" i="31"/>
  <c r="P176" i="31"/>
  <c r="N178" i="31"/>
  <c r="F178" i="31"/>
  <c r="L178" i="31"/>
  <c r="S177" i="31"/>
  <c r="T176" i="31"/>
  <c r="U176" i="31"/>
  <c r="J176" i="31"/>
  <c r="L177" i="31"/>
  <c r="F176" i="31"/>
  <c r="F177" i="31"/>
  <c r="T178" i="31"/>
  <c r="U178" i="31"/>
  <c r="P178" i="31"/>
  <c r="N177" i="31"/>
  <c r="H178" i="31"/>
  <c r="J177" i="31"/>
  <c r="J178" i="31"/>
  <c r="S160" i="31"/>
  <c r="U160" i="31"/>
  <c r="P161" i="31"/>
  <c r="L160" i="31"/>
  <c r="J161" i="31"/>
  <c r="J162" i="31"/>
  <c r="F160" i="31"/>
  <c r="U162" i="31"/>
  <c r="S162" i="31"/>
  <c r="N161" i="31"/>
  <c r="H161" i="31"/>
  <c r="H162" i="31"/>
  <c r="Z160" i="31"/>
  <c r="U161" i="31"/>
  <c r="P162" i="31"/>
  <c r="L161" i="31"/>
  <c r="S161" i="31"/>
  <c r="T161" i="31"/>
  <c r="P160" i="31"/>
  <c r="J160" i="31"/>
  <c r="F161" i="31"/>
  <c r="T160" i="31"/>
  <c r="N160" i="31"/>
  <c r="N162" i="31"/>
  <c r="F162" i="31"/>
  <c r="H160" i="31"/>
  <c r="T162" i="31"/>
  <c r="L162" i="31"/>
  <c r="Z122" i="31"/>
  <c r="U122" i="31"/>
  <c r="U124" i="31"/>
  <c r="P122" i="31"/>
  <c r="N124" i="31"/>
  <c r="H122" i="31"/>
  <c r="H123" i="31"/>
  <c r="S123" i="31"/>
  <c r="U123" i="31"/>
  <c r="S124" i="31"/>
  <c r="L123" i="31"/>
  <c r="J122" i="31"/>
  <c r="F124" i="31"/>
  <c r="L124" i="31"/>
  <c r="T124" i="31"/>
  <c r="T123" i="31"/>
  <c r="P124" i="31"/>
  <c r="N123" i="31"/>
  <c r="N122" i="31"/>
  <c r="F122" i="31"/>
  <c r="F123" i="31"/>
  <c r="T108" i="31"/>
  <c r="S108" i="31"/>
  <c r="P108" i="31"/>
  <c r="L106" i="31"/>
  <c r="L108" i="31"/>
  <c r="H108" i="31"/>
  <c r="H106" i="31"/>
  <c r="S106" i="31"/>
  <c r="U106" i="31"/>
  <c r="N107" i="31"/>
  <c r="H107" i="31"/>
  <c r="F108" i="31"/>
  <c r="T107" i="31"/>
  <c r="T106" i="31"/>
  <c r="J107" i="31"/>
  <c r="J108" i="31"/>
  <c r="J106" i="31"/>
  <c r="Z106" i="31"/>
  <c r="U108" i="31"/>
  <c r="P107" i="31"/>
  <c r="L107" i="31"/>
  <c r="F107" i="31"/>
  <c r="F106" i="31"/>
  <c r="P106" i="31"/>
  <c r="N108" i="31"/>
  <c r="S107" i="31"/>
  <c r="N106" i="31"/>
  <c r="Z68" i="31"/>
  <c r="U69" i="31"/>
  <c r="U70" i="31"/>
  <c r="P68" i="31"/>
  <c r="F69" i="31"/>
  <c r="J68" i="31"/>
  <c r="J69" i="31"/>
  <c r="S70" i="31"/>
  <c r="S69" i="31"/>
  <c r="T70" i="31"/>
  <c r="N69" i="31"/>
  <c r="H70" i="31"/>
  <c r="L69" i="31"/>
  <c r="F68" i="31"/>
  <c r="S68" i="31"/>
  <c r="U68" i="31"/>
  <c r="P70" i="31"/>
  <c r="L68" i="31"/>
  <c r="N68" i="31"/>
  <c r="N71" i="31" s="1"/>
  <c r="H68" i="31"/>
  <c r="L70" i="31"/>
  <c r="D84" i="31"/>
  <c r="D122" i="31"/>
  <c r="D160" i="31"/>
  <c r="D198" i="31"/>
  <c r="C230" i="31"/>
  <c r="D268" i="31"/>
  <c r="AL68" i="31"/>
  <c r="AL138" i="31"/>
  <c r="AL214" i="31"/>
  <c r="AL290" i="31"/>
  <c r="J86" i="31"/>
  <c r="J85" i="31"/>
  <c r="J84" i="31"/>
  <c r="P84" i="31"/>
  <c r="U86" i="31"/>
  <c r="U85" i="31"/>
  <c r="Z84" i="31"/>
  <c r="H138" i="31"/>
  <c r="F139" i="31"/>
  <c r="N140" i="31"/>
  <c r="P138" i="31"/>
  <c r="T139" i="31"/>
  <c r="T138" i="31"/>
  <c r="Z138" i="31"/>
  <c r="H198" i="31"/>
  <c r="F199" i="31"/>
  <c r="L199" i="31"/>
  <c r="P198" i="31"/>
  <c r="T198" i="31"/>
  <c r="U199" i="31"/>
  <c r="Z198" i="31"/>
  <c r="F254" i="31"/>
  <c r="J252" i="31"/>
  <c r="N253" i="31"/>
  <c r="P252" i="31"/>
  <c r="U252" i="31"/>
  <c r="U254" i="31"/>
  <c r="Z252" i="31"/>
  <c r="F70" i="31"/>
  <c r="T69" i="31"/>
  <c r="L122" i="31"/>
  <c r="N176" i="31"/>
  <c r="P177" i="31"/>
  <c r="H232" i="31"/>
  <c r="U230" i="31"/>
  <c r="F290" i="31"/>
  <c r="Z290" i="31"/>
  <c r="F86" i="31"/>
  <c r="F87" i="31" s="1"/>
  <c r="H85" i="31"/>
  <c r="N86" i="31"/>
  <c r="N84" i="31"/>
  <c r="P85" i="31"/>
  <c r="T84" i="31"/>
  <c r="S84" i="31"/>
  <c r="J139" i="31"/>
  <c r="J141" i="31" s="1"/>
  <c r="H140" i="31"/>
  <c r="L140" i="31"/>
  <c r="L138" i="31"/>
  <c r="P139" i="31"/>
  <c r="U139" i="31"/>
  <c r="S138" i="31"/>
  <c r="J199" i="31"/>
  <c r="J201" i="31" s="1"/>
  <c r="H200" i="31"/>
  <c r="L200" i="31"/>
  <c r="L198" i="31"/>
  <c r="P199" i="31"/>
  <c r="U198" i="31"/>
  <c r="S198" i="31"/>
  <c r="N252" i="31"/>
  <c r="H254" i="31"/>
  <c r="L253" i="31"/>
  <c r="H252" i="31"/>
  <c r="P253" i="31"/>
  <c r="T253" i="31"/>
  <c r="S252" i="31"/>
  <c r="H69" i="31"/>
  <c r="J124" i="31"/>
  <c r="P123" i="31"/>
  <c r="H177" i="31"/>
  <c r="U177" i="31"/>
  <c r="L231" i="31"/>
  <c r="S230" i="31"/>
  <c r="J291" i="31"/>
  <c r="AL106" i="31"/>
  <c r="AL176" i="31"/>
  <c r="AL252" i="31"/>
  <c r="H86" i="31"/>
  <c r="L86" i="31"/>
  <c r="H84" i="31"/>
  <c r="L84" i="31"/>
  <c r="P86" i="31"/>
  <c r="U84" i="31"/>
  <c r="F138" i="31"/>
  <c r="N138" i="31"/>
  <c r="H139" i="31"/>
  <c r="N139" i="31"/>
  <c r="P140" i="31"/>
  <c r="S140" i="31"/>
  <c r="F198" i="31"/>
  <c r="N198" i="31"/>
  <c r="H199" i="31"/>
  <c r="N199" i="31"/>
  <c r="P200" i="31"/>
  <c r="T199" i="31"/>
  <c r="F253" i="31"/>
  <c r="F252" i="31"/>
  <c r="N254" i="31"/>
  <c r="J253" i="31"/>
  <c r="P254" i="31"/>
  <c r="U253" i="31"/>
  <c r="J70" i="31"/>
  <c r="P69" i="31"/>
  <c r="J123" i="31"/>
  <c r="T122" i="31"/>
  <c r="H176" i="31"/>
  <c r="S176" i="31"/>
  <c r="J231" i="31"/>
  <c r="N290" i="31"/>
  <c r="P291" i="31"/>
  <c r="U107" i="31"/>
  <c r="E33" i="35"/>
  <c r="E11" i="35"/>
  <c r="I11" i="35"/>
  <c r="K13" i="35"/>
  <c r="M9" i="35"/>
  <c r="K12" i="35"/>
  <c r="S96" i="27"/>
  <c r="V89" i="27"/>
  <c r="V85" i="27"/>
  <c r="AD87" i="27" s="1"/>
  <c r="S93" i="27"/>
  <c r="U97" i="27"/>
  <c r="U95" i="27"/>
  <c r="V86" i="27"/>
  <c r="AE87" i="27" s="1"/>
  <c r="W93" i="27"/>
  <c r="S94" i="27"/>
  <c r="C91" i="27"/>
  <c r="AK15" i="27"/>
  <c r="F88" i="27"/>
  <c r="N88" i="27" s="1"/>
  <c r="E10" i="35"/>
  <c r="C11" i="35"/>
  <c r="B12" i="35"/>
  <c r="G11" i="35"/>
  <c r="W94" i="27"/>
  <c r="X88" i="27"/>
  <c r="AD92" i="27" s="1"/>
  <c r="X84" i="27"/>
  <c r="AC91" i="27" s="1"/>
  <c r="U92" i="27"/>
  <c r="X89" i="27"/>
  <c r="X85" i="27"/>
  <c r="AD91" i="27" s="1"/>
  <c r="U96" i="27"/>
  <c r="T89" i="27"/>
  <c r="W95" i="27"/>
  <c r="C96" i="27"/>
  <c r="H87" i="27"/>
  <c r="M92" i="27" s="1"/>
  <c r="AL5" i="27"/>
  <c r="AS8" i="27" s="1"/>
  <c r="AI12" i="27"/>
  <c r="AI17" i="27"/>
  <c r="E53" i="27"/>
  <c r="AN48" i="27"/>
  <c r="G92" i="27"/>
  <c r="J964" i="31"/>
  <c r="S963" i="31"/>
  <c r="S1024" i="31"/>
  <c r="J1076" i="31"/>
  <c r="P1132" i="31"/>
  <c r="T1185" i="31"/>
  <c r="T1238" i="31"/>
  <c r="L1298" i="31"/>
  <c r="C30" i="31"/>
  <c r="D34" i="31"/>
  <c r="H16" i="31"/>
  <c r="F14" i="31"/>
  <c r="P16" i="31"/>
  <c r="F35" i="31"/>
  <c r="N36" i="31"/>
  <c r="U34" i="31"/>
  <c r="T14" i="31"/>
  <c r="N18" i="31"/>
  <c r="F20" i="31"/>
  <c r="U18" i="31"/>
  <c r="D33" i="35"/>
  <c r="C9" i="35"/>
  <c r="D9" i="35" s="1"/>
  <c r="E9" i="35" s="1"/>
  <c r="F9" i="35" s="1"/>
  <c r="G9" i="35" s="1"/>
  <c r="H9" i="35" s="1"/>
  <c r="I9" i="35" s="1"/>
  <c r="J11" i="35"/>
  <c r="H11" i="35"/>
  <c r="L11" i="35"/>
  <c r="U93" i="27"/>
  <c r="T87" i="27"/>
  <c r="AC85" i="27" s="1"/>
  <c r="S91" i="27"/>
  <c r="T88" i="27"/>
  <c r="AD85" i="27" s="1"/>
  <c r="T84" i="27"/>
  <c r="AC84" i="27" s="1"/>
  <c r="T85" i="27"/>
  <c r="AD84" i="27" s="1"/>
  <c r="E94" i="27"/>
  <c r="H86" i="27"/>
  <c r="O91" i="27" s="1"/>
  <c r="D45" i="27"/>
  <c r="M45" i="27" s="1"/>
  <c r="H48" i="27"/>
  <c r="M53" i="27" s="1"/>
  <c r="C52" i="27"/>
  <c r="F85" i="27"/>
  <c r="N87" i="27" s="1"/>
  <c r="H89" i="27"/>
  <c r="J555" i="31"/>
  <c r="P891" i="31"/>
  <c r="H999" i="31"/>
  <c r="T44" i="31"/>
  <c r="N42" i="31"/>
  <c r="AL42" i="31"/>
  <c r="Z1380" i="31"/>
  <c r="F1380" i="31"/>
  <c r="J1382" i="31"/>
  <c r="T1380" i="31"/>
  <c r="J1381" i="31"/>
  <c r="H1382" i="31"/>
  <c r="S1380" i="31"/>
  <c r="N1381" i="31"/>
  <c r="T1348" i="31"/>
  <c r="N1350" i="31"/>
  <c r="P1350" i="31"/>
  <c r="U1349" i="31"/>
  <c r="J1350" i="31"/>
  <c r="Z1348" i="31"/>
  <c r="F1350" i="31"/>
  <c r="H1350" i="31"/>
  <c r="S1288" i="31"/>
  <c r="J1290" i="31"/>
  <c r="F1290" i="31"/>
  <c r="H1290" i="31"/>
  <c r="U1288" i="31"/>
  <c r="F1288" i="31"/>
  <c r="P1289" i="31"/>
  <c r="U1235" i="31"/>
  <c r="N1236" i="31"/>
  <c r="Z1234" i="31"/>
  <c r="F1234" i="31"/>
  <c r="J1236" i="31"/>
  <c r="T1234" i="31"/>
  <c r="J1235" i="31"/>
  <c r="H1236" i="31"/>
  <c r="Z1180" i="31"/>
  <c r="U1181" i="31"/>
  <c r="L1180" i="31"/>
  <c r="L1182" i="31"/>
  <c r="U1180" i="31"/>
  <c r="F1182" i="31"/>
  <c r="J1180" i="31"/>
  <c r="J1182" i="31"/>
  <c r="T1180" i="31"/>
  <c r="F1180" i="31"/>
  <c r="L1181" i="31"/>
  <c r="U1127" i="31"/>
  <c r="F1128" i="31"/>
  <c r="J1126" i="31"/>
  <c r="J1128" i="31"/>
  <c r="T1126" i="31"/>
  <c r="F1126" i="31"/>
  <c r="L1127" i="31"/>
  <c r="S1126" i="31"/>
  <c r="P1126" i="31"/>
  <c r="N1128" i="31"/>
  <c r="S1072" i="31"/>
  <c r="P1072" i="31"/>
  <c r="N1074" i="31"/>
  <c r="Z1072" i="31"/>
  <c r="S1074" i="31"/>
  <c r="L1072" i="31"/>
  <c r="L1074" i="31"/>
  <c r="U1073" i="31"/>
  <c r="F1074" i="31"/>
  <c r="J1072" i="31"/>
  <c r="J1074" i="31"/>
  <c r="S1014" i="31"/>
  <c r="F1014" i="31"/>
  <c r="J1012" i="31"/>
  <c r="J1014" i="31"/>
  <c r="S1013" i="31"/>
  <c r="F1012" i="31"/>
  <c r="L1013" i="31"/>
  <c r="U1014" i="31"/>
  <c r="P1012" i="31"/>
  <c r="N1014" i="31"/>
  <c r="U960" i="31"/>
  <c r="P958" i="31"/>
  <c r="L960" i="31"/>
  <c r="Z958" i="31"/>
  <c r="T960" i="31"/>
  <c r="L958" i="31"/>
  <c r="J960" i="31"/>
  <c r="S960" i="31"/>
  <c r="F960" i="31"/>
  <c r="J958" i="31"/>
  <c r="L959" i="31"/>
  <c r="S906" i="31"/>
  <c r="L906" i="31"/>
  <c r="P906" i="31"/>
  <c r="F904" i="31"/>
  <c r="S905" i="31"/>
  <c r="L904" i="31"/>
  <c r="J904" i="31"/>
  <c r="U906" i="31"/>
  <c r="J905" i="31"/>
  <c r="H905" i="31"/>
  <c r="Z850" i="31"/>
  <c r="S850" i="31"/>
  <c r="J850" i="31"/>
  <c r="L852" i="31"/>
  <c r="P850" i="31"/>
  <c r="S852" i="31"/>
  <c r="N852" i="31"/>
  <c r="H850" i="31"/>
  <c r="H851" i="31"/>
  <c r="S796" i="31"/>
  <c r="N798" i="31"/>
  <c r="F798" i="31"/>
  <c r="J797" i="31"/>
  <c r="H798" i="31"/>
  <c r="Z796" i="31"/>
  <c r="U798" i="31"/>
  <c r="N797" i="31"/>
  <c r="J796" i="31"/>
  <c r="L798" i="31"/>
  <c r="P796" i="31"/>
  <c r="S736" i="31"/>
  <c r="S738" i="31"/>
  <c r="L736" i="31"/>
  <c r="P738" i="31"/>
  <c r="J738" i="31"/>
  <c r="S737" i="31"/>
  <c r="N738" i="31"/>
  <c r="F738" i="31"/>
  <c r="J737" i="31"/>
  <c r="H738" i="31"/>
  <c r="T684" i="31"/>
  <c r="S683" i="31"/>
  <c r="N682" i="31"/>
  <c r="H682" i="31"/>
  <c r="H683" i="31"/>
  <c r="S682" i="31"/>
  <c r="U682" i="31"/>
  <c r="L682" i="31"/>
  <c r="P684" i="31"/>
  <c r="J684" i="31"/>
  <c r="Z628" i="31"/>
  <c r="T628" i="31"/>
  <c r="P629" i="31"/>
  <c r="H630" i="31"/>
  <c r="N630" i="31"/>
  <c r="H628" i="31"/>
  <c r="T630" i="31"/>
  <c r="U630" i="31"/>
  <c r="P628" i="31"/>
  <c r="F630" i="31"/>
  <c r="L629" i="31"/>
  <c r="S574" i="31"/>
  <c r="F576" i="31"/>
  <c r="H574" i="31"/>
  <c r="N576" i="31"/>
  <c r="P576" i="31"/>
  <c r="Z574" i="31"/>
  <c r="S576" i="31"/>
  <c r="F575" i="31"/>
  <c r="H576" i="31"/>
  <c r="J574" i="31"/>
  <c r="J576" i="31"/>
  <c r="U521" i="31"/>
  <c r="T522" i="31"/>
  <c r="L521" i="31"/>
  <c r="N520" i="31"/>
  <c r="P522" i="31"/>
  <c r="S461" i="31"/>
  <c r="T462" i="31"/>
  <c r="T460" i="31"/>
  <c r="N462" i="31"/>
  <c r="H462" i="31"/>
  <c r="N461" i="31"/>
  <c r="L462" i="31"/>
  <c r="S407" i="31"/>
  <c r="T406" i="31"/>
  <c r="S408" i="31"/>
  <c r="N408" i="31"/>
  <c r="N406" i="31"/>
  <c r="H406" i="31"/>
  <c r="H407" i="31"/>
  <c r="S353" i="31"/>
  <c r="T354" i="31"/>
  <c r="T352" i="31"/>
  <c r="N354" i="31"/>
  <c r="N352" i="31"/>
  <c r="H352" i="31"/>
  <c r="H353" i="31"/>
  <c r="S299" i="31"/>
  <c r="T298" i="31"/>
  <c r="S300" i="31"/>
  <c r="N300" i="31"/>
  <c r="H300" i="31"/>
  <c r="N299" i="31"/>
  <c r="J300" i="31"/>
  <c r="S245" i="31"/>
  <c r="T246" i="31"/>
  <c r="U245" i="31"/>
  <c r="J244" i="31"/>
  <c r="N245" i="31"/>
  <c r="H245" i="31"/>
  <c r="F244" i="31"/>
  <c r="N317" i="31"/>
  <c r="J539" i="31"/>
  <c r="J852" i="31"/>
  <c r="N850" i="31"/>
  <c r="F906" i="31"/>
  <c r="F958" i="31"/>
  <c r="T1014" i="31"/>
  <c r="T1072" i="31"/>
  <c r="Z1126" i="31"/>
  <c r="S1180" i="31"/>
  <c r="N1382" i="31"/>
  <c r="H856" i="31"/>
  <c r="F854" i="31"/>
  <c r="T854" i="31"/>
  <c r="P910" i="31"/>
  <c r="L908" i="31"/>
  <c r="T909" i="31"/>
  <c r="P964" i="31"/>
  <c r="S964" i="31"/>
  <c r="J1024" i="31"/>
  <c r="F1022" i="31"/>
  <c r="T1023" i="31"/>
  <c r="P1078" i="31"/>
  <c r="U1077" i="31"/>
  <c r="N1130" i="31"/>
  <c r="F1130" i="31"/>
  <c r="Z1130" i="31"/>
  <c r="P1185" i="31"/>
  <c r="Z1184" i="31"/>
  <c r="J1239" i="31"/>
  <c r="T1298" i="31"/>
  <c r="T10" i="31"/>
  <c r="S12" i="31"/>
  <c r="L11" i="31"/>
  <c r="C10" i="31"/>
  <c r="D10" i="31"/>
  <c r="P11" i="31"/>
  <c r="T11" i="31"/>
  <c r="N10" i="31"/>
  <c r="U32" i="31"/>
  <c r="T32" i="31"/>
  <c r="J31" i="31"/>
  <c r="N30" i="31"/>
  <c r="U30" i="31"/>
  <c r="L31" i="31"/>
  <c r="P30" i="31"/>
  <c r="T47" i="31"/>
  <c r="J46" i="31"/>
  <c r="U46" i="31"/>
  <c r="L47" i="31"/>
  <c r="F801" i="31"/>
  <c r="L801" i="31"/>
  <c r="J802" i="31"/>
  <c r="T802" i="31"/>
  <c r="U800" i="31"/>
  <c r="F855" i="31"/>
  <c r="N854" i="31"/>
  <c r="Z854" i="31"/>
  <c r="F909" i="31"/>
  <c r="L909" i="31"/>
  <c r="Z908" i="31"/>
  <c r="P963" i="31"/>
  <c r="S962" i="31"/>
  <c r="P1024" i="31"/>
  <c r="F1023" i="31"/>
  <c r="Z1022" i="31"/>
  <c r="P1077" i="31"/>
  <c r="S1078" i="31"/>
  <c r="J1132" i="31"/>
  <c r="S1353" i="31"/>
  <c r="AL46" i="31"/>
  <c r="P32" i="31"/>
  <c r="N11" i="31"/>
  <c r="J11" i="31"/>
  <c r="N46" i="31"/>
  <c r="T1239" i="31"/>
  <c r="S1239" i="31"/>
  <c r="L1240" i="31"/>
  <c r="U1186" i="31"/>
  <c r="T1184" i="31"/>
  <c r="J1184" i="31"/>
  <c r="J1186" i="31"/>
  <c r="S1132" i="31"/>
  <c r="U1130" i="31"/>
  <c r="P1131" i="31"/>
  <c r="AB10" i="30"/>
  <c r="AE10" i="30" s="1"/>
  <c r="AA12" i="30"/>
  <c r="Y18" i="30"/>
  <c r="Y13" i="30"/>
  <c r="Q6" i="30"/>
  <c r="T9" i="30" s="1"/>
  <c r="H84" i="27"/>
  <c r="M91" i="27" s="1"/>
  <c r="F87" i="27"/>
  <c r="M88" i="27" s="1"/>
  <c r="H88" i="27"/>
  <c r="N92" i="27" s="1"/>
  <c r="F89" i="27"/>
  <c r="C14" i="31"/>
  <c r="AL18" i="31"/>
  <c r="H15" i="31"/>
  <c r="J16" i="31"/>
  <c r="P14" i="31"/>
  <c r="L35" i="31"/>
  <c r="F36" i="31"/>
  <c r="N35" i="31"/>
  <c r="U36" i="31"/>
  <c r="U15" i="31"/>
  <c r="Z14" i="31"/>
  <c r="L18" i="31"/>
  <c r="H19" i="31"/>
  <c r="S20" i="31"/>
  <c r="Z18" i="31"/>
  <c r="Z7" i="30"/>
  <c r="AF5" i="30" s="1"/>
  <c r="AB6" i="30"/>
  <c r="AE9" i="30" s="1"/>
  <c r="AB8" i="30"/>
  <c r="AF10" i="30" s="1"/>
  <c r="AB9" i="30"/>
  <c r="AD10" i="30" s="1"/>
  <c r="V49" i="27"/>
  <c r="H49" i="27"/>
  <c r="N53" i="27" s="1"/>
  <c r="AL45" i="27"/>
  <c r="AI54" i="27"/>
  <c r="D87" i="27"/>
  <c r="M85" i="27" s="1"/>
  <c r="G93" i="27"/>
  <c r="E96" i="27"/>
  <c r="AN84" i="27"/>
  <c r="AS91" i="27" s="1"/>
  <c r="Z5" i="30"/>
  <c r="AD5" i="30" s="1"/>
  <c r="AA18" i="30"/>
  <c r="J501" i="31"/>
  <c r="N171" i="31"/>
  <c r="H171" i="31"/>
  <c r="R224" i="31"/>
  <c r="BG13" i="4"/>
  <c r="BJ317" i="4" s="1"/>
  <c r="BE317" i="4"/>
  <c r="S1381" i="31"/>
  <c r="T1382" i="31"/>
  <c r="T1381" i="31"/>
  <c r="L1382" i="31"/>
  <c r="J1380" i="31"/>
  <c r="H1381" i="31"/>
  <c r="N1380" i="31"/>
  <c r="U1382" i="31"/>
  <c r="S1382" i="31"/>
  <c r="F1381" i="31"/>
  <c r="H1380" i="31"/>
  <c r="L1381" i="31"/>
  <c r="P1380" i="31"/>
  <c r="L1380" i="31"/>
  <c r="S1349" i="31"/>
  <c r="T1350" i="31"/>
  <c r="T1349" i="31"/>
  <c r="L1350" i="31"/>
  <c r="H1349" i="31"/>
  <c r="N1348" i="31"/>
  <c r="J1348" i="31"/>
  <c r="U1350" i="31"/>
  <c r="S1350" i="31"/>
  <c r="F1349" i="31"/>
  <c r="H1348" i="31"/>
  <c r="P1348" i="31"/>
  <c r="L1348" i="31"/>
  <c r="L1349" i="31"/>
  <c r="S1289" i="31"/>
  <c r="T1290" i="31"/>
  <c r="T1289" i="31"/>
  <c r="L1290" i="31"/>
  <c r="H1289" i="31"/>
  <c r="N1288" i="31"/>
  <c r="L1289" i="31"/>
  <c r="U1290" i="31"/>
  <c r="S1290" i="31"/>
  <c r="F1289" i="31"/>
  <c r="H1288" i="31"/>
  <c r="P1288" i="31"/>
  <c r="L1288" i="31"/>
  <c r="J1288" i="31"/>
  <c r="S1235" i="31"/>
  <c r="T1236" i="31"/>
  <c r="T1235" i="31"/>
  <c r="L1236" i="31"/>
  <c r="L1235" i="31"/>
  <c r="P1234" i="31"/>
  <c r="L1234" i="31"/>
  <c r="U1236" i="31"/>
  <c r="S1236" i="31"/>
  <c r="F1235" i="31"/>
  <c r="H1234" i="31"/>
  <c r="H1235" i="31"/>
  <c r="N1234" i="31"/>
  <c r="J1234" i="31"/>
  <c r="S1181" i="31"/>
  <c r="T1182" i="31"/>
  <c r="T1181" i="31"/>
  <c r="H1182" i="31"/>
  <c r="N1181" i="31"/>
  <c r="H1180" i="31"/>
  <c r="H1181" i="31"/>
  <c r="U1182" i="31"/>
  <c r="S1182" i="31"/>
  <c r="F1181" i="31"/>
  <c r="P1181" i="31"/>
  <c r="P1182" i="31"/>
  <c r="J1181" i="31"/>
  <c r="N1180" i="31"/>
  <c r="T1127" i="31"/>
  <c r="U1128" i="31"/>
  <c r="S1127" i="31"/>
  <c r="H1128" i="31"/>
  <c r="N1127" i="31"/>
  <c r="H1126" i="31"/>
  <c r="H1127" i="31"/>
  <c r="U1126" i="31"/>
  <c r="T1128" i="31"/>
  <c r="F1127" i="31"/>
  <c r="P1127" i="31"/>
  <c r="P1128" i="31"/>
  <c r="J1127" i="31"/>
  <c r="N1126" i="31"/>
  <c r="T1073" i="31"/>
  <c r="U1074" i="31"/>
  <c r="S1073" i="31"/>
  <c r="H1074" i="31"/>
  <c r="N1073" i="31"/>
  <c r="H1072" i="31"/>
  <c r="H1073" i="31"/>
  <c r="U1072" i="31"/>
  <c r="T1074" i="31"/>
  <c r="F1073" i="31"/>
  <c r="P1073" i="31"/>
  <c r="P1074" i="31"/>
  <c r="J1073" i="31"/>
  <c r="N1072" i="31"/>
  <c r="U1013" i="31"/>
  <c r="U1012" i="31"/>
  <c r="S1012" i="31"/>
  <c r="H1014" i="31"/>
  <c r="N1013" i="31"/>
  <c r="H1012" i="31"/>
  <c r="H1013" i="31"/>
  <c r="T1013" i="31"/>
  <c r="T1012" i="31"/>
  <c r="F1013" i="31"/>
  <c r="P1013" i="31"/>
  <c r="P1014" i="31"/>
  <c r="J1013" i="31"/>
  <c r="N1012" i="31"/>
  <c r="U959" i="31"/>
  <c r="U958" i="31"/>
  <c r="S958" i="31"/>
  <c r="H960" i="31"/>
  <c r="N959" i="31"/>
  <c r="J959" i="31"/>
  <c r="N958" i="31"/>
  <c r="T959" i="31"/>
  <c r="T958" i="31"/>
  <c r="F959" i="31"/>
  <c r="P959" i="31"/>
  <c r="P960" i="31"/>
  <c r="H959" i="31"/>
  <c r="H958" i="31"/>
  <c r="U905" i="31"/>
  <c r="U904" i="31"/>
  <c r="S904" i="31"/>
  <c r="N906" i="31"/>
  <c r="P904" i="31"/>
  <c r="P905" i="31"/>
  <c r="J906" i="31"/>
  <c r="T905" i="31"/>
  <c r="T904" i="31"/>
  <c r="L905" i="31"/>
  <c r="H904" i="31"/>
  <c r="N905" i="31"/>
  <c r="N907" i="31" s="1"/>
  <c r="F905" i="31"/>
  <c r="H906" i="31"/>
  <c r="U851" i="31"/>
  <c r="U852" i="31"/>
  <c r="T851" i="31"/>
  <c r="P851" i="31"/>
  <c r="L851" i="31"/>
  <c r="F850" i="31"/>
  <c r="F851" i="31"/>
  <c r="S851" i="31"/>
  <c r="T852" i="31"/>
  <c r="N851" i="31"/>
  <c r="F852" i="31"/>
  <c r="U797" i="31"/>
  <c r="T796" i="31"/>
  <c r="U796" i="31"/>
  <c r="P797" i="31"/>
  <c r="L797" i="31"/>
  <c r="F796" i="31"/>
  <c r="F797" i="31"/>
  <c r="U737" i="31"/>
  <c r="U736" i="31"/>
  <c r="T737" i="31"/>
  <c r="P737" i="31"/>
  <c r="L737" i="31"/>
  <c r="F736" i="31"/>
  <c r="F737" i="31"/>
  <c r="U683" i="31"/>
  <c r="S684" i="31"/>
  <c r="T682" i="31"/>
  <c r="P683" i="31"/>
  <c r="L683" i="31"/>
  <c r="F682" i="31"/>
  <c r="F683" i="31"/>
  <c r="U629" i="31"/>
  <c r="U628" i="31"/>
  <c r="S630" i="31"/>
  <c r="J630" i="31"/>
  <c r="F629" i="31"/>
  <c r="L628" i="31"/>
  <c r="L630" i="31"/>
  <c r="S575" i="31"/>
  <c r="T576" i="31"/>
  <c r="T574" i="31"/>
  <c r="L576" i="31"/>
  <c r="P574" i="31"/>
  <c r="L575" i="31"/>
  <c r="L574" i="31"/>
  <c r="S521" i="31"/>
  <c r="T520" i="31"/>
  <c r="S522" i="31"/>
  <c r="N522" i="31"/>
  <c r="P520" i="31"/>
  <c r="L520" i="31"/>
  <c r="J521" i="31"/>
  <c r="J669" i="31"/>
  <c r="P669" i="31"/>
  <c r="L891" i="31"/>
  <c r="P1107" i="31"/>
  <c r="P1167" i="31"/>
  <c r="P1221" i="31"/>
  <c r="L1221" i="31"/>
  <c r="P95" i="31"/>
  <c r="N155" i="31"/>
  <c r="N209" i="31"/>
  <c r="P209" i="31"/>
  <c r="P263" i="31"/>
  <c r="R429" i="31"/>
  <c r="H485" i="31"/>
  <c r="J923" i="31"/>
  <c r="N795" i="31"/>
  <c r="N849" i="31"/>
  <c r="P1235" i="31"/>
  <c r="N1235" i="31"/>
  <c r="F1236" i="31"/>
  <c r="U1234" i="31"/>
  <c r="P1290" i="31"/>
  <c r="N1290" i="31"/>
  <c r="U1289" i="31"/>
  <c r="Z1288" i="31"/>
  <c r="P1349" i="31"/>
  <c r="J1349" i="31"/>
  <c r="S1348" i="31"/>
  <c r="P1381" i="31"/>
  <c r="P1382" i="31"/>
  <c r="F1382" i="31"/>
  <c r="U1380" i="31"/>
  <c r="S1322" i="31"/>
  <c r="T1324" i="31"/>
  <c r="N1324" i="31"/>
  <c r="S1269" i="31"/>
  <c r="U1268" i="31"/>
  <c r="J1268" i="31"/>
  <c r="H1268" i="31"/>
  <c r="S1214" i="31"/>
  <c r="S1216" i="31"/>
  <c r="P1215" i="31"/>
  <c r="J1214" i="31"/>
  <c r="Z1160" i="31"/>
  <c r="T1160" i="31"/>
  <c r="N1162" i="31"/>
  <c r="H1162" i="31"/>
  <c r="Z1100" i="31"/>
  <c r="T1100" i="31"/>
  <c r="T1101" i="31"/>
  <c r="H1101" i="31"/>
  <c r="N1101" i="31"/>
  <c r="Z1046" i="31"/>
  <c r="U1047" i="31"/>
  <c r="F1047" i="31"/>
  <c r="L1048" i="31"/>
  <c r="P1047" i="31"/>
  <c r="J1047" i="31"/>
  <c r="Z992" i="31"/>
  <c r="S994" i="31"/>
  <c r="F993" i="31"/>
  <c r="L994" i="31"/>
  <c r="N992" i="31"/>
  <c r="J993" i="31"/>
  <c r="U938" i="31"/>
  <c r="T939" i="31"/>
  <c r="F940" i="31"/>
  <c r="J939" i="31"/>
  <c r="H940" i="31"/>
  <c r="U886" i="31"/>
  <c r="S886" i="31"/>
  <c r="T884" i="31"/>
  <c r="H886" i="31"/>
  <c r="F886" i="31"/>
  <c r="N885" i="31"/>
  <c r="F884" i="31"/>
  <c r="T826" i="31"/>
  <c r="S825" i="31"/>
  <c r="N825" i="31"/>
  <c r="F824" i="31"/>
  <c r="P824" i="31"/>
  <c r="J824" i="31"/>
  <c r="J825" i="31"/>
  <c r="U770" i="31"/>
  <c r="S771" i="31"/>
  <c r="N772" i="31"/>
  <c r="H771" i="31"/>
  <c r="H772" i="31"/>
  <c r="P771" i="31"/>
  <c r="P772" i="31"/>
  <c r="U716" i="31"/>
  <c r="S717" i="31"/>
  <c r="N718" i="31"/>
  <c r="H717" i="31"/>
  <c r="H718" i="31"/>
  <c r="P717" i="31"/>
  <c r="P718" i="31"/>
  <c r="U662" i="31"/>
  <c r="S664" i="31"/>
  <c r="P664" i="31"/>
  <c r="L662" i="31"/>
  <c r="L664" i="31"/>
  <c r="H663" i="31"/>
  <c r="F664" i="31"/>
  <c r="U608" i="31"/>
  <c r="S609" i="31"/>
  <c r="P610" i="31"/>
  <c r="L608" i="31"/>
  <c r="L610" i="31"/>
  <c r="H609" i="31"/>
  <c r="F610" i="31"/>
  <c r="S548" i="31"/>
  <c r="U550" i="31"/>
  <c r="F550" i="31"/>
  <c r="P548" i="31"/>
  <c r="N550" i="31"/>
  <c r="J550" i="31"/>
  <c r="N549" i="31"/>
  <c r="S494" i="31"/>
  <c r="S495" i="31"/>
  <c r="F496" i="31"/>
  <c r="P494" i="31"/>
  <c r="N496" i="31"/>
  <c r="J496" i="31"/>
  <c r="N495" i="31"/>
  <c r="S440" i="31"/>
  <c r="U442" i="31"/>
  <c r="F442" i="31"/>
  <c r="AD6" i="27"/>
  <c r="S28" i="31"/>
  <c r="Z26" i="31"/>
  <c r="U28" i="31"/>
  <c r="L27" i="31"/>
  <c r="U27" i="31"/>
  <c r="N26" i="31"/>
  <c r="L26" i="31"/>
  <c r="S27" i="31"/>
  <c r="F27" i="31"/>
  <c r="F28" i="31"/>
  <c r="S44" i="31"/>
  <c r="U43" i="31"/>
  <c r="P42" i="31"/>
  <c r="L44" i="31"/>
  <c r="C42" i="31"/>
  <c r="T42" i="31"/>
  <c r="N43" i="31"/>
  <c r="N44" i="31"/>
  <c r="T43" i="31"/>
  <c r="L42" i="31"/>
  <c r="P1152" i="31"/>
  <c r="P1151" i="31"/>
  <c r="L1152" i="31"/>
  <c r="H1152" i="31"/>
  <c r="S1150" i="31"/>
  <c r="U1150" i="31"/>
  <c r="H1211" i="31"/>
  <c r="J1210" i="31"/>
  <c r="N1210" i="31"/>
  <c r="L1212" i="31"/>
  <c r="S1210" i="31"/>
  <c r="U1210" i="31"/>
  <c r="P1264" i="31"/>
  <c r="N1265" i="31"/>
  <c r="L1264" i="31"/>
  <c r="L1266" i="31"/>
  <c r="S1264" i="31"/>
  <c r="U1264" i="31"/>
  <c r="P1318" i="31"/>
  <c r="L1319" i="31"/>
  <c r="L1318" i="31"/>
  <c r="L1320" i="31"/>
  <c r="S1318" i="31"/>
  <c r="U1318" i="31"/>
  <c r="H1048" i="31"/>
  <c r="L1047" i="31"/>
  <c r="T1047" i="31"/>
  <c r="H1102" i="31"/>
  <c r="F1100" i="31"/>
  <c r="T1102" i="31"/>
  <c r="H1160" i="31"/>
  <c r="H1161" i="31"/>
  <c r="T1162" i="31"/>
  <c r="J1216" i="31"/>
  <c r="U1216" i="31"/>
  <c r="P1269" i="31"/>
  <c r="Z1268" i="31"/>
  <c r="L1322" i="31"/>
  <c r="U1323" i="31"/>
  <c r="D42" i="31"/>
  <c r="P28" i="31"/>
  <c r="N48" i="31"/>
  <c r="S48" i="31"/>
  <c r="B35" i="35"/>
  <c r="B34" i="35"/>
  <c r="K34" i="35"/>
  <c r="M168" i="27"/>
  <c r="K167" i="27"/>
  <c r="U17" i="27"/>
  <c r="X6" i="27"/>
  <c r="AD12" i="27" s="1"/>
  <c r="X10" i="27"/>
  <c r="V5" i="27"/>
  <c r="X8" i="27"/>
  <c r="AC13" i="27" s="1"/>
  <c r="S15" i="27"/>
  <c r="U13" i="27"/>
  <c r="T8" i="27"/>
  <c r="AC6" i="27" s="1"/>
  <c r="W13" i="27"/>
  <c r="W18" i="27"/>
  <c r="S16" i="27"/>
  <c r="U15" i="27"/>
  <c r="V7" i="27"/>
  <c r="AE8" i="27" s="1"/>
  <c r="U16" i="27"/>
  <c r="T6" i="27"/>
  <c r="AD5" i="27" s="1"/>
  <c r="V9" i="27"/>
  <c r="Y16" i="27"/>
  <c r="AC18" i="27" s="1"/>
  <c r="V6" i="27"/>
  <c r="AD8" i="27" s="1"/>
  <c r="X9" i="27"/>
  <c r="AD13" i="27" s="1"/>
  <c r="U14" i="27"/>
  <c r="S12" i="27"/>
  <c r="X5" i="27"/>
  <c r="AC12" i="27" s="1"/>
  <c r="V8" i="27"/>
  <c r="AC9" i="27" s="1"/>
  <c r="W17" i="27"/>
  <c r="X7" i="27"/>
  <c r="AE12" i="27" s="1"/>
  <c r="T10" i="27"/>
  <c r="AE6" i="27" s="1"/>
  <c r="S18" i="27"/>
  <c r="W15" i="27"/>
  <c r="S14" i="27"/>
  <c r="D30" i="31"/>
  <c r="C18" i="31"/>
  <c r="F10" i="31"/>
  <c r="AL34" i="31"/>
  <c r="F16" i="31"/>
  <c r="N16" i="31"/>
  <c r="J15" i="31"/>
  <c r="J14" i="31"/>
  <c r="L10" i="31"/>
  <c r="N32" i="31"/>
  <c r="F30" i="31"/>
  <c r="L30" i="31"/>
  <c r="T31" i="31"/>
  <c r="H11" i="31"/>
  <c r="U10" i="31"/>
  <c r="T12" i="31"/>
  <c r="P36" i="31"/>
  <c r="P34" i="31"/>
  <c r="J35" i="31"/>
  <c r="S36" i="31"/>
  <c r="S34" i="31"/>
  <c r="T16" i="31"/>
  <c r="U16" i="31"/>
  <c r="L20" i="31"/>
  <c r="N19" i="31"/>
  <c r="J20" i="31"/>
  <c r="U20" i="31"/>
  <c r="S19" i="31"/>
  <c r="L46" i="31"/>
  <c r="S47" i="31"/>
  <c r="M32" i="35"/>
  <c r="K33" i="35"/>
  <c r="K35" i="35"/>
  <c r="AA13" i="30"/>
  <c r="AA16" i="30"/>
  <c r="Z10" i="30"/>
  <c r="AE6" i="30" s="1"/>
  <c r="Z8" i="30"/>
  <c r="AF6" i="30" s="1"/>
  <c r="Z6" i="30"/>
  <c r="AE5" i="30" s="1"/>
  <c r="AB5" i="30"/>
  <c r="AD9" i="30" s="1"/>
  <c r="Z9" i="30"/>
  <c r="AD6" i="30" s="1"/>
  <c r="Y17" i="30"/>
  <c r="E134" i="27"/>
  <c r="E133" i="27"/>
  <c r="AK97" i="27"/>
  <c r="C135" i="27"/>
  <c r="AM94" i="27"/>
  <c r="G136" i="27"/>
  <c r="F125" i="27"/>
  <c r="N127" i="27" s="1"/>
  <c r="AI95" i="27"/>
  <c r="F48" i="27"/>
  <c r="M49" i="27" s="1"/>
  <c r="I56" i="27"/>
  <c r="M58" i="27" s="1"/>
  <c r="AI93" i="27"/>
  <c r="F124" i="27"/>
  <c r="M127" i="27" s="1"/>
  <c r="H128" i="27"/>
  <c r="N132" i="27" s="1"/>
  <c r="G134" i="27"/>
  <c r="G133" i="27"/>
  <c r="H125" i="27"/>
  <c r="N131" i="27" s="1"/>
  <c r="AK93" i="27"/>
  <c r="C131" i="27"/>
  <c r="D124" i="27"/>
  <c r="G135" i="27"/>
  <c r="AM93" i="27"/>
  <c r="AM17" i="27"/>
  <c r="AK17" i="27"/>
  <c r="AK14" i="27"/>
  <c r="AM15" i="27"/>
  <c r="F47" i="27"/>
  <c r="O48" i="27" s="1"/>
  <c r="G55" i="27"/>
  <c r="E57" i="27"/>
  <c r="G94" i="27"/>
  <c r="AO95" i="27"/>
  <c r="AS97" i="27" s="1"/>
  <c r="F129" i="27"/>
  <c r="C136" i="27"/>
  <c r="E132" i="27"/>
  <c r="H124" i="27"/>
  <c r="M131" i="27" s="1"/>
  <c r="AI92" i="27"/>
  <c r="H127" i="27"/>
  <c r="M132" i="27" s="1"/>
  <c r="D129" i="27"/>
  <c r="O125" i="27" s="1"/>
  <c r="AK92" i="27"/>
  <c r="AK16" i="27"/>
  <c r="AN10" i="27"/>
  <c r="AI13" i="27"/>
  <c r="AK18" i="27"/>
  <c r="D47" i="27"/>
  <c r="H47" i="27"/>
  <c r="O52" i="27" s="1"/>
  <c r="F49" i="27"/>
  <c r="D50" i="27"/>
  <c r="O46" i="27" s="1"/>
  <c r="H50" i="27"/>
  <c r="C53" i="27"/>
  <c r="C54" i="27"/>
  <c r="C56" i="27"/>
  <c r="G57" i="27"/>
  <c r="AI53" i="27"/>
  <c r="AK55" i="27"/>
  <c r="AL85" i="27"/>
  <c r="AT87" i="27" s="1"/>
  <c r="AL87" i="27"/>
  <c r="AS88" i="27" s="1"/>
  <c r="AM95" i="27"/>
  <c r="D125" i="27"/>
  <c r="N124" i="27" s="1"/>
  <c r="F127" i="27"/>
  <c r="M128" i="27" s="1"/>
  <c r="C134" i="27"/>
  <c r="L723" i="31"/>
  <c r="J1107" i="31"/>
  <c r="J481" i="31"/>
  <c r="L979" i="31"/>
  <c r="F371" i="31"/>
  <c r="H431" i="31"/>
  <c r="L555" i="31"/>
  <c r="F999" i="31"/>
  <c r="R1273" i="31"/>
  <c r="J589" i="31"/>
  <c r="F1309" i="31"/>
  <c r="F95" i="31"/>
  <c r="L263" i="31"/>
  <c r="F317" i="31"/>
  <c r="F539" i="31"/>
  <c r="R1052" i="31"/>
  <c r="L427" i="31"/>
  <c r="R93" i="31"/>
  <c r="F209" i="31"/>
  <c r="F919" i="31"/>
  <c r="P427" i="31"/>
  <c r="F263" i="31"/>
  <c r="L539" i="31"/>
  <c r="P1367" i="31"/>
  <c r="J117" i="31"/>
  <c r="P117" i="31"/>
  <c r="J225" i="31"/>
  <c r="P279" i="31"/>
  <c r="R336" i="31"/>
  <c r="P681" i="31"/>
  <c r="F501" i="31"/>
  <c r="T22" i="31"/>
  <c r="J23" i="31"/>
  <c r="U22" i="31"/>
  <c r="P24" i="31"/>
  <c r="S24" i="31"/>
  <c r="S40" i="31"/>
  <c r="N39" i="31"/>
  <c r="U38" i="31"/>
  <c r="F39" i="31"/>
  <c r="L39" i="31"/>
  <c r="F63" i="31"/>
  <c r="R168" i="31"/>
  <c r="R278" i="31"/>
  <c r="R499" i="31"/>
  <c r="R721" i="31"/>
  <c r="P777" i="31"/>
  <c r="H945" i="31"/>
  <c r="N1053" i="31"/>
  <c r="P1102" i="31"/>
  <c r="N1100" i="31"/>
  <c r="L1102" i="31"/>
  <c r="F1102" i="31"/>
  <c r="S1101" i="31"/>
  <c r="J1161" i="31"/>
  <c r="N1160" i="31"/>
  <c r="L1162" i="31"/>
  <c r="F1161" i="31"/>
  <c r="U1160" i="31"/>
  <c r="P1216" i="31"/>
  <c r="H1215" i="31"/>
  <c r="F1216" i="31"/>
  <c r="P1270" i="31"/>
  <c r="F1268" i="31"/>
  <c r="H1323" i="31"/>
  <c r="P1323" i="31"/>
  <c r="AL38" i="31"/>
  <c r="T1323" i="31"/>
  <c r="T1322" i="31"/>
  <c r="F1323" i="31"/>
  <c r="N1323" i="31"/>
  <c r="H1322" i="31"/>
  <c r="Z1322" i="31"/>
  <c r="U1322" i="31"/>
  <c r="F1324" i="31"/>
  <c r="J1322" i="31"/>
  <c r="J1323" i="31"/>
  <c r="P1322" i="31"/>
  <c r="S1324" i="31"/>
  <c r="U1324" i="31"/>
  <c r="F1322" i="31"/>
  <c r="P1324" i="31"/>
  <c r="L1324" i="31"/>
  <c r="H1324" i="31"/>
  <c r="S1268" i="31"/>
  <c r="U1270" i="31"/>
  <c r="F1270" i="31"/>
  <c r="N1268" i="31"/>
  <c r="L1268" i="31"/>
  <c r="N1270" i="31"/>
  <c r="J1270" i="31"/>
  <c r="T1269" i="31"/>
  <c r="T1268" i="31"/>
  <c r="F1269" i="31"/>
  <c r="N1269" i="31"/>
  <c r="J1269" i="31"/>
  <c r="P1268" i="31"/>
  <c r="L1269" i="31"/>
  <c r="T1215" i="31"/>
  <c r="T1214" i="31"/>
  <c r="F1215" i="31"/>
  <c r="H1216" i="31"/>
  <c r="L1216" i="31"/>
  <c r="N1215" i="31"/>
  <c r="Z1214" i="31"/>
  <c r="S1215" i="31"/>
  <c r="T1216" i="31"/>
  <c r="F1214" i="31"/>
  <c r="L1214" i="31"/>
  <c r="P1214" i="31"/>
  <c r="H1214" i="31"/>
  <c r="S1160" i="31"/>
  <c r="U1162" i="31"/>
  <c r="F1162" i="31"/>
  <c r="L1161" i="31"/>
  <c r="J1162" i="31"/>
  <c r="P1161" i="31"/>
  <c r="P1162" i="31"/>
  <c r="U1102" i="31"/>
  <c r="S1102" i="31"/>
  <c r="F1101" i="31"/>
  <c r="J1100" i="31"/>
  <c r="P1100" i="31"/>
  <c r="L1100" i="31"/>
  <c r="J1101" i="31"/>
  <c r="U1048" i="31"/>
  <c r="S1048" i="31"/>
  <c r="T1046" i="31"/>
  <c r="N1048" i="31"/>
  <c r="H1047" i="31"/>
  <c r="N1046" i="31"/>
  <c r="H1046" i="31"/>
  <c r="U992" i="31"/>
  <c r="U993" i="31"/>
  <c r="F994" i="31"/>
  <c r="L993" i="31"/>
  <c r="J994" i="31"/>
  <c r="P993" i="31"/>
  <c r="P994" i="31"/>
  <c r="Z938" i="31"/>
  <c r="S938" i="31"/>
  <c r="S939" i="31"/>
  <c r="L938" i="31"/>
  <c r="N938" i="31"/>
  <c r="J940" i="31"/>
  <c r="F939" i="31"/>
  <c r="N23" i="31"/>
  <c r="P22" i="31"/>
  <c r="F38" i="31"/>
  <c r="D6" i="30"/>
  <c r="I5" i="30" s="1"/>
  <c r="D9" i="30"/>
  <c r="H6" i="30" s="1"/>
  <c r="E17" i="30"/>
  <c r="D7" i="30"/>
  <c r="J5" i="30" s="1"/>
  <c r="E14" i="27"/>
  <c r="C13" i="27"/>
  <c r="H5" i="27"/>
  <c r="M12" i="27" s="1"/>
  <c r="F8" i="27"/>
  <c r="M9" i="27" s="1"/>
  <c r="E17" i="27"/>
  <c r="E13" i="27"/>
  <c r="F10" i="27"/>
  <c r="I16" i="27"/>
  <c r="M18" i="27" s="1"/>
  <c r="Z13" i="35"/>
  <c r="AB11" i="35"/>
  <c r="X11" i="35"/>
  <c r="Y11" i="35"/>
  <c r="Z11" i="35"/>
  <c r="Q11" i="35"/>
  <c r="R9" i="35"/>
  <c r="S9" i="35" s="1"/>
  <c r="T9" i="35" s="1"/>
  <c r="U9" i="35" s="1"/>
  <c r="V9" i="35" s="1"/>
  <c r="W9" i="35" s="1"/>
  <c r="X9" i="35" s="1"/>
  <c r="Z12" i="35"/>
  <c r="Q13" i="35"/>
  <c r="T10" i="35"/>
  <c r="W11" i="35"/>
  <c r="AB10" i="35"/>
  <c r="AB9" i="35"/>
  <c r="Q10" i="35"/>
  <c r="U11" i="35"/>
  <c r="Q12" i="35"/>
  <c r="D28" i="30"/>
  <c r="H28" i="30" s="1"/>
  <c r="D33" i="30"/>
  <c r="I29" i="30" s="1"/>
  <c r="C39" i="30"/>
  <c r="T1352" i="31"/>
  <c r="L1353" i="31"/>
  <c r="H10" i="31"/>
  <c r="P10" i="31"/>
  <c r="F31" i="31"/>
  <c r="F32" i="31"/>
  <c r="J30" i="31"/>
  <c r="U31" i="31"/>
  <c r="F11" i="31"/>
  <c r="P12" i="31"/>
  <c r="L12" i="31"/>
  <c r="P46" i="31"/>
  <c r="J48" i="31"/>
  <c r="H47" i="31"/>
  <c r="E16" i="27"/>
  <c r="BB12" i="4"/>
  <c r="J12" i="31"/>
  <c r="N12" i="31"/>
  <c r="S10" i="31"/>
  <c r="U11" i="31"/>
  <c r="S11" i="31"/>
  <c r="J10" i="31"/>
  <c r="Z30" i="31"/>
  <c r="S30" i="31"/>
  <c r="S32" i="31"/>
  <c r="L32" i="31"/>
  <c r="H31" i="31"/>
  <c r="H30" i="31"/>
  <c r="J32" i="31"/>
  <c r="AL30" i="31"/>
  <c r="U48" i="31"/>
  <c r="T46" i="31"/>
  <c r="H46" i="31"/>
  <c r="P47" i="31"/>
  <c r="F47" i="31"/>
  <c r="F46" i="31"/>
  <c r="F48" i="31"/>
  <c r="Z46" i="31"/>
  <c r="T48" i="31"/>
  <c r="U47" i="31"/>
  <c r="H48" i="31"/>
  <c r="L48" i="31"/>
  <c r="J47" i="31"/>
  <c r="P48" i="31"/>
  <c r="C46" i="31"/>
  <c r="H9" i="27"/>
  <c r="N13" i="27" s="1"/>
  <c r="C15" i="27"/>
  <c r="R11" i="35"/>
  <c r="D26" i="31"/>
  <c r="F26" i="31"/>
  <c r="J28" i="31"/>
  <c r="U26" i="31"/>
  <c r="P43" i="31"/>
  <c r="F44" i="31"/>
  <c r="U44" i="31"/>
  <c r="G33" i="35"/>
  <c r="I33" i="35"/>
  <c r="L33" i="35"/>
  <c r="H33" i="35"/>
  <c r="B33" i="35"/>
  <c r="C33" i="35"/>
  <c r="M33" i="35"/>
  <c r="J33" i="35"/>
  <c r="F33" i="35"/>
  <c r="C31" i="35"/>
  <c r="D31" i="35" s="1"/>
  <c r="E31" i="35" s="1"/>
  <c r="F31" i="35" s="1"/>
  <c r="G31" i="35" s="1"/>
  <c r="H31" i="35" s="1"/>
  <c r="I31" i="35" s="1"/>
  <c r="P18" i="30"/>
  <c r="AE49" i="27"/>
  <c r="O127" i="27"/>
  <c r="F45" i="27"/>
  <c r="M48" i="27" s="1"/>
  <c r="D46" i="27"/>
  <c r="H46" i="27"/>
  <c r="N52" i="27" s="1"/>
  <c r="D48" i="27"/>
  <c r="M46" i="27" s="1"/>
  <c r="G53" i="27"/>
  <c r="E54" i="27"/>
  <c r="C55" i="27"/>
  <c r="E56" i="27"/>
  <c r="E58" i="27"/>
  <c r="C58" i="27"/>
  <c r="E92" i="27"/>
  <c r="E93" i="27"/>
  <c r="C94" i="27"/>
  <c r="G96" i="27"/>
  <c r="AJ84" i="27"/>
  <c r="AJ86" i="27"/>
  <c r="AL89" i="27"/>
  <c r="AM92" i="27"/>
  <c r="AI94" i="27"/>
  <c r="AI97" i="27"/>
  <c r="F128" i="27"/>
  <c r="C133" i="27"/>
  <c r="I135" i="27"/>
  <c r="M137" i="27" s="1"/>
  <c r="H45" i="27"/>
  <c r="F46" i="27"/>
  <c r="N48" i="27" s="1"/>
  <c r="D49" i="27"/>
  <c r="G54" i="27"/>
  <c r="E55" i="27"/>
  <c r="G56" i="27"/>
  <c r="C57" i="27"/>
  <c r="AL84" i="27"/>
  <c r="AS87" i="27" s="1"/>
  <c r="AJ85" i="27"/>
  <c r="AN85" i="27"/>
  <c r="AT91" i="27" s="1"/>
  <c r="AL86" i="27"/>
  <c r="AU87" i="27" s="1"/>
  <c r="AJ87" i="27"/>
  <c r="AS85" i="27" s="1"/>
  <c r="AN89" i="27"/>
  <c r="AK95" i="27"/>
  <c r="AM97" i="27"/>
  <c r="H117" i="31"/>
  <c r="R223" i="31"/>
  <c r="H279" i="31"/>
  <c r="J279" i="31"/>
  <c r="R1327" i="31"/>
  <c r="H1329" i="31"/>
  <c r="H802" i="31"/>
  <c r="P802" i="31"/>
  <c r="P801" i="31"/>
  <c r="N800" i="31"/>
  <c r="S802" i="31"/>
  <c r="U801" i="31"/>
  <c r="L854" i="31"/>
  <c r="H854" i="31"/>
  <c r="N855" i="31"/>
  <c r="J908" i="31"/>
  <c r="P909" i="31"/>
  <c r="N962" i="31"/>
  <c r="H962" i="31"/>
  <c r="F963" i="31"/>
  <c r="H1023" i="31"/>
  <c r="J1022" i="31"/>
  <c r="N1076" i="31"/>
  <c r="H1076" i="31"/>
  <c r="F1077" i="31"/>
  <c r="H1131" i="31"/>
  <c r="J1130" i="31"/>
  <c r="N1184" i="31"/>
  <c r="H1184" i="31"/>
  <c r="F1185" i="31"/>
  <c r="H1239" i="31"/>
  <c r="N1240" i="31"/>
  <c r="L1299" i="31"/>
  <c r="L1352" i="31"/>
  <c r="U24" i="31"/>
  <c r="S23" i="31"/>
  <c r="H22" i="31"/>
  <c r="F24" i="31"/>
  <c r="N22" i="31"/>
  <c r="N24" i="31"/>
  <c r="J22" i="31"/>
  <c r="AL22" i="31"/>
  <c r="S22" i="31"/>
  <c r="T23" i="31"/>
  <c r="H23" i="31"/>
  <c r="P23" i="31"/>
  <c r="J24" i="31"/>
  <c r="F22" i="31"/>
  <c r="L22" i="31"/>
  <c r="C22" i="31"/>
  <c r="Z22" i="31"/>
  <c r="T24" i="31"/>
  <c r="U23" i="31"/>
  <c r="H24" i="31"/>
  <c r="F23" i="31"/>
  <c r="L24" i="31"/>
  <c r="L23" i="31"/>
  <c r="D22" i="31"/>
  <c r="U40" i="31"/>
  <c r="S39" i="31"/>
  <c r="P38" i="31"/>
  <c r="H39" i="31"/>
  <c r="H40" i="31"/>
  <c r="J39" i="31"/>
  <c r="L38" i="31"/>
  <c r="S38" i="31"/>
  <c r="T39" i="31"/>
  <c r="P39" i="31"/>
  <c r="J40" i="31"/>
  <c r="L40" i="31"/>
  <c r="H38" i="31"/>
  <c r="F40" i="31"/>
  <c r="C38" i="31"/>
  <c r="Z38" i="31"/>
  <c r="T40" i="31"/>
  <c r="U39" i="31"/>
  <c r="P40" i="31"/>
  <c r="N38" i="31"/>
  <c r="N40" i="31"/>
  <c r="J38" i="31"/>
  <c r="D38" i="31"/>
  <c r="S1354" i="31"/>
  <c r="T1354" i="31"/>
  <c r="U1352" i="31"/>
  <c r="P1353" i="31"/>
  <c r="J1354" i="31"/>
  <c r="N1353" i="31"/>
  <c r="H1352" i="31"/>
  <c r="S1352" i="31"/>
  <c r="U1353" i="31"/>
  <c r="F1354" i="31"/>
  <c r="N1352" i="31"/>
  <c r="P1352" i="31"/>
  <c r="J1352" i="31"/>
  <c r="N1354" i="31"/>
  <c r="U1354" i="31"/>
  <c r="T1353" i="31"/>
  <c r="F1353" i="31"/>
  <c r="L1354" i="31"/>
  <c r="H1354" i="31"/>
  <c r="P1354" i="31"/>
  <c r="J1353" i="31"/>
  <c r="S1300" i="31"/>
  <c r="T1300" i="31"/>
  <c r="U1298" i="31"/>
  <c r="P1299" i="31"/>
  <c r="J1300" i="31"/>
  <c r="N1299" i="31"/>
  <c r="N1300" i="31"/>
  <c r="S1298" i="31"/>
  <c r="U1299" i="31"/>
  <c r="F1300" i="31"/>
  <c r="N1298" i="31"/>
  <c r="P1298" i="31"/>
  <c r="J1298" i="31"/>
  <c r="J1299" i="31"/>
  <c r="U1300" i="31"/>
  <c r="T1299" i="31"/>
  <c r="F1299" i="31"/>
  <c r="L1300" i="31"/>
  <c r="H1300" i="31"/>
  <c r="P1300" i="31"/>
  <c r="H1298" i="31"/>
  <c r="S1240" i="31"/>
  <c r="T1240" i="31"/>
  <c r="U1238" i="31"/>
  <c r="P1239" i="31"/>
  <c r="H1240" i="31"/>
  <c r="L1239" i="31"/>
  <c r="P1238" i="31"/>
  <c r="S1238" i="31"/>
  <c r="U1239" i="31"/>
  <c r="F1240" i="31"/>
  <c r="N1238" i="31"/>
  <c r="J1238" i="31"/>
  <c r="P1240" i="31"/>
  <c r="J1240" i="31"/>
  <c r="S1186" i="31"/>
  <c r="T1186" i="31"/>
  <c r="U1184" i="31"/>
  <c r="N1186" i="31"/>
  <c r="L1184" i="31"/>
  <c r="J1185" i="31"/>
  <c r="P1184" i="31"/>
  <c r="S1184" i="31"/>
  <c r="U1185" i="31"/>
  <c r="F1186" i="31"/>
  <c r="L1185" i="31"/>
  <c r="N1185" i="31"/>
  <c r="L1186" i="31"/>
  <c r="H1186" i="31"/>
  <c r="T1132" i="31"/>
  <c r="S1131" i="31"/>
  <c r="T1131" i="31"/>
  <c r="N1132" i="31"/>
  <c r="L1130" i="31"/>
  <c r="J1131" i="31"/>
  <c r="P1130" i="31"/>
  <c r="T1130" i="31"/>
  <c r="S1130" i="31"/>
  <c r="F1132" i="31"/>
  <c r="L1131" i="31"/>
  <c r="N1131" i="31"/>
  <c r="L1132" i="31"/>
  <c r="H1132" i="31"/>
  <c r="T1078" i="31"/>
  <c r="S1077" i="31"/>
  <c r="T1077" i="31"/>
  <c r="N1078" i="31"/>
  <c r="L1076" i="31"/>
  <c r="J1077" i="31"/>
  <c r="P1076" i="31"/>
  <c r="T1076" i="31"/>
  <c r="S1076" i="31"/>
  <c r="F1078" i="31"/>
  <c r="L1077" i="31"/>
  <c r="N1077" i="31"/>
  <c r="L1078" i="31"/>
  <c r="H1078" i="31"/>
  <c r="U1024" i="31"/>
  <c r="T1022" i="31"/>
  <c r="U1023" i="31"/>
  <c r="N1024" i="31"/>
  <c r="L1022" i="31"/>
  <c r="J1023" i="31"/>
  <c r="P1022" i="31"/>
  <c r="U1022" i="31"/>
  <c r="T1024" i="31"/>
  <c r="F1024" i="31"/>
  <c r="L1023" i="31"/>
  <c r="N1023" i="31"/>
  <c r="L1024" i="31"/>
  <c r="H1024" i="31"/>
  <c r="U964" i="31"/>
  <c r="T962" i="31"/>
  <c r="U963" i="31"/>
  <c r="N964" i="31"/>
  <c r="L962" i="31"/>
  <c r="J963" i="31"/>
  <c r="P962" i="31"/>
  <c r="U962" i="31"/>
  <c r="T964" i="31"/>
  <c r="F964" i="31"/>
  <c r="L963" i="31"/>
  <c r="N963" i="31"/>
  <c r="L964" i="31"/>
  <c r="H964" i="31"/>
  <c r="U910" i="31"/>
  <c r="T908" i="31"/>
  <c r="U909" i="31"/>
  <c r="F910" i="31"/>
  <c r="J909" i="31"/>
  <c r="H909" i="31"/>
  <c r="F908" i="31"/>
  <c r="U908" i="31"/>
  <c r="T910" i="31"/>
  <c r="L910" i="31"/>
  <c r="P908" i="31"/>
  <c r="H908" i="31"/>
  <c r="N908" i="31"/>
  <c r="J910" i="31"/>
  <c r="U856" i="31"/>
  <c r="T856" i="31"/>
  <c r="S855" i="31"/>
  <c r="J856" i="31"/>
  <c r="J854" i="31"/>
  <c r="J855" i="31"/>
  <c r="P854" i="31"/>
  <c r="U854" i="31"/>
  <c r="S854" i="31"/>
  <c r="N856" i="31"/>
  <c r="H855" i="31"/>
  <c r="L855" i="31"/>
  <c r="L856" i="31"/>
  <c r="F856" i="31"/>
  <c r="L1238" i="31"/>
  <c r="N1239" i="31"/>
  <c r="F1239" i="31"/>
  <c r="U1240" i="31"/>
  <c r="H1299" i="31"/>
  <c r="Z1298" i="31"/>
  <c r="F1352" i="31"/>
  <c r="G17" i="27"/>
  <c r="C14" i="27"/>
  <c r="G13" i="27"/>
  <c r="G18" i="27"/>
  <c r="C18" i="27"/>
  <c r="F7" i="27"/>
  <c r="O8" i="27" s="1"/>
  <c r="F6" i="27"/>
  <c r="N8" i="27" s="1"/>
  <c r="F5" i="27"/>
  <c r="H8" i="27"/>
  <c r="M13" i="27" s="1"/>
  <c r="D10" i="27"/>
  <c r="D6" i="27"/>
  <c r="D8" i="27"/>
  <c r="AL26" i="31"/>
  <c r="H28" i="31"/>
  <c r="N27" i="31"/>
  <c r="N28" i="31"/>
  <c r="L28" i="31"/>
  <c r="J27" i="31"/>
  <c r="T28" i="31"/>
  <c r="T26" i="31"/>
  <c r="F34" i="31"/>
  <c r="J36" i="31"/>
  <c r="P35" i="31"/>
  <c r="H34" i="31"/>
  <c r="T36" i="31"/>
  <c r="T34" i="31"/>
  <c r="S16" i="31"/>
  <c r="H18" i="31"/>
  <c r="H20" i="31"/>
  <c r="J18" i="31"/>
  <c r="N20" i="31"/>
  <c r="F19" i="31"/>
  <c r="T20" i="31"/>
  <c r="J42" i="31"/>
  <c r="H43" i="31"/>
  <c r="H42" i="31"/>
  <c r="P44" i="31"/>
  <c r="F43" i="31"/>
  <c r="S43" i="31"/>
  <c r="S42" i="31"/>
  <c r="D9" i="27"/>
  <c r="F9" i="27"/>
  <c r="H10" i="27"/>
  <c r="G14" i="27"/>
  <c r="C17" i="27"/>
  <c r="C16" i="27"/>
  <c r="C26" i="31"/>
  <c r="P26" i="31"/>
  <c r="H26" i="31"/>
  <c r="H27" i="31"/>
  <c r="P27" i="31"/>
  <c r="J26" i="31"/>
  <c r="T27" i="31"/>
  <c r="L43" i="31"/>
  <c r="J44" i="31"/>
  <c r="J43" i="31"/>
  <c r="H44" i="31"/>
  <c r="F42" i="31"/>
  <c r="U42" i="31"/>
  <c r="D5" i="27"/>
  <c r="C12" i="27"/>
  <c r="H7" i="27"/>
  <c r="O12" i="27" s="1"/>
  <c r="G16" i="27"/>
  <c r="G15" i="27"/>
  <c r="E18" i="27"/>
  <c r="F9" i="30"/>
  <c r="H10" i="30" s="1"/>
  <c r="F8" i="30"/>
  <c r="J10" i="30" s="1"/>
  <c r="F6" i="30"/>
  <c r="I9" i="30" s="1"/>
  <c r="G2" i="30"/>
  <c r="C17" i="30"/>
  <c r="E13" i="30"/>
  <c r="E18" i="30"/>
  <c r="E12" i="30"/>
  <c r="C16" i="30"/>
  <c r="F7" i="30"/>
  <c r="J9" i="30" s="1"/>
  <c r="D8" i="30"/>
  <c r="J6" i="30" s="1"/>
  <c r="C13" i="30"/>
  <c r="F5" i="30"/>
  <c r="C12" i="30"/>
  <c r="C18" i="30"/>
  <c r="E16" i="30"/>
  <c r="D10" i="30"/>
  <c r="I6" i="30" s="1"/>
  <c r="F10" i="30"/>
  <c r="I10" i="30" s="1"/>
  <c r="N13" i="30"/>
  <c r="F33" i="30"/>
  <c r="I33" i="30" s="1"/>
  <c r="P17" i="30"/>
  <c r="E39" i="30"/>
  <c r="P13" i="30"/>
  <c r="D30" i="30"/>
  <c r="J28" i="30" s="1"/>
  <c r="AE9" i="27"/>
  <c r="AD48" i="27"/>
  <c r="W97" i="27"/>
  <c r="V88" i="27"/>
  <c r="S92" i="27"/>
  <c r="S95" i="27"/>
  <c r="Y95" i="27"/>
  <c r="X87" i="27"/>
  <c r="E177" i="27"/>
  <c r="F165" i="27"/>
  <c r="D164" i="27"/>
  <c r="H168" i="27"/>
  <c r="E174" i="27"/>
  <c r="E173" i="27"/>
  <c r="U57" i="27"/>
  <c r="S55" i="27"/>
  <c r="Y56" i="27"/>
  <c r="S52" i="27"/>
  <c r="V45" i="27"/>
  <c r="W56" i="27"/>
  <c r="S58" i="27"/>
  <c r="U53" i="27"/>
  <c r="X48" i="27"/>
  <c r="AM13" i="27"/>
  <c r="AN6" i="27"/>
  <c r="AM14" i="27"/>
  <c r="AL7" i="27"/>
  <c r="AJ8" i="27"/>
  <c r="AJ9" i="27"/>
  <c r="AL9" i="27"/>
  <c r="AM16" i="27"/>
  <c r="AI18" i="27"/>
  <c r="D86" i="27"/>
  <c r="C95" i="27"/>
  <c r="I95" i="27"/>
  <c r="C97" i="27"/>
  <c r="C132" i="27"/>
  <c r="E135" i="27"/>
  <c r="AL8" i="27"/>
  <c r="AS9" i="27" s="1"/>
  <c r="AN9" i="27"/>
  <c r="AT13" i="27" s="1"/>
  <c r="AL10" i="27"/>
  <c r="AI14" i="27"/>
  <c r="AI15" i="27"/>
  <c r="AO16" i="27"/>
  <c r="AL47" i="27"/>
  <c r="AI52" i="27"/>
  <c r="D84" i="27"/>
  <c r="D85" i="27"/>
  <c r="H85" i="27"/>
  <c r="F86" i="27"/>
  <c r="D88" i="27"/>
  <c r="C92" i="27"/>
  <c r="E95" i="27"/>
  <c r="G95" i="27"/>
  <c r="AN87" i="27"/>
  <c r="AJ88" i="27"/>
  <c r="AL88" i="27"/>
  <c r="AI91" i="27"/>
  <c r="AK94" i="27"/>
  <c r="D126" i="27"/>
  <c r="D127" i="27"/>
  <c r="D128" i="27"/>
  <c r="E41" i="30" l="1"/>
  <c r="F30" i="30"/>
  <c r="J32" i="30" s="1"/>
  <c r="C36" i="30"/>
  <c r="C41" i="30"/>
  <c r="D32" i="30"/>
  <c r="H29" i="30" s="1"/>
  <c r="D29" i="30"/>
  <c r="F28" i="30"/>
  <c r="C35" i="30"/>
  <c r="E35" i="30"/>
  <c r="E40" i="30"/>
  <c r="E36" i="30"/>
  <c r="F31" i="30"/>
  <c r="J33" i="30" s="1"/>
  <c r="D31" i="30"/>
  <c r="J29" i="30" s="1"/>
  <c r="C40" i="30"/>
  <c r="F29" i="30"/>
  <c r="I32" i="30" s="1"/>
  <c r="B38" i="30"/>
  <c r="BK80" i="27"/>
  <c r="BI56" i="27"/>
  <c r="AJ55" i="30"/>
  <c r="BI16" i="27"/>
  <c r="I9" i="31"/>
  <c r="AE23" i="35"/>
  <c r="BE47" i="27"/>
  <c r="BF47" i="27" s="1"/>
  <c r="AO128" i="27"/>
  <c r="AP128" i="27" s="1"/>
  <c r="AL11" i="30"/>
  <c r="O9" i="30"/>
  <c r="S6" i="30" s="1"/>
  <c r="Q5" i="30"/>
  <c r="N17" i="30"/>
  <c r="N12" i="30"/>
  <c r="O7" i="30"/>
  <c r="U5" i="30" s="1"/>
  <c r="O6" i="30"/>
  <c r="Q9" i="30"/>
  <c r="S10" i="30" s="1"/>
  <c r="P12" i="30"/>
  <c r="N16" i="30"/>
  <c r="O8" i="30"/>
  <c r="U6" i="30" s="1"/>
  <c r="N18" i="30"/>
  <c r="Q8" i="30"/>
  <c r="U10" i="30" s="1"/>
  <c r="AB28" i="30"/>
  <c r="AD32" i="30" s="1"/>
  <c r="O10" i="30"/>
  <c r="T6" i="30" s="1"/>
  <c r="O5" i="30"/>
  <c r="S5" i="30" s="1"/>
  <c r="P16" i="30"/>
  <c r="Q10" i="30"/>
  <c r="T10" i="30" s="1"/>
  <c r="M15" i="30"/>
  <c r="P163" i="31"/>
  <c r="H811" i="31"/>
  <c r="F1255" i="31"/>
  <c r="H795" i="31"/>
  <c r="J95" i="31"/>
  <c r="P1275" i="31"/>
  <c r="R829" i="31"/>
  <c r="F339" i="31"/>
  <c r="H447" i="31"/>
  <c r="J339" i="31"/>
  <c r="N777" i="31"/>
  <c r="H501" i="31"/>
  <c r="J615" i="31"/>
  <c r="N999" i="31"/>
  <c r="H63" i="31"/>
  <c r="R127" i="31"/>
  <c r="R364" i="31"/>
  <c r="J919" i="31"/>
  <c r="F1195" i="31"/>
  <c r="H91" i="31"/>
  <c r="R793" i="31"/>
  <c r="R1031" i="31"/>
  <c r="L1363" i="31"/>
  <c r="R537" i="31"/>
  <c r="P983" i="31"/>
  <c r="J1221" i="31"/>
  <c r="J1329" i="31"/>
  <c r="P317" i="31"/>
  <c r="H263" i="31"/>
  <c r="R1326" i="31"/>
  <c r="F1275" i="31"/>
  <c r="F945" i="31"/>
  <c r="R776" i="31"/>
  <c r="P615" i="31"/>
  <c r="H393" i="31"/>
  <c r="F225" i="31"/>
  <c r="R276" i="31"/>
  <c r="R277" i="31"/>
  <c r="J393" i="31"/>
  <c r="L485" i="31"/>
  <c r="P723" i="31"/>
  <c r="R1050" i="31"/>
  <c r="H777" i="31"/>
  <c r="F615" i="31"/>
  <c r="F171" i="31"/>
  <c r="L117" i="31"/>
  <c r="R262" i="31"/>
  <c r="H317" i="31"/>
  <c r="R1165" i="31"/>
  <c r="H831" i="31"/>
  <c r="R114" i="31"/>
  <c r="P155" i="31"/>
  <c r="H555" i="31"/>
  <c r="H669" i="31"/>
  <c r="F891" i="31"/>
  <c r="R943" i="31"/>
  <c r="L945" i="31"/>
  <c r="R998" i="31"/>
  <c r="H1037" i="31"/>
  <c r="H1275" i="31"/>
  <c r="R444" i="31"/>
  <c r="R62" i="31"/>
  <c r="R316" i="31"/>
  <c r="L761" i="31"/>
  <c r="F485" i="31"/>
  <c r="R430" i="31"/>
  <c r="F431" i="31"/>
  <c r="R890" i="31"/>
  <c r="R392" i="31"/>
  <c r="L171" i="31"/>
  <c r="R552" i="31"/>
  <c r="L707" i="31"/>
  <c r="R830" i="31"/>
  <c r="N1221" i="31"/>
  <c r="R722" i="31"/>
  <c r="H225" i="31"/>
  <c r="R60" i="31"/>
  <c r="P63" i="31"/>
  <c r="R61" i="31"/>
  <c r="N945" i="31"/>
  <c r="F393" i="31"/>
  <c r="R391" i="31"/>
  <c r="R1274" i="31"/>
  <c r="N169" i="27"/>
  <c r="R390" i="31"/>
  <c r="R612" i="31"/>
  <c r="J891" i="31"/>
  <c r="R169" i="31"/>
  <c r="L279" i="31"/>
  <c r="L255" i="31"/>
  <c r="F477" i="31"/>
  <c r="H643" i="31"/>
  <c r="F427" i="31"/>
  <c r="H815" i="31"/>
  <c r="F1363" i="31"/>
  <c r="R256" i="31"/>
  <c r="R1257" i="31"/>
  <c r="P1091" i="31"/>
  <c r="R1362" i="31"/>
  <c r="R181" i="31"/>
  <c r="H869" i="31"/>
  <c r="J535" i="31"/>
  <c r="L367" i="31"/>
  <c r="AO84" i="27"/>
  <c r="AP84" i="27" s="1"/>
  <c r="BE165" i="27"/>
  <c r="BF165" i="27" s="1"/>
  <c r="AM11" i="27"/>
  <c r="Y128" i="27"/>
  <c r="Z128" i="27" s="1"/>
  <c r="U11" i="27"/>
  <c r="AC3" i="31"/>
  <c r="AO7" i="27"/>
  <c r="AP7" i="27" s="1"/>
  <c r="E76" i="30"/>
  <c r="Y34" i="30"/>
  <c r="Y127" i="27"/>
  <c r="Z127" i="27" s="1"/>
  <c r="U90" i="27"/>
  <c r="I50" i="27"/>
  <c r="J50" i="27" s="1"/>
  <c r="BC130" i="27"/>
  <c r="E97" i="30"/>
  <c r="Y129" i="27"/>
  <c r="Z129" i="27" s="1"/>
  <c r="AO126" i="27"/>
  <c r="AP126" i="27" s="1"/>
  <c r="BE88" i="27"/>
  <c r="BF88" i="27" s="1"/>
  <c r="I126" i="27"/>
  <c r="J126" i="27" s="1"/>
  <c r="Y47" i="27"/>
  <c r="Z47" i="27" s="1"/>
  <c r="BE169" i="27"/>
  <c r="BF169" i="27" s="1"/>
  <c r="C76" i="30"/>
  <c r="P97" i="30"/>
  <c r="I129" i="27"/>
  <c r="J129" i="27" s="1"/>
  <c r="Y48" i="27"/>
  <c r="Z48" i="27" s="1"/>
  <c r="Y46" i="27"/>
  <c r="Z46" i="27" s="1"/>
  <c r="I10" i="27"/>
  <c r="J10" i="27" s="1"/>
  <c r="AO168" i="27"/>
  <c r="AP168" i="27" s="1"/>
  <c r="BE19" i="4"/>
  <c r="S51" i="27"/>
  <c r="Y7" i="27"/>
  <c r="Z7" i="27" s="1"/>
  <c r="G97" i="27"/>
  <c r="J81" i="27"/>
  <c r="H129" i="27"/>
  <c r="K129" i="27" s="1"/>
  <c r="U130" i="27"/>
  <c r="I8" i="27"/>
  <c r="J8" i="27" s="1"/>
  <c r="Y76" i="30"/>
  <c r="C97" i="30"/>
  <c r="N97" i="30"/>
  <c r="U92" i="30"/>
  <c r="Y89" i="27"/>
  <c r="Z89" i="27" s="1"/>
  <c r="Y50" i="27"/>
  <c r="Z50" i="27" s="1"/>
  <c r="AO48" i="27"/>
  <c r="AP48" i="27" s="1"/>
  <c r="Y6" i="27"/>
  <c r="Z6" i="27" s="1"/>
  <c r="AA76" i="30"/>
  <c r="P76" i="30"/>
  <c r="C11" i="30"/>
  <c r="BA11" i="27"/>
  <c r="BE21" i="4"/>
  <c r="AI130" i="27"/>
  <c r="BA15" i="27"/>
  <c r="BF2" i="27"/>
  <c r="W90" i="27"/>
  <c r="I49" i="27"/>
  <c r="J49" i="27" s="1"/>
  <c r="E137" i="27"/>
  <c r="G137" i="27"/>
  <c r="J121" i="27"/>
  <c r="M165" i="27"/>
  <c r="W11" i="27"/>
  <c r="Y166" i="27"/>
  <c r="Z166" i="27" s="1"/>
  <c r="AY130" i="27"/>
  <c r="BE124" i="27"/>
  <c r="BF124" i="27" s="1"/>
  <c r="AO89" i="27"/>
  <c r="AP89" i="27" s="1"/>
  <c r="BE48" i="27"/>
  <c r="BF48" i="27" s="1"/>
  <c r="BC51" i="27"/>
  <c r="I47" i="27"/>
  <c r="J47" i="27" s="1"/>
  <c r="BE125" i="27"/>
  <c r="BF125" i="27" s="1"/>
  <c r="Y87" i="27"/>
  <c r="Z87" i="27" s="1"/>
  <c r="I46" i="27"/>
  <c r="J46" i="27" s="1"/>
  <c r="C34" i="30"/>
  <c r="AP124" i="27"/>
  <c r="AO130" i="27"/>
  <c r="Y85" i="27"/>
  <c r="Q92" i="30"/>
  <c r="T95" i="30" s="1"/>
  <c r="X59" i="30"/>
  <c r="K56" i="35"/>
  <c r="C61" i="30"/>
  <c r="AA61" i="30"/>
  <c r="Q91" i="30"/>
  <c r="S95" i="30" s="1"/>
  <c r="X38" i="30"/>
  <c r="Y60" i="30"/>
  <c r="Y35" i="30"/>
  <c r="AA39" i="30"/>
  <c r="Q93" i="30"/>
  <c r="U95" i="30" s="1"/>
  <c r="N99" i="30"/>
  <c r="P103" i="30"/>
  <c r="O91" i="30"/>
  <c r="S91" i="30" s="1"/>
  <c r="Z29" i="30"/>
  <c r="AE28" i="30" s="1"/>
  <c r="AB54" i="30"/>
  <c r="AE54" i="30" s="1"/>
  <c r="O29" i="30"/>
  <c r="T28" i="30" s="1"/>
  <c r="E61" i="30"/>
  <c r="D49" i="30"/>
  <c r="H49" i="30" s="1"/>
  <c r="C57" i="30"/>
  <c r="E56" i="30"/>
  <c r="B57" i="35"/>
  <c r="B56" i="35"/>
  <c r="C53" i="35"/>
  <c r="D53" i="35" s="1"/>
  <c r="E53" i="35" s="1"/>
  <c r="F53" i="35" s="1"/>
  <c r="G53" i="35" s="1"/>
  <c r="H53" i="35" s="1"/>
  <c r="I53" i="35" s="1"/>
  <c r="F55" i="35"/>
  <c r="D55" i="35"/>
  <c r="C55" i="35"/>
  <c r="E55" i="35"/>
  <c r="M55" i="35"/>
  <c r="C56" i="30"/>
  <c r="F49" i="30"/>
  <c r="H53" i="30" s="1"/>
  <c r="AB30" i="30"/>
  <c r="AF32" i="30" s="1"/>
  <c r="P98" i="30"/>
  <c r="P102" i="30"/>
  <c r="M101" i="30"/>
  <c r="Q95" i="30"/>
  <c r="S96" i="30" s="1"/>
  <c r="AA35" i="30"/>
  <c r="AA36" i="30"/>
  <c r="Z28" i="30"/>
  <c r="AD28" i="30" s="1"/>
  <c r="AA57" i="30"/>
  <c r="Y57" i="30"/>
  <c r="AB52" i="30"/>
  <c r="AF54" i="30" s="1"/>
  <c r="AA62" i="30"/>
  <c r="O30" i="30"/>
  <c r="U28" i="30" s="1"/>
  <c r="Q32" i="30"/>
  <c r="S33" i="30" s="1"/>
  <c r="N35" i="30"/>
  <c r="Z50" i="30"/>
  <c r="AE49" i="30" s="1"/>
  <c r="H757" i="31"/>
  <c r="R150" i="31"/>
  <c r="N1195" i="31"/>
  <c r="L643" i="31"/>
  <c r="R532" i="31"/>
  <c r="R366" i="31"/>
  <c r="H183" i="31"/>
  <c r="R182" i="31"/>
  <c r="R203" i="31"/>
  <c r="R310" i="31"/>
  <c r="R404" i="31"/>
  <c r="P535" i="31"/>
  <c r="H573" i="31"/>
  <c r="N589" i="31"/>
  <c r="H849" i="31"/>
  <c r="L1141" i="31"/>
  <c r="R640" i="31"/>
  <c r="R479" i="31"/>
  <c r="N681" i="31"/>
  <c r="P1033" i="31"/>
  <c r="R1032" i="31"/>
  <c r="J1255" i="31"/>
  <c r="R1360" i="31"/>
  <c r="R1312" i="31"/>
  <c r="R92" i="31"/>
  <c r="J155" i="31"/>
  <c r="R206" i="31"/>
  <c r="L317" i="31"/>
  <c r="H371" i="31"/>
  <c r="N539" i="31"/>
  <c r="F707" i="31"/>
  <c r="L869" i="31"/>
  <c r="R1035" i="31"/>
  <c r="N1145" i="31"/>
  <c r="R1219" i="31"/>
  <c r="J1275" i="31"/>
  <c r="J1313" i="31"/>
  <c r="P1329" i="31"/>
  <c r="F1329" i="31"/>
  <c r="N1199" i="31"/>
  <c r="J707" i="31"/>
  <c r="N431" i="31"/>
  <c r="R314" i="31"/>
  <c r="R260" i="31"/>
  <c r="L209" i="31"/>
  <c r="R94" i="31"/>
  <c r="J1259" i="31"/>
  <c r="R538" i="31"/>
  <c r="R484" i="31"/>
  <c r="R370" i="31"/>
  <c r="R315" i="31"/>
  <c r="R261" i="31"/>
  <c r="R154" i="31"/>
  <c r="L95" i="31"/>
  <c r="R1272" i="31"/>
  <c r="R1220" i="31"/>
  <c r="R1104" i="31"/>
  <c r="H1053" i="31"/>
  <c r="R996" i="31"/>
  <c r="R942" i="31"/>
  <c r="R889" i="31"/>
  <c r="N831" i="31"/>
  <c r="J75" i="31"/>
  <c r="J205" i="31"/>
  <c r="R311" i="31"/>
  <c r="F669" i="31"/>
  <c r="R337" i="31"/>
  <c r="N279" i="31"/>
  <c r="R222" i="31"/>
  <c r="P225" i="31"/>
  <c r="R338" i="31"/>
  <c r="L339" i="31"/>
  <c r="N393" i="31"/>
  <c r="P393" i="31"/>
  <c r="L393" i="31"/>
  <c r="P447" i="31"/>
  <c r="F447" i="31"/>
  <c r="N447" i="31"/>
  <c r="L447" i="31"/>
  <c r="R483" i="31"/>
  <c r="N593" i="31"/>
  <c r="R720" i="31"/>
  <c r="H723" i="31"/>
  <c r="P1053" i="31"/>
  <c r="J1053" i="31"/>
  <c r="F1053" i="31"/>
  <c r="F1091" i="31"/>
  <c r="N1167" i="31"/>
  <c r="P171" i="31"/>
  <c r="R115" i="31"/>
  <c r="F117" i="31"/>
  <c r="J209" i="31"/>
  <c r="L371" i="31"/>
  <c r="N371" i="31"/>
  <c r="L431" i="31"/>
  <c r="L777" i="31"/>
  <c r="R774" i="31"/>
  <c r="F777" i="31"/>
  <c r="R1105" i="31"/>
  <c r="R1106" i="31"/>
  <c r="R1164" i="31"/>
  <c r="J1167" i="31"/>
  <c r="F1167" i="31"/>
  <c r="R888" i="31"/>
  <c r="N339" i="31"/>
  <c r="N225" i="31"/>
  <c r="N117" i="31"/>
  <c r="R152" i="31"/>
  <c r="N501" i="31"/>
  <c r="L501" i="31"/>
  <c r="N555" i="31"/>
  <c r="F555" i="31"/>
  <c r="R613" i="31"/>
  <c r="L615" i="31"/>
  <c r="N615" i="31"/>
  <c r="L669" i="31"/>
  <c r="R667" i="31"/>
  <c r="N669" i="31"/>
  <c r="L831" i="31"/>
  <c r="H891" i="31"/>
  <c r="N891" i="31"/>
  <c r="R944" i="31"/>
  <c r="R997" i="31"/>
  <c r="P999" i="31"/>
  <c r="F1221" i="31"/>
  <c r="N1329" i="31"/>
  <c r="R116" i="31"/>
  <c r="L1053" i="31"/>
  <c r="P501" i="31"/>
  <c r="N63" i="31"/>
  <c r="L63" i="31"/>
  <c r="J63" i="31"/>
  <c r="R1166" i="31"/>
  <c r="R553" i="31"/>
  <c r="H339" i="31"/>
  <c r="R554" i="31"/>
  <c r="R1328" i="31"/>
  <c r="F155" i="31"/>
  <c r="J945" i="31"/>
  <c r="R428" i="31"/>
  <c r="R828" i="31"/>
  <c r="H615" i="31"/>
  <c r="K169" i="27"/>
  <c r="R1218" i="31"/>
  <c r="J999" i="31"/>
  <c r="R775" i="31"/>
  <c r="F723" i="31"/>
  <c r="R500" i="31"/>
  <c r="R445" i="31"/>
  <c r="L225" i="31"/>
  <c r="R225" i="31" s="1"/>
  <c r="V222" i="31" s="1"/>
  <c r="R368" i="31"/>
  <c r="R668" i="31"/>
  <c r="R614" i="31"/>
  <c r="H1221" i="31"/>
  <c r="R208" i="31"/>
  <c r="R446" i="31"/>
  <c r="R758" i="31"/>
  <c r="J183" i="31"/>
  <c r="N941" i="31"/>
  <c r="L923" i="31"/>
  <c r="N1333" i="31"/>
  <c r="J259" i="31"/>
  <c r="F647" i="31"/>
  <c r="N91" i="31"/>
  <c r="R1258" i="31"/>
  <c r="R1089" i="31"/>
  <c r="L91" i="31"/>
  <c r="R312" i="31"/>
  <c r="N50" i="27"/>
  <c r="R1197" i="31"/>
  <c r="F1145" i="31"/>
  <c r="R1306" i="31"/>
  <c r="N983" i="31"/>
  <c r="R814" i="31"/>
  <c r="F1199" i="31"/>
  <c r="R1144" i="31"/>
  <c r="H647" i="31"/>
  <c r="R1194" i="31"/>
  <c r="N40" i="30"/>
  <c r="F1259" i="31"/>
  <c r="R1142" i="31"/>
  <c r="R1036" i="31"/>
  <c r="J593" i="31"/>
  <c r="R755" i="31"/>
  <c r="F923" i="31"/>
  <c r="H151" i="31"/>
  <c r="R760" i="31"/>
  <c r="F1087" i="31"/>
  <c r="C62" i="30"/>
  <c r="E62" i="30"/>
  <c r="V33" i="35"/>
  <c r="AB32" i="35"/>
  <c r="Y33" i="35"/>
  <c r="Q33" i="35"/>
  <c r="S33" i="35"/>
  <c r="Q35" i="35"/>
  <c r="AB33" i="35"/>
  <c r="Z35" i="35"/>
  <c r="Q34" i="35"/>
  <c r="R31" i="35"/>
  <c r="S31" i="35" s="1"/>
  <c r="T31" i="35" s="1"/>
  <c r="U31" i="35" s="1"/>
  <c r="V31" i="35" s="1"/>
  <c r="W31" i="35" s="1"/>
  <c r="X31" i="35" s="1"/>
  <c r="AA33" i="35"/>
  <c r="Q32" i="35"/>
  <c r="Z34" i="35"/>
  <c r="T32" i="35"/>
  <c r="W33" i="35"/>
  <c r="Z33" i="35"/>
  <c r="U33" i="35"/>
  <c r="X33" i="35"/>
  <c r="T33" i="35"/>
  <c r="F51" i="30"/>
  <c r="J53" i="30" s="1"/>
  <c r="AB53" i="30"/>
  <c r="AD54" i="30" s="1"/>
  <c r="D52" i="30"/>
  <c r="J50" i="30" s="1"/>
  <c r="Y36" i="30"/>
  <c r="Y56" i="30"/>
  <c r="AB29" i="30"/>
  <c r="AE32" i="30" s="1"/>
  <c r="Z33" i="30"/>
  <c r="AE29" i="30" s="1"/>
  <c r="Q96" i="30"/>
  <c r="T96" i="30" s="1"/>
  <c r="N104" i="30"/>
  <c r="O95" i="30"/>
  <c r="S92" i="30" s="1"/>
  <c r="P99" i="30"/>
  <c r="P104" i="30"/>
  <c r="O93" i="30"/>
  <c r="U91" i="30" s="1"/>
  <c r="O92" i="30"/>
  <c r="T91" i="30" s="1"/>
  <c r="O96" i="30"/>
  <c r="T92" i="30" s="1"/>
  <c r="Q94" i="30"/>
  <c r="U96" i="30" s="1"/>
  <c r="N102" i="30"/>
  <c r="Y41" i="30"/>
  <c r="Z30" i="30"/>
  <c r="AF28" i="30" s="1"/>
  <c r="AB32" i="30"/>
  <c r="AD33" i="30" s="1"/>
  <c r="Z31" i="30"/>
  <c r="AF29" i="30" s="1"/>
  <c r="Y40" i="30"/>
  <c r="AA40" i="30"/>
  <c r="Y61" i="30"/>
  <c r="Z49" i="30"/>
  <c r="AD49" i="30" s="1"/>
  <c r="AB51" i="30"/>
  <c r="AF53" i="30" s="1"/>
  <c r="AB49" i="30"/>
  <c r="AD53" i="30" s="1"/>
  <c r="Z53" i="30"/>
  <c r="AD50" i="30" s="1"/>
  <c r="AB50" i="30"/>
  <c r="AE53" i="30" s="1"/>
  <c r="Q30" i="30"/>
  <c r="U32" i="30" s="1"/>
  <c r="P36" i="30"/>
  <c r="P40" i="30"/>
  <c r="D54" i="30"/>
  <c r="I50" i="30" s="1"/>
  <c r="E60" i="30"/>
  <c r="D51" i="30"/>
  <c r="J49" i="30" s="1"/>
  <c r="E57" i="30"/>
  <c r="P39" i="30"/>
  <c r="O28" i="30"/>
  <c r="S28" i="30" s="1"/>
  <c r="N41" i="30"/>
  <c r="P41" i="30"/>
  <c r="N98" i="30"/>
  <c r="AB31" i="30"/>
  <c r="AF33" i="30" s="1"/>
  <c r="Y62" i="30"/>
  <c r="Z52" i="30"/>
  <c r="AF50" i="30" s="1"/>
  <c r="F52" i="30"/>
  <c r="J54" i="30" s="1"/>
  <c r="F53" i="30"/>
  <c r="H54" i="30" s="1"/>
  <c r="F50" i="30"/>
  <c r="I53" i="30" s="1"/>
  <c r="F54" i="30"/>
  <c r="I54" i="30" s="1"/>
  <c r="AA56" i="30"/>
  <c r="P35" i="30"/>
  <c r="O33" i="30"/>
  <c r="T29" i="30" s="1"/>
  <c r="N39" i="30"/>
  <c r="O31" i="30"/>
  <c r="U29" i="30" s="1"/>
  <c r="Q29" i="30"/>
  <c r="T32" i="30" s="1"/>
  <c r="O32" i="30"/>
  <c r="S29" i="30" s="1"/>
  <c r="B59" i="30"/>
  <c r="D50" i="30"/>
  <c r="I49" i="30" s="1"/>
  <c r="Q31" i="30"/>
  <c r="U33" i="30" s="1"/>
  <c r="M38" i="30"/>
  <c r="N36" i="30"/>
  <c r="N62" i="30"/>
  <c r="N56" i="30"/>
  <c r="P57" i="30"/>
  <c r="N60" i="30"/>
  <c r="Q50" i="30"/>
  <c r="T53" i="30" s="1"/>
  <c r="Q49" i="30"/>
  <c r="S53" i="30" s="1"/>
  <c r="O53" i="30"/>
  <c r="S50" i="30" s="1"/>
  <c r="Q53" i="30"/>
  <c r="S54" i="30" s="1"/>
  <c r="P62" i="30"/>
  <c r="Q54" i="30"/>
  <c r="T54" i="30" s="1"/>
  <c r="P56" i="30"/>
  <c r="P61" i="30"/>
  <c r="M59" i="30"/>
  <c r="Q51" i="30"/>
  <c r="U53" i="30" s="1"/>
  <c r="O54" i="30"/>
  <c r="T50" i="30" s="1"/>
  <c r="O50" i="30"/>
  <c r="T49" i="30" s="1"/>
  <c r="AB31" i="35"/>
  <c r="E54" i="35"/>
  <c r="M53" i="35"/>
  <c r="M54" i="35"/>
  <c r="B54" i="35"/>
  <c r="H55" i="35"/>
  <c r="K57" i="35"/>
  <c r="I55" i="35"/>
  <c r="G55" i="35"/>
  <c r="R33" i="35"/>
  <c r="R1308" i="31"/>
  <c r="R1254" i="31"/>
  <c r="F313" i="31"/>
  <c r="L205" i="31"/>
  <c r="L55" i="35"/>
  <c r="R1088" i="31"/>
  <c r="R646" i="31"/>
  <c r="R1140" i="31"/>
  <c r="H865" i="31"/>
  <c r="R642" i="31"/>
  <c r="R587" i="31"/>
  <c r="L313" i="31"/>
  <c r="L259" i="31"/>
  <c r="P151" i="31"/>
  <c r="R89" i="31"/>
  <c r="R73" i="31"/>
  <c r="R180" i="31"/>
  <c r="P351" i="31"/>
  <c r="R425" i="31"/>
  <c r="R426" i="31"/>
  <c r="L459" i="31"/>
  <c r="L481" i="31"/>
  <c r="P481" i="31"/>
  <c r="F481" i="31"/>
  <c r="R534" i="31"/>
  <c r="R571" i="31"/>
  <c r="R588" i="31"/>
  <c r="H703" i="31"/>
  <c r="R917" i="31"/>
  <c r="R977" i="31"/>
  <c r="N103" i="30"/>
  <c r="B55" i="35"/>
  <c r="K55" i="35"/>
  <c r="AY11" i="35"/>
  <c r="BD11" i="35"/>
  <c r="AZ11" i="35"/>
  <c r="BB11" i="35"/>
  <c r="BD12" i="35"/>
  <c r="AX11" i="35"/>
  <c r="BA11" i="35"/>
  <c r="AV9" i="35"/>
  <c r="AW9" i="35" s="1"/>
  <c r="AX9" i="35" s="1"/>
  <c r="AY9" i="35" s="1"/>
  <c r="AZ9" i="35" s="1"/>
  <c r="BA9" i="35" s="1"/>
  <c r="BB9" i="35" s="1"/>
  <c r="AU12" i="35"/>
  <c r="AU13" i="35"/>
  <c r="A67" i="35"/>
  <c r="B75" i="35" s="1"/>
  <c r="P45" i="35"/>
  <c r="P60" i="30"/>
  <c r="Y39" i="30"/>
  <c r="O49" i="30"/>
  <c r="S49" i="30" s="1"/>
  <c r="AB33" i="30"/>
  <c r="AE33" i="30" s="1"/>
  <c r="O51" i="30"/>
  <c r="U49" i="30" s="1"/>
  <c r="Q52" i="30"/>
  <c r="U54" i="30" s="1"/>
  <c r="O52" i="30"/>
  <c r="U50" i="30" s="1"/>
  <c r="N57" i="30"/>
  <c r="AA41" i="30"/>
  <c r="N61" i="30"/>
  <c r="AD80" i="30"/>
  <c r="Z72" i="30" s="1"/>
  <c r="AF70" i="30" s="1"/>
  <c r="H80" i="30"/>
  <c r="C99" i="30"/>
  <c r="F95" i="30"/>
  <c r="H96" i="30" s="1"/>
  <c r="C102" i="30"/>
  <c r="B101" i="30"/>
  <c r="D95" i="30"/>
  <c r="H92" i="30" s="1"/>
  <c r="C103" i="30"/>
  <c r="F94" i="30"/>
  <c r="J96" i="30" s="1"/>
  <c r="D91" i="30"/>
  <c r="H91" i="30" s="1"/>
  <c r="E99" i="30"/>
  <c r="D94" i="30"/>
  <c r="J92" i="30" s="1"/>
  <c r="D93" i="30"/>
  <c r="J91" i="30" s="1"/>
  <c r="D96" i="30"/>
  <c r="I92" i="30" s="1"/>
  <c r="E102" i="30"/>
  <c r="E98" i="30"/>
  <c r="F96" i="30"/>
  <c r="I96" i="30" s="1"/>
  <c r="D92" i="30"/>
  <c r="I91" i="30" s="1"/>
  <c r="C104" i="30"/>
  <c r="F91" i="30"/>
  <c r="H95" i="30" s="1"/>
  <c r="E103" i="30"/>
  <c r="C98" i="30"/>
  <c r="F93" i="30"/>
  <c r="J95" i="30" s="1"/>
  <c r="F92" i="30"/>
  <c r="I95" i="30" s="1"/>
  <c r="E104" i="30"/>
  <c r="C60" i="30"/>
  <c r="S80" i="30"/>
  <c r="Q70" i="30" s="1"/>
  <c r="S74" i="30" s="1"/>
  <c r="AC2" i="30"/>
  <c r="Z96" i="30"/>
  <c r="AE92" i="30" s="1"/>
  <c r="AB95" i="30"/>
  <c r="AD96" i="30" s="1"/>
  <c r="Z91" i="30"/>
  <c r="AD91" i="30" s="1"/>
  <c r="X101" i="30"/>
  <c r="AB94" i="30"/>
  <c r="AF96" i="30" s="1"/>
  <c r="Y102" i="30"/>
  <c r="AA99" i="30"/>
  <c r="AA98" i="30"/>
  <c r="Y103" i="30"/>
  <c r="Z95" i="30"/>
  <c r="AD92" i="30" s="1"/>
  <c r="AB92" i="30"/>
  <c r="AE95" i="30" s="1"/>
  <c r="AB93" i="30"/>
  <c r="AF95" i="30" s="1"/>
  <c r="Y104" i="30"/>
  <c r="AB91" i="30"/>
  <c r="AD95" i="30" s="1"/>
  <c r="AB96" i="30"/>
  <c r="AE96" i="30" s="1"/>
  <c r="AA104" i="30"/>
  <c r="AA103" i="30"/>
  <c r="Z93" i="30"/>
  <c r="AF91" i="30" s="1"/>
  <c r="Z92" i="30"/>
  <c r="AE91" i="30" s="1"/>
  <c r="Y98" i="30"/>
  <c r="AA102" i="30"/>
  <c r="Z94" i="30"/>
  <c r="AF92" i="30" s="1"/>
  <c r="Y99" i="30"/>
  <c r="AD29" i="30"/>
  <c r="AQ24" i="30"/>
  <c r="AO15" i="30"/>
  <c r="AA60" i="30"/>
  <c r="Z54" i="30"/>
  <c r="AE50" i="30" s="1"/>
  <c r="AQ46" i="27"/>
  <c r="AQ49" i="27"/>
  <c r="H427" i="31"/>
  <c r="N1091" i="31"/>
  <c r="P1037" i="31"/>
  <c r="AA49" i="27"/>
  <c r="H175" i="31"/>
  <c r="L873" i="31"/>
  <c r="AT49" i="27"/>
  <c r="L397" i="31"/>
  <c r="J67" i="31"/>
  <c r="L1309" i="31"/>
  <c r="R173" i="31"/>
  <c r="R1143" i="31"/>
  <c r="R866" i="31"/>
  <c r="P367" i="31"/>
  <c r="R90" i="31"/>
  <c r="R286" i="31"/>
  <c r="AA46" i="27"/>
  <c r="R365" i="31"/>
  <c r="F761" i="31"/>
  <c r="N79" i="31"/>
  <c r="P945" i="31"/>
  <c r="F593" i="31"/>
  <c r="J151" i="31"/>
  <c r="F397" i="31"/>
  <c r="R916" i="31"/>
  <c r="BF127" i="27"/>
  <c r="BE130" i="27"/>
  <c r="Y168" i="27"/>
  <c r="Z168" i="27" s="1"/>
  <c r="S170" i="27"/>
  <c r="AK56" i="27"/>
  <c r="AP42" i="27"/>
  <c r="BE89" i="27"/>
  <c r="BF89" i="27" s="1"/>
  <c r="AC135" i="27"/>
  <c r="AE160" i="27"/>
  <c r="AC175" i="27" s="1"/>
  <c r="AO47" i="27"/>
  <c r="AI51" i="27"/>
  <c r="BE50" i="27"/>
  <c r="BF50" i="27" s="1"/>
  <c r="Z164" i="27"/>
  <c r="G11" i="27"/>
  <c r="BA130" i="27"/>
  <c r="N76" i="30"/>
  <c r="AL34" i="30"/>
  <c r="E11" i="30"/>
  <c r="AA55" i="30"/>
  <c r="P55" i="30"/>
  <c r="I88" i="27"/>
  <c r="J88" i="27" s="1"/>
  <c r="C90" i="27"/>
  <c r="AY51" i="27"/>
  <c r="BE6" i="27"/>
  <c r="BF6" i="27" s="1"/>
  <c r="AY11" i="27"/>
  <c r="AI7" i="31"/>
  <c r="AI10" i="31"/>
  <c r="AI9" i="31"/>
  <c r="AI8" i="31"/>
  <c r="S11" i="27"/>
  <c r="Y8" i="27"/>
  <c r="Y167" i="27"/>
  <c r="Z167" i="27" s="1"/>
  <c r="BF5" i="27"/>
  <c r="AI96" i="27"/>
  <c r="AP81" i="27"/>
  <c r="AP86" i="27"/>
  <c r="AO90" i="27"/>
  <c r="J125" i="27"/>
  <c r="I130" i="27"/>
  <c r="BF84" i="27"/>
  <c r="BE51" i="27"/>
  <c r="BF45" i="27"/>
  <c r="AF8" i="31"/>
  <c r="AF9" i="31"/>
  <c r="AF7" i="31"/>
  <c r="AF10" i="31"/>
  <c r="BE164" i="27"/>
  <c r="AY170" i="27"/>
  <c r="I167" i="27"/>
  <c r="J167" i="27" s="1"/>
  <c r="AO165" i="27"/>
  <c r="AI170" i="27"/>
  <c r="I89" i="27"/>
  <c r="J89" i="27" s="1"/>
  <c r="AI11" i="27"/>
  <c r="AO5" i="27"/>
  <c r="AS135" i="27"/>
  <c r="AU160" i="27"/>
  <c r="AS175" i="27" s="1"/>
  <c r="Z124" i="27"/>
  <c r="Y130" i="27"/>
  <c r="E11" i="27"/>
  <c r="AY53" i="27"/>
  <c r="BF42" i="27"/>
  <c r="AC8" i="31"/>
  <c r="AC10" i="31"/>
  <c r="AC7" i="31"/>
  <c r="AC9" i="31"/>
  <c r="AK170" i="27"/>
  <c r="I164" i="27"/>
  <c r="C170" i="27"/>
  <c r="Y45" i="27"/>
  <c r="U51" i="27"/>
  <c r="X86" i="27"/>
  <c r="AE91" i="27" s="1"/>
  <c r="Z81" i="27"/>
  <c r="BE85" i="27"/>
  <c r="BF85" i="27" s="1"/>
  <c r="BE10" i="27"/>
  <c r="BF10" i="27" s="1"/>
  <c r="I48" i="27"/>
  <c r="C51" i="27"/>
  <c r="I5" i="27"/>
  <c r="C11" i="27"/>
  <c r="BI95" i="27"/>
  <c r="BK120" i="27"/>
  <c r="AJ34" i="30"/>
  <c r="AF31" i="35"/>
  <c r="AT23" i="35"/>
  <c r="AU31" i="35" s="1"/>
  <c r="Y55" i="30"/>
  <c r="N55" i="30"/>
  <c r="J85" i="27"/>
  <c r="I9" i="27"/>
  <c r="J9" i="27" s="1"/>
  <c r="R1034" i="31"/>
  <c r="R704" i="31"/>
  <c r="R258" i="31"/>
  <c r="L1033" i="31"/>
  <c r="L129" i="31"/>
  <c r="J243" i="31"/>
  <c r="H535" i="31"/>
  <c r="L589" i="31"/>
  <c r="P1011" i="31"/>
  <c r="H1363" i="31"/>
  <c r="H1167" i="31"/>
  <c r="P485" i="31"/>
  <c r="J777" i="31"/>
  <c r="R666" i="31"/>
  <c r="F175" i="31"/>
  <c r="P1171" i="31"/>
  <c r="H941" i="31"/>
  <c r="P857" i="31"/>
  <c r="L443" i="31"/>
  <c r="P1259" i="31"/>
  <c r="L1199" i="31"/>
  <c r="J647" i="31"/>
  <c r="F205" i="31"/>
  <c r="P593" i="31"/>
  <c r="N761" i="31"/>
  <c r="P647" i="31"/>
  <c r="H593" i="31"/>
  <c r="R1307" i="31"/>
  <c r="N1363" i="31"/>
  <c r="F815" i="31"/>
  <c r="R756" i="31"/>
  <c r="BE11" i="35"/>
  <c r="AW11" i="35"/>
  <c r="AV11" i="35"/>
  <c r="BF9" i="35"/>
  <c r="AU11" i="35"/>
  <c r="BD13" i="35"/>
  <c r="BC11" i="35"/>
  <c r="BF10" i="35"/>
  <c r="AU10" i="35"/>
  <c r="AX10" i="35"/>
  <c r="AF9" i="35"/>
  <c r="AO12" i="35" s="1"/>
  <c r="F1141" i="31"/>
  <c r="R1138" i="31"/>
  <c r="N485" i="31"/>
  <c r="N707" i="31"/>
  <c r="H1033" i="31"/>
  <c r="F297" i="31"/>
  <c r="P519" i="31"/>
  <c r="P589" i="31"/>
  <c r="R976" i="31"/>
  <c r="N1141" i="31"/>
  <c r="N1033" i="31"/>
  <c r="H243" i="31"/>
  <c r="J497" i="31"/>
  <c r="J1033" i="31"/>
  <c r="P1187" i="31"/>
  <c r="J873" i="31"/>
  <c r="R863" i="31"/>
  <c r="F367" i="31"/>
  <c r="R456" i="31"/>
  <c r="J811" i="31"/>
  <c r="L1087" i="31"/>
  <c r="P21" i="31"/>
  <c r="H841" i="31"/>
  <c r="L289" i="31"/>
  <c r="N133" i="31"/>
  <c r="R1365" i="31"/>
  <c r="F1313" i="31"/>
  <c r="R1196" i="31"/>
  <c r="R1090" i="31"/>
  <c r="N1037" i="31"/>
  <c r="R982" i="31"/>
  <c r="R868" i="31"/>
  <c r="R645" i="31"/>
  <c r="R1086" i="31"/>
  <c r="F979" i="31"/>
  <c r="L811" i="31"/>
  <c r="R257" i="31"/>
  <c r="P205" i="31"/>
  <c r="P91" i="31"/>
  <c r="F1033" i="31"/>
  <c r="H979" i="31"/>
  <c r="R754" i="31"/>
  <c r="F151" i="31"/>
  <c r="H113" i="31"/>
  <c r="N129" i="31"/>
  <c r="N703" i="31"/>
  <c r="P865" i="31"/>
  <c r="N757" i="31"/>
  <c r="R901" i="31"/>
  <c r="W901" i="31" s="1"/>
  <c r="R1084" i="31"/>
  <c r="P431" i="31"/>
  <c r="P1145" i="31"/>
  <c r="F643" i="31"/>
  <c r="J1363" i="31"/>
  <c r="M169" i="27"/>
  <c r="F983" i="31"/>
  <c r="N573" i="31"/>
  <c r="N979" i="31"/>
  <c r="F703" i="31"/>
  <c r="H37" i="31"/>
  <c r="R149" i="31"/>
  <c r="H589" i="31"/>
  <c r="R893" i="31"/>
  <c r="R779" i="31"/>
  <c r="R102" i="31"/>
  <c r="R394" i="31"/>
  <c r="F1171" i="31"/>
  <c r="F1107" i="31"/>
  <c r="P757" i="31"/>
  <c r="L1003" i="31"/>
  <c r="F289" i="31"/>
  <c r="P477" i="31"/>
  <c r="N121" i="31"/>
  <c r="H1309" i="31"/>
  <c r="L757" i="31"/>
  <c r="R1002" i="31"/>
  <c r="H619" i="31"/>
  <c r="J1037" i="31"/>
  <c r="R867" i="31"/>
  <c r="R705" i="31"/>
  <c r="R808" i="31"/>
  <c r="J431" i="31"/>
  <c r="F915" i="31"/>
  <c r="R450" i="31"/>
  <c r="R502" i="31"/>
  <c r="R1055" i="31"/>
  <c r="F1333" i="31"/>
  <c r="F1117" i="31"/>
  <c r="L1117" i="31"/>
  <c r="N1255" i="31"/>
  <c r="J313" i="31"/>
  <c r="R701" i="31"/>
  <c r="J343" i="31"/>
  <c r="N811" i="31"/>
  <c r="R1253" i="31"/>
  <c r="L865" i="31"/>
  <c r="L1091" i="31"/>
  <c r="R1058" i="31"/>
  <c r="R1278" i="31"/>
  <c r="R396" i="31"/>
  <c r="R287" i="31"/>
  <c r="L213" i="31"/>
  <c r="P933" i="31"/>
  <c r="P611" i="31"/>
  <c r="N827" i="31"/>
  <c r="P289" i="31"/>
  <c r="L463" i="31"/>
  <c r="P635" i="31"/>
  <c r="J317" i="31"/>
  <c r="J739" i="31"/>
  <c r="R864" i="31"/>
  <c r="R204" i="31"/>
  <c r="N719" i="31"/>
  <c r="N247" i="31"/>
  <c r="J807" i="31"/>
  <c r="L953" i="31"/>
  <c r="H1225" i="31"/>
  <c r="J451" i="31"/>
  <c r="F505" i="31"/>
  <c r="H565" i="31"/>
  <c r="R671" i="31"/>
  <c r="W671" i="31" s="1"/>
  <c r="R65" i="31"/>
  <c r="P873" i="31"/>
  <c r="L1145" i="31"/>
  <c r="N685" i="31"/>
  <c r="H887" i="31"/>
  <c r="P827" i="31"/>
  <c r="AA50" i="27"/>
  <c r="F121" i="31"/>
  <c r="F1037" i="31"/>
  <c r="N815" i="31"/>
  <c r="R138" i="31"/>
  <c r="R361" i="31"/>
  <c r="W361" i="31" s="1"/>
  <c r="P309" i="31"/>
  <c r="L363" i="31"/>
  <c r="J417" i="31"/>
  <c r="H585" i="31"/>
  <c r="R88" i="31"/>
  <c r="P113" i="31"/>
  <c r="H129" i="31"/>
  <c r="P129" i="31"/>
  <c r="R219" i="31"/>
  <c r="R240" i="31"/>
  <c r="L243" i="31"/>
  <c r="R296" i="31"/>
  <c r="N313" i="31"/>
  <c r="H367" i="31"/>
  <c r="F811" i="31"/>
  <c r="P811" i="31"/>
  <c r="J979" i="31"/>
  <c r="L1195" i="31"/>
  <c r="N919" i="31"/>
  <c r="P643" i="31"/>
  <c r="F259" i="31"/>
  <c r="N1087" i="31"/>
  <c r="J1087" i="31"/>
  <c r="P1195" i="31"/>
  <c r="J1367" i="31"/>
  <c r="L155" i="31"/>
  <c r="R369" i="31"/>
  <c r="H539" i="31"/>
  <c r="R590" i="31"/>
  <c r="J815" i="31"/>
  <c r="L983" i="31"/>
  <c r="N1259" i="31"/>
  <c r="R644" i="31"/>
  <c r="J1145" i="31"/>
  <c r="P539" i="31"/>
  <c r="R153" i="31"/>
  <c r="W153" i="31" s="1"/>
  <c r="N865" i="31"/>
  <c r="N1107" i="31"/>
  <c r="L999" i="31"/>
  <c r="F831" i="31"/>
  <c r="F535" i="31"/>
  <c r="J865" i="31"/>
  <c r="P923" i="31"/>
  <c r="N367" i="31"/>
  <c r="F279" i="31"/>
  <c r="P339" i="31"/>
  <c r="N723" i="31"/>
  <c r="R1051" i="31"/>
  <c r="W1051" i="31" s="1"/>
  <c r="J171" i="31"/>
  <c r="H209" i="31"/>
  <c r="N263" i="31"/>
  <c r="L1107" i="31"/>
  <c r="H1107" i="31"/>
  <c r="L1167" i="31"/>
  <c r="R498" i="31"/>
  <c r="P555" i="31"/>
  <c r="P831" i="31"/>
  <c r="N1275" i="31"/>
  <c r="L1275" i="31"/>
  <c r="H1087" i="31"/>
  <c r="R810" i="31"/>
  <c r="N535" i="31"/>
  <c r="N643" i="31"/>
  <c r="P1309" i="31"/>
  <c r="P1363" i="31"/>
  <c r="R1361" i="31"/>
  <c r="R813" i="31"/>
  <c r="R921" i="31"/>
  <c r="W921" i="31" s="1"/>
  <c r="R482" i="31"/>
  <c r="H1367" i="31"/>
  <c r="R700" i="31"/>
  <c r="R759" i="31"/>
  <c r="W759" i="31" s="1"/>
  <c r="R170" i="31"/>
  <c r="F141" i="31"/>
  <c r="F343" i="31"/>
  <c r="L67" i="31"/>
  <c r="L505" i="31"/>
  <c r="R562" i="31"/>
  <c r="R564" i="31"/>
  <c r="L619" i="31"/>
  <c r="R617" i="31"/>
  <c r="F673" i="31"/>
  <c r="R725" i="31"/>
  <c r="N727" i="31"/>
  <c r="R780" i="31"/>
  <c r="W780" i="31" s="1"/>
  <c r="R839" i="31"/>
  <c r="J895" i="31"/>
  <c r="R894" i="31"/>
  <c r="L949" i="31"/>
  <c r="F949" i="31"/>
  <c r="N949" i="31"/>
  <c r="F1279" i="31"/>
  <c r="P1333" i="31"/>
  <c r="R227" i="31"/>
  <c r="F67" i="31"/>
  <c r="J105" i="31"/>
  <c r="N343" i="31"/>
  <c r="R342" i="31"/>
  <c r="N397" i="31"/>
  <c r="R541" i="31"/>
  <c r="W541" i="31" s="1"/>
  <c r="R1116" i="31"/>
  <c r="W1116" i="31" s="1"/>
  <c r="R1170" i="31"/>
  <c r="N1279" i="31"/>
  <c r="J289" i="31"/>
  <c r="P175" i="31"/>
  <c r="P213" i="31"/>
  <c r="R320" i="31"/>
  <c r="R872" i="31"/>
  <c r="R1222" i="31"/>
  <c r="J1199" i="31"/>
  <c r="J1091" i="31"/>
  <c r="R981" i="31"/>
  <c r="W981" i="31" s="1"/>
  <c r="R812" i="31"/>
  <c r="H761" i="31"/>
  <c r="R592" i="31"/>
  <c r="R591" i="31"/>
  <c r="W591" i="31" s="1"/>
  <c r="R1193" i="31"/>
  <c r="P1087" i="31"/>
  <c r="R978" i="31"/>
  <c r="R478" i="31"/>
  <c r="W478" i="31" s="1"/>
  <c r="R1139" i="31"/>
  <c r="F865" i="31"/>
  <c r="R809" i="31"/>
  <c r="R480" i="31"/>
  <c r="H259" i="31"/>
  <c r="N151" i="31"/>
  <c r="J965" i="31"/>
  <c r="N1025" i="31"/>
  <c r="R946" i="31"/>
  <c r="R672" i="31"/>
  <c r="L593" i="31"/>
  <c r="H205" i="31"/>
  <c r="J301" i="31"/>
  <c r="N577" i="31"/>
  <c r="N739" i="31"/>
  <c r="L1129" i="31"/>
  <c r="F301" i="31"/>
  <c r="AQ10" i="27"/>
  <c r="T51" i="27"/>
  <c r="R1198" i="31"/>
  <c r="R118" i="31"/>
  <c r="R616" i="31"/>
  <c r="J551" i="31"/>
  <c r="J983" i="31"/>
  <c r="R207" i="31"/>
  <c r="R641" i="31"/>
  <c r="R354" i="31"/>
  <c r="R407" i="31"/>
  <c r="W407" i="31" s="1"/>
  <c r="N631" i="31"/>
  <c r="N229" i="31"/>
  <c r="F451" i="31"/>
  <c r="H505" i="31"/>
  <c r="R1256" i="31"/>
  <c r="N647" i="31"/>
  <c r="P313" i="31"/>
  <c r="N427" i="31"/>
  <c r="J757" i="31"/>
  <c r="J133" i="31"/>
  <c r="J397" i="31"/>
  <c r="J1225" i="31"/>
  <c r="R533" i="31"/>
  <c r="J831" i="31"/>
  <c r="J447" i="31"/>
  <c r="J723" i="31"/>
  <c r="F565" i="31"/>
  <c r="N781" i="31"/>
  <c r="J949" i="31"/>
  <c r="F1003" i="31"/>
  <c r="R395" i="31"/>
  <c r="H105" i="31"/>
  <c r="H159" i="31"/>
  <c r="R156" i="31"/>
  <c r="W156" i="31" s="1"/>
  <c r="H1171" i="31"/>
  <c r="J1209" i="31"/>
  <c r="R319" i="31"/>
  <c r="F1225" i="31"/>
  <c r="F1367" i="31"/>
  <c r="R980" i="31"/>
  <c r="P761" i="31"/>
  <c r="N1309" i="31"/>
  <c r="R1030" i="31"/>
  <c r="R918" i="31"/>
  <c r="P259" i="31"/>
  <c r="N205" i="31"/>
  <c r="J91" i="31"/>
  <c r="J1309" i="31"/>
  <c r="P1255" i="31"/>
  <c r="AA10" i="27"/>
  <c r="N417" i="31"/>
  <c r="R416" i="31"/>
  <c r="J861" i="31"/>
  <c r="F1029" i="31"/>
  <c r="P1083" i="31"/>
  <c r="R1134" i="31"/>
  <c r="R1280" i="31"/>
  <c r="W1280" i="31" s="1"/>
  <c r="R341" i="31"/>
  <c r="W341" i="31" s="1"/>
  <c r="R618" i="31"/>
  <c r="W618" i="31" s="1"/>
  <c r="L673" i="31"/>
  <c r="H727" i="31"/>
  <c r="R726" i="31"/>
  <c r="F841" i="31"/>
  <c r="L841" i="31"/>
  <c r="F895" i="31"/>
  <c r="R948" i="31"/>
  <c r="F1057" i="31"/>
  <c r="L1057" i="31"/>
  <c r="R1277" i="31"/>
  <c r="W1277" i="31" s="1"/>
  <c r="L1279" i="31"/>
  <c r="R1332" i="31"/>
  <c r="W1332" i="31" s="1"/>
  <c r="R448" i="31"/>
  <c r="L229" i="31"/>
  <c r="H67" i="31"/>
  <c r="P343" i="31"/>
  <c r="R340" i="31"/>
  <c r="R487" i="31"/>
  <c r="W487" i="31" s="1"/>
  <c r="R1115" i="31"/>
  <c r="W1115" i="31" s="1"/>
  <c r="L1171" i="31"/>
  <c r="H781" i="31"/>
  <c r="P229" i="31"/>
  <c r="R174" i="31"/>
  <c r="N289" i="31"/>
  <c r="R931" i="31"/>
  <c r="N1225" i="31"/>
  <c r="R920" i="31"/>
  <c r="W920" i="31" s="1"/>
  <c r="R1252" i="31"/>
  <c r="H1195" i="31"/>
  <c r="P1141" i="31"/>
  <c r="H481" i="31"/>
  <c r="J367" i="31"/>
  <c r="L919" i="31"/>
  <c r="R862" i="31"/>
  <c r="W862" i="31" s="1"/>
  <c r="R702" i="31"/>
  <c r="R586" i="31"/>
  <c r="R74" i="31"/>
  <c r="R72" i="31"/>
  <c r="W72" i="31" s="1"/>
  <c r="H221" i="31"/>
  <c r="N259" i="31"/>
  <c r="H313" i="31"/>
  <c r="R348" i="31"/>
  <c r="W348" i="31" s="1"/>
  <c r="R1178" i="31"/>
  <c r="L703" i="31"/>
  <c r="R148" i="31"/>
  <c r="F757" i="31"/>
  <c r="N869" i="31"/>
  <c r="J869" i="31"/>
  <c r="L1037" i="31"/>
  <c r="J485" i="31"/>
  <c r="H95" i="31"/>
  <c r="F619" i="31"/>
  <c r="R1224" i="31"/>
  <c r="R1001" i="31"/>
  <c r="W1001" i="31" s="1"/>
  <c r="R840" i="31"/>
  <c r="F727" i="31"/>
  <c r="L1255" i="31"/>
  <c r="J1117" i="31"/>
  <c r="N911" i="31"/>
  <c r="R1056" i="31"/>
  <c r="W1056" i="31" s="1"/>
  <c r="R1276" i="31"/>
  <c r="R503" i="31"/>
  <c r="W503" i="31" s="1"/>
  <c r="R947" i="31"/>
  <c r="W947" i="31" s="1"/>
  <c r="R64" i="31"/>
  <c r="R1192" i="31"/>
  <c r="W1192" i="31" s="1"/>
  <c r="P919" i="31"/>
  <c r="R353" i="31"/>
  <c r="L1015" i="31"/>
  <c r="R202" i="31"/>
  <c r="W202" i="31" s="1"/>
  <c r="R424" i="31"/>
  <c r="W424" i="31" s="1"/>
  <c r="K166" i="27"/>
  <c r="N37" i="31"/>
  <c r="N505" i="31"/>
  <c r="P505" i="31"/>
  <c r="N673" i="31"/>
  <c r="L895" i="31"/>
  <c r="P949" i="31"/>
  <c r="H1057" i="31"/>
  <c r="N1171" i="31"/>
  <c r="F201" i="31"/>
  <c r="R140" i="31"/>
  <c r="N899" i="31"/>
  <c r="J1229" i="31"/>
  <c r="L727" i="31"/>
  <c r="R778" i="31"/>
  <c r="W778" i="31" s="1"/>
  <c r="J1003" i="31"/>
  <c r="N1057" i="31"/>
  <c r="J1279" i="31"/>
  <c r="J1333" i="31"/>
  <c r="R120" i="31"/>
  <c r="P105" i="31"/>
  <c r="P267" i="31"/>
  <c r="L267" i="31"/>
  <c r="J435" i="31"/>
  <c r="F657" i="31"/>
  <c r="H1117" i="31"/>
  <c r="J1171" i="31"/>
  <c r="P727" i="31"/>
  <c r="P451" i="31"/>
  <c r="L343" i="31"/>
  <c r="R226" i="31"/>
  <c r="W226" i="31" s="1"/>
  <c r="P121" i="31"/>
  <c r="L1225" i="31"/>
  <c r="P1225" i="31"/>
  <c r="P965" i="31"/>
  <c r="L141" i="31"/>
  <c r="J1079" i="31"/>
  <c r="N1217" i="31"/>
  <c r="L175" i="31"/>
  <c r="J371" i="31"/>
  <c r="H523" i="31"/>
  <c r="H229" i="31"/>
  <c r="J619" i="31"/>
  <c r="J1057" i="31"/>
  <c r="R1331" i="31"/>
  <c r="R288" i="31"/>
  <c r="P67" i="31"/>
  <c r="L781" i="31"/>
  <c r="P1117" i="31"/>
  <c r="F275" i="31"/>
  <c r="N389" i="31"/>
  <c r="L133" i="31"/>
  <c r="R1311" i="31"/>
  <c r="H923" i="31"/>
  <c r="P869" i="31"/>
  <c r="P815" i="31"/>
  <c r="P707" i="31"/>
  <c r="N519" i="31"/>
  <c r="R1085" i="31"/>
  <c r="W1085" i="31" s="1"/>
  <c r="F229" i="31"/>
  <c r="R56" i="31"/>
  <c r="R241" i="31"/>
  <c r="R508" i="31"/>
  <c r="P915" i="31"/>
  <c r="P1029" i="31"/>
  <c r="R1281" i="31"/>
  <c r="L21" i="31"/>
  <c r="J187" i="31"/>
  <c r="L1191" i="31"/>
  <c r="N21" i="31"/>
  <c r="P37" i="31"/>
  <c r="H71" i="31"/>
  <c r="R346" i="31"/>
  <c r="N895" i="31"/>
  <c r="J175" i="31"/>
  <c r="L565" i="31"/>
  <c r="H1003" i="31"/>
  <c r="N1003" i="31"/>
  <c r="H1333" i="31"/>
  <c r="N321" i="31"/>
  <c r="J953" i="31"/>
  <c r="R1302" i="31"/>
  <c r="W1302" i="31" s="1"/>
  <c r="L1083" i="31"/>
  <c r="J995" i="31"/>
  <c r="P1049" i="31"/>
  <c r="N619" i="31"/>
  <c r="P619" i="31"/>
  <c r="N841" i="31"/>
  <c r="F681" i="31"/>
  <c r="AA5" i="27"/>
  <c r="R292" i="31"/>
  <c r="K87" i="27"/>
  <c r="J1187" i="31"/>
  <c r="F803" i="31"/>
  <c r="P1133" i="31"/>
  <c r="AA8" i="27"/>
  <c r="H1083" i="31"/>
  <c r="L347" i="31"/>
  <c r="J401" i="31"/>
  <c r="R414" i="31"/>
  <c r="J639" i="31"/>
  <c r="L861" i="31"/>
  <c r="R1004" i="31"/>
  <c r="W1004" i="31" s="1"/>
  <c r="L1061" i="31"/>
  <c r="R1081" i="31"/>
  <c r="W1081" i="31" s="1"/>
  <c r="F1137" i="31"/>
  <c r="H1191" i="31"/>
  <c r="F1245" i="31"/>
  <c r="P1283" i="31"/>
  <c r="F1305" i="31"/>
  <c r="J1305" i="31"/>
  <c r="R1336" i="31"/>
  <c r="J1375" i="31"/>
  <c r="N1375" i="31"/>
  <c r="R1373" i="31"/>
  <c r="W1373" i="31" s="1"/>
  <c r="R119" i="31"/>
  <c r="R66" i="31"/>
  <c r="F381" i="31"/>
  <c r="R504" i="31"/>
  <c r="W504" i="31" s="1"/>
  <c r="P565" i="31"/>
  <c r="R563" i="31"/>
  <c r="W563" i="31" s="1"/>
  <c r="H673" i="31"/>
  <c r="J673" i="31"/>
  <c r="R724" i="31"/>
  <c r="F781" i="31"/>
  <c r="P781" i="31"/>
  <c r="R838" i="31"/>
  <c r="W838" i="31" s="1"/>
  <c r="H895" i="31"/>
  <c r="P1003" i="31"/>
  <c r="P1279" i="31"/>
  <c r="L1333" i="31"/>
  <c r="H121" i="31"/>
  <c r="N105" i="31"/>
  <c r="R103" i="31"/>
  <c r="W103" i="31" s="1"/>
  <c r="R104" i="31"/>
  <c r="W104" i="31" s="1"/>
  <c r="L159" i="31"/>
  <c r="J267" i="31"/>
  <c r="H343" i="31"/>
  <c r="R540" i="31"/>
  <c r="W540" i="31" s="1"/>
  <c r="J597" i="31"/>
  <c r="N711" i="31"/>
  <c r="N765" i="31"/>
  <c r="H765" i="31"/>
  <c r="N1117" i="31"/>
  <c r="R1169" i="31"/>
  <c r="W1169" i="31" s="1"/>
  <c r="P397" i="31"/>
  <c r="F137" i="31"/>
  <c r="H289" i="31"/>
  <c r="R1223" i="31"/>
  <c r="W1223" i="31" s="1"/>
  <c r="J427" i="31"/>
  <c r="L535" i="31"/>
  <c r="R57" i="31"/>
  <c r="R112" i="31"/>
  <c r="L151" i="31"/>
  <c r="R166" i="31"/>
  <c r="W166" i="31" s="1"/>
  <c r="R218" i="31"/>
  <c r="P221" i="31"/>
  <c r="R242" i="31"/>
  <c r="F335" i="31"/>
  <c r="N335" i="31"/>
  <c r="F389" i="31"/>
  <c r="H519" i="31"/>
  <c r="R954" i="31"/>
  <c r="W954" i="31" s="1"/>
  <c r="H1011" i="31"/>
  <c r="N1011" i="31"/>
  <c r="H1179" i="31"/>
  <c r="R1124" i="31"/>
  <c r="W1124" i="31" s="1"/>
  <c r="P79" i="31"/>
  <c r="J761" i="31"/>
  <c r="F869" i="31"/>
  <c r="R922" i="31"/>
  <c r="W922" i="31" s="1"/>
  <c r="L1259" i="31"/>
  <c r="L1313" i="31"/>
  <c r="H155" i="31"/>
  <c r="R200" i="31"/>
  <c r="W200" i="31" s="1"/>
  <c r="R139" i="31"/>
  <c r="R638" i="31"/>
  <c r="R1119" i="31"/>
  <c r="W1119" i="31" s="1"/>
  <c r="T90" i="27"/>
  <c r="P1079" i="31"/>
  <c r="R1135" i="31"/>
  <c r="W1135" i="31" s="1"/>
  <c r="R228" i="31"/>
  <c r="R172" i="31"/>
  <c r="W172" i="31" s="1"/>
  <c r="L121" i="31"/>
  <c r="R892" i="31"/>
  <c r="W892" i="31" s="1"/>
  <c r="N67" i="31"/>
  <c r="J247" i="31"/>
  <c r="L719" i="31"/>
  <c r="H187" i="31"/>
  <c r="R1048" i="31"/>
  <c r="F1049" i="31"/>
  <c r="R408" i="31"/>
  <c r="H739" i="31"/>
  <c r="H799" i="31"/>
  <c r="H551" i="31"/>
  <c r="H957" i="31"/>
  <c r="J263" i="31"/>
  <c r="P1199" i="31"/>
  <c r="R1244" i="31"/>
  <c r="N773" i="31"/>
  <c r="J719" i="31"/>
  <c r="P197" i="31"/>
  <c r="H233" i="31"/>
  <c r="P455" i="31"/>
  <c r="J1137" i="31"/>
  <c r="F363" i="31"/>
  <c r="N401" i="31"/>
  <c r="N531" i="31"/>
  <c r="F623" i="31"/>
  <c r="R692" i="31"/>
  <c r="L731" i="31"/>
  <c r="J753" i="31"/>
  <c r="H861" i="31"/>
  <c r="J1083" i="31"/>
  <c r="N565" i="31"/>
  <c r="H597" i="31"/>
  <c r="F321" i="31"/>
  <c r="N933" i="31"/>
  <c r="P179" i="31"/>
  <c r="N477" i="31"/>
  <c r="J623" i="31"/>
  <c r="L785" i="31"/>
  <c r="L845" i="31"/>
  <c r="R1005" i="31"/>
  <c r="W1005" i="31" s="1"/>
  <c r="R1173" i="31"/>
  <c r="W1173" i="31" s="1"/>
  <c r="N1191" i="31"/>
  <c r="J1337" i="31"/>
  <c r="P689" i="31"/>
  <c r="R14" i="31"/>
  <c r="W14" i="31" s="1"/>
  <c r="R1357" i="31"/>
  <c r="P749" i="31"/>
  <c r="J413" i="31"/>
  <c r="J463" i="31"/>
  <c r="R36" i="31"/>
  <c r="R360" i="31"/>
  <c r="W360" i="31" s="1"/>
  <c r="R782" i="31"/>
  <c r="W782" i="31" s="1"/>
  <c r="R135" i="31"/>
  <c r="W135" i="31" s="1"/>
  <c r="P1057" i="31"/>
  <c r="H1271" i="31"/>
  <c r="L451" i="31"/>
  <c r="N201" i="31"/>
  <c r="L87" i="31"/>
  <c r="H255" i="31"/>
  <c r="L17" i="31"/>
  <c r="R575" i="31"/>
  <c r="W575" i="31" s="1"/>
  <c r="P685" i="31"/>
  <c r="L75" i="31"/>
  <c r="J297" i="31"/>
  <c r="R350" i="31"/>
  <c r="W350" i="31" s="1"/>
  <c r="J459" i="31"/>
  <c r="J627" i="31"/>
  <c r="J735" i="31"/>
  <c r="P1175" i="31"/>
  <c r="R440" i="31"/>
  <c r="N1325" i="31"/>
  <c r="R86" i="31"/>
  <c r="L37" i="31"/>
  <c r="P59" i="31"/>
  <c r="AE45" i="27"/>
  <c r="L1287" i="31"/>
  <c r="H1091" i="31"/>
  <c r="P371" i="31"/>
  <c r="P355" i="31"/>
  <c r="F523" i="31"/>
  <c r="N1179" i="31"/>
  <c r="P167" i="31"/>
  <c r="N243" i="31"/>
  <c r="F233" i="31"/>
  <c r="P363" i="31"/>
  <c r="P969" i="31"/>
  <c r="P1191" i="31"/>
  <c r="F1283" i="31"/>
  <c r="R752" i="31"/>
  <c r="W752" i="31" s="1"/>
  <c r="N509" i="31"/>
  <c r="F639" i="31"/>
  <c r="R529" i="31"/>
  <c r="W529" i="31" s="1"/>
  <c r="R680" i="31"/>
  <c r="W680" i="31" s="1"/>
  <c r="R794" i="31"/>
  <c r="L233" i="31"/>
  <c r="F179" i="31"/>
  <c r="J489" i="31"/>
  <c r="J275" i="31"/>
  <c r="P463" i="31"/>
  <c r="F79" i="31"/>
  <c r="R706" i="31"/>
  <c r="W706" i="31" s="1"/>
  <c r="F351" i="31"/>
  <c r="J519" i="31"/>
  <c r="P573" i="31"/>
  <c r="BE303" i="4"/>
  <c r="BG27" i="4"/>
  <c r="BJ303" i="4" s="1"/>
  <c r="L13" i="31"/>
  <c r="N309" i="31"/>
  <c r="J455" i="31"/>
  <c r="P531" i="31"/>
  <c r="R567" i="31"/>
  <c r="W567" i="31" s="1"/>
  <c r="R583" i="31"/>
  <c r="W583" i="31" s="1"/>
  <c r="J585" i="31"/>
  <c r="R751" i="31"/>
  <c r="W751" i="31" s="1"/>
  <c r="R804" i="31"/>
  <c r="W804" i="31" s="1"/>
  <c r="J845" i="31"/>
  <c r="R843" i="31"/>
  <c r="L899" i="31"/>
  <c r="L49" i="31"/>
  <c r="R254" i="31"/>
  <c r="W254" i="31" s="1"/>
  <c r="H201" i="31"/>
  <c r="P141" i="31"/>
  <c r="N87" i="31"/>
  <c r="J179" i="31"/>
  <c r="F293" i="31"/>
  <c r="N293" i="31"/>
  <c r="P243" i="31"/>
  <c r="L853" i="31"/>
  <c r="L409" i="31"/>
  <c r="N33" i="31"/>
  <c r="P293" i="31"/>
  <c r="H179" i="31"/>
  <c r="R252" i="31"/>
  <c r="H293" i="31"/>
  <c r="L969" i="31"/>
  <c r="R1080" i="31"/>
  <c r="W1080" i="31" s="1"/>
  <c r="R399" i="31"/>
  <c r="R398" i="31"/>
  <c r="W398" i="31" s="1"/>
  <c r="L417" i="31"/>
  <c r="F753" i="31"/>
  <c r="F807" i="31"/>
  <c r="L807" i="31"/>
  <c r="R897" i="31"/>
  <c r="W897" i="31" s="1"/>
  <c r="F1061" i="31"/>
  <c r="R1120" i="31"/>
  <c r="H995" i="31"/>
  <c r="F527" i="31"/>
  <c r="R387" i="31"/>
  <c r="W387" i="31" s="1"/>
  <c r="P459" i="31"/>
  <c r="R847" i="31"/>
  <c r="W847" i="31" s="1"/>
  <c r="F1011" i="31"/>
  <c r="L1011" i="31"/>
  <c r="H903" i="31"/>
  <c r="R1364" i="31"/>
  <c r="W1364" i="31" s="1"/>
  <c r="P301" i="31"/>
  <c r="L647" i="31"/>
  <c r="H1145" i="31"/>
  <c r="N13" i="31"/>
  <c r="F17" i="31"/>
  <c r="N49" i="31"/>
  <c r="P523" i="31"/>
  <c r="L739" i="31"/>
  <c r="H807" i="31"/>
  <c r="R272" i="31"/>
  <c r="W272" i="31" s="1"/>
  <c r="AJ51" i="27"/>
  <c r="F1149" i="31"/>
  <c r="J505" i="31"/>
  <c r="N543" i="31"/>
  <c r="R1314" i="31"/>
  <c r="H275" i="31"/>
  <c r="F355" i="31"/>
  <c r="L247" i="31"/>
  <c r="X11" i="27"/>
  <c r="AD11" i="27" s="1"/>
  <c r="J21" i="31"/>
  <c r="P1321" i="31"/>
  <c r="J1049" i="31"/>
  <c r="P133" i="31"/>
  <c r="P409" i="31"/>
  <c r="H1199" i="31"/>
  <c r="P1347" i="31"/>
  <c r="F957" i="31"/>
  <c r="R792" i="31"/>
  <c r="W792" i="31" s="1"/>
  <c r="J1287" i="31"/>
  <c r="L815" i="31"/>
  <c r="R1320" i="31"/>
  <c r="P247" i="31"/>
  <c r="L1347" i="31"/>
  <c r="R294" i="31"/>
  <c r="W294" i="31" s="1"/>
  <c r="H351" i="31"/>
  <c r="J849" i="31"/>
  <c r="F29" i="31"/>
  <c r="P665" i="31"/>
  <c r="J803" i="31"/>
  <c r="P853" i="31"/>
  <c r="N749" i="31"/>
  <c r="K125" i="27"/>
  <c r="R84" i="31"/>
  <c r="L639" i="31"/>
  <c r="H309" i="31"/>
  <c r="F417" i="31"/>
  <c r="N455" i="31"/>
  <c r="P509" i="31"/>
  <c r="L531" i="31"/>
  <c r="N569" i="31"/>
  <c r="P639" i="31"/>
  <c r="R676" i="31"/>
  <c r="L677" i="31"/>
  <c r="F693" i="31"/>
  <c r="J693" i="31"/>
  <c r="R729" i="31"/>
  <c r="W729" i="31" s="1"/>
  <c r="N731" i="31"/>
  <c r="N753" i="31"/>
  <c r="F785" i="31"/>
  <c r="R783" i="31"/>
  <c r="W783" i="31" s="1"/>
  <c r="N807" i="31"/>
  <c r="N861" i="31"/>
  <c r="P899" i="31"/>
  <c r="J915" i="31"/>
  <c r="H953" i="31"/>
  <c r="R951" i="31"/>
  <c r="W951" i="31" s="1"/>
  <c r="P1007" i="31"/>
  <c r="P1061" i="31"/>
  <c r="F1121" i="31"/>
  <c r="P1121" i="31"/>
  <c r="R1188" i="31"/>
  <c r="W1188" i="31" s="1"/>
  <c r="P1245" i="31"/>
  <c r="N1283" i="31"/>
  <c r="N1305" i="31"/>
  <c r="H1359" i="31"/>
  <c r="F197" i="31"/>
  <c r="R470" i="31"/>
  <c r="W470" i="31" s="1"/>
  <c r="P359" i="31"/>
  <c r="R688" i="31"/>
  <c r="R687" i="31"/>
  <c r="W687" i="31" s="1"/>
  <c r="N1313" i="31"/>
  <c r="F1379" i="31"/>
  <c r="F59" i="31"/>
  <c r="J59" i="31"/>
  <c r="N75" i="31"/>
  <c r="R128" i="31"/>
  <c r="W128" i="31" s="1"/>
  <c r="F243" i="31"/>
  <c r="N351" i="31"/>
  <c r="L957" i="31"/>
  <c r="H1141" i="31"/>
  <c r="J681" i="31"/>
  <c r="L795" i="31"/>
  <c r="J795" i="31"/>
  <c r="P841" i="31"/>
  <c r="R449" i="31"/>
  <c r="W449" i="31" s="1"/>
  <c r="N175" i="31"/>
  <c r="J121" i="31"/>
  <c r="N451" i="31"/>
  <c r="H451" i="31"/>
  <c r="J565" i="31"/>
  <c r="J727" i="31"/>
  <c r="J781" i="31"/>
  <c r="H949" i="31"/>
  <c r="R1000" i="31"/>
  <c r="W1000" i="31" s="1"/>
  <c r="R1054" i="31"/>
  <c r="W1054" i="31" s="1"/>
  <c r="P1149" i="31"/>
  <c r="H1279" i="31"/>
  <c r="R1330" i="31"/>
  <c r="W1330" i="31" s="1"/>
  <c r="J1371" i="31"/>
  <c r="L1371" i="31"/>
  <c r="H197" i="31"/>
  <c r="R265" i="31"/>
  <c r="W265" i="31" s="1"/>
  <c r="R304" i="31"/>
  <c r="H397" i="31"/>
  <c r="L435" i="31"/>
  <c r="F489" i="31"/>
  <c r="F597" i="31"/>
  <c r="R709" i="31"/>
  <c r="W709" i="31" s="1"/>
  <c r="R1114" i="31"/>
  <c r="W1114" i="31" s="1"/>
  <c r="R1206" i="31"/>
  <c r="W1206" i="31" s="1"/>
  <c r="R81" i="31"/>
  <c r="W81" i="31" s="1"/>
  <c r="L83" i="31"/>
  <c r="P83" i="31"/>
  <c r="R134" i="31"/>
  <c r="W134" i="31" s="1"/>
  <c r="H213" i="31"/>
  <c r="R634" i="31"/>
  <c r="W634" i="31" s="1"/>
  <c r="J335" i="31"/>
  <c r="J409" i="31"/>
  <c r="R131" i="31"/>
  <c r="W131" i="31" s="1"/>
  <c r="R76" i="31"/>
  <c r="W76" i="31" s="1"/>
  <c r="N1367" i="31"/>
  <c r="H1313" i="31"/>
  <c r="N923" i="31"/>
  <c r="R955" i="31"/>
  <c r="W955" i="31" s="1"/>
  <c r="P405" i="31"/>
  <c r="F91" i="31"/>
  <c r="N1379" i="31"/>
  <c r="P75" i="31"/>
  <c r="R110" i="31"/>
  <c r="W110" i="31" s="1"/>
  <c r="R126" i="31"/>
  <c r="W126" i="31" s="1"/>
  <c r="H167" i="31"/>
  <c r="J167" i="31"/>
  <c r="N167" i="31"/>
  <c r="F183" i="31"/>
  <c r="L221" i="31"/>
  <c r="N221" i="31"/>
  <c r="P275" i="31"/>
  <c r="J351" i="31"/>
  <c r="R349" i="31"/>
  <c r="W349" i="31" s="1"/>
  <c r="R402" i="31"/>
  <c r="W402" i="31" s="1"/>
  <c r="N405" i="31"/>
  <c r="F405" i="31"/>
  <c r="N443" i="31"/>
  <c r="R457" i="31"/>
  <c r="W457" i="31" s="1"/>
  <c r="R516" i="31"/>
  <c r="W516" i="31" s="1"/>
  <c r="L627" i="31"/>
  <c r="R626" i="31"/>
  <c r="R734" i="31"/>
  <c r="W734" i="31" s="1"/>
  <c r="L849" i="31"/>
  <c r="R846" i="31"/>
  <c r="W846" i="31" s="1"/>
  <c r="N957" i="31"/>
  <c r="R1009" i="31"/>
  <c r="W1009" i="31" s="1"/>
  <c r="R1010" i="31"/>
  <c r="R1177" i="31"/>
  <c r="W1177" i="31" s="1"/>
  <c r="R679" i="31"/>
  <c r="W679" i="31" s="1"/>
  <c r="F903" i="31"/>
  <c r="P903" i="31"/>
  <c r="R900" i="31"/>
  <c r="W900" i="31" s="1"/>
  <c r="H1125" i="31"/>
  <c r="N1125" i="31"/>
  <c r="F1233" i="31"/>
  <c r="H1233" i="31"/>
  <c r="H1287" i="31"/>
  <c r="F1287" i="31"/>
  <c r="P1313" i="31"/>
  <c r="H983" i="31"/>
  <c r="N95" i="31"/>
  <c r="R302" i="31"/>
  <c r="W302" i="31" s="1"/>
  <c r="F305" i="31"/>
  <c r="R410" i="31"/>
  <c r="W410" i="31" s="1"/>
  <c r="F413" i="31"/>
  <c r="R579" i="31"/>
  <c r="W579" i="31" s="1"/>
  <c r="R379" i="31"/>
  <c r="W379" i="31" s="1"/>
  <c r="P673" i="31"/>
  <c r="R670" i="31"/>
  <c r="W670" i="31" s="1"/>
  <c r="L1153" i="31"/>
  <c r="P347" i="31"/>
  <c r="L33" i="31"/>
  <c r="R15" i="31"/>
  <c r="W15" i="31" s="1"/>
  <c r="L803" i="31"/>
  <c r="R212" i="31"/>
  <c r="H141" i="31"/>
  <c r="P87" i="31"/>
  <c r="P233" i="31"/>
  <c r="R194" i="31"/>
  <c r="W194" i="31" s="1"/>
  <c r="N137" i="31"/>
  <c r="J957" i="31"/>
  <c r="R1310" i="31"/>
  <c r="W1310" i="31" s="1"/>
  <c r="R1146" i="31"/>
  <c r="W1146" i="31" s="1"/>
  <c r="F105" i="31"/>
  <c r="R158" i="31"/>
  <c r="R195" i="31"/>
  <c r="W195" i="31" s="1"/>
  <c r="F543" i="31"/>
  <c r="P657" i="31"/>
  <c r="R710" i="31"/>
  <c r="P711" i="31"/>
  <c r="R708" i="31"/>
  <c r="W708" i="31" s="1"/>
  <c r="P765" i="31"/>
  <c r="N987" i="31"/>
  <c r="N83" i="31"/>
  <c r="R82" i="31"/>
  <c r="P137" i="31"/>
  <c r="R210" i="31"/>
  <c r="W210" i="31" s="1"/>
  <c r="J251" i="31"/>
  <c r="L251" i="31"/>
  <c r="R318" i="31"/>
  <c r="W318" i="31" s="1"/>
  <c r="H873" i="31"/>
  <c r="R932" i="31"/>
  <c r="W932" i="31" s="1"/>
  <c r="R984" i="31"/>
  <c r="W984" i="31" s="1"/>
  <c r="J987" i="31"/>
  <c r="R1039" i="31"/>
  <c r="W1039" i="31" s="1"/>
  <c r="R1040" i="31"/>
  <c r="W1040" i="31" s="1"/>
  <c r="F1317" i="31"/>
  <c r="H335" i="31"/>
  <c r="J443" i="31"/>
  <c r="H497" i="31"/>
  <c r="R246" i="31"/>
  <c r="F773" i="31"/>
  <c r="H443" i="31"/>
  <c r="L359" i="31"/>
  <c r="L301" i="31"/>
  <c r="R1366" i="31"/>
  <c r="H1259" i="31"/>
  <c r="H707" i="31"/>
  <c r="H919" i="31"/>
  <c r="H1071" i="31"/>
  <c r="R1344" i="31"/>
  <c r="W1344" i="31" s="1"/>
  <c r="F75" i="31"/>
  <c r="N113" i="31"/>
  <c r="F129" i="31"/>
  <c r="R165" i="31"/>
  <c r="W165" i="31" s="1"/>
  <c r="L183" i="31"/>
  <c r="R274" i="31"/>
  <c r="L275" i="31"/>
  <c r="R273" i="31"/>
  <c r="W273" i="31" s="1"/>
  <c r="R295" i="31"/>
  <c r="W295" i="31" s="1"/>
  <c r="P297" i="31"/>
  <c r="R332" i="31"/>
  <c r="W332" i="31" s="1"/>
  <c r="R333" i="31"/>
  <c r="W333" i="31" s="1"/>
  <c r="H389" i="31"/>
  <c r="R403" i="31"/>
  <c r="W403" i="31" s="1"/>
  <c r="J405" i="31"/>
  <c r="R458" i="31"/>
  <c r="H459" i="31"/>
  <c r="R518" i="31"/>
  <c r="R517" i="31"/>
  <c r="W517" i="31" s="1"/>
  <c r="R572" i="31"/>
  <c r="R570" i="31"/>
  <c r="W570" i="31" s="1"/>
  <c r="R625" i="31"/>
  <c r="W625" i="31" s="1"/>
  <c r="F627" i="31"/>
  <c r="P627" i="31"/>
  <c r="J703" i="31"/>
  <c r="L735" i="31"/>
  <c r="R956" i="31"/>
  <c r="R1008" i="31"/>
  <c r="W1008" i="31" s="1"/>
  <c r="J643" i="31"/>
  <c r="R678" i="31"/>
  <c r="W678" i="31" s="1"/>
  <c r="H681" i="31"/>
  <c r="L903" i="31"/>
  <c r="R1123" i="31"/>
  <c r="W1123" i="31" s="1"/>
  <c r="R1122" i="31"/>
  <c r="W1122" i="31" s="1"/>
  <c r="R1231" i="31"/>
  <c r="W1231" i="31" s="1"/>
  <c r="R1232" i="31"/>
  <c r="R1230" i="31"/>
  <c r="W1230" i="31" s="1"/>
  <c r="P1287" i="31"/>
  <c r="L1367" i="31"/>
  <c r="J1121" i="31"/>
  <c r="L519" i="31"/>
  <c r="R248" i="31"/>
  <c r="W248" i="31" s="1"/>
  <c r="R358" i="31"/>
  <c r="P413" i="31"/>
  <c r="P581" i="31"/>
  <c r="L635" i="31"/>
  <c r="R184" i="31"/>
  <c r="W184" i="31" s="1"/>
  <c r="R733" i="31"/>
  <c r="W733" i="31" s="1"/>
  <c r="R77" i="31"/>
  <c r="W77" i="31" s="1"/>
  <c r="H79" i="31"/>
  <c r="J1379" i="31"/>
  <c r="R1378" i="31"/>
  <c r="L59" i="31"/>
  <c r="R58" i="31"/>
  <c r="H75" i="31"/>
  <c r="R111" i="31"/>
  <c r="W111" i="31" s="1"/>
  <c r="N627" i="31"/>
  <c r="R1176" i="31"/>
  <c r="W1176" i="31" s="1"/>
  <c r="R290" i="31"/>
  <c r="W290" i="31" s="1"/>
  <c r="J255" i="31"/>
  <c r="L79" i="31"/>
  <c r="R78" i="31"/>
  <c r="N1103" i="31"/>
  <c r="N197" i="31"/>
  <c r="L569" i="31"/>
  <c r="R986" i="31"/>
  <c r="R303" i="31"/>
  <c r="W303" i="31" s="1"/>
  <c r="R356" i="31"/>
  <c r="W356" i="31" s="1"/>
  <c r="R412" i="31"/>
  <c r="W412" i="31" s="1"/>
  <c r="R1069" i="31"/>
  <c r="W1069" i="31" s="1"/>
  <c r="J321" i="31"/>
  <c r="J1095" i="31"/>
  <c r="F1095" i="31"/>
  <c r="R1092" i="31"/>
  <c r="W1092" i="31" s="1"/>
  <c r="R196" i="31"/>
  <c r="F435" i="31"/>
  <c r="R432" i="31"/>
  <c r="W432" i="31" s="1"/>
  <c r="J543" i="31"/>
  <c r="R763" i="31"/>
  <c r="W763" i="31" s="1"/>
  <c r="R762" i="31"/>
  <c r="W762" i="31" s="1"/>
  <c r="R817" i="31"/>
  <c r="W817" i="31" s="1"/>
  <c r="R816" i="31"/>
  <c r="W816" i="31" s="1"/>
  <c r="H359" i="31"/>
  <c r="L527" i="31"/>
  <c r="R525" i="31"/>
  <c r="W525" i="31" s="1"/>
  <c r="R578" i="31"/>
  <c r="W578" i="31" s="1"/>
  <c r="L581" i="31"/>
  <c r="F1041" i="31"/>
  <c r="R1038" i="31"/>
  <c r="W1038" i="31" s="1"/>
  <c r="R1315" i="31"/>
  <c r="W1315" i="31" s="1"/>
  <c r="J389" i="31"/>
  <c r="R386" i="31"/>
  <c r="W386" i="31" s="1"/>
  <c r="F409" i="31"/>
  <c r="L551" i="31"/>
  <c r="F359" i="31"/>
  <c r="J473" i="31"/>
  <c r="F581" i="31"/>
  <c r="L1125" i="31"/>
  <c r="H297" i="31"/>
  <c r="L573" i="31"/>
  <c r="R1148" i="31"/>
  <c r="W1148" i="31" s="1"/>
  <c r="R264" i="31"/>
  <c r="W264" i="31" s="1"/>
  <c r="J305" i="31"/>
  <c r="F83" i="31"/>
  <c r="R136" i="31"/>
  <c r="W136" i="31" s="1"/>
  <c r="H933" i="31"/>
  <c r="R1070" i="31"/>
  <c r="F1071" i="31"/>
  <c r="H1379" i="31"/>
  <c r="P1379" i="31"/>
  <c r="H59" i="31"/>
  <c r="L351" i="31"/>
  <c r="L389" i="31"/>
  <c r="F573" i="31"/>
  <c r="R1284" i="31"/>
  <c r="W1284" i="31" s="1"/>
  <c r="F585" i="31"/>
  <c r="P623" i="31"/>
  <c r="P677" i="31"/>
  <c r="F845" i="31"/>
  <c r="L827" i="31"/>
  <c r="N611" i="31"/>
  <c r="N665" i="31"/>
  <c r="L773" i="31"/>
  <c r="R357" i="31"/>
  <c r="W357" i="31" s="1"/>
  <c r="H413" i="31"/>
  <c r="N635" i="31"/>
  <c r="R902" i="31"/>
  <c r="R871" i="31"/>
  <c r="W871" i="31" s="1"/>
  <c r="R266" i="31"/>
  <c r="W266" i="31" s="1"/>
  <c r="R1369" i="31"/>
  <c r="W1369" i="31" s="1"/>
  <c r="R157" i="31"/>
  <c r="W157" i="31" s="1"/>
  <c r="P435" i="31"/>
  <c r="R488" i="31"/>
  <c r="W488" i="31" s="1"/>
  <c r="R542" i="31"/>
  <c r="R596" i="31"/>
  <c r="R654" i="31"/>
  <c r="W654" i="31" s="1"/>
  <c r="L1209" i="31"/>
  <c r="R211" i="31"/>
  <c r="W211" i="31" s="1"/>
  <c r="H987" i="31"/>
  <c r="N1263" i="31"/>
  <c r="R1261" i="31"/>
  <c r="W1261" i="31" s="1"/>
  <c r="H1317" i="31"/>
  <c r="R298" i="31"/>
  <c r="W298" i="31" s="1"/>
  <c r="P187" i="31"/>
  <c r="N1071" i="31"/>
  <c r="R1068" i="31"/>
  <c r="W1068" i="31" s="1"/>
  <c r="J1347" i="31"/>
  <c r="H1347" i="31"/>
  <c r="J221" i="31"/>
  <c r="N275" i="31"/>
  <c r="H405" i="31"/>
  <c r="J573" i="31"/>
  <c r="R732" i="31"/>
  <c r="W732" i="31" s="1"/>
  <c r="N735" i="31"/>
  <c r="F849" i="31"/>
  <c r="P957" i="31"/>
  <c r="P251" i="31"/>
  <c r="L749" i="31"/>
  <c r="R848" i="31"/>
  <c r="R624" i="31"/>
  <c r="W624" i="31" s="1"/>
  <c r="L381" i="31"/>
  <c r="H435" i="31"/>
  <c r="R594" i="31"/>
  <c r="W594" i="31" s="1"/>
  <c r="R764" i="31"/>
  <c r="N819" i="31"/>
  <c r="H83" i="31"/>
  <c r="L1233" i="31"/>
  <c r="L799" i="31"/>
  <c r="N213" i="31"/>
  <c r="L1071" i="31"/>
  <c r="R1377" i="31"/>
  <c r="W1377" i="31" s="1"/>
  <c r="P1233" i="31"/>
  <c r="P987" i="31"/>
  <c r="R388" i="31"/>
  <c r="N187" i="31"/>
  <c r="R1376" i="31"/>
  <c r="W1376" i="31" s="1"/>
  <c r="J355" i="31"/>
  <c r="J1071" i="31"/>
  <c r="F1347" i="31"/>
  <c r="R1346" i="31"/>
  <c r="J113" i="31"/>
  <c r="L167" i="31"/>
  <c r="N183" i="31"/>
  <c r="F459" i="31"/>
  <c r="H627" i="31"/>
  <c r="P703" i="31"/>
  <c r="H735" i="31"/>
  <c r="P979" i="31"/>
  <c r="F1179" i="31"/>
  <c r="N903" i="31"/>
  <c r="J1195" i="31"/>
  <c r="R1286" i="31"/>
  <c r="R1285" i="31"/>
  <c r="W1285" i="31" s="1"/>
  <c r="M89" i="27"/>
  <c r="J125" i="31"/>
  <c r="J569" i="31"/>
  <c r="R859" i="31"/>
  <c r="W859" i="31" s="1"/>
  <c r="AU49" i="27"/>
  <c r="R471" i="31"/>
  <c r="W471" i="31" s="1"/>
  <c r="R433" i="31"/>
  <c r="W433" i="31" s="1"/>
  <c r="J359" i="31"/>
  <c r="F473" i="31"/>
  <c r="N689" i="31"/>
  <c r="L543" i="31"/>
  <c r="J819" i="31"/>
  <c r="R334" i="31"/>
  <c r="F463" i="31"/>
  <c r="R186" i="31"/>
  <c r="W186" i="31" s="1"/>
  <c r="H133" i="31"/>
  <c r="N59" i="31"/>
  <c r="F113" i="31"/>
  <c r="R164" i="31"/>
  <c r="W164" i="31" s="1"/>
  <c r="F167" i="31"/>
  <c r="L297" i="31"/>
  <c r="P335" i="31"/>
  <c r="L335" i="31"/>
  <c r="L405" i="31"/>
  <c r="N459" i="31"/>
  <c r="P735" i="31"/>
  <c r="J1011" i="31"/>
  <c r="P1179" i="31"/>
  <c r="J1179" i="31"/>
  <c r="L1179" i="31"/>
  <c r="L681" i="31"/>
  <c r="P1125" i="31"/>
  <c r="H1255" i="31"/>
  <c r="L187" i="31"/>
  <c r="P1071" i="31"/>
  <c r="N1347" i="31"/>
  <c r="R1345" i="31"/>
  <c r="W1345" i="31" s="1"/>
  <c r="L1379" i="31"/>
  <c r="N297" i="31"/>
  <c r="F519" i="31"/>
  <c r="P849" i="31"/>
  <c r="P795" i="31"/>
  <c r="J903" i="31"/>
  <c r="J1125" i="31"/>
  <c r="F1125" i="31"/>
  <c r="J1233" i="31"/>
  <c r="N1287" i="31"/>
  <c r="J381" i="31"/>
  <c r="H543" i="31"/>
  <c r="L765" i="31"/>
  <c r="P819" i="31"/>
  <c r="N1209" i="31"/>
  <c r="R80" i="31"/>
  <c r="W80" i="31" s="1"/>
  <c r="N413" i="31"/>
  <c r="L473" i="31"/>
  <c r="N873" i="31"/>
  <c r="R930" i="31"/>
  <c r="W930" i="31" s="1"/>
  <c r="J1041" i="31"/>
  <c r="J1263" i="31"/>
  <c r="J1317" i="31"/>
  <c r="R220" i="31"/>
  <c r="F221" i="31"/>
  <c r="R460" i="31"/>
  <c r="W460" i="31" s="1"/>
  <c r="L355" i="31"/>
  <c r="R130" i="31"/>
  <c r="W130" i="31" s="1"/>
  <c r="F133" i="31"/>
  <c r="N1095" i="31"/>
  <c r="H1149" i="31"/>
  <c r="F267" i="31"/>
  <c r="J765" i="31"/>
  <c r="L305" i="31"/>
  <c r="N381" i="31"/>
  <c r="N1149" i="31"/>
  <c r="P305" i="31"/>
  <c r="J689" i="31"/>
  <c r="J933" i="31"/>
  <c r="J79" i="31"/>
  <c r="N1015" i="31"/>
  <c r="N1129" i="31"/>
  <c r="H845" i="31"/>
  <c r="N845" i="31"/>
  <c r="N991" i="31"/>
  <c r="L1029" i="31"/>
  <c r="F1175" i="31"/>
  <c r="N1359" i="31"/>
  <c r="R185" i="31"/>
  <c r="W185" i="31" s="1"/>
  <c r="F187" i="31"/>
  <c r="R132" i="31"/>
  <c r="R176" i="31"/>
  <c r="W176" i="31" s="1"/>
  <c r="N233" i="31"/>
  <c r="F347" i="31"/>
  <c r="R380" i="31"/>
  <c r="P1095" i="31"/>
  <c r="J1149" i="31"/>
  <c r="F159" i="31"/>
  <c r="J159" i="31"/>
  <c r="N267" i="31"/>
  <c r="L711" i="31"/>
  <c r="P1209" i="31"/>
  <c r="H137" i="31"/>
  <c r="F933" i="31"/>
  <c r="F987" i="31"/>
  <c r="P1041" i="31"/>
  <c r="J887" i="31"/>
  <c r="R524" i="31"/>
  <c r="W524" i="31" s="1"/>
  <c r="H581" i="31"/>
  <c r="P381" i="31"/>
  <c r="P895" i="31"/>
  <c r="L1095" i="31"/>
  <c r="N1371" i="31"/>
  <c r="N159" i="31"/>
  <c r="R486" i="31"/>
  <c r="W486" i="31" s="1"/>
  <c r="L597" i="31"/>
  <c r="R655" i="31"/>
  <c r="W655" i="31" s="1"/>
  <c r="H657" i="31"/>
  <c r="R818" i="31"/>
  <c r="F819" i="31"/>
  <c r="F1209" i="31"/>
  <c r="H321" i="31"/>
  <c r="J749" i="31"/>
  <c r="L933" i="31"/>
  <c r="R1262" i="31"/>
  <c r="L1263" i="31"/>
  <c r="N1317" i="31"/>
  <c r="L1317" i="31"/>
  <c r="N305" i="31"/>
  <c r="R526" i="31"/>
  <c r="W526" i="31" s="1"/>
  <c r="R378" i="31"/>
  <c r="W378" i="31" s="1"/>
  <c r="R1093" i="31"/>
  <c r="W1093" i="31" s="1"/>
  <c r="R1094" i="31"/>
  <c r="H1095" i="31"/>
  <c r="L1149" i="31"/>
  <c r="R1370" i="31"/>
  <c r="F1371" i="31"/>
  <c r="R1368" i="31"/>
  <c r="W1368" i="31" s="1"/>
  <c r="P1371" i="31"/>
  <c r="L197" i="31"/>
  <c r="J197" i="31"/>
  <c r="L489" i="31"/>
  <c r="H489" i="31"/>
  <c r="P597" i="31"/>
  <c r="N657" i="31"/>
  <c r="R656" i="31"/>
  <c r="W656" i="31" s="1"/>
  <c r="L657" i="31"/>
  <c r="F711" i="31"/>
  <c r="F765" i="31"/>
  <c r="H819" i="31"/>
  <c r="R1207" i="31"/>
  <c r="W1207" i="31" s="1"/>
  <c r="R1208" i="31"/>
  <c r="J83" i="31"/>
  <c r="L137" i="31"/>
  <c r="F213" i="31"/>
  <c r="P321" i="31"/>
  <c r="L321" i="31"/>
  <c r="N359" i="31"/>
  <c r="P527" i="31"/>
  <c r="F873" i="31"/>
  <c r="R870" i="31"/>
  <c r="W870" i="31" s="1"/>
  <c r="L987" i="31"/>
  <c r="N1041" i="31"/>
  <c r="R1260" i="31"/>
  <c r="W1260" i="31" s="1"/>
  <c r="F1263" i="31"/>
  <c r="P1317" i="31"/>
  <c r="P33" i="31"/>
  <c r="P941" i="31"/>
  <c r="L887" i="31"/>
  <c r="H305" i="31"/>
  <c r="R411" i="31"/>
  <c r="W411" i="31" s="1"/>
  <c r="N473" i="31"/>
  <c r="J527" i="31"/>
  <c r="AU46" i="27"/>
  <c r="AQ50" i="27"/>
  <c r="H381" i="31"/>
  <c r="J841" i="31"/>
  <c r="R1147" i="31"/>
  <c r="W1147" i="31" s="1"/>
  <c r="H1371" i="31"/>
  <c r="L105" i="31"/>
  <c r="P159" i="31"/>
  <c r="H267" i="31"/>
  <c r="N435" i="31"/>
  <c r="R434" i="31"/>
  <c r="P489" i="31"/>
  <c r="N489" i="31"/>
  <c r="P543" i="31"/>
  <c r="N597" i="31"/>
  <c r="R595" i="31"/>
  <c r="W595" i="31" s="1"/>
  <c r="J657" i="31"/>
  <c r="J711" i="31"/>
  <c r="H711" i="31"/>
  <c r="L819" i="31"/>
  <c r="R1168" i="31"/>
  <c r="W1168" i="31" s="1"/>
  <c r="H1209" i="31"/>
  <c r="J137" i="31"/>
  <c r="J213" i="31"/>
  <c r="H473" i="31"/>
  <c r="R985" i="31"/>
  <c r="W985" i="31" s="1"/>
  <c r="L1041" i="31"/>
  <c r="H1041" i="31"/>
  <c r="P1263" i="31"/>
  <c r="H1263" i="31"/>
  <c r="R1316" i="31"/>
  <c r="J1061" i="31"/>
  <c r="H251" i="31"/>
  <c r="P473" i="31"/>
  <c r="R472" i="31"/>
  <c r="H527" i="31"/>
  <c r="N581" i="31"/>
  <c r="R633" i="31"/>
  <c r="W633" i="31" s="1"/>
  <c r="F635" i="31"/>
  <c r="R632" i="31"/>
  <c r="W632" i="31" s="1"/>
  <c r="H635" i="31"/>
  <c r="F689" i="31"/>
  <c r="R686" i="31"/>
  <c r="W686" i="31" s="1"/>
  <c r="P577" i="31"/>
  <c r="L907" i="31"/>
  <c r="J1237" i="31"/>
  <c r="N1351" i="31"/>
  <c r="R308" i="31"/>
  <c r="R249" i="31"/>
  <c r="W249" i="31" s="1"/>
  <c r="F251" i="31"/>
  <c r="R580" i="31"/>
  <c r="L689" i="31"/>
  <c r="R747" i="31"/>
  <c r="W747" i="31" s="1"/>
  <c r="P799" i="31"/>
  <c r="R852" i="31"/>
  <c r="J1129" i="31"/>
  <c r="L125" i="31"/>
  <c r="N251" i="31"/>
  <c r="L413" i="31"/>
  <c r="N527" i="31"/>
  <c r="J581" i="31"/>
  <c r="J635" i="31"/>
  <c r="H689" i="31"/>
  <c r="H749" i="31"/>
  <c r="L1049" i="31"/>
  <c r="P739" i="31"/>
  <c r="N853" i="31"/>
  <c r="J1291" i="31"/>
  <c r="P17" i="31"/>
  <c r="AA85" i="27"/>
  <c r="R250" i="31"/>
  <c r="R746" i="31"/>
  <c r="W746" i="31" s="1"/>
  <c r="F749" i="31"/>
  <c r="R748" i="31"/>
  <c r="P443" i="31"/>
  <c r="R441" i="31"/>
  <c r="W441" i="31" s="1"/>
  <c r="H911" i="31"/>
  <c r="R10" i="31"/>
  <c r="W10" i="31" s="1"/>
  <c r="R1215" i="31"/>
  <c r="W1215" i="31" s="1"/>
  <c r="P1271" i="31"/>
  <c r="AA7" i="27"/>
  <c r="F33" i="31"/>
  <c r="L1337" i="31"/>
  <c r="L497" i="31"/>
  <c r="J611" i="31"/>
  <c r="J665" i="31"/>
  <c r="P887" i="31"/>
  <c r="R68" i="31"/>
  <c r="W68" i="31" s="1"/>
  <c r="L179" i="31"/>
  <c r="R307" i="31"/>
  <c r="W307" i="31" s="1"/>
  <c r="J309" i="31"/>
  <c r="J347" i="31"/>
  <c r="R345" i="31"/>
  <c r="W345" i="31" s="1"/>
  <c r="R362" i="31"/>
  <c r="H363" i="31"/>
  <c r="N363" i="31"/>
  <c r="P401" i="31"/>
  <c r="F401" i="31"/>
  <c r="P417" i="31"/>
  <c r="H417" i="31"/>
  <c r="R415" i="31"/>
  <c r="W415" i="31" s="1"/>
  <c r="R454" i="31"/>
  <c r="F455" i="31"/>
  <c r="R476" i="31"/>
  <c r="W476" i="31" s="1"/>
  <c r="R474" i="31"/>
  <c r="W474" i="31" s="1"/>
  <c r="R475" i="31"/>
  <c r="W475" i="31" s="1"/>
  <c r="H509" i="31"/>
  <c r="R507" i="31"/>
  <c r="W507" i="31" s="1"/>
  <c r="L509" i="31"/>
  <c r="J509" i="31"/>
  <c r="H531" i="31"/>
  <c r="R566" i="31"/>
  <c r="W566" i="31" s="1"/>
  <c r="H569" i="31"/>
  <c r="P569" i="31"/>
  <c r="R568" i="31"/>
  <c r="N585" i="31"/>
  <c r="L585" i="31"/>
  <c r="L623" i="31"/>
  <c r="R621" i="31"/>
  <c r="W621" i="31" s="1"/>
  <c r="N661" i="31"/>
  <c r="R674" i="31"/>
  <c r="W674" i="31" s="1"/>
  <c r="N677" i="31"/>
  <c r="R690" i="31"/>
  <c r="W690" i="31" s="1"/>
  <c r="R730" i="31"/>
  <c r="W730" i="31" s="1"/>
  <c r="J731" i="31"/>
  <c r="H753" i="31"/>
  <c r="L753" i="31"/>
  <c r="J785" i="31"/>
  <c r="N785" i="31"/>
  <c r="R806" i="31"/>
  <c r="R844" i="31"/>
  <c r="R860" i="31"/>
  <c r="W860" i="31" s="1"/>
  <c r="R858" i="31"/>
  <c r="W858" i="31" s="1"/>
  <c r="R898" i="31"/>
  <c r="H899" i="31"/>
  <c r="R912" i="31"/>
  <c r="W912" i="31" s="1"/>
  <c r="R914" i="31"/>
  <c r="L915" i="31"/>
  <c r="N915" i="31"/>
  <c r="N969" i="31"/>
  <c r="R968" i="31"/>
  <c r="F1007" i="31"/>
  <c r="H1007" i="31"/>
  <c r="L1007" i="31"/>
  <c r="R1006" i="31"/>
  <c r="R1027" i="31"/>
  <c r="W1027" i="31" s="1"/>
  <c r="R1028" i="31"/>
  <c r="R1060" i="31"/>
  <c r="W1060" i="31" s="1"/>
  <c r="N1083" i="31"/>
  <c r="R1118" i="31"/>
  <c r="W1118" i="31" s="1"/>
  <c r="H1121" i="31"/>
  <c r="L1121" i="31"/>
  <c r="H1137" i="31"/>
  <c r="P1137" i="31"/>
  <c r="L1175" i="31"/>
  <c r="R1174" i="31"/>
  <c r="W1174" i="31" s="1"/>
  <c r="R1190" i="31"/>
  <c r="J1191" i="31"/>
  <c r="R1189" i="31"/>
  <c r="W1189" i="31" s="1"/>
  <c r="F1191" i="31"/>
  <c r="P1229" i="31"/>
  <c r="R1227" i="31"/>
  <c r="W1227" i="31" s="1"/>
  <c r="J1245" i="31"/>
  <c r="L1245" i="31"/>
  <c r="J1283" i="31"/>
  <c r="H1305" i="31"/>
  <c r="R1304" i="31"/>
  <c r="L1305" i="31"/>
  <c r="P1305" i="31"/>
  <c r="H1337" i="31"/>
  <c r="R1335" i="31"/>
  <c r="W1335" i="31" s="1"/>
  <c r="R1358" i="31"/>
  <c r="W1358" i="31" s="1"/>
  <c r="L1359" i="31"/>
  <c r="J1359" i="31"/>
  <c r="R1372" i="31"/>
  <c r="W1372" i="31" s="1"/>
  <c r="H1375" i="31"/>
  <c r="AQ5" i="27"/>
  <c r="N45" i="31"/>
  <c r="H577" i="31"/>
  <c r="H631" i="31"/>
  <c r="H17" i="31"/>
  <c r="F255" i="31"/>
  <c r="R199" i="31"/>
  <c r="W199" i="31" s="1"/>
  <c r="H87" i="31"/>
  <c r="N255" i="31"/>
  <c r="L201" i="31"/>
  <c r="R85" i="31"/>
  <c r="W85" i="31" s="1"/>
  <c r="P201" i="31"/>
  <c r="N141" i="31"/>
  <c r="R70" i="31"/>
  <c r="P71" i="31"/>
  <c r="L71" i="31"/>
  <c r="P125" i="31"/>
  <c r="R124" i="31"/>
  <c r="N125" i="31"/>
  <c r="N179" i="31"/>
  <c r="R177" i="31"/>
  <c r="W177" i="31" s="1"/>
  <c r="R178" i="31"/>
  <c r="R232" i="31"/>
  <c r="R291" i="31"/>
  <c r="W291" i="31" s="1"/>
  <c r="L293" i="31"/>
  <c r="P807" i="31"/>
  <c r="L385" i="31"/>
  <c r="H455" i="31"/>
  <c r="N715" i="31"/>
  <c r="L937" i="31"/>
  <c r="R716" i="31"/>
  <c r="W716" i="31" s="1"/>
  <c r="F719" i="31"/>
  <c r="R1226" i="31"/>
  <c r="W1226" i="31" s="1"/>
  <c r="F1229" i="31"/>
  <c r="F969" i="31"/>
  <c r="R967" i="31"/>
  <c r="W967" i="31" s="1"/>
  <c r="R306" i="31"/>
  <c r="W306" i="31" s="1"/>
  <c r="F309" i="31"/>
  <c r="P585" i="31"/>
  <c r="R691" i="31"/>
  <c r="W691" i="31" s="1"/>
  <c r="AS48" i="27"/>
  <c r="AQ45" i="27"/>
  <c r="R46" i="31"/>
  <c r="W46" i="31" s="1"/>
  <c r="L309" i="31"/>
  <c r="R400" i="31"/>
  <c r="L401" i="31"/>
  <c r="R452" i="31"/>
  <c r="W452" i="31" s="1"/>
  <c r="L455" i="31"/>
  <c r="R528" i="31"/>
  <c r="W528" i="31" s="1"/>
  <c r="J531" i="31"/>
  <c r="R530" i="31"/>
  <c r="F531" i="31"/>
  <c r="R620" i="31"/>
  <c r="W620" i="31" s="1"/>
  <c r="H623" i="31"/>
  <c r="N639" i="31"/>
  <c r="R637" i="31"/>
  <c r="W637" i="31" s="1"/>
  <c r="R675" i="31"/>
  <c r="W675" i="31" s="1"/>
  <c r="F677" i="31"/>
  <c r="L693" i="31"/>
  <c r="R728" i="31"/>
  <c r="W728" i="31" s="1"/>
  <c r="R750" i="31"/>
  <c r="W750" i="31" s="1"/>
  <c r="R784" i="31"/>
  <c r="H785" i="31"/>
  <c r="F953" i="31"/>
  <c r="R950" i="31"/>
  <c r="W950" i="31" s="1"/>
  <c r="N953" i="31"/>
  <c r="R952" i="31"/>
  <c r="R1059" i="31"/>
  <c r="W1059" i="31" s="1"/>
  <c r="R1082" i="31"/>
  <c r="F1083" i="31"/>
  <c r="L1137" i="31"/>
  <c r="R1136" i="31"/>
  <c r="W1136" i="31" s="1"/>
  <c r="R1242" i="31"/>
  <c r="W1242" i="31" s="1"/>
  <c r="H1245" i="31"/>
  <c r="R1374" i="31"/>
  <c r="R770" i="31"/>
  <c r="W770" i="31" s="1"/>
  <c r="J773" i="31"/>
  <c r="P1163" i="31"/>
  <c r="L1271" i="31"/>
  <c r="R1356" i="31"/>
  <c r="W1356" i="31" s="1"/>
  <c r="P255" i="31"/>
  <c r="R69" i="31"/>
  <c r="W69" i="31" s="1"/>
  <c r="R123" i="31"/>
  <c r="W123" i="31" s="1"/>
  <c r="F125" i="31"/>
  <c r="R231" i="31"/>
  <c r="W231" i="31" s="1"/>
  <c r="J233" i="31"/>
  <c r="R966" i="31"/>
  <c r="W966" i="31" s="1"/>
  <c r="N1133" i="31"/>
  <c r="J363" i="31"/>
  <c r="L45" i="31"/>
  <c r="AB11" i="30"/>
  <c r="AE7" i="30" s="1"/>
  <c r="P911" i="31"/>
  <c r="P1025" i="31"/>
  <c r="F41" i="31"/>
  <c r="R913" i="31"/>
  <c r="W913" i="31" s="1"/>
  <c r="R253" i="31"/>
  <c r="W253" i="31" s="1"/>
  <c r="R198" i="31"/>
  <c r="W198" i="31" s="1"/>
  <c r="F1375" i="31"/>
  <c r="R1228" i="31"/>
  <c r="W1228" i="31" s="1"/>
  <c r="R622" i="31"/>
  <c r="R453" i="31"/>
  <c r="W453" i="31" s="1"/>
  <c r="F861" i="31"/>
  <c r="F569" i="31"/>
  <c r="H639" i="31"/>
  <c r="R842" i="31"/>
  <c r="W842" i="31" s="1"/>
  <c r="R582" i="31"/>
  <c r="W582" i="31" s="1"/>
  <c r="AA84" i="27"/>
  <c r="R16" i="31"/>
  <c r="N1337" i="31"/>
  <c r="R1026" i="31"/>
  <c r="W1026" i="31" s="1"/>
  <c r="J477" i="31"/>
  <c r="L29" i="31"/>
  <c r="L911" i="31"/>
  <c r="R1243" i="31"/>
  <c r="W1243" i="31" s="1"/>
  <c r="H693" i="31"/>
  <c r="P1103" i="31"/>
  <c r="J17" i="31"/>
  <c r="H915" i="31"/>
  <c r="R805" i="31"/>
  <c r="W805" i="31" s="1"/>
  <c r="R636" i="31"/>
  <c r="W636" i="31" s="1"/>
  <c r="R584" i="31"/>
  <c r="R1303" i="31"/>
  <c r="W1303" i="31" s="1"/>
  <c r="L477" i="31"/>
  <c r="R344" i="31"/>
  <c r="W344" i="31" s="1"/>
  <c r="R122" i="31"/>
  <c r="W122" i="31" s="1"/>
  <c r="K47" i="27"/>
  <c r="P1267" i="31"/>
  <c r="N1213" i="31"/>
  <c r="J1015" i="31"/>
  <c r="L1075" i="31"/>
  <c r="N109" i="31"/>
  <c r="J163" i="31"/>
  <c r="P217" i="31"/>
  <c r="N271" i="31"/>
  <c r="N325" i="31"/>
  <c r="P325" i="31"/>
  <c r="N385" i="31"/>
  <c r="R491" i="31"/>
  <c r="W491" i="31" s="1"/>
  <c r="N601" i="31"/>
  <c r="N623" i="31"/>
  <c r="J677" i="31"/>
  <c r="J715" i="31"/>
  <c r="J823" i="31"/>
  <c r="H877" i="31"/>
  <c r="F899" i="31"/>
  <c r="H937" i="31"/>
  <c r="J937" i="31"/>
  <c r="P953" i="31"/>
  <c r="N1061" i="31"/>
  <c r="H1061" i="31"/>
  <c r="H1099" i="31"/>
  <c r="J1153" i="31"/>
  <c r="H1229" i="31"/>
  <c r="L1229" i="31"/>
  <c r="H1267" i="31"/>
  <c r="J1321" i="31"/>
  <c r="L1375" i="31"/>
  <c r="R1319" i="31"/>
  <c r="W1319" i="31" s="1"/>
  <c r="R1266" i="31"/>
  <c r="R825" i="31"/>
  <c r="W825" i="31" s="1"/>
  <c r="F577" i="31"/>
  <c r="R107" i="31"/>
  <c r="W107" i="31" s="1"/>
  <c r="N217" i="31"/>
  <c r="R215" i="31"/>
  <c r="W215" i="31" s="1"/>
  <c r="R269" i="31"/>
  <c r="W269" i="31" s="1"/>
  <c r="H347" i="31"/>
  <c r="H401" i="31"/>
  <c r="N439" i="31"/>
  <c r="H439" i="31"/>
  <c r="L493" i="31"/>
  <c r="J493" i="31"/>
  <c r="R599" i="31"/>
  <c r="W599" i="31" s="1"/>
  <c r="H601" i="31"/>
  <c r="L715" i="31"/>
  <c r="N823" i="31"/>
  <c r="P845" i="31"/>
  <c r="J877" i="31"/>
  <c r="R935" i="31"/>
  <c r="W935" i="31" s="1"/>
  <c r="H969" i="31"/>
  <c r="J991" i="31"/>
  <c r="H1045" i="31"/>
  <c r="J1045" i="31"/>
  <c r="L1045" i="31"/>
  <c r="L1283" i="31"/>
  <c r="P1375" i="31"/>
  <c r="J907" i="31"/>
  <c r="J1075" i="31"/>
  <c r="J1183" i="31"/>
  <c r="J1383" i="31"/>
  <c r="N355" i="31"/>
  <c r="J799" i="31"/>
  <c r="P861" i="31"/>
  <c r="H385" i="31"/>
  <c r="H547" i="31"/>
  <c r="P785" i="31"/>
  <c r="J1175" i="31"/>
  <c r="R826" i="31"/>
  <c r="H827" i="31"/>
  <c r="N1075" i="31"/>
  <c r="N1183" i="31"/>
  <c r="H853" i="31"/>
  <c r="AS53" i="27"/>
  <c r="AQ48" i="27"/>
  <c r="AN51" i="27"/>
  <c r="AT51" i="27" s="1"/>
  <c r="AE85" i="27"/>
  <c r="AA89" i="27"/>
  <c r="P109" i="31"/>
  <c r="R108" i="31"/>
  <c r="L109" i="31"/>
  <c r="R162" i="31"/>
  <c r="R161" i="31"/>
  <c r="W161" i="31" s="1"/>
  <c r="J217" i="31"/>
  <c r="J271" i="31"/>
  <c r="L271" i="31"/>
  <c r="L325" i="31"/>
  <c r="N347" i="31"/>
  <c r="P385" i="31"/>
  <c r="L439" i="31"/>
  <c r="P493" i="31"/>
  <c r="H493" i="31"/>
  <c r="N547" i="31"/>
  <c r="P547" i="31"/>
  <c r="R545" i="31"/>
  <c r="W545" i="31" s="1"/>
  <c r="J601" i="31"/>
  <c r="L661" i="31"/>
  <c r="R659" i="31"/>
  <c r="W659" i="31" s="1"/>
  <c r="H677" i="31"/>
  <c r="H715" i="31"/>
  <c r="P715" i="31"/>
  <c r="R713" i="31"/>
  <c r="W713" i="31" s="1"/>
  <c r="R714" i="31"/>
  <c r="W714" i="31" s="1"/>
  <c r="P731" i="31"/>
  <c r="H731" i="31"/>
  <c r="F731" i="31"/>
  <c r="R768" i="31"/>
  <c r="W768" i="31" s="1"/>
  <c r="P769" i="31"/>
  <c r="R767" i="31"/>
  <c r="W767" i="31" s="1"/>
  <c r="P823" i="31"/>
  <c r="P877" i="31"/>
  <c r="N877" i="31"/>
  <c r="R876" i="31"/>
  <c r="P937" i="31"/>
  <c r="R934" i="31"/>
  <c r="W934" i="31" s="1"/>
  <c r="F937" i="31"/>
  <c r="R936" i="31"/>
  <c r="R990" i="31"/>
  <c r="H991" i="31"/>
  <c r="R989" i="31"/>
  <c r="W989" i="31" s="1"/>
  <c r="R1043" i="31"/>
  <c r="W1043" i="31" s="1"/>
  <c r="P1045" i="31"/>
  <c r="P1099" i="31"/>
  <c r="J1099" i="31"/>
  <c r="R1172" i="31"/>
  <c r="W1172" i="31" s="1"/>
  <c r="N1229" i="31"/>
  <c r="F1267" i="31"/>
  <c r="H1321" i="31"/>
  <c r="P1337" i="31"/>
  <c r="J29" i="31"/>
  <c r="F109" i="31"/>
  <c r="R106" i="31"/>
  <c r="W106" i="31" s="1"/>
  <c r="H109" i="31"/>
  <c r="L163" i="31"/>
  <c r="R230" i="31"/>
  <c r="W230" i="31" s="1"/>
  <c r="R270" i="31"/>
  <c r="H271" i="31"/>
  <c r="R323" i="31"/>
  <c r="W323" i="31" s="1"/>
  <c r="F439" i="31"/>
  <c r="R436" i="31"/>
  <c r="W436" i="31" s="1"/>
  <c r="J439" i="31"/>
  <c r="N493" i="31"/>
  <c r="F493" i="31"/>
  <c r="R490" i="31"/>
  <c r="W490" i="31" s="1"/>
  <c r="F509" i="31"/>
  <c r="R506" i="31"/>
  <c r="W506" i="31" s="1"/>
  <c r="L547" i="31"/>
  <c r="J547" i="31"/>
  <c r="F601" i="31"/>
  <c r="R598" i="31"/>
  <c r="W598" i="31" s="1"/>
  <c r="R600" i="31"/>
  <c r="W600" i="31" s="1"/>
  <c r="R660" i="31"/>
  <c r="P661" i="31"/>
  <c r="L769" i="31"/>
  <c r="F823" i="31"/>
  <c r="R820" i="31"/>
  <c r="W820" i="31" s="1"/>
  <c r="R822" i="31"/>
  <c r="F877" i="31"/>
  <c r="R874" i="31"/>
  <c r="W874" i="31" s="1"/>
  <c r="J899" i="31"/>
  <c r="J969" i="31"/>
  <c r="R988" i="31"/>
  <c r="W988" i="31" s="1"/>
  <c r="F991" i="31"/>
  <c r="N1007" i="31"/>
  <c r="H1029" i="31"/>
  <c r="J1029" i="31"/>
  <c r="F1045" i="31"/>
  <c r="R1042" i="31"/>
  <c r="W1042" i="31" s="1"/>
  <c r="R1044" i="31"/>
  <c r="R1098" i="31"/>
  <c r="N1099" i="31"/>
  <c r="P1213" i="31"/>
  <c r="H1283" i="31"/>
  <c r="R1282" i="31"/>
  <c r="F1321" i="31"/>
  <c r="F1359" i="31"/>
  <c r="P773" i="31"/>
  <c r="H685" i="31"/>
  <c r="N163" i="31"/>
  <c r="F163" i="31"/>
  <c r="R160" i="31"/>
  <c r="W160" i="31" s="1"/>
  <c r="H217" i="31"/>
  <c r="R214" i="31"/>
  <c r="W214" i="31" s="1"/>
  <c r="F217" i="31"/>
  <c r="P271" i="31"/>
  <c r="H325" i="31"/>
  <c r="R383" i="31"/>
  <c r="W383" i="31" s="1"/>
  <c r="R437" i="31"/>
  <c r="W437" i="31" s="1"/>
  <c r="R546" i="31"/>
  <c r="R658" i="31"/>
  <c r="W658" i="31" s="1"/>
  <c r="F661" i="31"/>
  <c r="J661" i="31"/>
  <c r="F715" i="31"/>
  <c r="R712" i="31"/>
  <c r="W712" i="31" s="1"/>
  <c r="N769" i="31"/>
  <c r="R821" i="31"/>
  <c r="W821" i="31" s="1"/>
  <c r="R875" i="31"/>
  <c r="W875" i="31" s="1"/>
  <c r="L877" i="31"/>
  <c r="L991" i="31"/>
  <c r="L1099" i="31"/>
  <c r="N1121" i="31"/>
  <c r="N1153" i="31"/>
  <c r="N1175" i="31"/>
  <c r="H1175" i="31"/>
  <c r="F1213" i="31"/>
  <c r="J1267" i="31"/>
  <c r="R1334" i="31"/>
  <c r="W1334" i="31" s="1"/>
  <c r="F1337" i="31"/>
  <c r="P25" i="31"/>
  <c r="R772" i="31"/>
  <c r="N961" i="31"/>
  <c r="P631" i="31"/>
  <c r="N799" i="31"/>
  <c r="AD89" i="27"/>
  <c r="AE88" i="27"/>
  <c r="J87" i="31"/>
  <c r="F71" i="31"/>
  <c r="J71" i="31"/>
  <c r="J109" i="31"/>
  <c r="H125" i="31"/>
  <c r="H163" i="31"/>
  <c r="L217" i="31"/>
  <c r="R216" i="31"/>
  <c r="W216" i="31" s="1"/>
  <c r="R268" i="31"/>
  <c r="W268" i="31" s="1"/>
  <c r="F271" i="31"/>
  <c r="J293" i="31"/>
  <c r="P753" i="31"/>
  <c r="R324" i="31"/>
  <c r="J325" i="31"/>
  <c r="R322" i="31"/>
  <c r="W322" i="31" s="1"/>
  <c r="F325" i="31"/>
  <c r="F385" i="31"/>
  <c r="R382" i="31"/>
  <c r="W382" i="31" s="1"/>
  <c r="J385" i="31"/>
  <c r="R384" i="31"/>
  <c r="W384" i="31" s="1"/>
  <c r="P439" i="31"/>
  <c r="R438" i="31"/>
  <c r="H477" i="31"/>
  <c r="R492" i="31"/>
  <c r="W492" i="31" s="1"/>
  <c r="F547" i="31"/>
  <c r="R544" i="31"/>
  <c r="W544" i="31" s="1"/>
  <c r="P601" i="31"/>
  <c r="L601" i="31"/>
  <c r="H661" i="31"/>
  <c r="F769" i="31"/>
  <c r="R766" i="31"/>
  <c r="W766" i="31" s="1"/>
  <c r="H769" i="31"/>
  <c r="J769" i="31"/>
  <c r="L823" i="31"/>
  <c r="H823" i="31"/>
  <c r="R896" i="31"/>
  <c r="W896" i="31" s="1"/>
  <c r="N937" i="31"/>
  <c r="P991" i="31"/>
  <c r="J1007" i="31"/>
  <c r="N1045" i="31"/>
  <c r="R1097" i="31"/>
  <c r="W1097" i="31" s="1"/>
  <c r="F1099" i="31"/>
  <c r="R1096" i="31"/>
  <c r="W1096" i="31" s="1"/>
  <c r="R1150" i="31"/>
  <c r="W1150" i="31" s="1"/>
  <c r="F1153" i="31"/>
  <c r="N1245" i="31"/>
  <c r="N1321" i="31"/>
  <c r="P1359" i="31"/>
  <c r="F247" i="31"/>
  <c r="R244" i="31"/>
  <c r="W244" i="31" s="1"/>
  <c r="R299" i="31"/>
  <c r="W299" i="31" s="1"/>
  <c r="N301" i="31"/>
  <c r="R26" i="31"/>
  <c r="W26" i="31" s="1"/>
  <c r="L1241" i="31"/>
  <c r="J857" i="31"/>
  <c r="J41" i="31"/>
  <c r="R12" i="31"/>
  <c r="T11" i="27"/>
  <c r="Z11" i="30"/>
  <c r="AE4" i="30" s="1"/>
  <c r="P719" i="31"/>
  <c r="R576" i="31"/>
  <c r="P907" i="31"/>
  <c r="P961" i="31"/>
  <c r="P1075" i="31"/>
  <c r="N1383" i="31"/>
  <c r="N89" i="27"/>
  <c r="O88" i="27"/>
  <c r="K89" i="27"/>
  <c r="R245" i="31"/>
  <c r="W245" i="31" s="1"/>
  <c r="H247" i="31"/>
  <c r="H301" i="31"/>
  <c r="R300" i="31"/>
  <c r="N463" i="31"/>
  <c r="R461" i="31"/>
  <c r="W461" i="31" s="1"/>
  <c r="J577" i="31"/>
  <c r="L961" i="31"/>
  <c r="P45" i="31"/>
  <c r="AA6" i="27"/>
  <c r="O45" i="27"/>
  <c r="P49" i="31"/>
  <c r="N17" i="31"/>
  <c r="N1049" i="31"/>
  <c r="L1163" i="31"/>
  <c r="H1217" i="31"/>
  <c r="L1325" i="31"/>
  <c r="R718" i="31"/>
  <c r="R1236" i="31"/>
  <c r="L685" i="31"/>
  <c r="R797" i="31"/>
  <c r="W797" i="31" s="1"/>
  <c r="J961" i="31"/>
  <c r="R1350" i="31"/>
  <c r="L1383" i="31"/>
  <c r="AC50" i="27"/>
  <c r="AD49" i="27"/>
  <c r="H409" i="31"/>
  <c r="R406" i="31"/>
  <c r="W406" i="31" s="1"/>
  <c r="H463" i="31"/>
  <c r="R462" i="31"/>
  <c r="J685" i="31"/>
  <c r="R684" i="31"/>
  <c r="R738" i="31"/>
  <c r="W738" i="31" s="1"/>
  <c r="R798" i="31"/>
  <c r="L1183" i="31"/>
  <c r="F51" i="27"/>
  <c r="R11" i="31"/>
  <c r="W11" i="31" s="1"/>
  <c r="H13" i="31"/>
  <c r="R1047" i="31"/>
  <c r="W1047" i="31" s="1"/>
  <c r="H1163" i="31"/>
  <c r="L1291" i="31"/>
  <c r="R352" i="31"/>
  <c r="W352" i="31" s="1"/>
  <c r="H355" i="31"/>
  <c r="N409" i="31"/>
  <c r="J853" i="31"/>
  <c r="P1241" i="31"/>
  <c r="AD9" i="27"/>
  <c r="AC10" i="27"/>
  <c r="AC8" i="27"/>
  <c r="V11" i="27"/>
  <c r="L1267" i="31"/>
  <c r="R1264" i="31"/>
  <c r="W1264" i="31" s="1"/>
  <c r="R1211" i="31"/>
  <c r="W1211" i="31" s="1"/>
  <c r="H1213" i="31"/>
  <c r="R548" i="31"/>
  <c r="W548" i="31" s="1"/>
  <c r="P551" i="31"/>
  <c r="F611" i="31"/>
  <c r="R610" i="31"/>
  <c r="H665" i="31"/>
  <c r="R663" i="31"/>
  <c r="W663" i="31" s="1"/>
  <c r="H773" i="31"/>
  <c r="R771" i="31"/>
  <c r="W771" i="31" s="1"/>
  <c r="N887" i="31"/>
  <c r="R885" i="31"/>
  <c r="W885" i="31" s="1"/>
  <c r="N995" i="31"/>
  <c r="R992" i="31"/>
  <c r="W992" i="31" s="1"/>
  <c r="H1103" i="31"/>
  <c r="J1217" i="31"/>
  <c r="N523" i="31"/>
  <c r="R522" i="31"/>
  <c r="L577" i="31"/>
  <c r="R574" i="31"/>
  <c r="W574" i="31" s="1"/>
  <c r="R628" i="31"/>
  <c r="W628" i="31" s="1"/>
  <c r="L631" i="31"/>
  <c r="R850" i="31"/>
  <c r="W850" i="31" s="1"/>
  <c r="F853" i="31"/>
  <c r="H961" i="31"/>
  <c r="R958" i="31"/>
  <c r="W958" i="31" s="1"/>
  <c r="F961" i="31"/>
  <c r="R959" i="31"/>
  <c r="W959" i="31" s="1"/>
  <c r="R1014" i="31"/>
  <c r="F1075" i="31"/>
  <c r="R1073" i="31"/>
  <c r="W1073" i="31" s="1"/>
  <c r="H1075" i="31"/>
  <c r="R1072" i="31"/>
  <c r="W1072" i="31" s="1"/>
  <c r="R1128" i="31"/>
  <c r="F1183" i="31"/>
  <c r="R1181" i="31"/>
  <c r="W1181" i="31" s="1"/>
  <c r="R1180" i="31"/>
  <c r="W1180" i="31" s="1"/>
  <c r="H1183" i="31"/>
  <c r="F1291" i="31"/>
  <c r="R1289" i="31"/>
  <c r="W1289" i="31" s="1"/>
  <c r="N1291" i="31"/>
  <c r="P1351" i="31"/>
  <c r="R1381" i="31"/>
  <c r="W1381" i="31" s="1"/>
  <c r="F1383" i="31"/>
  <c r="R20" i="31"/>
  <c r="N1301" i="31"/>
  <c r="P1217" i="31"/>
  <c r="M124" i="27"/>
  <c r="K124" i="27"/>
  <c r="K50" i="27"/>
  <c r="R1265" i="31"/>
  <c r="W1265" i="31" s="1"/>
  <c r="N1267" i="31"/>
  <c r="R1212" i="31"/>
  <c r="L1213" i="31"/>
  <c r="P1153" i="31"/>
  <c r="R1151" i="31"/>
  <c r="W1151" i="31" s="1"/>
  <c r="AA9" i="27"/>
  <c r="R494" i="31"/>
  <c r="W494" i="31" s="1"/>
  <c r="P497" i="31"/>
  <c r="N551" i="31"/>
  <c r="R549" i="31"/>
  <c r="W549" i="31" s="1"/>
  <c r="R550" i="31"/>
  <c r="F551" i="31"/>
  <c r="H611" i="31"/>
  <c r="R609" i="31"/>
  <c r="W609" i="31" s="1"/>
  <c r="H719" i="31"/>
  <c r="R717" i="31"/>
  <c r="W717" i="31" s="1"/>
  <c r="J827" i="31"/>
  <c r="R886" i="31"/>
  <c r="R1382" i="31"/>
  <c r="R521" i="31"/>
  <c r="W521" i="31" s="1"/>
  <c r="J523" i="31"/>
  <c r="R629" i="31"/>
  <c r="W629" i="31" s="1"/>
  <c r="F631" i="31"/>
  <c r="R737" i="31"/>
  <c r="W737" i="31" s="1"/>
  <c r="F799" i="31"/>
  <c r="R796" i="31"/>
  <c r="W796" i="31" s="1"/>
  <c r="H907" i="31"/>
  <c r="R904" i="31"/>
  <c r="W904" i="31" s="1"/>
  <c r="P1015" i="31"/>
  <c r="P1129" i="31"/>
  <c r="R1234" i="31"/>
  <c r="W1234" i="31" s="1"/>
  <c r="H1237" i="31"/>
  <c r="L1237" i="31"/>
  <c r="R1348" i="31"/>
  <c r="W1348" i="31" s="1"/>
  <c r="H1351" i="31"/>
  <c r="J1351" i="31"/>
  <c r="P1383" i="31"/>
  <c r="M50" i="27"/>
  <c r="N49" i="27"/>
  <c r="O128" i="27"/>
  <c r="N129" i="27"/>
  <c r="L1321" i="31"/>
  <c r="R1318" i="31"/>
  <c r="W1318" i="31" s="1"/>
  <c r="R495" i="31"/>
  <c r="W495" i="31" s="1"/>
  <c r="N497" i="31"/>
  <c r="F497" i="31"/>
  <c r="R496" i="31"/>
  <c r="R662" i="31"/>
  <c r="W662" i="31" s="1"/>
  <c r="L665" i="31"/>
  <c r="R520" i="31"/>
  <c r="W520" i="31" s="1"/>
  <c r="L523" i="31"/>
  <c r="J631" i="31"/>
  <c r="R630" i="31"/>
  <c r="W630" i="31" s="1"/>
  <c r="R683" i="31"/>
  <c r="W683" i="31" s="1"/>
  <c r="F739" i="31"/>
  <c r="R736" i="31"/>
  <c r="W736" i="31" s="1"/>
  <c r="R906" i="31"/>
  <c r="W906" i="31" s="1"/>
  <c r="R960" i="31"/>
  <c r="R1013" i="31"/>
  <c r="W1013" i="31" s="1"/>
  <c r="F1015" i="31"/>
  <c r="R1012" i="31"/>
  <c r="W1012" i="31" s="1"/>
  <c r="H1015" i="31"/>
  <c r="R1074" i="31"/>
  <c r="R1127" i="31"/>
  <c r="W1127" i="31" s="1"/>
  <c r="F1129" i="31"/>
  <c r="H1129" i="31"/>
  <c r="R1126" i="31"/>
  <c r="W1126" i="31" s="1"/>
  <c r="R1182" i="31"/>
  <c r="F1237" i="31"/>
  <c r="R1235" i="31"/>
  <c r="W1235" i="31" s="1"/>
  <c r="P1237" i="31"/>
  <c r="P1291" i="31"/>
  <c r="R1290" i="31"/>
  <c r="W1290" i="31" s="1"/>
  <c r="F1351" i="31"/>
  <c r="R1349" i="31"/>
  <c r="W1349" i="31" s="1"/>
  <c r="J1301" i="31"/>
  <c r="L41" i="31"/>
  <c r="R48" i="31"/>
  <c r="R32" i="31"/>
  <c r="L1103" i="31"/>
  <c r="R1210" i="31"/>
  <c r="W1210" i="31" s="1"/>
  <c r="J1213" i="31"/>
  <c r="H1153" i="31"/>
  <c r="R1152" i="31"/>
  <c r="R442" i="31"/>
  <c r="W442" i="31" s="1"/>
  <c r="F443" i="31"/>
  <c r="L611" i="31"/>
  <c r="R608" i="31"/>
  <c r="W608" i="31" s="1"/>
  <c r="F665" i="31"/>
  <c r="R664" i="31"/>
  <c r="F827" i="31"/>
  <c r="R824" i="31"/>
  <c r="W824" i="31" s="1"/>
  <c r="R884" i="31"/>
  <c r="W884" i="31" s="1"/>
  <c r="F887" i="31"/>
  <c r="F685" i="31"/>
  <c r="R682" i="31"/>
  <c r="W682" i="31" s="1"/>
  <c r="R851" i="31"/>
  <c r="W851" i="31" s="1"/>
  <c r="F907" i="31"/>
  <c r="R905" i="31"/>
  <c r="W905" i="31" s="1"/>
  <c r="P1183" i="31"/>
  <c r="N1237" i="31"/>
  <c r="H1291" i="31"/>
  <c r="R1288" i="31"/>
  <c r="W1288" i="31" s="1"/>
  <c r="L1351" i="31"/>
  <c r="H1383" i="31"/>
  <c r="R1380" i="31"/>
  <c r="W1380" i="31" s="1"/>
  <c r="N29" i="31"/>
  <c r="R909" i="31"/>
  <c r="W909" i="31" s="1"/>
  <c r="AQ85" i="27"/>
  <c r="AT84" i="27"/>
  <c r="H51" i="27"/>
  <c r="N51" i="27" s="1"/>
  <c r="M52" i="27"/>
  <c r="M129" i="27"/>
  <c r="N128" i="27"/>
  <c r="AU88" i="27"/>
  <c r="AQ89" i="27"/>
  <c r="AT89" i="27"/>
  <c r="F49" i="31"/>
  <c r="H33" i="31"/>
  <c r="F13" i="31"/>
  <c r="R993" i="31"/>
  <c r="W993" i="31" s="1"/>
  <c r="L995" i="31"/>
  <c r="H1049" i="31"/>
  <c r="R1046" i="31"/>
  <c r="W1046" i="31" s="1"/>
  <c r="F1217" i="31"/>
  <c r="R1214" i="31"/>
  <c r="W1214" i="31" s="1"/>
  <c r="J1271" i="31"/>
  <c r="N1271" i="31"/>
  <c r="J1325" i="31"/>
  <c r="H1325" i="31"/>
  <c r="R30" i="31"/>
  <c r="W30" i="31" s="1"/>
  <c r="J1163" i="31"/>
  <c r="R28" i="31"/>
  <c r="AQ86" i="27"/>
  <c r="AU84" i="27"/>
  <c r="R47" i="31"/>
  <c r="W47" i="31" s="1"/>
  <c r="J49" i="31"/>
  <c r="BG12" i="4"/>
  <c r="BJ318" i="4" s="1"/>
  <c r="BE318" i="4"/>
  <c r="R31" i="31"/>
  <c r="W31" i="31" s="1"/>
  <c r="R938" i="31"/>
  <c r="W938" i="31" s="1"/>
  <c r="L941" i="31"/>
  <c r="R994" i="31"/>
  <c r="F995" i="31"/>
  <c r="R1270" i="31"/>
  <c r="R1324" i="31"/>
  <c r="R1216" i="31"/>
  <c r="R1161" i="31"/>
  <c r="W1161" i="31" s="1"/>
  <c r="F1163" i="31"/>
  <c r="K49" i="27"/>
  <c r="N46" i="27"/>
  <c r="AQ84" i="27"/>
  <c r="AS84" i="27"/>
  <c r="K48" i="27"/>
  <c r="F130" i="27"/>
  <c r="J13" i="31"/>
  <c r="P13" i="31"/>
  <c r="O9" i="27"/>
  <c r="N10" i="27"/>
  <c r="F941" i="31"/>
  <c r="R939" i="31"/>
  <c r="W939" i="31" s="1"/>
  <c r="P995" i="31"/>
  <c r="J1103" i="31"/>
  <c r="R1100" i="31"/>
  <c r="W1100" i="31" s="1"/>
  <c r="R1162" i="31"/>
  <c r="R1269" i="31"/>
  <c r="W1269" i="31" s="1"/>
  <c r="P1325" i="31"/>
  <c r="R1323" i="31"/>
  <c r="W1323" i="31" s="1"/>
  <c r="R1102" i="31"/>
  <c r="K46" i="27"/>
  <c r="D51" i="27"/>
  <c r="N45" i="27"/>
  <c r="K45" i="27"/>
  <c r="H49" i="31"/>
  <c r="J33" i="31"/>
  <c r="J941" i="31"/>
  <c r="R940" i="31"/>
  <c r="F1103" i="31"/>
  <c r="R1101" i="31"/>
  <c r="W1101" i="31" s="1"/>
  <c r="L1217" i="31"/>
  <c r="F1325" i="31"/>
  <c r="R1322" i="31"/>
  <c r="W1322" i="31" s="1"/>
  <c r="R1268" i="31"/>
  <c r="W1268" i="31" s="1"/>
  <c r="F1271" i="31"/>
  <c r="N1163" i="31"/>
  <c r="R1160" i="31"/>
  <c r="W1160" i="31" s="1"/>
  <c r="D90" i="27"/>
  <c r="K84" i="27"/>
  <c r="M84" i="27"/>
  <c r="AS18" i="27"/>
  <c r="K86" i="27"/>
  <c r="O84" i="27"/>
  <c r="I28" i="30"/>
  <c r="S9" i="30"/>
  <c r="H9" i="30"/>
  <c r="F11" i="30"/>
  <c r="I7" i="30" s="1"/>
  <c r="N9" i="27"/>
  <c r="M10" i="27"/>
  <c r="R43" i="31"/>
  <c r="W43" i="31" s="1"/>
  <c r="J45" i="31"/>
  <c r="K6" i="27"/>
  <c r="N5" i="27"/>
  <c r="R35" i="31"/>
  <c r="W35" i="31" s="1"/>
  <c r="F1355" i="31"/>
  <c r="R1352" i="31"/>
  <c r="W1352" i="31" s="1"/>
  <c r="F1241" i="31"/>
  <c r="R1239" i="31"/>
  <c r="W1239" i="31" s="1"/>
  <c r="R855" i="31"/>
  <c r="W855" i="31" s="1"/>
  <c r="L1025" i="31"/>
  <c r="L1133" i="31"/>
  <c r="R1300" i="31"/>
  <c r="N1355" i="31"/>
  <c r="H1355" i="31"/>
  <c r="N41" i="31"/>
  <c r="R39" i="31"/>
  <c r="W39" i="31" s="1"/>
  <c r="R24" i="31"/>
  <c r="L1301" i="31"/>
  <c r="H1187" i="31"/>
  <c r="R1184" i="31"/>
  <c r="W1184" i="31" s="1"/>
  <c r="R1077" i="31"/>
  <c r="W1077" i="31" s="1"/>
  <c r="F1079" i="31"/>
  <c r="R1023" i="31"/>
  <c r="W1023" i="31" s="1"/>
  <c r="H1025" i="31"/>
  <c r="L857" i="31"/>
  <c r="R801" i="31"/>
  <c r="W801" i="31" s="1"/>
  <c r="P803" i="31"/>
  <c r="J37" i="31"/>
  <c r="AS92" i="27"/>
  <c r="AN90" i="27"/>
  <c r="AT90" i="27" s="1"/>
  <c r="AQ87" i="27"/>
  <c r="AT9" i="27"/>
  <c r="AS10" i="27"/>
  <c r="K127" i="27"/>
  <c r="M125" i="27"/>
  <c r="AT88" i="27"/>
  <c r="AL90" i="27"/>
  <c r="AS89" i="27"/>
  <c r="N91" i="27"/>
  <c r="H90" i="27"/>
  <c r="N90" i="27" s="1"/>
  <c r="AQ9" i="27"/>
  <c r="AT6" i="27"/>
  <c r="AT12" i="27"/>
  <c r="AN11" i="27"/>
  <c r="AT11" i="27" s="1"/>
  <c r="AQ6" i="27"/>
  <c r="AC58" i="27"/>
  <c r="K168" i="27"/>
  <c r="N172" i="27"/>
  <c r="H170" i="27"/>
  <c r="N170" i="27" s="1"/>
  <c r="AC92" i="27"/>
  <c r="AA87" i="27"/>
  <c r="AD88" i="27"/>
  <c r="AA88" i="27"/>
  <c r="AC89" i="27"/>
  <c r="V90" i="27"/>
  <c r="AD86" i="27" s="1"/>
  <c r="R42" i="31"/>
  <c r="W42" i="31" s="1"/>
  <c r="F45" i="31"/>
  <c r="R27" i="31"/>
  <c r="W27" i="31" s="1"/>
  <c r="K9" i="27"/>
  <c r="N6" i="27"/>
  <c r="R34" i="31"/>
  <c r="W34" i="31" s="1"/>
  <c r="F37" i="31"/>
  <c r="O6" i="27"/>
  <c r="K10" i="27"/>
  <c r="H11" i="27"/>
  <c r="N11" i="27" s="1"/>
  <c r="F857" i="31"/>
  <c r="R856" i="31"/>
  <c r="R910" i="31"/>
  <c r="R964" i="31"/>
  <c r="R1078" i="31"/>
  <c r="W1078" i="31" s="1"/>
  <c r="R1186" i="31"/>
  <c r="J1241" i="31"/>
  <c r="R1238" i="31"/>
  <c r="W1238" i="31" s="1"/>
  <c r="R1298" i="31"/>
  <c r="W1298" i="31" s="1"/>
  <c r="H1301" i="31"/>
  <c r="R1299" i="31"/>
  <c r="W1299" i="31" s="1"/>
  <c r="F1301" i="31"/>
  <c r="R1354" i="31"/>
  <c r="W1354" i="31" s="1"/>
  <c r="P41" i="31"/>
  <c r="L25" i="31"/>
  <c r="J25" i="31"/>
  <c r="H25" i="31"/>
  <c r="N1187" i="31"/>
  <c r="R1076" i="31"/>
  <c r="W1076" i="31" s="1"/>
  <c r="H1079" i="31"/>
  <c r="F965" i="31"/>
  <c r="R963" i="31"/>
  <c r="W963" i="31" s="1"/>
  <c r="J911" i="31"/>
  <c r="AU9" i="27"/>
  <c r="AT10" i="27"/>
  <c r="N125" i="27"/>
  <c r="K128" i="27"/>
  <c r="F90" i="27"/>
  <c r="O87" i="27"/>
  <c r="K126" i="27"/>
  <c r="D130" i="27"/>
  <c r="O124" i="27"/>
  <c r="AQ88" i="27"/>
  <c r="AJ90" i="27"/>
  <c r="AT85" i="27"/>
  <c r="K85" i="27"/>
  <c r="N84" i="27"/>
  <c r="AU48" i="27"/>
  <c r="AQ47" i="27"/>
  <c r="M97" i="27"/>
  <c r="AJ11" i="27"/>
  <c r="AQ8" i="27"/>
  <c r="AS6" i="27"/>
  <c r="M164" i="27"/>
  <c r="D170" i="27"/>
  <c r="K164" i="27"/>
  <c r="AC97" i="27"/>
  <c r="AL51" i="27"/>
  <c r="T5" i="30"/>
  <c r="D34" i="30"/>
  <c r="R44" i="31"/>
  <c r="W44" i="31" s="1"/>
  <c r="H29" i="31"/>
  <c r="H45" i="31"/>
  <c r="F21" i="31"/>
  <c r="R19" i="31"/>
  <c r="W19" i="31" s="1"/>
  <c r="H21" i="31"/>
  <c r="R18" i="31"/>
  <c r="W18" i="31" s="1"/>
  <c r="D11" i="30"/>
  <c r="I4" i="30" s="1"/>
  <c r="R908" i="31"/>
  <c r="W908" i="31" s="1"/>
  <c r="F911" i="31"/>
  <c r="L965" i="31"/>
  <c r="L1079" i="31"/>
  <c r="L1187" i="31"/>
  <c r="N1241" i="31"/>
  <c r="P1301" i="31"/>
  <c r="R1353" i="31"/>
  <c r="W1353" i="31" s="1"/>
  <c r="J1355" i="31"/>
  <c r="R40" i="31"/>
  <c r="F25" i="31"/>
  <c r="R22" i="31"/>
  <c r="W22" i="31" s="1"/>
  <c r="H1241" i="31"/>
  <c r="J1133" i="31"/>
  <c r="R1130" i="31"/>
  <c r="W1130" i="31" s="1"/>
  <c r="N1079" i="31"/>
  <c r="R962" i="31"/>
  <c r="W962" i="31" s="1"/>
  <c r="H965" i="31"/>
  <c r="N857" i="31"/>
  <c r="R802" i="31"/>
  <c r="H803" i="31"/>
  <c r="K88" i="27"/>
  <c r="N85" i="27"/>
  <c r="AL11" i="27"/>
  <c r="AU8" i="27"/>
  <c r="X51" i="27"/>
  <c r="AD51" i="27" s="1"/>
  <c r="AC53" i="27"/>
  <c r="AA48" i="27"/>
  <c r="V51" i="27"/>
  <c r="AA45" i="27"/>
  <c r="AC48" i="27"/>
  <c r="N167" i="27"/>
  <c r="K165" i="27"/>
  <c r="F170" i="27"/>
  <c r="AQ7" i="27"/>
  <c r="H32" i="30"/>
  <c r="D11" i="27"/>
  <c r="M5" i="27"/>
  <c r="K5" i="27"/>
  <c r="P29" i="31"/>
  <c r="K8" i="27"/>
  <c r="M6" i="27"/>
  <c r="M8" i="27"/>
  <c r="F11" i="27"/>
  <c r="K7" i="27"/>
  <c r="R1024" i="31"/>
  <c r="F1025" i="31"/>
  <c r="F1133" i="31"/>
  <c r="R1132" i="31"/>
  <c r="R1240" i="31"/>
  <c r="P1355" i="31"/>
  <c r="H41" i="31"/>
  <c r="R38" i="31"/>
  <c r="W38" i="31" s="1"/>
  <c r="R23" i="31"/>
  <c r="W23" i="31" s="1"/>
  <c r="N25" i="31"/>
  <c r="L1355" i="31"/>
  <c r="F1187" i="31"/>
  <c r="R1185" i="31"/>
  <c r="W1185" i="31" s="1"/>
  <c r="R1131" i="31"/>
  <c r="W1131" i="31" s="1"/>
  <c r="H1133" i="31"/>
  <c r="J1025" i="31"/>
  <c r="R1022" i="31"/>
  <c r="W1022" i="31" s="1"/>
  <c r="N965" i="31"/>
  <c r="R854" i="31"/>
  <c r="W854" i="31" s="1"/>
  <c r="H857" i="31"/>
  <c r="N803" i="31"/>
  <c r="R800" i="31"/>
  <c r="W800" i="31" s="1"/>
  <c r="F34" i="30" l="1"/>
  <c r="I30" i="30" s="1"/>
  <c r="O11" i="30"/>
  <c r="T4" i="30" s="1"/>
  <c r="Q11" i="30"/>
  <c r="T7" i="30" s="1"/>
  <c r="AZ7" i="27"/>
  <c r="AZ9" i="27"/>
  <c r="BB10" i="27"/>
  <c r="BB5" i="27"/>
  <c r="BD9" i="27"/>
  <c r="BJ13" i="27" s="1"/>
  <c r="BA16" i="27"/>
  <c r="BC14" i="27"/>
  <c r="AY13" i="27"/>
  <c r="BA17" i="27"/>
  <c r="AZ5" i="27"/>
  <c r="AY18" i="27"/>
  <c r="BB6" i="27"/>
  <c r="BJ8" i="27" s="1"/>
  <c r="BC17" i="27"/>
  <c r="BD5" i="27"/>
  <c r="BB7" i="27"/>
  <c r="BK8" i="27" s="1"/>
  <c r="BA14" i="27"/>
  <c r="BD7" i="27"/>
  <c r="BK12" i="27" s="1"/>
  <c r="BA13" i="27"/>
  <c r="AY14" i="27"/>
  <c r="BC18" i="27"/>
  <c r="BC13" i="27"/>
  <c r="BE16" i="27"/>
  <c r="BI18" i="27" s="1"/>
  <c r="BB8" i="27"/>
  <c r="BI9" i="27" s="1"/>
  <c r="AY16" i="27"/>
  <c r="AY15" i="27"/>
  <c r="AZ8" i="27"/>
  <c r="BD10" i="27"/>
  <c r="BC16" i="27"/>
  <c r="AY12" i="27"/>
  <c r="AZ10" i="27"/>
  <c r="AZ6" i="27"/>
  <c r="AY17" i="27"/>
  <c r="BB9" i="27"/>
  <c r="BC15" i="27"/>
  <c r="BD8" i="27"/>
  <c r="BI13" i="27" s="1"/>
  <c r="BA18" i="27"/>
  <c r="BD6" i="27"/>
  <c r="BJ12" i="27" s="1"/>
  <c r="W84" i="31"/>
  <c r="W1314" i="31"/>
  <c r="W399" i="31"/>
  <c r="W252" i="31"/>
  <c r="W843" i="31"/>
  <c r="W440" i="31"/>
  <c r="W1357" i="31"/>
  <c r="W139" i="31"/>
  <c r="W218" i="31"/>
  <c r="W57" i="31"/>
  <c r="W724" i="31"/>
  <c r="W119" i="31"/>
  <c r="W414" i="31"/>
  <c r="W1281" i="31"/>
  <c r="W241" i="31"/>
  <c r="AY57" i="27"/>
  <c r="BD48" i="27"/>
  <c r="BI53" i="27" s="1"/>
  <c r="BD45" i="27"/>
  <c r="BA53" i="27"/>
  <c r="AZ48" i="27"/>
  <c r="AZ45" i="27"/>
  <c r="AY56" i="27"/>
  <c r="BA58" i="27"/>
  <c r="BC54" i="27"/>
  <c r="BB49" i="27"/>
  <c r="BB45" i="27"/>
  <c r="BD49" i="27"/>
  <c r="BJ53" i="27" s="1"/>
  <c r="BB46" i="27"/>
  <c r="BJ48" i="27" s="1"/>
  <c r="AZ47" i="27"/>
  <c r="BD50" i="27"/>
  <c r="BB48" i="27"/>
  <c r="BI49" i="27" s="1"/>
  <c r="BA54" i="27"/>
  <c r="BC56" i="27"/>
  <c r="AY58" i="27"/>
  <c r="AY54" i="27"/>
  <c r="BB50" i="27"/>
  <c r="AY55" i="27"/>
  <c r="BC53" i="27"/>
  <c r="BC57" i="27"/>
  <c r="AZ49" i="27"/>
  <c r="BA55" i="27"/>
  <c r="BA57" i="27"/>
  <c r="AZ50" i="27"/>
  <c r="AZ46" i="27"/>
  <c r="BE56" i="27"/>
  <c r="BI58" i="27" s="1"/>
  <c r="BD47" i="27"/>
  <c r="BK52" i="27" s="1"/>
  <c r="BC58" i="27"/>
  <c r="BD46" i="27"/>
  <c r="BJ52" i="27" s="1"/>
  <c r="BC55" i="27"/>
  <c r="BA56" i="27"/>
  <c r="BB47" i="27"/>
  <c r="BK48" i="27" s="1"/>
  <c r="AY52" i="27"/>
  <c r="I27" i="30"/>
  <c r="H130" i="27"/>
  <c r="N130" i="27" s="1"/>
  <c r="R117" i="31"/>
  <c r="R615" i="31"/>
  <c r="AK612" i="31" s="1"/>
  <c r="R171" i="31"/>
  <c r="R1221" i="31"/>
  <c r="R501" i="31"/>
  <c r="R1329" i="31"/>
  <c r="V1326" i="31" s="1"/>
  <c r="R393" i="31"/>
  <c r="V390" i="31" s="1"/>
  <c r="R945" i="31"/>
  <c r="X942" i="31" s="1"/>
  <c r="W426" i="31"/>
  <c r="W310" i="31"/>
  <c r="W1032" i="31"/>
  <c r="W614" i="31"/>
  <c r="W1240" i="31"/>
  <c r="W1282" i="31"/>
  <c r="W584" i="31"/>
  <c r="W1374" i="31"/>
  <c r="W952" i="31"/>
  <c r="W530" i="31"/>
  <c r="W232" i="31"/>
  <c r="W1304" i="31"/>
  <c r="W1028" i="31"/>
  <c r="W844" i="31"/>
  <c r="W568" i="31"/>
  <c r="W308" i="31"/>
  <c r="W1094" i="31"/>
  <c r="W1262" i="31"/>
  <c r="W1286" i="31"/>
  <c r="W1346" i="31"/>
  <c r="W764" i="31"/>
  <c r="W1378" i="31"/>
  <c r="W1232" i="31"/>
  <c r="W572" i="31"/>
  <c r="W458" i="31"/>
  <c r="W710" i="31"/>
  <c r="W158" i="31"/>
  <c r="W626" i="31"/>
  <c r="W304" i="31"/>
  <c r="W86" i="31"/>
  <c r="W408" i="31"/>
  <c r="W228" i="31"/>
  <c r="W242" i="31"/>
  <c r="W292" i="31"/>
  <c r="W120" i="31"/>
  <c r="W840" i="31"/>
  <c r="W1178" i="31"/>
  <c r="W702" i="31"/>
  <c r="W174" i="31"/>
  <c r="W948" i="31"/>
  <c r="W726" i="31"/>
  <c r="W1198" i="31"/>
  <c r="W480" i="31"/>
  <c r="W872" i="31"/>
  <c r="W894" i="31"/>
  <c r="W296" i="31"/>
  <c r="W257" i="31"/>
  <c r="W645" i="31"/>
  <c r="W1090" i="31"/>
  <c r="W863" i="31"/>
  <c r="W1138" i="31"/>
  <c r="W1105" i="31"/>
  <c r="W1024" i="31"/>
  <c r="W802" i="31"/>
  <c r="W24" i="31"/>
  <c r="W1162" i="31"/>
  <c r="W684" i="31"/>
  <c r="W772" i="31"/>
  <c r="W1098" i="31"/>
  <c r="W1132" i="31"/>
  <c r="W910" i="31"/>
  <c r="W1300" i="31"/>
  <c r="W1324" i="31"/>
  <c r="W32" i="31"/>
  <c r="W1074" i="31"/>
  <c r="W496" i="31"/>
  <c r="W1382" i="31"/>
  <c r="W550" i="31"/>
  <c r="W1128" i="31"/>
  <c r="W522" i="31"/>
  <c r="W610" i="31"/>
  <c r="W1350" i="31"/>
  <c r="W1236" i="31"/>
  <c r="W438" i="31"/>
  <c r="W546" i="31"/>
  <c r="W1044" i="31"/>
  <c r="W822" i="31"/>
  <c r="W936" i="31"/>
  <c r="W876" i="31"/>
  <c r="W1266" i="31"/>
  <c r="W784" i="31"/>
  <c r="W178" i="31"/>
  <c r="W124" i="31"/>
  <c r="W70" i="31"/>
  <c r="W898" i="31"/>
  <c r="W806" i="31"/>
  <c r="W454" i="31"/>
  <c r="W362" i="31"/>
  <c r="W250" i="31"/>
  <c r="W852" i="31"/>
  <c r="W580" i="31"/>
  <c r="W472" i="31"/>
  <c r="W1316" i="31"/>
  <c r="W434" i="31"/>
  <c r="W1208" i="31"/>
  <c r="W1370" i="31"/>
  <c r="W220" i="31"/>
  <c r="W334" i="31"/>
  <c r="W848" i="31"/>
  <c r="W596" i="31"/>
  <c r="W902" i="31"/>
  <c r="W1070" i="31"/>
  <c r="W196" i="31"/>
  <c r="W358" i="31"/>
  <c r="W956" i="31"/>
  <c r="W1366" i="31"/>
  <c r="W676" i="31"/>
  <c r="W1244" i="31"/>
  <c r="W638" i="31"/>
  <c r="W112" i="31"/>
  <c r="W66" i="31"/>
  <c r="W508" i="31"/>
  <c r="W140" i="31"/>
  <c r="W354" i="31"/>
  <c r="I90" i="27"/>
  <c r="W830" i="31"/>
  <c r="W964" i="31"/>
  <c r="W1102" i="31"/>
  <c r="W1216" i="31"/>
  <c r="W994" i="31"/>
  <c r="W1152" i="31"/>
  <c r="W1182" i="31"/>
  <c r="W990" i="31"/>
  <c r="W162" i="31"/>
  <c r="W40" i="31"/>
  <c r="W1186" i="31"/>
  <c r="W856" i="31"/>
  <c r="W940" i="31"/>
  <c r="W1270" i="31"/>
  <c r="W28" i="31"/>
  <c r="W664" i="31"/>
  <c r="W48" i="31"/>
  <c r="W960" i="31"/>
  <c r="W886" i="31"/>
  <c r="W1212" i="31"/>
  <c r="W20" i="31"/>
  <c r="W1014" i="31"/>
  <c r="W798" i="31"/>
  <c r="W462" i="31"/>
  <c r="W718" i="31"/>
  <c r="W300" i="31"/>
  <c r="W576" i="31"/>
  <c r="W12" i="31"/>
  <c r="W324" i="31"/>
  <c r="W660" i="31"/>
  <c r="W270" i="31"/>
  <c r="W108" i="31"/>
  <c r="W826" i="31"/>
  <c r="W16" i="31"/>
  <c r="W622" i="31"/>
  <c r="W1082" i="31"/>
  <c r="W400" i="31"/>
  <c r="W1190" i="31"/>
  <c r="W1006" i="31"/>
  <c r="W968" i="31"/>
  <c r="W914" i="31"/>
  <c r="W748" i="31"/>
  <c r="W818" i="31"/>
  <c r="W380" i="31"/>
  <c r="W132" i="31"/>
  <c r="W388" i="31"/>
  <c r="W542" i="31"/>
  <c r="W986" i="31"/>
  <c r="W78" i="31"/>
  <c r="W58" i="31"/>
  <c r="W518" i="31"/>
  <c r="W274" i="31"/>
  <c r="W246" i="31"/>
  <c r="W82" i="31"/>
  <c r="W212" i="31"/>
  <c r="W1010" i="31"/>
  <c r="W688" i="31"/>
  <c r="W1320" i="31"/>
  <c r="W1120" i="31"/>
  <c r="W794" i="31"/>
  <c r="W36" i="31"/>
  <c r="W692" i="31"/>
  <c r="W1048" i="31"/>
  <c r="W1336" i="31"/>
  <c r="W346" i="31"/>
  <c r="W288" i="31"/>
  <c r="W319" i="31"/>
  <c r="W809" i="31"/>
  <c r="W978" i="31"/>
  <c r="W592" i="31"/>
  <c r="W320" i="31"/>
  <c r="W725" i="31"/>
  <c r="W564" i="31"/>
  <c r="W700" i="31"/>
  <c r="W813" i="31"/>
  <c r="W498" i="31"/>
  <c r="W204" i="31"/>
  <c r="W396" i="31"/>
  <c r="W701" i="31"/>
  <c r="W450" i="31"/>
  <c r="W1002" i="31"/>
  <c r="W868" i="31"/>
  <c r="W756" i="31"/>
  <c r="W258" i="31"/>
  <c r="W208" i="31"/>
  <c r="W370" i="31"/>
  <c r="W1144" i="31"/>
  <c r="W312" i="31"/>
  <c r="W500" i="31"/>
  <c r="R63" i="31"/>
  <c r="V60" i="31" s="1"/>
  <c r="R669" i="31"/>
  <c r="V666" i="31" s="1"/>
  <c r="W1276" i="31"/>
  <c r="W1224" i="31"/>
  <c r="W148" i="31"/>
  <c r="W74" i="31"/>
  <c r="W931" i="31"/>
  <c r="W340" i="31"/>
  <c r="W448" i="31"/>
  <c r="W1134" i="31"/>
  <c r="W416" i="31"/>
  <c r="W918" i="31"/>
  <c r="W980" i="31"/>
  <c r="W641" i="31"/>
  <c r="W616" i="31"/>
  <c r="W672" i="31"/>
  <c r="W1170" i="31"/>
  <c r="W342" i="31"/>
  <c r="W227" i="31"/>
  <c r="W839" i="31"/>
  <c r="W562" i="31"/>
  <c r="W1361" i="31"/>
  <c r="W240" i="31"/>
  <c r="W864" i="31"/>
  <c r="W1278" i="31"/>
  <c r="W1253" i="31"/>
  <c r="W867" i="31"/>
  <c r="W893" i="31"/>
  <c r="W982" i="31"/>
  <c r="W456" i="31"/>
  <c r="W1328" i="31"/>
  <c r="W430" i="31"/>
  <c r="W316" i="31"/>
  <c r="W170" i="31"/>
  <c r="W810" i="31"/>
  <c r="W890" i="31"/>
  <c r="W391" i="31"/>
  <c r="W1194" i="31"/>
  <c r="R1053" i="31"/>
  <c r="V1050" i="31" s="1"/>
  <c r="R891" i="31"/>
  <c r="W891" i="31" s="1"/>
  <c r="AE27" i="30"/>
  <c r="Z34" i="30"/>
  <c r="R555" i="31"/>
  <c r="W555" i="31" s="1"/>
  <c r="R317" i="31"/>
  <c r="V314" i="31" s="1"/>
  <c r="R447" i="31"/>
  <c r="R999" i="31"/>
  <c r="R209" i="31"/>
  <c r="AK206" i="31" s="1"/>
  <c r="R339" i="31"/>
  <c r="W339" i="31" s="1"/>
  <c r="R279" i="31"/>
  <c r="W279" i="31" s="1"/>
  <c r="R777" i="31"/>
  <c r="AK774" i="31" s="1"/>
  <c r="W705" i="31"/>
  <c r="W779" i="31"/>
  <c r="W1196" i="31"/>
  <c r="W976" i="31"/>
  <c r="W499" i="31"/>
  <c r="W278" i="31"/>
  <c r="W484" i="31"/>
  <c r="W182" i="31"/>
  <c r="W56" i="31"/>
  <c r="W1311" i="31"/>
  <c r="W1331" i="31"/>
  <c r="W353" i="31"/>
  <c r="W64" i="31"/>
  <c r="W586" i="31"/>
  <c r="W1252" i="31"/>
  <c r="W1030" i="31"/>
  <c r="W395" i="31"/>
  <c r="W533" i="31"/>
  <c r="W1256" i="31"/>
  <c r="W207" i="31"/>
  <c r="W118" i="31"/>
  <c r="W946" i="31"/>
  <c r="W1139" i="31"/>
  <c r="W1193" i="31"/>
  <c r="W812" i="31"/>
  <c r="W1222" i="31"/>
  <c r="W617" i="31"/>
  <c r="W482" i="31"/>
  <c r="W644" i="31"/>
  <c r="W590" i="31"/>
  <c r="W219" i="31"/>
  <c r="W88" i="31"/>
  <c r="W65" i="31"/>
  <c r="W1058" i="31"/>
  <c r="W1055" i="31"/>
  <c r="W394" i="31"/>
  <c r="W1086" i="31"/>
  <c r="W446" i="31"/>
  <c r="W94" i="31"/>
  <c r="W1312" i="31"/>
  <c r="W116" i="31"/>
  <c r="W150" i="31"/>
  <c r="W404" i="31"/>
  <c r="W722" i="31"/>
  <c r="W1036" i="31"/>
  <c r="W642" i="31"/>
  <c r="Z85" i="27"/>
  <c r="Y90" i="27"/>
  <c r="T90" i="30"/>
  <c r="O97" i="30"/>
  <c r="F55" i="30"/>
  <c r="I51" i="30" s="1"/>
  <c r="D55" i="30"/>
  <c r="AB55" i="30"/>
  <c r="AE51" i="30" s="1"/>
  <c r="Q97" i="30"/>
  <c r="T93" i="30" s="1"/>
  <c r="Q55" i="30"/>
  <c r="T51" i="30" s="1"/>
  <c r="O34" i="30"/>
  <c r="Q34" i="30"/>
  <c r="T30" i="30" s="1"/>
  <c r="Y77" i="30"/>
  <c r="T48" i="30"/>
  <c r="R481" i="31"/>
  <c r="W481" i="31" s="1"/>
  <c r="AB34" i="30"/>
  <c r="AE30" i="30" s="1"/>
  <c r="I48" i="30"/>
  <c r="T27" i="30"/>
  <c r="A89" i="35"/>
  <c r="P89" i="35" s="1"/>
  <c r="O55" i="30"/>
  <c r="Z71" i="30"/>
  <c r="AE70" i="30" s="1"/>
  <c r="AG11" i="35"/>
  <c r="P67" i="35"/>
  <c r="AE67" i="35" s="1"/>
  <c r="R371" i="31"/>
  <c r="X368" i="31" s="1"/>
  <c r="AP11" i="35"/>
  <c r="AE45" i="35"/>
  <c r="Q53" i="35"/>
  <c r="I90" i="30"/>
  <c r="D97" i="30"/>
  <c r="E82" i="30"/>
  <c r="D74" i="30"/>
  <c r="H71" i="30" s="1"/>
  <c r="D75" i="30"/>
  <c r="E77" i="30"/>
  <c r="F72" i="30"/>
  <c r="J74" i="30" s="1"/>
  <c r="C82" i="30"/>
  <c r="D72" i="30"/>
  <c r="J70" i="30" s="1"/>
  <c r="F74" i="30"/>
  <c r="H75" i="30" s="1"/>
  <c r="D70" i="30"/>
  <c r="E81" i="30"/>
  <c r="F71" i="30"/>
  <c r="I74" i="30" s="1"/>
  <c r="E83" i="30"/>
  <c r="C78" i="30"/>
  <c r="B80" i="30"/>
  <c r="F75" i="30"/>
  <c r="I75" i="30" s="1"/>
  <c r="C81" i="30"/>
  <c r="E78" i="30"/>
  <c r="D73" i="30"/>
  <c r="J71" i="30" s="1"/>
  <c r="F70" i="30"/>
  <c r="F73" i="30"/>
  <c r="J75" i="30" s="1"/>
  <c r="D71" i="30"/>
  <c r="I70" i="30" s="1"/>
  <c r="C77" i="30"/>
  <c r="C83" i="30"/>
  <c r="AA78" i="30"/>
  <c r="Z70" i="30"/>
  <c r="AD70" i="30" s="1"/>
  <c r="AB74" i="30"/>
  <c r="AD75" i="30" s="1"/>
  <c r="AA82" i="30"/>
  <c r="X80" i="30"/>
  <c r="Y81" i="30"/>
  <c r="AB73" i="30"/>
  <c r="AF75" i="30" s="1"/>
  <c r="Z74" i="30"/>
  <c r="AD71" i="30" s="1"/>
  <c r="Y83" i="30"/>
  <c r="AA81" i="30"/>
  <c r="Z75" i="30"/>
  <c r="AE71" i="30" s="1"/>
  <c r="Y78" i="30"/>
  <c r="AB70" i="30"/>
  <c r="AA83" i="30"/>
  <c r="AB75" i="30"/>
  <c r="AE75" i="30" s="1"/>
  <c r="AA77" i="30"/>
  <c r="AB72" i="30"/>
  <c r="AF74" i="30" s="1"/>
  <c r="Z73" i="30"/>
  <c r="AF71" i="30" s="1"/>
  <c r="Y82" i="30"/>
  <c r="AB71" i="30"/>
  <c r="AE74" i="30" s="1"/>
  <c r="P83" i="30"/>
  <c r="Q75" i="30"/>
  <c r="T75" i="30" s="1"/>
  <c r="P77" i="30"/>
  <c r="F97" i="30"/>
  <c r="I93" i="30" s="1"/>
  <c r="N83" i="30"/>
  <c r="N77" i="30"/>
  <c r="O73" i="30"/>
  <c r="U71" i="30" s="1"/>
  <c r="M80" i="30"/>
  <c r="Q74" i="30"/>
  <c r="S75" i="30" s="1"/>
  <c r="O75" i="30"/>
  <c r="O72" i="30"/>
  <c r="U70" i="30" s="1"/>
  <c r="Q72" i="30"/>
  <c r="U74" i="30" s="1"/>
  <c r="P78" i="30"/>
  <c r="O71" i="30"/>
  <c r="T70" i="30" s="1"/>
  <c r="N82" i="30"/>
  <c r="O70" i="30"/>
  <c r="P81" i="30"/>
  <c r="N78" i="30"/>
  <c r="N81" i="30"/>
  <c r="P82" i="30"/>
  <c r="Q71" i="30"/>
  <c r="O74" i="30"/>
  <c r="S71" i="30" s="1"/>
  <c r="Q73" i="30"/>
  <c r="U75" i="30" s="1"/>
  <c r="AE90" i="30"/>
  <c r="Z97" i="30"/>
  <c r="Z55" i="30"/>
  <c r="AB97" i="30"/>
  <c r="AE93" i="30" s="1"/>
  <c r="AE48" i="30"/>
  <c r="AQ45" i="30"/>
  <c r="AO38" i="30"/>
  <c r="AL16" i="30"/>
  <c r="AN2" i="30"/>
  <c r="AI15" i="30"/>
  <c r="AJ18" i="30"/>
  <c r="AJ17" i="30"/>
  <c r="AM8" i="30"/>
  <c r="AQ10" i="30" s="1"/>
  <c r="AK9" i="30"/>
  <c r="AO6" i="30" s="1"/>
  <c r="AL17" i="30"/>
  <c r="AM9" i="30"/>
  <c r="AO10" i="30" s="1"/>
  <c r="AM5" i="30"/>
  <c r="AM7" i="30"/>
  <c r="AQ9" i="30" s="1"/>
  <c r="AJ12" i="30"/>
  <c r="AL13" i="30"/>
  <c r="AK5" i="30"/>
  <c r="AJ13" i="30"/>
  <c r="AJ16" i="30"/>
  <c r="AM6" i="30"/>
  <c r="AP9" i="30" s="1"/>
  <c r="AK6" i="30"/>
  <c r="AP5" i="30" s="1"/>
  <c r="AK10" i="30"/>
  <c r="AP6" i="30" s="1"/>
  <c r="AK8" i="30"/>
  <c r="AQ6" i="30" s="1"/>
  <c r="AK7" i="30"/>
  <c r="AQ5" i="30" s="1"/>
  <c r="AL18" i="30"/>
  <c r="AL12" i="30"/>
  <c r="AM10" i="30"/>
  <c r="AP10" i="30" s="1"/>
  <c r="W173" i="31"/>
  <c r="X90" i="27"/>
  <c r="AD90" i="27" s="1"/>
  <c r="R431" i="31"/>
  <c r="AK428" i="31" s="1"/>
  <c r="R1167" i="31"/>
  <c r="W1167" i="31" s="1"/>
  <c r="AA86" i="27"/>
  <c r="AA90" i="27" s="1"/>
  <c r="Z91" i="27" s="1"/>
  <c r="AO11" i="35"/>
  <c r="AF11" i="35"/>
  <c r="W666" i="31"/>
  <c r="W704" i="31"/>
  <c r="AO35" i="35"/>
  <c r="AQ31" i="35"/>
  <c r="AG33" i="35"/>
  <c r="AQ33" i="35"/>
  <c r="AP33" i="35"/>
  <c r="AH33" i="35"/>
  <c r="AF33" i="35"/>
  <c r="AG31" i="35"/>
  <c r="AH31" i="35" s="1"/>
  <c r="AI31" i="35" s="1"/>
  <c r="AJ31" i="35" s="1"/>
  <c r="AK31" i="35" s="1"/>
  <c r="AL31" i="35" s="1"/>
  <c r="AM31" i="35" s="1"/>
  <c r="AO33" i="35"/>
  <c r="AK33" i="35"/>
  <c r="AL33" i="35"/>
  <c r="AF34" i="35"/>
  <c r="AO34" i="35"/>
  <c r="AF32" i="35"/>
  <c r="AQ32" i="35"/>
  <c r="AJ33" i="35"/>
  <c r="AN33" i="35"/>
  <c r="AI32" i="35"/>
  <c r="AI33" i="35"/>
  <c r="AM33" i="35"/>
  <c r="AF35" i="35"/>
  <c r="W260" i="31"/>
  <c r="W276" i="31"/>
  <c r="W571" i="31"/>
  <c r="W612" i="31"/>
  <c r="W203" i="31"/>
  <c r="W536" i="31"/>
  <c r="W587" i="31"/>
  <c r="W942" i="31"/>
  <c r="W1197" i="31"/>
  <c r="W613" i="31"/>
  <c r="W1218" i="31"/>
  <c r="Z8" i="27"/>
  <c r="Y11" i="27"/>
  <c r="W224" i="31"/>
  <c r="W1306" i="31"/>
  <c r="W92" i="31"/>
  <c r="W366" i="31"/>
  <c r="W1274" i="31"/>
  <c r="W180" i="31"/>
  <c r="W552" i="31"/>
  <c r="W311" i="31"/>
  <c r="W277" i="31"/>
  <c r="S134" i="27"/>
  <c r="S132" i="27"/>
  <c r="Z121" i="27"/>
  <c r="W134" i="27"/>
  <c r="T129" i="27"/>
  <c r="V126" i="27"/>
  <c r="AE127" i="27" s="1"/>
  <c r="U136" i="27"/>
  <c r="X127" i="27"/>
  <c r="AC132" i="27" s="1"/>
  <c r="W135" i="27"/>
  <c r="U137" i="27"/>
  <c r="X125" i="27"/>
  <c r="AD131" i="27" s="1"/>
  <c r="T125" i="27"/>
  <c r="T124" i="27"/>
  <c r="V124" i="27"/>
  <c r="S131" i="27"/>
  <c r="U132" i="27"/>
  <c r="U135" i="27"/>
  <c r="U133" i="27"/>
  <c r="W137" i="27"/>
  <c r="T126" i="27"/>
  <c r="X129" i="27"/>
  <c r="W136" i="27"/>
  <c r="S136" i="27"/>
  <c r="V128" i="27"/>
  <c r="X124" i="27"/>
  <c r="X128" i="27"/>
  <c r="AD132" i="27" s="1"/>
  <c r="S135" i="27"/>
  <c r="V125" i="27"/>
  <c r="AD127" i="27" s="1"/>
  <c r="Y135" i="27"/>
  <c r="AC137" i="27" s="1"/>
  <c r="V129" i="27"/>
  <c r="U134" i="27"/>
  <c r="S137" i="27"/>
  <c r="V127" i="27"/>
  <c r="AC128" i="27" s="1"/>
  <c r="T127" i="27"/>
  <c r="X126" i="27"/>
  <c r="AE131" i="27" s="1"/>
  <c r="W133" i="27"/>
  <c r="T128" i="27"/>
  <c r="W132" i="27"/>
  <c r="S133" i="27"/>
  <c r="W828" i="31"/>
  <c r="W479" i="31"/>
  <c r="W1143" i="31"/>
  <c r="W538" i="31"/>
  <c r="W1254" i="31"/>
  <c r="W154" i="31"/>
  <c r="W181" i="31"/>
  <c r="W1166" i="31"/>
  <c r="W1327" i="31"/>
  <c r="AM11" i="35"/>
  <c r="AN11" i="35"/>
  <c r="W1307" i="31"/>
  <c r="W1034" i="31"/>
  <c r="BN1" i="27"/>
  <c r="J5" i="27"/>
  <c r="I11" i="27"/>
  <c r="Y51" i="27"/>
  <c r="Z45" i="27"/>
  <c r="W888" i="31"/>
  <c r="W89" i="31"/>
  <c r="W943" i="31"/>
  <c r="W368" i="31"/>
  <c r="W73" i="31"/>
  <c r="W115" i="31"/>
  <c r="W829" i="31"/>
  <c r="AK174" i="27"/>
  <c r="AI171" i="27"/>
  <c r="AM175" i="27"/>
  <c r="AI175" i="27"/>
  <c r="AI174" i="27"/>
  <c r="AL167" i="27"/>
  <c r="AS168" i="27" s="1"/>
  <c r="AJ169" i="27"/>
  <c r="AJ164" i="27"/>
  <c r="AN166" i="27"/>
  <c r="AU171" i="27" s="1"/>
  <c r="AK172" i="27"/>
  <c r="AK175" i="27"/>
  <c r="AM177" i="27"/>
  <c r="AP161" i="27"/>
  <c r="AL166" i="27"/>
  <c r="AU167" i="27" s="1"/>
  <c r="AN167" i="27"/>
  <c r="AS172" i="27" s="1"/>
  <c r="AM172" i="27"/>
  <c r="AN164" i="27"/>
  <c r="AN165" i="27"/>
  <c r="AO175" i="27"/>
  <c r="AS177" i="27" s="1"/>
  <c r="AL165" i="27"/>
  <c r="AT167" i="27" s="1"/>
  <c r="AJ168" i="27"/>
  <c r="AT165" i="27" s="1"/>
  <c r="AI172" i="27"/>
  <c r="AJ167" i="27"/>
  <c r="AK177" i="27"/>
  <c r="AN169" i="27"/>
  <c r="AJ166" i="27"/>
  <c r="AM174" i="27"/>
  <c r="AK173" i="27"/>
  <c r="AM176" i="27"/>
  <c r="AI177" i="27"/>
  <c r="AL169" i="27"/>
  <c r="AI176" i="27"/>
  <c r="AL164" i="27"/>
  <c r="AK176" i="27"/>
  <c r="AJ165" i="27"/>
  <c r="AT164" i="27" s="1"/>
  <c r="AN168" i="27"/>
  <c r="AT172" i="27" s="1"/>
  <c r="AM173" i="27"/>
  <c r="AL168" i="27"/>
  <c r="AI173" i="27"/>
  <c r="W60" i="31"/>
  <c r="W755" i="31"/>
  <c r="W1035" i="31"/>
  <c r="W917" i="31"/>
  <c r="W1220" i="31"/>
  <c r="W537" i="31"/>
  <c r="W1258" i="31"/>
  <c r="W338" i="31"/>
  <c r="W775" i="31"/>
  <c r="W256" i="31"/>
  <c r="W668" i="31"/>
  <c r="W1050" i="31"/>
  <c r="W262" i="31"/>
  <c r="W720" i="31"/>
  <c r="W532" i="31"/>
  <c r="W1031" i="31"/>
  <c r="W337" i="31"/>
  <c r="W721" i="31"/>
  <c r="W62" i="31"/>
  <c r="W1272" i="31"/>
  <c r="W944" i="31"/>
  <c r="W640" i="31"/>
  <c r="W90" i="31"/>
  <c r="W760" i="31"/>
  <c r="W93" i="31"/>
  <c r="W315" i="31"/>
  <c r="W793" i="31"/>
  <c r="W61" i="31"/>
  <c r="W369" i="31"/>
  <c r="W138" i="31"/>
  <c r="W287" i="31"/>
  <c r="W502" i="31"/>
  <c r="W808" i="31"/>
  <c r="W102" i="31"/>
  <c r="W149" i="31"/>
  <c r="W1084" i="31"/>
  <c r="W754" i="31"/>
  <c r="W1365" i="31"/>
  <c r="AH11" i="35"/>
  <c r="AQ10" i="35"/>
  <c r="BI135" i="27"/>
  <c r="BK160" i="27"/>
  <c r="BI175" i="27" s="1"/>
  <c r="W314" i="31"/>
  <c r="W364" i="31"/>
  <c r="W1273" i="31"/>
  <c r="W1106" i="31"/>
  <c r="W261" i="31"/>
  <c r="W336" i="31"/>
  <c r="W392" i="31"/>
  <c r="W996" i="31"/>
  <c r="W667" i="31"/>
  <c r="AK135" i="27"/>
  <c r="AP121" i="27"/>
  <c r="AM134" i="27"/>
  <c r="AL126" i="27"/>
  <c r="AU127" i="27" s="1"/>
  <c r="AI132" i="27"/>
  <c r="AL125" i="27"/>
  <c r="AT127" i="27" s="1"/>
  <c r="AJ128" i="27"/>
  <c r="AL128" i="27"/>
  <c r="AJ126" i="27"/>
  <c r="AI135" i="27"/>
  <c r="AI137" i="27"/>
  <c r="AJ124" i="27"/>
  <c r="AL127" i="27"/>
  <c r="AS128" i="27" s="1"/>
  <c r="AL129" i="27"/>
  <c r="AK134" i="27"/>
  <c r="AM132" i="27"/>
  <c r="AK137" i="27"/>
  <c r="AJ125" i="27"/>
  <c r="AI134" i="27"/>
  <c r="AM136" i="27"/>
  <c r="AN125" i="27"/>
  <c r="AT131" i="27" s="1"/>
  <c r="AN124" i="27"/>
  <c r="AI131" i="27"/>
  <c r="AI136" i="27"/>
  <c r="AM135" i="27"/>
  <c r="AM137" i="27"/>
  <c r="AK132" i="27"/>
  <c r="AJ127" i="27"/>
  <c r="AM133" i="27"/>
  <c r="AN128" i="27"/>
  <c r="AT132" i="27" s="1"/>
  <c r="AN127" i="27"/>
  <c r="AS132" i="27" s="1"/>
  <c r="AL124" i="27"/>
  <c r="AI133" i="27"/>
  <c r="AJ129" i="27"/>
  <c r="AN126" i="27"/>
  <c r="AU131" i="27" s="1"/>
  <c r="AN129" i="27"/>
  <c r="AO135" i="27"/>
  <c r="AS137" i="27" s="1"/>
  <c r="AK136" i="27"/>
  <c r="AK133" i="27"/>
  <c r="BF164" i="27"/>
  <c r="BE170" i="27"/>
  <c r="W444" i="31"/>
  <c r="W1140" i="31"/>
  <c r="W534" i="31"/>
  <c r="W1308" i="31"/>
  <c r="W1088" i="31"/>
  <c r="W814" i="31"/>
  <c r="W127" i="31"/>
  <c r="W445" i="31"/>
  <c r="W889" i="31"/>
  <c r="W588" i="31"/>
  <c r="W286" i="31"/>
  <c r="BE90" i="27"/>
  <c r="BE11" i="27"/>
  <c r="W916" i="31"/>
  <c r="W429" i="31"/>
  <c r="W646" i="31"/>
  <c r="W998" i="31"/>
  <c r="W1362" i="31"/>
  <c r="W758" i="31"/>
  <c r="W168" i="31"/>
  <c r="W776" i="31"/>
  <c r="W114" i="31"/>
  <c r="Y170" i="27"/>
  <c r="AP47" i="27"/>
  <c r="AO51" i="27"/>
  <c r="W997" i="31"/>
  <c r="W152" i="31"/>
  <c r="W977" i="31"/>
  <c r="W365" i="31"/>
  <c r="W1052" i="31"/>
  <c r="W483" i="31"/>
  <c r="W866" i="31"/>
  <c r="W553" i="31"/>
  <c r="BE33" i="35"/>
  <c r="AV31" i="35"/>
  <c r="AW31" i="35" s="1"/>
  <c r="AX31" i="35" s="1"/>
  <c r="AY31" i="35" s="1"/>
  <c r="AZ31" i="35" s="1"/>
  <c r="BA31" i="35" s="1"/>
  <c r="BB31" i="35" s="1"/>
  <c r="BF32" i="35"/>
  <c r="BF33" i="35"/>
  <c r="BD35" i="35"/>
  <c r="AU35" i="35"/>
  <c r="BC33" i="35"/>
  <c r="BB33" i="35"/>
  <c r="AX33" i="35"/>
  <c r="BA33" i="35"/>
  <c r="AW33" i="35"/>
  <c r="AX32" i="35"/>
  <c r="AU33" i="35"/>
  <c r="AU32" i="35"/>
  <c r="BD34" i="35"/>
  <c r="AY33" i="35"/>
  <c r="BF31" i="35"/>
  <c r="AU34" i="35"/>
  <c r="AZ33" i="35"/>
  <c r="AV33" i="35"/>
  <c r="BD33" i="35"/>
  <c r="BA93" i="27"/>
  <c r="BC96" i="27"/>
  <c r="AY93" i="27"/>
  <c r="BB87" i="27"/>
  <c r="BI88" i="27" s="1"/>
  <c r="BC95" i="27"/>
  <c r="BF81" i="27"/>
  <c r="BD87" i="27"/>
  <c r="BI92" i="27" s="1"/>
  <c r="BA94" i="27"/>
  <c r="BC92" i="27"/>
  <c r="BE95" i="27"/>
  <c r="BI97" i="27" s="1"/>
  <c r="AY96" i="27"/>
  <c r="BA92" i="27"/>
  <c r="BC94" i="27"/>
  <c r="BD85" i="27"/>
  <c r="BJ91" i="27" s="1"/>
  <c r="AZ85" i="27"/>
  <c r="AZ87" i="27"/>
  <c r="AZ84" i="27"/>
  <c r="AZ86" i="27"/>
  <c r="AY92" i="27"/>
  <c r="BB89" i="27"/>
  <c r="BC93" i="27"/>
  <c r="BD88" i="27"/>
  <c r="BJ92" i="27" s="1"/>
  <c r="AZ89" i="27"/>
  <c r="AY94" i="27"/>
  <c r="AY91" i="27"/>
  <c r="BA95" i="27"/>
  <c r="BD86" i="27"/>
  <c r="BK91" i="27" s="1"/>
  <c r="BB85" i="27"/>
  <c r="BJ87" i="27" s="1"/>
  <c r="AY97" i="27"/>
  <c r="BD84" i="27"/>
  <c r="BA97" i="27"/>
  <c r="BB84" i="27"/>
  <c r="BC97" i="27"/>
  <c r="BB86" i="27"/>
  <c r="BK87" i="27" s="1"/>
  <c r="BB88" i="27"/>
  <c r="BD89" i="27"/>
  <c r="BA96" i="27"/>
  <c r="AZ88" i="27"/>
  <c r="AY95" i="27"/>
  <c r="J48" i="27"/>
  <c r="I51" i="27"/>
  <c r="J164" i="27"/>
  <c r="I170" i="27"/>
  <c r="AP5" i="27"/>
  <c r="AO11" i="27"/>
  <c r="AP165" i="27"/>
  <c r="AO170" i="27"/>
  <c r="W390" i="31"/>
  <c r="W774" i="31"/>
  <c r="W1089" i="31"/>
  <c r="W1164" i="31"/>
  <c r="W169" i="31"/>
  <c r="W1326" i="31"/>
  <c r="W1219" i="31"/>
  <c r="W206" i="31"/>
  <c r="W1142" i="31"/>
  <c r="W1165" i="31"/>
  <c r="W223" i="31"/>
  <c r="W177" i="27"/>
  <c r="Z161" i="27"/>
  <c r="X167" i="27"/>
  <c r="AC172" i="27" s="1"/>
  <c r="W176" i="27"/>
  <c r="T164" i="27"/>
  <c r="V168" i="27"/>
  <c r="T167" i="27"/>
  <c r="S173" i="27"/>
  <c r="V165" i="27"/>
  <c r="AD167" i="27" s="1"/>
  <c r="U176" i="27"/>
  <c r="S176" i="27"/>
  <c r="S175" i="27"/>
  <c r="S172" i="27"/>
  <c r="W173" i="27"/>
  <c r="S177" i="27"/>
  <c r="T165" i="27"/>
  <c r="X168" i="27"/>
  <c r="AD172" i="27" s="1"/>
  <c r="W175" i="27"/>
  <c r="T168" i="27"/>
  <c r="X165" i="27"/>
  <c r="AD171" i="27" s="1"/>
  <c r="W172" i="27"/>
  <c r="T169" i="27"/>
  <c r="U174" i="27"/>
  <c r="U177" i="27"/>
  <c r="S174" i="27"/>
  <c r="V169" i="27"/>
  <c r="X169" i="27"/>
  <c r="V166" i="27"/>
  <c r="AE167" i="27" s="1"/>
  <c r="U173" i="27"/>
  <c r="X166" i="27"/>
  <c r="AE171" i="27" s="1"/>
  <c r="Y175" i="27"/>
  <c r="AC177" i="27" s="1"/>
  <c r="V164" i="27"/>
  <c r="T166" i="27"/>
  <c r="W174" i="27"/>
  <c r="V167" i="27"/>
  <c r="AC168" i="27" s="1"/>
  <c r="X164" i="27"/>
  <c r="U172" i="27"/>
  <c r="S171" i="27"/>
  <c r="U175" i="27"/>
  <c r="W222" i="31"/>
  <c r="W1104" i="31"/>
  <c r="W428" i="31"/>
  <c r="W1360" i="31"/>
  <c r="W425" i="31"/>
  <c r="W554" i="31"/>
  <c r="W1257" i="31"/>
  <c r="R589" i="31"/>
  <c r="AK586" i="31" s="1"/>
  <c r="R485" i="31"/>
  <c r="W485" i="31" s="1"/>
  <c r="R647" i="31"/>
  <c r="X644" i="31" s="1"/>
  <c r="AF12" i="35"/>
  <c r="AG9" i="35"/>
  <c r="AH9" i="35" s="1"/>
  <c r="AI9" i="35" s="1"/>
  <c r="AJ9" i="35" s="1"/>
  <c r="AK9" i="35" s="1"/>
  <c r="AL9" i="35" s="1"/>
  <c r="AM9" i="35" s="1"/>
  <c r="AJ11" i="35"/>
  <c r="R593" i="31"/>
  <c r="X590" i="31" s="1"/>
  <c r="AI10" i="35"/>
  <c r="AQ11" i="35"/>
  <c r="AL11" i="35"/>
  <c r="AF13" i="35"/>
  <c r="AQ9" i="35"/>
  <c r="AI11" i="35"/>
  <c r="AO13" i="35"/>
  <c r="AF10" i="35"/>
  <c r="AK11" i="35"/>
  <c r="R1033" i="31"/>
  <c r="X1030" i="31" s="1"/>
  <c r="L77" i="35"/>
  <c r="K79" i="35"/>
  <c r="E77" i="35"/>
  <c r="K78" i="35"/>
  <c r="B78" i="35"/>
  <c r="C75" i="35"/>
  <c r="D75" i="35" s="1"/>
  <c r="E75" i="35" s="1"/>
  <c r="F75" i="35" s="1"/>
  <c r="G75" i="35" s="1"/>
  <c r="H75" i="35" s="1"/>
  <c r="I75" i="35" s="1"/>
  <c r="H77" i="35"/>
  <c r="I77" i="35"/>
  <c r="E76" i="35"/>
  <c r="D77" i="35"/>
  <c r="M76" i="35"/>
  <c r="B76" i="35"/>
  <c r="K77" i="35"/>
  <c r="F77" i="35"/>
  <c r="G77" i="35"/>
  <c r="M75" i="35"/>
  <c r="B79" i="35"/>
  <c r="C77" i="35"/>
  <c r="J77" i="35"/>
  <c r="B77" i="35"/>
  <c r="M77" i="35"/>
  <c r="B97" i="35"/>
  <c r="R1037" i="31"/>
  <c r="W1037" i="31" s="1"/>
  <c r="R313" i="31"/>
  <c r="X310" i="31" s="1"/>
  <c r="R1363" i="31"/>
  <c r="X1360" i="31" s="1"/>
  <c r="R979" i="31"/>
  <c r="X976" i="31" s="1"/>
  <c r="R539" i="31"/>
  <c r="W539" i="31" s="1"/>
  <c r="R205" i="31"/>
  <c r="AK202" i="31" s="1"/>
  <c r="R643" i="31"/>
  <c r="X640" i="31" s="1"/>
  <c r="R831" i="31"/>
  <c r="V828" i="31" s="1"/>
  <c r="R1087" i="31"/>
  <c r="W1087" i="31" s="1"/>
  <c r="R811" i="31"/>
  <c r="X808" i="31" s="1"/>
  <c r="R1091" i="31"/>
  <c r="X1088" i="31" s="1"/>
  <c r="R151" i="31"/>
  <c r="X148" i="31" s="1"/>
  <c r="R1117" i="31"/>
  <c r="AK1114" i="31" s="1"/>
  <c r="R1275" i="31"/>
  <c r="X1272" i="31" s="1"/>
  <c r="R129" i="31"/>
  <c r="W129" i="31" s="1"/>
  <c r="R263" i="31"/>
  <c r="V260" i="31" s="1"/>
  <c r="R535" i="31"/>
  <c r="V532" i="31" s="1"/>
  <c r="R865" i="31"/>
  <c r="AK862" i="31" s="1"/>
  <c r="R1107" i="31"/>
  <c r="V1104" i="31" s="1"/>
  <c r="R757" i="31"/>
  <c r="W757" i="31" s="1"/>
  <c r="R983" i="31"/>
  <c r="V980" i="31" s="1"/>
  <c r="R1145" i="31"/>
  <c r="V1142" i="31" s="1"/>
  <c r="R155" i="31"/>
  <c r="W155" i="31" s="1"/>
  <c r="R367" i="31"/>
  <c r="W367" i="31" s="1"/>
  <c r="R723" i="31"/>
  <c r="X720" i="31" s="1"/>
  <c r="R427" i="31"/>
  <c r="AK424" i="31" s="1"/>
  <c r="R707" i="31"/>
  <c r="X704" i="31" s="1"/>
  <c r="R815" i="31"/>
  <c r="AK812" i="31" s="1"/>
  <c r="R1195" i="31"/>
  <c r="AK1192" i="31" s="1"/>
  <c r="R919" i="31"/>
  <c r="X916" i="31" s="1"/>
  <c r="R761" i="31"/>
  <c r="V758" i="31" s="1"/>
  <c r="R259" i="31"/>
  <c r="W259" i="31" s="1"/>
  <c r="W777" i="31"/>
  <c r="R91" i="31"/>
  <c r="W91" i="31" s="1"/>
  <c r="R289" i="31"/>
  <c r="V286" i="31" s="1"/>
  <c r="V774" i="31"/>
  <c r="R1255" i="31"/>
  <c r="V1252" i="31" s="1"/>
  <c r="R1141" i="31"/>
  <c r="W1141" i="31" s="1"/>
  <c r="R1309" i="31"/>
  <c r="V1306" i="31" s="1"/>
  <c r="R67" i="31"/>
  <c r="X64" i="31" s="1"/>
  <c r="R1225" i="31"/>
  <c r="AK1222" i="31" s="1"/>
  <c r="R1333" i="31"/>
  <c r="AK1330" i="31" s="1"/>
  <c r="R95" i="31"/>
  <c r="W95" i="31" s="1"/>
  <c r="R727" i="31"/>
  <c r="W727" i="31" s="1"/>
  <c r="R505" i="31"/>
  <c r="V502" i="31" s="1"/>
  <c r="R869" i="31"/>
  <c r="AK866" i="31" s="1"/>
  <c r="R343" i="31"/>
  <c r="AK340" i="31" s="1"/>
  <c r="R949" i="31"/>
  <c r="V946" i="31" s="1"/>
  <c r="R1171" i="31"/>
  <c r="X1168" i="31" s="1"/>
  <c r="R923" i="31"/>
  <c r="AK920" i="31" s="1"/>
  <c r="R1199" i="31"/>
  <c r="AK1196" i="31" s="1"/>
  <c r="R229" i="31"/>
  <c r="AK226" i="31" s="1"/>
  <c r="R1057" i="31"/>
  <c r="V1054" i="31" s="1"/>
  <c r="R175" i="31"/>
  <c r="AK172" i="31" s="1"/>
  <c r="X774" i="31"/>
  <c r="AK666" i="31"/>
  <c r="R1279" i="31"/>
  <c r="X1276" i="31" s="1"/>
  <c r="R1003" i="31"/>
  <c r="X1000" i="31" s="1"/>
  <c r="R673" i="31"/>
  <c r="X670" i="31" s="1"/>
  <c r="R397" i="31"/>
  <c r="W397" i="31" s="1"/>
  <c r="R781" i="31"/>
  <c r="V778" i="31" s="1"/>
  <c r="R895" i="31"/>
  <c r="X892" i="31" s="1"/>
  <c r="R121" i="31"/>
  <c r="V118" i="31" s="1"/>
  <c r="R619" i="31"/>
  <c r="AK616" i="31" s="1"/>
  <c r="V478" i="31"/>
  <c r="R1259" i="31"/>
  <c r="W1259" i="31" s="1"/>
  <c r="V552" i="31"/>
  <c r="R267" i="31"/>
  <c r="V264" i="31" s="1"/>
  <c r="R841" i="31"/>
  <c r="W841" i="31" s="1"/>
  <c r="W669" i="31"/>
  <c r="R1083" i="31"/>
  <c r="X1080" i="31" s="1"/>
  <c r="X666" i="31"/>
  <c r="X390" i="31"/>
  <c r="W431" i="31"/>
  <c r="AK60" i="31"/>
  <c r="R451" i="31"/>
  <c r="W451" i="31" s="1"/>
  <c r="X478" i="31"/>
  <c r="R213" i="31"/>
  <c r="V210" i="31" s="1"/>
  <c r="R531" i="31"/>
  <c r="W531" i="31" s="1"/>
  <c r="R105" i="31"/>
  <c r="W105" i="31" s="1"/>
  <c r="AK390" i="31"/>
  <c r="X60" i="31"/>
  <c r="R845" i="31"/>
  <c r="W845" i="31" s="1"/>
  <c r="X612" i="31"/>
  <c r="AK478" i="31"/>
  <c r="R443" i="31"/>
  <c r="X440" i="31" s="1"/>
  <c r="R141" i="31"/>
  <c r="X138" i="31" s="1"/>
  <c r="R543" i="31"/>
  <c r="AK540" i="31" s="1"/>
  <c r="R435" i="31"/>
  <c r="X432" i="31" s="1"/>
  <c r="R1287" i="31"/>
  <c r="AK1284" i="31" s="1"/>
  <c r="R1011" i="31"/>
  <c r="V1008" i="31" s="1"/>
  <c r="W615" i="31"/>
  <c r="X276" i="31"/>
  <c r="AK222" i="31"/>
  <c r="R565" i="31"/>
  <c r="AK562" i="31" s="1"/>
  <c r="AK314" i="31"/>
  <c r="W317" i="31"/>
  <c r="R183" i="31"/>
  <c r="X180" i="31" s="1"/>
  <c r="R795" i="31"/>
  <c r="X792" i="31" s="1"/>
  <c r="X552" i="31"/>
  <c r="R187" i="31"/>
  <c r="W187" i="31" s="1"/>
  <c r="R957" i="31"/>
  <c r="X954" i="31" s="1"/>
  <c r="W225" i="31"/>
  <c r="R477" i="31"/>
  <c r="V474" i="31" s="1"/>
  <c r="R577" i="31"/>
  <c r="X574" i="31" s="1"/>
  <c r="R1007" i="31"/>
  <c r="AK1004" i="31" s="1"/>
  <c r="R293" i="31"/>
  <c r="W293" i="31" s="1"/>
  <c r="R1121" i="31"/>
  <c r="X1118" i="31" s="1"/>
  <c r="R381" i="31"/>
  <c r="X378" i="31" s="1"/>
  <c r="R519" i="31"/>
  <c r="X516" i="31" s="1"/>
  <c r="R405" i="31"/>
  <c r="V402" i="31" s="1"/>
  <c r="R243" i="31"/>
  <c r="W243" i="31" s="1"/>
  <c r="R739" i="31"/>
  <c r="AK736" i="31" s="1"/>
  <c r="R1245" i="31"/>
  <c r="X1242" i="31" s="1"/>
  <c r="R83" i="31"/>
  <c r="W83" i="31" s="1"/>
  <c r="R221" i="31"/>
  <c r="AK218" i="31" s="1"/>
  <c r="X1326" i="31"/>
  <c r="R255" i="31"/>
  <c r="X252" i="31" s="1"/>
  <c r="R1367" i="31"/>
  <c r="W1367" i="31" s="1"/>
  <c r="R1337" i="31"/>
  <c r="AK1334" i="31" s="1"/>
  <c r="R401" i="31"/>
  <c r="X398" i="31" s="1"/>
  <c r="R915" i="31"/>
  <c r="W915" i="31" s="1"/>
  <c r="R873" i="31"/>
  <c r="X870" i="31" s="1"/>
  <c r="R933" i="31"/>
  <c r="V930" i="31" s="1"/>
  <c r="R681" i="31"/>
  <c r="V612" i="31"/>
  <c r="V942" i="31"/>
  <c r="X428" i="31"/>
  <c r="R463" i="31"/>
  <c r="V460" i="31" s="1"/>
  <c r="R233" i="31"/>
  <c r="X230" i="31" s="1"/>
  <c r="R79" i="31"/>
  <c r="R275" i="31"/>
  <c r="R37" i="31"/>
  <c r="W37" i="31" s="1"/>
  <c r="R17" i="31"/>
  <c r="AK14" i="31" s="1"/>
  <c r="R807" i="31"/>
  <c r="V804" i="31" s="1"/>
  <c r="R413" i="31"/>
  <c r="AK410" i="31" s="1"/>
  <c r="R849" i="31"/>
  <c r="V846" i="31" s="1"/>
  <c r="R59" i="31"/>
  <c r="X56" i="31" s="1"/>
  <c r="R627" i="31"/>
  <c r="X624" i="31" s="1"/>
  <c r="R1313" i="31"/>
  <c r="X1310" i="31" s="1"/>
  <c r="R133" i="31"/>
  <c r="R75" i="31"/>
  <c r="V72" i="31" s="1"/>
  <c r="R887" i="31"/>
  <c r="W887" i="31" s="1"/>
  <c r="R159" i="31"/>
  <c r="AK156" i="31" s="1"/>
  <c r="R1379" i="31"/>
  <c r="R703" i="31"/>
  <c r="V700" i="31" s="1"/>
  <c r="R351" i="31"/>
  <c r="R363" i="31"/>
  <c r="X360" i="31" s="1"/>
  <c r="R359" i="31"/>
  <c r="R1041" i="31"/>
  <c r="AK1038" i="31" s="1"/>
  <c r="R1233" i="31"/>
  <c r="W1233" i="31" s="1"/>
  <c r="R1359" i="31"/>
  <c r="X1356" i="31" s="1"/>
  <c r="R459" i="31"/>
  <c r="AK456" i="31" s="1"/>
  <c r="R573" i="31"/>
  <c r="W573" i="31" s="1"/>
  <c r="W63" i="31"/>
  <c r="R903" i="31"/>
  <c r="R167" i="31"/>
  <c r="V164" i="31" s="1"/>
  <c r="R389" i="31"/>
  <c r="R1061" i="31"/>
  <c r="W1061" i="31" s="1"/>
  <c r="R581" i="31"/>
  <c r="R1125" i="31"/>
  <c r="R113" i="31"/>
  <c r="X110" i="31" s="1"/>
  <c r="R335" i="31"/>
  <c r="R1071" i="31"/>
  <c r="R1179" i="31"/>
  <c r="R297" i="31"/>
  <c r="R735" i="31"/>
  <c r="R1347" i="31"/>
  <c r="R473" i="31"/>
  <c r="R201" i="31"/>
  <c r="V198" i="31" s="1"/>
  <c r="R417" i="31"/>
  <c r="W417" i="31" s="1"/>
  <c r="R305" i="31"/>
  <c r="AK302" i="31" s="1"/>
  <c r="R1095" i="31"/>
  <c r="W1095" i="31" s="1"/>
  <c r="R657" i="31"/>
  <c r="AK654" i="31" s="1"/>
  <c r="R639" i="31"/>
  <c r="AK636" i="31" s="1"/>
  <c r="R765" i="31"/>
  <c r="R197" i="31"/>
  <c r="W197" i="31" s="1"/>
  <c r="R1209" i="31"/>
  <c r="X1206" i="31" s="1"/>
  <c r="R347" i="31"/>
  <c r="X344" i="31" s="1"/>
  <c r="R1375" i="31"/>
  <c r="V1372" i="31" s="1"/>
  <c r="R899" i="31"/>
  <c r="V896" i="31" s="1"/>
  <c r="R861" i="31"/>
  <c r="AK858" i="31" s="1"/>
  <c r="R711" i="31"/>
  <c r="R1317" i="31"/>
  <c r="R819" i="31"/>
  <c r="R597" i="31"/>
  <c r="R953" i="31"/>
  <c r="AK950" i="31" s="1"/>
  <c r="R455" i="31"/>
  <c r="X452" i="31" s="1"/>
  <c r="R489" i="31"/>
  <c r="R137" i="31"/>
  <c r="R731" i="31"/>
  <c r="W731" i="31" s="1"/>
  <c r="R1191" i="31"/>
  <c r="W1191" i="31" s="1"/>
  <c r="R753" i="31"/>
  <c r="AK750" i="31" s="1"/>
  <c r="R321" i="31"/>
  <c r="R1175" i="31"/>
  <c r="V1172" i="31" s="1"/>
  <c r="R1029" i="31"/>
  <c r="W1029" i="31" s="1"/>
  <c r="AQ51" i="27"/>
  <c r="R1263" i="31"/>
  <c r="R1371" i="31"/>
  <c r="R987" i="31"/>
  <c r="R1149" i="31"/>
  <c r="R527" i="31"/>
  <c r="W393" i="31"/>
  <c r="R1187" i="31"/>
  <c r="W1187" i="31" s="1"/>
  <c r="X222" i="31"/>
  <c r="R1271" i="31"/>
  <c r="V1268" i="31" s="1"/>
  <c r="R773" i="31"/>
  <c r="AK770" i="31" s="1"/>
  <c r="R125" i="31"/>
  <c r="V122" i="31" s="1"/>
  <c r="R969" i="31"/>
  <c r="AK966" i="31" s="1"/>
  <c r="V368" i="31"/>
  <c r="R309" i="31"/>
  <c r="AK306" i="31" s="1"/>
  <c r="R87" i="31"/>
  <c r="W87" i="31" s="1"/>
  <c r="R1305" i="31"/>
  <c r="AK1302" i="31" s="1"/>
  <c r="R1137" i="31"/>
  <c r="W1137" i="31" s="1"/>
  <c r="R569" i="31"/>
  <c r="X566" i="31" s="1"/>
  <c r="R509" i="31"/>
  <c r="W509" i="31" s="1"/>
  <c r="R251" i="31"/>
  <c r="R635" i="31"/>
  <c r="R1049" i="31"/>
  <c r="R1153" i="31"/>
  <c r="V1150" i="31" s="1"/>
  <c r="R719" i="31"/>
  <c r="W719" i="31" s="1"/>
  <c r="R749" i="31"/>
  <c r="R689" i="31"/>
  <c r="R1229" i="31"/>
  <c r="W1229" i="31" s="1"/>
  <c r="R179" i="31"/>
  <c r="R41" i="31"/>
  <c r="V38" i="31" s="1"/>
  <c r="W1329" i="31"/>
  <c r="R685" i="31"/>
  <c r="AK682" i="31" s="1"/>
  <c r="R1321" i="31"/>
  <c r="W1321" i="31" s="1"/>
  <c r="AA11" i="27"/>
  <c r="AC17" i="27" s="1"/>
  <c r="R355" i="31"/>
  <c r="X352" i="31" s="1"/>
  <c r="R547" i="31"/>
  <c r="AK544" i="31" s="1"/>
  <c r="R163" i="31"/>
  <c r="V160" i="31" s="1"/>
  <c r="R623" i="31"/>
  <c r="X620" i="31" s="1"/>
  <c r="AK1326" i="31"/>
  <c r="X1050" i="31"/>
  <c r="R799" i="31"/>
  <c r="X796" i="31" s="1"/>
  <c r="R693" i="31"/>
  <c r="R785" i="31"/>
  <c r="AK782" i="31" s="1"/>
  <c r="R585" i="31"/>
  <c r="AK582" i="31" s="1"/>
  <c r="R665" i="31"/>
  <c r="R301" i="31"/>
  <c r="AK298" i="31" s="1"/>
  <c r="R325" i="31"/>
  <c r="X322" i="31" s="1"/>
  <c r="R1283" i="31"/>
  <c r="AK1280" i="31" s="1"/>
  <c r="AA51" i="27"/>
  <c r="R877" i="31"/>
  <c r="X874" i="31" s="1"/>
  <c r="R827" i="31"/>
  <c r="W827" i="31" s="1"/>
  <c r="R611" i="31"/>
  <c r="V608" i="31" s="1"/>
  <c r="R497" i="31"/>
  <c r="V494" i="31" s="1"/>
  <c r="R1099" i="31"/>
  <c r="R271" i="31"/>
  <c r="V268" i="31" s="1"/>
  <c r="R71" i="31"/>
  <c r="AK68" i="31" s="1"/>
  <c r="R715" i="31"/>
  <c r="AK712" i="31" s="1"/>
  <c r="R677" i="31"/>
  <c r="R661" i="31"/>
  <c r="R409" i="31"/>
  <c r="R769" i="31"/>
  <c r="R601" i="31"/>
  <c r="R937" i="31"/>
  <c r="R385" i="31"/>
  <c r="R109" i="31"/>
  <c r="R247" i="31"/>
  <c r="V244" i="31" s="1"/>
  <c r="R217" i="31"/>
  <c r="R1045" i="31"/>
  <c r="R991" i="31"/>
  <c r="R823" i="31"/>
  <c r="R493" i="31"/>
  <c r="R439" i="31"/>
  <c r="AK276" i="31"/>
  <c r="R907" i="31"/>
  <c r="V904" i="31" s="1"/>
  <c r="R1129" i="31"/>
  <c r="W1129" i="31" s="1"/>
  <c r="R523" i="31"/>
  <c r="R853" i="31"/>
  <c r="R911" i="31"/>
  <c r="AK908" i="31" s="1"/>
  <c r="R1015" i="31"/>
  <c r="AK1012" i="31" s="1"/>
  <c r="V276" i="31"/>
  <c r="R1103" i="31"/>
  <c r="AK1100" i="31" s="1"/>
  <c r="R49" i="31"/>
  <c r="V46" i="31" s="1"/>
  <c r="R13" i="31"/>
  <c r="X10" i="31" s="1"/>
  <c r="R1237" i="31"/>
  <c r="R995" i="31"/>
  <c r="W995" i="31" s="1"/>
  <c r="R1383" i="31"/>
  <c r="K130" i="27"/>
  <c r="M136" i="27" s="1"/>
  <c r="R551" i="31"/>
  <c r="R1291" i="31"/>
  <c r="R1183" i="31"/>
  <c r="R961" i="31"/>
  <c r="R1267" i="31"/>
  <c r="R1351" i="31"/>
  <c r="R631" i="31"/>
  <c r="R1075" i="31"/>
  <c r="R1213" i="31"/>
  <c r="R1163" i="31"/>
  <c r="V888" i="31"/>
  <c r="AK888" i="31"/>
  <c r="X888" i="31"/>
  <c r="R1217" i="31"/>
  <c r="R33" i="31"/>
  <c r="W501" i="31"/>
  <c r="AK498" i="31"/>
  <c r="V498" i="31"/>
  <c r="X498" i="31"/>
  <c r="R29" i="31"/>
  <c r="AK26" i="31" s="1"/>
  <c r="R1325" i="31"/>
  <c r="K51" i="27"/>
  <c r="X996" i="31"/>
  <c r="AK996" i="31"/>
  <c r="V996" i="31"/>
  <c r="W999" i="31"/>
  <c r="X1218" i="31"/>
  <c r="AK1218" i="31"/>
  <c r="W1221" i="31"/>
  <c r="V1218" i="31"/>
  <c r="V336" i="31"/>
  <c r="X336" i="31"/>
  <c r="AK336" i="31"/>
  <c r="R941" i="31"/>
  <c r="V444" i="31"/>
  <c r="X444" i="31"/>
  <c r="AK444" i="31"/>
  <c r="W447" i="31"/>
  <c r="V168" i="31"/>
  <c r="AK168" i="31"/>
  <c r="W171" i="31"/>
  <c r="X168" i="31"/>
  <c r="R21" i="31"/>
  <c r="R1079" i="31"/>
  <c r="R1241" i="31"/>
  <c r="K90" i="27"/>
  <c r="K11" i="27"/>
  <c r="R25" i="31"/>
  <c r="K170" i="27"/>
  <c r="R1133" i="31"/>
  <c r="R803" i="31"/>
  <c r="R965" i="31"/>
  <c r="R857" i="31"/>
  <c r="R45" i="31"/>
  <c r="AQ11" i="27"/>
  <c r="R1355" i="31"/>
  <c r="R1025" i="31"/>
  <c r="V114" i="31"/>
  <c r="W117" i="31"/>
  <c r="X114" i="31"/>
  <c r="AK114" i="31"/>
  <c r="R1301" i="31"/>
  <c r="AQ90" i="27"/>
  <c r="BG50" i="27" l="1"/>
  <c r="BK46" i="27"/>
  <c r="BI8" i="27"/>
  <c r="BB11" i="27"/>
  <c r="BI48" i="27"/>
  <c r="BB51" i="27"/>
  <c r="BI52" i="27"/>
  <c r="BD51" i="27"/>
  <c r="BJ51" i="27" s="1"/>
  <c r="BJ5" i="27"/>
  <c r="BG6" i="27"/>
  <c r="BJ10" i="27"/>
  <c r="BK9" i="27"/>
  <c r="BK45" i="27"/>
  <c r="BG47" i="27"/>
  <c r="BI50" i="27"/>
  <c r="BJ49" i="27"/>
  <c r="AZ51" i="27"/>
  <c r="BI45" i="27"/>
  <c r="BG45" i="27"/>
  <c r="BK6" i="27"/>
  <c r="BG10" i="27"/>
  <c r="BI6" i="27"/>
  <c r="BG8" i="27"/>
  <c r="BI12" i="27"/>
  <c r="BD11" i="27"/>
  <c r="BJ11" i="27" s="1"/>
  <c r="BI5" i="27"/>
  <c r="BG5" i="27"/>
  <c r="AZ11" i="27"/>
  <c r="BJ6" i="27"/>
  <c r="BG9" i="27"/>
  <c r="BJ45" i="27"/>
  <c r="BG46" i="27"/>
  <c r="BJ46" i="27"/>
  <c r="BG49" i="27"/>
  <c r="BJ50" i="27"/>
  <c r="BK49" i="27"/>
  <c r="BG48" i="27"/>
  <c r="BI46" i="27"/>
  <c r="BJ9" i="27"/>
  <c r="BI10" i="27"/>
  <c r="BK5" i="27"/>
  <c r="BG7" i="27"/>
  <c r="V1164" i="31"/>
  <c r="AK1164" i="31"/>
  <c r="X1164" i="31"/>
  <c r="V428" i="31"/>
  <c r="X314" i="31"/>
  <c r="AK942" i="31"/>
  <c r="W945" i="31"/>
  <c r="W209" i="31"/>
  <c r="W1053" i="31"/>
  <c r="X206" i="31"/>
  <c r="AK1050" i="31"/>
  <c r="W371" i="31"/>
  <c r="AK368" i="31"/>
  <c r="V206" i="31"/>
  <c r="AK552" i="31"/>
  <c r="Q75" i="35"/>
  <c r="R77" i="35" s="1"/>
  <c r="AT45" i="35"/>
  <c r="AU53" i="35" s="1"/>
  <c r="AF53" i="35"/>
  <c r="Q57" i="35"/>
  <c r="AB55" i="35"/>
  <c r="Q54" i="35"/>
  <c r="R53" i="35"/>
  <c r="S53" i="35" s="1"/>
  <c r="T53" i="35" s="1"/>
  <c r="U53" i="35" s="1"/>
  <c r="V53" i="35" s="1"/>
  <c r="W53" i="35" s="1"/>
  <c r="X53" i="35" s="1"/>
  <c r="Z55" i="35"/>
  <c r="AB53" i="35"/>
  <c r="S55" i="35"/>
  <c r="U55" i="35"/>
  <c r="Q56" i="35"/>
  <c r="W55" i="35"/>
  <c r="AB54" i="35"/>
  <c r="Q55" i="35"/>
  <c r="R55" i="35"/>
  <c r="AA55" i="35"/>
  <c r="Z57" i="35"/>
  <c r="T55" i="35"/>
  <c r="X55" i="35"/>
  <c r="T54" i="35"/>
  <c r="V55" i="35"/>
  <c r="Z56" i="35"/>
  <c r="Y55" i="35"/>
  <c r="Z76" i="30"/>
  <c r="H74" i="30"/>
  <c r="F76" i="30"/>
  <c r="I72" i="30" s="1"/>
  <c r="AE69" i="30"/>
  <c r="AD74" i="30"/>
  <c r="AB76" i="30"/>
  <c r="AE72" i="30" s="1"/>
  <c r="H70" i="30"/>
  <c r="D76" i="30"/>
  <c r="I71" i="30"/>
  <c r="I69" i="30"/>
  <c r="T74" i="30"/>
  <c r="Q76" i="30"/>
  <c r="T72" i="30" s="1"/>
  <c r="S70" i="30"/>
  <c r="O76" i="30"/>
  <c r="T71" i="30"/>
  <c r="T69" i="30"/>
  <c r="AO5" i="30"/>
  <c r="AK11" i="30"/>
  <c r="AP4" i="30" s="1"/>
  <c r="AO9" i="30"/>
  <c r="AM11" i="30"/>
  <c r="AP7" i="30" s="1"/>
  <c r="AJ35" i="30"/>
  <c r="AM32" i="30"/>
  <c r="AO33" i="30" s="1"/>
  <c r="AJ40" i="30"/>
  <c r="AK28" i="30"/>
  <c r="AJ36" i="30"/>
  <c r="AM30" i="30"/>
  <c r="AQ32" i="30" s="1"/>
  <c r="AL41" i="30"/>
  <c r="AM29" i="30"/>
  <c r="AP32" i="30" s="1"/>
  <c r="AL40" i="30"/>
  <c r="AK32" i="30"/>
  <c r="AO29" i="30" s="1"/>
  <c r="AL36" i="30"/>
  <c r="AK31" i="30"/>
  <c r="AQ29" i="30" s="1"/>
  <c r="AM31" i="30"/>
  <c r="AQ33" i="30" s="1"/>
  <c r="AK33" i="30"/>
  <c r="AK29" i="30"/>
  <c r="AP28" i="30" s="1"/>
  <c r="AK30" i="30"/>
  <c r="AQ28" i="30" s="1"/>
  <c r="AL39" i="30"/>
  <c r="AM28" i="30"/>
  <c r="AL35" i="30"/>
  <c r="AJ41" i="30"/>
  <c r="AJ39" i="30"/>
  <c r="AI38" i="30"/>
  <c r="AM33" i="30"/>
  <c r="AP33" i="30" s="1"/>
  <c r="AO59" i="30"/>
  <c r="AQ66" i="30"/>
  <c r="W647" i="31"/>
  <c r="V644" i="31"/>
  <c r="X724" i="31"/>
  <c r="V590" i="31"/>
  <c r="AK590" i="31"/>
  <c r="AK536" i="31"/>
  <c r="V482" i="31"/>
  <c r="X980" i="31"/>
  <c r="X532" i="31"/>
  <c r="W589" i="31"/>
  <c r="V1034" i="31"/>
  <c r="AK644" i="31"/>
  <c r="W593" i="31"/>
  <c r="X586" i="31"/>
  <c r="V586" i="31"/>
  <c r="AK946" i="31"/>
  <c r="X260" i="31"/>
  <c r="AK1252" i="31"/>
  <c r="AK482" i="31"/>
  <c r="AC171" i="27"/>
  <c r="X170" i="27"/>
  <c r="AD170" i="27" s="1"/>
  <c r="AC167" i="27"/>
  <c r="V170" i="27"/>
  <c r="AD164" i="27"/>
  <c r="AA165" i="27"/>
  <c r="BJ85" i="27"/>
  <c r="BG88" i="27"/>
  <c r="BI91" i="27"/>
  <c r="BD90" i="27"/>
  <c r="BJ90" i="27" s="1"/>
  <c r="BK84" i="27"/>
  <c r="BG86" i="27"/>
  <c r="AU124" i="27"/>
  <c r="AQ126" i="27"/>
  <c r="AT169" i="27"/>
  <c r="AU168" i="27"/>
  <c r="AS165" i="27"/>
  <c r="AQ167" i="27"/>
  <c r="AU165" i="27"/>
  <c r="AQ169" i="27"/>
  <c r="AC125" i="27"/>
  <c r="AA127" i="27"/>
  <c r="AD129" i="27"/>
  <c r="AE128" i="27"/>
  <c r="AC127" i="27"/>
  <c r="V130" i="27"/>
  <c r="AD165" i="27"/>
  <c r="AA168" i="27"/>
  <c r="AC165" i="27"/>
  <c r="AA167" i="27"/>
  <c r="BI84" i="27"/>
  <c r="BG84" i="27"/>
  <c r="AZ90" i="27"/>
  <c r="AS127" i="27"/>
  <c r="AL130" i="27"/>
  <c r="AS125" i="27"/>
  <c r="AQ127" i="27"/>
  <c r="AS124" i="27"/>
  <c r="AJ130" i="27"/>
  <c r="AQ124" i="27"/>
  <c r="AT128" i="27"/>
  <c r="AS129" i="27"/>
  <c r="AQ168" i="27"/>
  <c r="AS169" i="27"/>
  <c r="AT168" i="27"/>
  <c r="AQ166" i="27"/>
  <c r="AU164" i="27"/>
  <c r="AQ165" i="27"/>
  <c r="AT171" i="27"/>
  <c r="BO4" i="27"/>
  <c r="BN3" i="27"/>
  <c r="BN2" i="27"/>
  <c r="BO6" i="27"/>
  <c r="BO5" i="27"/>
  <c r="AD125" i="27"/>
  <c r="AA128" i="27"/>
  <c r="AC131" i="27"/>
  <c r="X130" i="27"/>
  <c r="AD130" i="27" s="1"/>
  <c r="AC124" i="27"/>
  <c r="AA124" i="27"/>
  <c r="T130" i="27"/>
  <c r="AE125" i="27"/>
  <c r="AA129" i="27"/>
  <c r="X482" i="31"/>
  <c r="W1033" i="31"/>
  <c r="V148" i="31"/>
  <c r="AD169" i="27"/>
  <c r="AE168" i="27"/>
  <c r="AE165" i="27"/>
  <c r="AA169" i="27"/>
  <c r="AC169" i="27"/>
  <c r="AD168" i="27"/>
  <c r="BI87" i="27"/>
  <c r="BB90" i="27"/>
  <c r="BJ89" i="27"/>
  <c r="BK88" i="27"/>
  <c r="BI85" i="27"/>
  <c r="BG87" i="27"/>
  <c r="AT125" i="27"/>
  <c r="AQ128" i="27"/>
  <c r="BA176" i="27"/>
  <c r="AY175" i="27"/>
  <c r="AZ165" i="27"/>
  <c r="BF161" i="27"/>
  <c r="AY172" i="27"/>
  <c r="BC174" i="27"/>
  <c r="BB168" i="27"/>
  <c r="BD168" i="27"/>
  <c r="BJ172" i="27" s="1"/>
  <c r="BE175" i="27"/>
  <c r="BI177" i="27" s="1"/>
  <c r="BD167" i="27"/>
  <c r="BI172" i="27" s="1"/>
  <c r="BA174" i="27"/>
  <c r="BA172" i="27"/>
  <c r="BB166" i="27"/>
  <c r="BK167" i="27" s="1"/>
  <c r="AZ169" i="27"/>
  <c r="BD166" i="27"/>
  <c r="BK171" i="27" s="1"/>
  <c r="BC176" i="27"/>
  <c r="AY171" i="27"/>
  <c r="AZ166" i="27"/>
  <c r="BB164" i="27"/>
  <c r="BC172" i="27"/>
  <c r="BD165" i="27"/>
  <c r="BJ171" i="27" s="1"/>
  <c r="BC177" i="27"/>
  <c r="BD164" i="27"/>
  <c r="BA173" i="27"/>
  <c r="AZ164" i="27"/>
  <c r="BC175" i="27"/>
  <c r="AZ167" i="27"/>
  <c r="BB165" i="27"/>
  <c r="BJ167" i="27" s="1"/>
  <c r="AY176" i="27"/>
  <c r="BC173" i="27"/>
  <c r="BD169" i="27"/>
  <c r="AY177" i="27"/>
  <c r="AZ168" i="27"/>
  <c r="BA177" i="27"/>
  <c r="AY174" i="27"/>
  <c r="AY173" i="27"/>
  <c r="BA175" i="27"/>
  <c r="BB167" i="27"/>
  <c r="BI168" i="27" s="1"/>
  <c r="BB169" i="27"/>
  <c r="AS167" i="27"/>
  <c r="AL170" i="27"/>
  <c r="AS171" i="27"/>
  <c r="AN170" i="27"/>
  <c r="AT170" i="27" s="1"/>
  <c r="AC129" i="27"/>
  <c r="AD128" i="27"/>
  <c r="AA126" i="27"/>
  <c r="AE124" i="27"/>
  <c r="AD124" i="27"/>
  <c r="AA125" i="27"/>
  <c r="AE164" i="27"/>
  <c r="AA166" i="27"/>
  <c r="AC164" i="27"/>
  <c r="AA164" i="27"/>
  <c r="T170" i="27"/>
  <c r="BI89" i="27"/>
  <c r="BJ88" i="27"/>
  <c r="BK85" i="27"/>
  <c r="BG89" i="27"/>
  <c r="BJ84" i="27"/>
  <c r="BG85" i="27"/>
  <c r="AU125" i="27"/>
  <c r="AQ129" i="27"/>
  <c r="AS131" i="27"/>
  <c r="AN130" i="27"/>
  <c r="AT130" i="27" s="1"/>
  <c r="AT124" i="27"/>
  <c r="AQ125" i="27"/>
  <c r="AU128" i="27"/>
  <c r="AT129" i="27"/>
  <c r="BB126" i="27"/>
  <c r="BK127" i="27" s="1"/>
  <c r="AY136" i="27"/>
  <c r="AZ126" i="27"/>
  <c r="AZ128" i="27"/>
  <c r="AY132" i="27"/>
  <c r="BB124" i="27"/>
  <c r="BA136" i="27"/>
  <c r="AZ125" i="27"/>
  <c r="BD125" i="27"/>
  <c r="BJ131" i="27" s="1"/>
  <c r="AZ124" i="27"/>
  <c r="BC132" i="27"/>
  <c r="BA137" i="27"/>
  <c r="AZ127" i="27"/>
  <c r="BC135" i="27"/>
  <c r="BA134" i="27"/>
  <c r="BB128" i="27"/>
  <c r="AY135" i="27"/>
  <c r="BC134" i="27"/>
  <c r="BF121" i="27"/>
  <c r="BD129" i="27"/>
  <c r="BC136" i="27"/>
  <c r="BD124" i="27"/>
  <c r="BD126" i="27"/>
  <c r="BK131" i="27" s="1"/>
  <c r="AY137" i="27"/>
  <c r="BB129" i="27"/>
  <c r="AY131" i="27"/>
  <c r="BE135" i="27"/>
  <c r="BI137" i="27" s="1"/>
  <c r="BA132" i="27"/>
  <c r="BC137" i="27"/>
  <c r="BD128" i="27"/>
  <c r="BJ132" i="27" s="1"/>
  <c r="BA133" i="27"/>
  <c r="BC133" i="27"/>
  <c r="BB125" i="27"/>
  <c r="BJ127" i="27" s="1"/>
  <c r="AZ129" i="27"/>
  <c r="BB127" i="27"/>
  <c r="BI128" i="27" s="1"/>
  <c r="BD127" i="27"/>
  <c r="BI132" i="27" s="1"/>
  <c r="AY134" i="27"/>
  <c r="AY133" i="27"/>
  <c r="BA135" i="27"/>
  <c r="AS164" i="27"/>
  <c r="AQ164" i="27"/>
  <c r="AJ170" i="27"/>
  <c r="W535" i="31"/>
  <c r="W1363" i="31"/>
  <c r="AK1030" i="31"/>
  <c r="V640" i="31"/>
  <c r="V1360" i="31"/>
  <c r="AK754" i="31"/>
  <c r="X754" i="31"/>
  <c r="AK1084" i="31"/>
  <c r="V754" i="31"/>
  <c r="X1084" i="31"/>
  <c r="AK1034" i="31"/>
  <c r="V536" i="31"/>
  <c r="AK260" i="31"/>
  <c r="V1030" i="31"/>
  <c r="W895" i="31"/>
  <c r="AK364" i="31"/>
  <c r="X364" i="31"/>
  <c r="W67" i="31"/>
  <c r="W263" i="31"/>
  <c r="V1084" i="31"/>
  <c r="X1034" i="31"/>
  <c r="X536" i="31"/>
  <c r="AK1272" i="31"/>
  <c r="AK1360" i="31"/>
  <c r="V812" i="31"/>
  <c r="W151" i="31"/>
  <c r="V364" i="31"/>
  <c r="AK148" i="31"/>
  <c r="X256" i="31"/>
  <c r="X152" i="31"/>
  <c r="V1088" i="31"/>
  <c r="W723" i="31"/>
  <c r="AK720" i="31"/>
  <c r="W979" i="31"/>
  <c r="V310" i="31"/>
  <c r="AK808" i="31"/>
  <c r="W313" i="31"/>
  <c r="AK310" i="31"/>
  <c r="AK532" i="31"/>
  <c r="W1117" i="31"/>
  <c r="Q97" i="35"/>
  <c r="AE89" i="35"/>
  <c r="AT67" i="35"/>
  <c r="AU75" i="35" s="1"/>
  <c r="AF75" i="35"/>
  <c r="H99" i="35"/>
  <c r="K101" i="35"/>
  <c r="E99" i="35"/>
  <c r="J99" i="35"/>
  <c r="G99" i="35"/>
  <c r="F99" i="35"/>
  <c r="D99" i="35"/>
  <c r="E98" i="35"/>
  <c r="L99" i="35"/>
  <c r="I99" i="35"/>
  <c r="K100" i="35"/>
  <c r="B99" i="35"/>
  <c r="C99" i="35"/>
  <c r="M99" i="35"/>
  <c r="M97" i="35"/>
  <c r="M98" i="35"/>
  <c r="C97" i="35"/>
  <c r="D97" i="35" s="1"/>
  <c r="E97" i="35" s="1"/>
  <c r="F97" i="35" s="1"/>
  <c r="G97" i="35" s="1"/>
  <c r="H97" i="35" s="1"/>
  <c r="I97" i="35" s="1"/>
  <c r="B98" i="35"/>
  <c r="K99" i="35"/>
  <c r="B100" i="35"/>
  <c r="B101" i="35"/>
  <c r="T76" i="35"/>
  <c r="Z77" i="35"/>
  <c r="AB76" i="35"/>
  <c r="AB77" i="35"/>
  <c r="W77" i="35"/>
  <c r="W1309" i="31"/>
  <c r="AK758" i="31"/>
  <c r="AK704" i="31"/>
  <c r="V976" i="31"/>
  <c r="AK286" i="31"/>
  <c r="X1104" i="31"/>
  <c r="AK976" i="31"/>
  <c r="X126" i="31"/>
  <c r="V720" i="31"/>
  <c r="W811" i="31"/>
  <c r="V808" i="31"/>
  <c r="W983" i="31"/>
  <c r="X202" i="31"/>
  <c r="X1192" i="31"/>
  <c r="V202" i="31"/>
  <c r="AK980" i="31"/>
  <c r="W205" i="31"/>
  <c r="X1114" i="31"/>
  <c r="V1114" i="31"/>
  <c r="X828" i="31"/>
  <c r="AK828" i="31"/>
  <c r="AK152" i="31"/>
  <c r="W1091" i="31"/>
  <c r="X1306" i="31"/>
  <c r="AK126" i="31"/>
  <c r="V126" i="31"/>
  <c r="V152" i="31"/>
  <c r="W1275" i="31"/>
  <c r="AK1088" i="31"/>
  <c r="AK640" i="31"/>
  <c r="AK1306" i="31"/>
  <c r="X286" i="31"/>
  <c r="W643" i="31"/>
  <c r="W1107" i="31"/>
  <c r="W831" i="31"/>
  <c r="X758" i="31"/>
  <c r="W707" i="31"/>
  <c r="W761" i="31"/>
  <c r="V704" i="31"/>
  <c r="X92" i="31"/>
  <c r="AK1104" i="31"/>
  <c r="V1272" i="31"/>
  <c r="W427" i="31"/>
  <c r="X1142" i="31"/>
  <c r="W1145" i="31"/>
  <c r="W865" i="31"/>
  <c r="V862" i="31"/>
  <c r="X862" i="31"/>
  <c r="AK1142" i="31"/>
  <c r="X424" i="31"/>
  <c r="V424" i="31"/>
  <c r="W1225" i="31"/>
  <c r="V1192" i="31"/>
  <c r="X1252" i="31"/>
  <c r="W1255" i="31"/>
  <c r="V670" i="31"/>
  <c r="X1222" i="31"/>
  <c r="W949" i="31"/>
  <c r="AK724" i="31"/>
  <c r="X946" i="31"/>
  <c r="AK64" i="31"/>
  <c r="V64" i="31"/>
  <c r="V724" i="31"/>
  <c r="W815" i="31"/>
  <c r="X812" i="31"/>
  <c r="W289" i="31"/>
  <c r="V1222" i="31"/>
  <c r="W1195" i="31"/>
  <c r="AK502" i="31"/>
  <c r="V1080" i="31"/>
  <c r="W267" i="31"/>
  <c r="W869" i="31"/>
  <c r="W413" i="31"/>
  <c r="W919" i="31"/>
  <c r="AK916" i="31"/>
  <c r="V916" i="31"/>
  <c r="V1138" i="31"/>
  <c r="W861" i="31"/>
  <c r="AK256" i="31"/>
  <c r="X1256" i="31"/>
  <c r="AK88" i="31"/>
  <c r="V256" i="31"/>
  <c r="V88" i="31"/>
  <c r="X866" i="31"/>
  <c r="X1054" i="31"/>
  <c r="AK1054" i="31"/>
  <c r="AK1138" i="31"/>
  <c r="X1138" i="31"/>
  <c r="X920" i="31"/>
  <c r="W1333" i="31"/>
  <c r="X88" i="31"/>
  <c r="V736" i="31"/>
  <c r="AK378" i="31"/>
  <c r="W1057" i="31"/>
  <c r="X616" i="31"/>
  <c r="V1256" i="31"/>
  <c r="X1330" i="31"/>
  <c r="X528" i="31"/>
  <c r="V340" i="31"/>
  <c r="AK1256" i="31"/>
  <c r="V1276" i="31"/>
  <c r="V866" i="31"/>
  <c r="AK728" i="31"/>
  <c r="V920" i="31"/>
  <c r="W619" i="31"/>
  <c r="V394" i="31"/>
  <c r="X172" i="31"/>
  <c r="X340" i="31"/>
  <c r="AK92" i="31"/>
  <c r="W923" i="31"/>
  <c r="V1330" i="31"/>
  <c r="X460" i="31"/>
  <c r="V230" i="31"/>
  <c r="V92" i="31"/>
  <c r="X1318" i="31"/>
  <c r="W1199" i="31"/>
  <c r="W343" i="31"/>
  <c r="X502" i="31"/>
  <c r="W233" i="31"/>
  <c r="W1171" i="31"/>
  <c r="W1083" i="31"/>
  <c r="AK460" i="31"/>
  <c r="W505" i="31"/>
  <c r="AK230" i="31"/>
  <c r="W565" i="31"/>
  <c r="AK954" i="31"/>
  <c r="V1168" i="31"/>
  <c r="AK1168" i="31"/>
  <c r="W673" i="31"/>
  <c r="AK1080" i="31"/>
  <c r="W463" i="31"/>
  <c r="AK912" i="31"/>
  <c r="AK1172" i="31"/>
  <c r="V1196" i="31"/>
  <c r="W175" i="31"/>
  <c r="AK1276" i="31"/>
  <c r="W1279" i="31"/>
  <c r="X1196" i="31"/>
  <c r="V172" i="31"/>
  <c r="V1038" i="31"/>
  <c r="V1284" i="31"/>
  <c r="W121" i="31"/>
  <c r="V226" i="31"/>
  <c r="W443" i="31"/>
  <c r="X118" i="31"/>
  <c r="AK414" i="31"/>
  <c r="AK670" i="31"/>
  <c r="AK210" i="31"/>
  <c r="V414" i="31"/>
  <c r="W229" i="31"/>
  <c r="X226" i="31"/>
  <c r="V218" i="31"/>
  <c r="W213" i="31"/>
  <c r="V892" i="31"/>
  <c r="X210" i="31"/>
  <c r="W1375" i="31"/>
  <c r="X562" i="31"/>
  <c r="X410" i="31"/>
  <c r="V410" i="31"/>
  <c r="W1175" i="31"/>
  <c r="V516" i="31"/>
  <c r="AK892" i="31"/>
  <c r="W543" i="31"/>
  <c r="AK846" i="31"/>
  <c r="W1007" i="31"/>
  <c r="V1000" i="31"/>
  <c r="AK1000" i="31"/>
  <c r="V562" i="31"/>
  <c r="W639" i="31"/>
  <c r="AK778" i="31"/>
  <c r="W849" i="31"/>
  <c r="X838" i="31"/>
  <c r="X448" i="31"/>
  <c r="AK574" i="31"/>
  <c r="AK448" i="31"/>
  <c r="X1302" i="31"/>
  <c r="X778" i="31"/>
  <c r="X414" i="31"/>
  <c r="W781" i="31"/>
  <c r="W159" i="31"/>
  <c r="V138" i="31"/>
  <c r="W799" i="31"/>
  <c r="AK842" i="31"/>
  <c r="V1302" i="31"/>
  <c r="V838" i="31"/>
  <c r="V858" i="31"/>
  <c r="AK608" i="31"/>
  <c r="V842" i="31"/>
  <c r="X842" i="31"/>
  <c r="X728" i="31"/>
  <c r="AK1364" i="31"/>
  <c r="V440" i="31"/>
  <c r="W1287" i="31"/>
  <c r="AK516" i="31"/>
  <c r="X846" i="31"/>
  <c r="W577" i="31"/>
  <c r="AK394" i="31"/>
  <c r="X240" i="31"/>
  <c r="W1003" i="31"/>
  <c r="X858" i="31"/>
  <c r="V728" i="31"/>
  <c r="X1284" i="31"/>
  <c r="W519" i="31"/>
  <c r="AK528" i="31"/>
  <c r="X394" i="31"/>
  <c r="W141" i="31"/>
  <c r="AK838" i="31"/>
  <c r="X1364" i="31"/>
  <c r="AK138" i="31"/>
  <c r="AK1356" i="31"/>
  <c r="V528" i="31"/>
  <c r="V184" i="31"/>
  <c r="AK440" i="31"/>
  <c r="W435" i="31"/>
  <c r="AK432" i="31"/>
  <c r="V616" i="31"/>
  <c r="AK118" i="31"/>
  <c r="AK896" i="31"/>
  <c r="V448" i="31"/>
  <c r="V1242" i="31"/>
  <c r="V912" i="31"/>
  <c r="W957" i="31"/>
  <c r="X1100" i="31"/>
  <c r="W969" i="31"/>
  <c r="X912" i="31"/>
  <c r="X896" i="31"/>
  <c r="V954" i="31"/>
  <c r="W75" i="31"/>
  <c r="AS57" i="27"/>
  <c r="X494" i="31"/>
  <c r="X102" i="31"/>
  <c r="AK56" i="31"/>
  <c r="AK34" i="31"/>
  <c r="W41" i="31"/>
  <c r="AK452" i="31"/>
  <c r="V240" i="31"/>
  <c r="AK264" i="31"/>
  <c r="X122" i="31"/>
  <c r="W1121" i="31"/>
  <c r="V1356" i="31"/>
  <c r="W1359" i="31"/>
  <c r="W873" i="31"/>
  <c r="V540" i="31"/>
  <c r="V156" i="31"/>
  <c r="AK870" i="31"/>
  <c r="W1271" i="31"/>
  <c r="AK240" i="31"/>
  <c r="V1118" i="31"/>
  <c r="X264" i="31"/>
  <c r="X540" i="31"/>
  <c r="X156" i="31"/>
  <c r="V870" i="31"/>
  <c r="X804" i="31"/>
  <c r="V574" i="31"/>
  <c r="W899" i="31"/>
  <c r="X474" i="31"/>
  <c r="AK1118" i="31"/>
  <c r="V432" i="31"/>
  <c r="AK792" i="31"/>
  <c r="X80" i="31"/>
  <c r="W611" i="31"/>
  <c r="AK102" i="31"/>
  <c r="W933" i="31"/>
  <c r="X184" i="31"/>
  <c r="V624" i="31"/>
  <c r="V1230" i="31"/>
  <c r="W795" i="31"/>
  <c r="X992" i="31"/>
  <c r="X608" i="31"/>
  <c r="W1015" i="31"/>
  <c r="V884" i="31"/>
  <c r="V102" i="31"/>
  <c r="AK1206" i="31"/>
  <c r="AK184" i="31"/>
  <c r="W167" i="31"/>
  <c r="W49" i="31"/>
  <c r="X716" i="31"/>
  <c r="X302" i="31"/>
  <c r="X72" i="31"/>
  <c r="X1008" i="31"/>
  <c r="AK1008" i="31"/>
  <c r="V908" i="31"/>
  <c r="X38" i="31"/>
  <c r="X306" i="31"/>
  <c r="X966" i="31"/>
  <c r="V620" i="31"/>
  <c r="V1334" i="31"/>
  <c r="W255" i="31"/>
  <c r="AK930" i="31"/>
  <c r="W381" i="31"/>
  <c r="W183" i="31"/>
  <c r="W1011" i="31"/>
  <c r="AC57" i="27"/>
  <c r="AK38" i="31"/>
  <c r="X682" i="31"/>
  <c r="V1058" i="31"/>
  <c r="X770" i="31"/>
  <c r="V966" i="31"/>
  <c r="W1337" i="31"/>
  <c r="X1188" i="31"/>
  <c r="W623" i="31"/>
  <c r="X736" i="31"/>
  <c r="AK198" i="31"/>
  <c r="X930" i="31"/>
  <c r="V378" i="31"/>
  <c r="AK252" i="31"/>
  <c r="V180" i="31"/>
  <c r="AK180" i="31"/>
  <c r="V792" i="31"/>
  <c r="V14" i="31"/>
  <c r="V306" i="31"/>
  <c r="X1334" i="31"/>
  <c r="V252" i="31"/>
  <c r="W739" i="31"/>
  <c r="W703" i="31"/>
  <c r="X544" i="31"/>
  <c r="AK1226" i="31"/>
  <c r="AK72" i="31"/>
  <c r="V1364" i="31"/>
  <c r="AK1318" i="31"/>
  <c r="X884" i="31"/>
  <c r="AK474" i="31"/>
  <c r="X198" i="31"/>
  <c r="X1038" i="31"/>
  <c r="AK624" i="31"/>
  <c r="AK700" i="31"/>
  <c r="X34" i="31"/>
  <c r="V290" i="31"/>
  <c r="W807" i="31"/>
  <c r="V398" i="31"/>
  <c r="V34" i="31"/>
  <c r="AK1184" i="31"/>
  <c r="AK992" i="31"/>
  <c r="X950" i="31"/>
  <c r="V1100" i="31"/>
  <c r="AK804" i="31"/>
  <c r="V1318" i="31"/>
  <c r="AK884" i="31"/>
  <c r="X84" i="31"/>
  <c r="W477" i="31"/>
  <c r="X1172" i="31"/>
  <c r="W201" i="31"/>
  <c r="W1041" i="31"/>
  <c r="W627" i="31"/>
  <c r="V456" i="31"/>
  <c r="X700" i="31"/>
  <c r="V992" i="31"/>
  <c r="W1103" i="31"/>
  <c r="V1026" i="31"/>
  <c r="AK1150" i="31"/>
  <c r="AK1092" i="31"/>
  <c r="AK194" i="31"/>
  <c r="AK1310" i="31"/>
  <c r="W459" i="31"/>
  <c r="W911" i="31"/>
  <c r="X1184" i="31"/>
  <c r="W17" i="31"/>
  <c r="AK290" i="31"/>
  <c r="W953" i="31"/>
  <c r="V636" i="31"/>
  <c r="AK1026" i="31"/>
  <c r="AK398" i="31"/>
  <c r="X1150" i="31"/>
  <c r="V298" i="31"/>
  <c r="AK824" i="31"/>
  <c r="W1245" i="31"/>
  <c r="V344" i="31"/>
  <c r="W59" i="31"/>
  <c r="X456" i="31"/>
  <c r="W1313" i="31"/>
  <c r="V1004" i="31"/>
  <c r="X1004" i="31"/>
  <c r="X908" i="31"/>
  <c r="V1184" i="31"/>
  <c r="AC96" i="27"/>
  <c r="X14" i="31"/>
  <c r="X290" i="31"/>
  <c r="V950" i="31"/>
  <c r="X636" i="31"/>
  <c r="X1026" i="31"/>
  <c r="W401" i="31"/>
  <c r="W1153" i="31"/>
  <c r="X904" i="31"/>
  <c r="W347" i="31"/>
  <c r="AK1242" i="31"/>
  <c r="AK84" i="31"/>
  <c r="V506" i="31"/>
  <c r="V56" i="31"/>
  <c r="W221" i="31"/>
  <c r="X218" i="31"/>
  <c r="W405" i="31"/>
  <c r="X402" i="31"/>
  <c r="AK402" i="31"/>
  <c r="V352" i="31"/>
  <c r="AK344" i="31"/>
  <c r="W753" i="31"/>
  <c r="W657" i="31"/>
  <c r="V80" i="31"/>
  <c r="AK80" i="31"/>
  <c r="V1310" i="31"/>
  <c r="W71" i="31"/>
  <c r="AK506" i="31"/>
  <c r="V1226" i="31"/>
  <c r="V84" i="31"/>
  <c r="V272" i="31"/>
  <c r="W275" i="31"/>
  <c r="X272" i="31"/>
  <c r="AK272" i="31"/>
  <c r="AK678" i="31"/>
  <c r="W681" i="31"/>
  <c r="X678" i="31"/>
  <c r="V678" i="31"/>
  <c r="V76" i="31"/>
  <c r="X76" i="31"/>
  <c r="W79" i="31"/>
  <c r="AK76" i="31"/>
  <c r="AK348" i="31"/>
  <c r="X348" i="31"/>
  <c r="V348" i="31"/>
  <c r="W351" i="31"/>
  <c r="X130" i="31"/>
  <c r="V130" i="31"/>
  <c r="W133" i="31"/>
  <c r="AK130" i="31"/>
  <c r="W455" i="31"/>
  <c r="AK1268" i="31"/>
  <c r="AK1058" i="31"/>
  <c r="W355" i="31"/>
  <c r="AK122" i="31"/>
  <c r="AK1372" i="31"/>
  <c r="V1092" i="31"/>
  <c r="AK1230" i="31"/>
  <c r="X164" i="31"/>
  <c r="V452" i="31"/>
  <c r="X1268" i="31"/>
  <c r="X1058" i="31"/>
  <c r="AK352" i="31"/>
  <c r="W125" i="31"/>
  <c r="X1372" i="31"/>
  <c r="X1092" i="31"/>
  <c r="X1230" i="31"/>
  <c r="AK164" i="31"/>
  <c r="AK356" i="31"/>
  <c r="X356" i="31"/>
  <c r="V356" i="31"/>
  <c r="W359" i="31"/>
  <c r="AK1376" i="31"/>
  <c r="V1376" i="31"/>
  <c r="X1376" i="31"/>
  <c r="W1379" i="31"/>
  <c r="X244" i="31"/>
  <c r="X160" i="31"/>
  <c r="AK1134" i="31"/>
  <c r="V360" i="31"/>
  <c r="W363" i="31"/>
  <c r="AK360" i="31"/>
  <c r="X268" i="31"/>
  <c r="X506" i="31"/>
  <c r="V1134" i="31"/>
  <c r="X570" i="31"/>
  <c r="V570" i="31"/>
  <c r="AK570" i="31"/>
  <c r="W1305" i="31"/>
  <c r="X654" i="31"/>
  <c r="V654" i="31"/>
  <c r="V110" i="31"/>
  <c r="W113" i="31"/>
  <c r="W903" i="31"/>
  <c r="X900" i="31"/>
  <c r="AK900" i="31"/>
  <c r="V900" i="31"/>
  <c r="V68" i="31"/>
  <c r="AK160" i="31"/>
  <c r="W309" i="31"/>
  <c r="W1209" i="31"/>
  <c r="AK110" i="31"/>
  <c r="W1125" i="31"/>
  <c r="V1122" i="31"/>
  <c r="X1122" i="31"/>
  <c r="AK1122" i="31"/>
  <c r="W163" i="31"/>
  <c r="AK566" i="31"/>
  <c r="X750" i="31"/>
  <c r="V1206" i="31"/>
  <c r="X194" i="31"/>
  <c r="V302" i="31"/>
  <c r="W581" i="31"/>
  <c r="AK578" i="31"/>
  <c r="X578" i="31"/>
  <c r="V578" i="31"/>
  <c r="W389" i="31"/>
  <c r="AK386" i="31"/>
  <c r="V386" i="31"/>
  <c r="X386" i="31"/>
  <c r="X1126" i="31"/>
  <c r="W247" i="31"/>
  <c r="AK322" i="31"/>
  <c r="W877" i="31"/>
  <c r="X1134" i="31"/>
  <c r="AK1188" i="31"/>
  <c r="X46" i="31"/>
  <c r="V1126" i="31"/>
  <c r="V712" i="31"/>
  <c r="X582" i="31"/>
  <c r="X1226" i="31"/>
  <c r="V194" i="31"/>
  <c r="W305" i="31"/>
  <c r="V732" i="31"/>
  <c r="AK732" i="31"/>
  <c r="X732" i="31"/>
  <c r="W735" i="31"/>
  <c r="AK294" i="31"/>
  <c r="W297" i="31"/>
  <c r="X294" i="31"/>
  <c r="V294" i="31"/>
  <c r="W1283" i="31"/>
  <c r="V566" i="31"/>
  <c r="W1071" i="31"/>
  <c r="AK1068" i="31"/>
  <c r="X1068" i="31"/>
  <c r="V1068" i="31"/>
  <c r="X1344" i="31"/>
  <c r="W1347" i="31"/>
  <c r="AK1344" i="31"/>
  <c r="V1344" i="31"/>
  <c r="V1176" i="31"/>
  <c r="W1179" i="31"/>
  <c r="X1176" i="31"/>
  <c r="AK1176" i="31"/>
  <c r="X332" i="31"/>
  <c r="W335" i="31"/>
  <c r="AK332" i="31"/>
  <c r="V332" i="31"/>
  <c r="V762" i="31"/>
  <c r="W765" i="31"/>
  <c r="AK762" i="31"/>
  <c r="X762" i="31"/>
  <c r="X470" i="31"/>
  <c r="AK470" i="31"/>
  <c r="W473" i="31"/>
  <c r="V470" i="31"/>
  <c r="X984" i="31"/>
  <c r="AK984" i="31"/>
  <c r="W987" i="31"/>
  <c r="V984" i="31"/>
  <c r="X134" i="31"/>
  <c r="V134" i="31"/>
  <c r="W137" i="31"/>
  <c r="AK134" i="31"/>
  <c r="X594" i="31"/>
  <c r="W597" i="31"/>
  <c r="AK594" i="31"/>
  <c r="V594" i="31"/>
  <c r="AK1126" i="31"/>
  <c r="AK244" i="31"/>
  <c r="AK268" i="31"/>
  <c r="V1280" i="31"/>
  <c r="V582" i="31"/>
  <c r="AK620" i="31"/>
  <c r="W569" i="31"/>
  <c r="V750" i="31"/>
  <c r="V1188" i="31"/>
  <c r="V1368" i="31"/>
  <c r="W1371" i="31"/>
  <c r="X1368" i="31"/>
  <c r="AK1368" i="31"/>
  <c r="V486" i="31"/>
  <c r="W489" i="31"/>
  <c r="AK486" i="31"/>
  <c r="X486" i="31"/>
  <c r="AK816" i="31"/>
  <c r="V816" i="31"/>
  <c r="W819" i="31"/>
  <c r="X816" i="31"/>
  <c r="W271" i="31"/>
  <c r="X1280" i="31"/>
  <c r="W585" i="31"/>
  <c r="V1260" i="31"/>
  <c r="AK1260" i="31"/>
  <c r="X1260" i="31"/>
  <c r="W1263" i="31"/>
  <c r="V318" i="31"/>
  <c r="AK318" i="31"/>
  <c r="W321" i="31"/>
  <c r="X318" i="31"/>
  <c r="W1317" i="31"/>
  <c r="X1314" i="31"/>
  <c r="V1314" i="31"/>
  <c r="AK1314" i="31"/>
  <c r="AK1146" i="31"/>
  <c r="X1146" i="31"/>
  <c r="W1149" i="31"/>
  <c r="V1146" i="31"/>
  <c r="AK708" i="31"/>
  <c r="V708" i="31"/>
  <c r="W711" i="31"/>
  <c r="X708" i="31"/>
  <c r="X68" i="31"/>
  <c r="W785" i="31"/>
  <c r="V770" i="31"/>
  <c r="W773" i="31"/>
  <c r="AK632" i="31"/>
  <c r="X632" i="31"/>
  <c r="W635" i="31"/>
  <c r="V632" i="31"/>
  <c r="X686" i="31"/>
  <c r="W689" i="31"/>
  <c r="V686" i="31"/>
  <c r="AK686" i="31"/>
  <c r="V716" i="31"/>
  <c r="AK716" i="31"/>
  <c r="V248" i="31"/>
  <c r="W251" i="31"/>
  <c r="AK248" i="31"/>
  <c r="X248" i="31"/>
  <c r="AK46" i="31"/>
  <c r="W749" i="31"/>
  <c r="X746" i="31"/>
  <c r="AK746" i="31"/>
  <c r="V746" i="31"/>
  <c r="W1049" i="31"/>
  <c r="X1046" i="31"/>
  <c r="V1046" i="31"/>
  <c r="AK1046" i="31"/>
  <c r="AK524" i="31"/>
  <c r="X524" i="31"/>
  <c r="V524" i="31"/>
  <c r="W527" i="31"/>
  <c r="X176" i="31"/>
  <c r="W179" i="31"/>
  <c r="V176" i="31"/>
  <c r="AK176" i="31"/>
  <c r="V796" i="31"/>
  <c r="X1012" i="31"/>
  <c r="W497" i="31"/>
  <c r="W547" i="31"/>
  <c r="V782" i="31"/>
  <c r="W693" i="31"/>
  <c r="X690" i="31"/>
  <c r="AK690" i="31"/>
  <c r="V690" i="31"/>
  <c r="AK796" i="31"/>
  <c r="V1012" i="31"/>
  <c r="AK494" i="31"/>
  <c r="V544" i="31"/>
  <c r="X782" i="31"/>
  <c r="W685" i="31"/>
  <c r="V682" i="31"/>
  <c r="X1096" i="31"/>
  <c r="W1099" i="31"/>
  <c r="V1096" i="31"/>
  <c r="AK1096" i="31"/>
  <c r="V322" i="31"/>
  <c r="AK874" i="31"/>
  <c r="W715" i="31"/>
  <c r="X712" i="31"/>
  <c r="W325" i="31"/>
  <c r="V874" i="31"/>
  <c r="V674" i="31"/>
  <c r="W677" i="31"/>
  <c r="AK674" i="31"/>
  <c r="X674" i="31"/>
  <c r="X824" i="31"/>
  <c r="V824" i="31"/>
  <c r="X298" i="31"/>
  <c r="W301" i="31"/>
  <c r="V662" i="31"/>
  <c r="AK662" i="31"/>
  <c r="W665" i="31"/>
  <c r="X662" i="31"/>
  <c r="AK988" i="31"/>
  <c r="V988" i="31"/>
  <c r="W991" i="31"/>
  <c r="X988" i="31"/>
  <c r="X106" i="31"/>
  <c r="AK106" i="31"/>
  <c r="W109" i="31"/>
  <c r="V106" i="31"/>
  <c r="W937" i="31"/>
  <c r="V934" i="31"/>
  <c r="X934" i="31"/>
  <c r="AK934" i="31"/>
  <c r="W769" i="31"/>
  <c r="AK766" i="31"/>
  <c r="V766" i="31"/>
  <c r="X766" i="31"/>
  <c r="AK10" i="31"/>
  <c r="V436" i="31"/>
  <c r="AK436" i="31"/>
  <c r="X436" i="31"/>
  <c r="W439" i="31"/>
  <c r="AK1042" i="31"/>
  <c r="X1042" i="31"/>
  <c r="W1045" i="31"/>
  <c r="V1042" i="31"/>
  <c r="W601" i="31"/>
  <c r="X598" i="31"/>
  <c r="V598" i="31"/>
  <c r="AK598" i="31"/>
  <c r="X406" i="31"/>
  <c r="V406" i="31"/>
  <c r="AK406" i="31"/>
  <c r="W409" i="31"/>
  <c r="V26" i="31"/>
  <c r="AK490" i="31"/>
  <c r="W493" i="31"/>
  <c r="X490" i="31"/>
  <c r="V490" i="31"/>
  <c r="AK214" i="31"/>
  <c r="W217" i="31"/>
  <c r="X214" i="31"/>
  <c r="V214" i="31"/>
  <c r="W661" i="31"/>
  <c r="X658" i="31"/>
  <c r="V658" i="31"/>
  <c r="AK658" i="31"/>
  <c r="W29" i="31"/>
  <c r="AK820" i="31"/>
  <c r="V820" i="31"/>
  <c r="W823" i="31"/>
  <c r="X820" i="31"/>
  <c r="W385" i="31"/>
  <c r="AK382" i="31"/>
  <c r="V382" i="31"/>
  <c r="X382" i="31"/>
  <c r="AK904" i="31"/>
  <c r="W907" i="31"/>
  <c r="W853" i="31"/>
  <c r="AK850" i="31"/>
  <c r="V850" i="31"/>
  <c r="X850" i="31"/>
  <c r="AK520" i="31"/>
  <c r="W523" i="31"/>
  <c r="V520" i="31"/>
  <c r="X520" i="31"/>
  <c r="AK628" i="31"/>
  <c r="V628" i="31"/>
  <c r="X628" i="31"/>
  <c r="W631" i="31"/>
  <c r="W1267" i="31"/>
  <c r="X1264" i="31"/>
  <c r="V1264" i="31"/>
  <c r="AK1264" i="31"/>
  <c r="X1180" i="31"/>
  <c r="W1183" i="31"/>
  <c r="V1180" i="31"/>
  <c r="AK1180" i="31"/>
  <c r="V1380" i="31"/>
  <c r="W1383" i="31"/>
  <c r="X1380" i="31"/>
  <c r="AK1380" i="31"/>
  <c r="V10" i="31"/>
  <c r="X1348" i="31"/>
  <c r="AK1348" i="31"/>
  <c r="V1348" i="31"/>
  <c r="W1351" i="31"/>
  <c r="AK1288" i="31"/>
  <c r="W1291" i="31"/>
  <c r="X1288" i="31"/>
  <c r="V1288" i="31"/>
  <c r="W13" i="31"/>
  <c r="AK1210" i="31"/>
  <c r="W1213" i="31"/>
  <c r="X1210" i="31"/>
  <c r="V1210" i="31"/>
  <c r="X548" i="31"/>
  <c r="W551" i="31"/>
  <c r="V548" i="31"/>
  <c r="AK548" i="31"/>
  <c r="W1075" i="31"/>
  <c r="AK1072" i="31"/>
  <c r="V1072" i="31"/>
  <c r="X1072" i="31"/>
  <c r="X958" i="31"/>
  <c r="W961" i="31"/>
  <c r="V958" i="31"/>
  <c r="AK958" i="31"/>
  <c r="AK1234" i="31"/>
  <c r="V1234" i="31"/>
  <c r="X1234" i="31"/>
  <c r="W1237" i="31"/>
  <c r="X1322" i="31"/>
  <c r="AK1322" i="31"/>
  <c r="V1322" i="31"/>
  <c r="W1325" i="31"/>
  <c r="AK30" i="31"/>
  <c r="V30" i="31"/>
  <c r="X30" i="31"/>
  <c r="W33" i="31"/>
  <c r="X26" i="31"/>
  <c r="W1217" i="31"/>
  <c r="V1214" i="31"/>
  <c r="AK1214" i="31"/>
  <c r="X1214" i="31"/>
  <c r="X938" i="31"/>
  <c r="AK938" i="31"/>
  <c r="W941" i="31"/>
  <c r="V938" i="31"/>
  <c r="X1160" i="31"/>
  <c r="V1160" i="31"/>
  <c r="W1163" i="31"/>
  <c r="AK1160" i="31"/>
  <c r="M57" i="27"/>
  <c r="V962" i="31"/>
  <c r="AK962" i="31"/>
  <c r="X962" i="31"/>
  <c r="W965" i="31"/>
  <c r="AK1298" i="31"/>
  <c r="X1298" i="31"/>
  <c r="W1301" i="31"/>
  <c r="V1298" i="31"/>
  <c r="V1352" i="31"/>
  <c r="W1355" i="31"/>
  <c r="AK1352" i="31"/>
  <c r="X1352" i="31"/>
  <c r="AK42" i="31"/>
  <c r="V42" i="31"/>
  <c r="X42" i="31"/>
  <c r="W45" i="31"/>
  <c r="J171" i="27"/>
  <c r="M176" i="27"/>
  <c r="M17" i="27"/>
  <c r="AS17" i="27"/>
  <c r="AK854" i="31"/>
  <c r="W857" i="31"/>
  <c r="V854" i="31"/>
  <c r="X854" i="31"/>
  <c r="AK800" i="31"/>
  <c r="V800" i="31"/>
  <c r="W803" i="31"/>
  <c r="X800" i="31"/>
  <c r="M96" i="27"/>
  <c r="AK1130" i="31"/>
  <c r="W1133" i="31"/>
  <c r="X1130" i="31"/>
  <c r="V1130" i="31"/>
  <c r="X1238" i="31"/>
  <c r="AK1238" i="31"/>
  <c r="V1238" i="31"/>
  <c r="W1241" i="31"/>
  <c r="AS96" i="27"/>
  <c r="AK1022" i="31"/>
  <c r="W1025" i="31"/>
  <c r="X1022" i="31"/>
  <c r="V1022" i="31"/>
  <c r="X22" i="31"/>
  <c r="AK22" i="31"/>
  <c r="W25" i="31"/>
  <c r="V22" i="31"/>
  <c r="W1079" i="31"/>
  <c r="AK1076" i="31"/>
  <c r="X1076" i="31"/>
  <c r="V1076" i="31"/>
  <c r="AK18" i="31"/>
  <c r="X18" i="31"/>
  <c r="W21" i="31"/>
  <c r="V18" i="31"/>
  <c r="BG11" i="27" l="1"/>
  <c r="BI17" i="27" s="1"/>
  <c r="BG51" i="27"/>
  <c r="BI57" i="27" s="1"/>
  <c r="Z78" i="35"/>
  <c r="U77" i="35"/>
  <c r="V77" i="35"/>
  <c r="AA77" i="35"/>
  <c r="Q77" i="35"/>
  <c r="T77" i="35"/>
  <c r="S77" i="35"/>
  <c r="R75" i="35"/>
  <c r="S75" i="35" s="1"/>
  <c r="T75" i="35" s="1"/>
  <c r="U75" i="35" s="1"/>
  <c r="V75" i="35" s="1"/>
  <c r="W75" i="35" s="1"/>
  <c r="X75" i="35" s="1"/>
  <c r="Z79" i="35"/>
  <c r="Q76" i="35"/>
  <c r="Q79" i="35"/>
  <c r="Y77" i="35"/>
  <c r="X77" i="35"/>
  <c r="AB75" i="35"/>
  <c r="Q78" i="35"/>
  <c r="AO56" i="35"/>
  <c r="AG55" i="35"/>
  <c r="AO57" i="35"/>
  <c r="AO55" i="35"/>
  <c r="AN55" i="35"/>
  <c r="AQ55" i="35"/>
  <c r="AF54" i="35"/>
  <c r="AF55" i="35"/>
  <c r="AH55" i="35"/>
  <c r="AK55" i="35"/>
  <c r="AQ53" i="35"/>
  <c r="AJ55" i="35"/>
  <c r="AG53" i="35"/>
  <c r="AH53" i="35" s="1"/>
  <c r="AI53" i="35" s="1"/>
  <c r="AJ53" i="35" s="1"/>
  <c r="AK53" i="35" s="1"/>
  <c r="AL53" i="35" s="1"/>
  <c r="AM53" i="35" s="1"/>
  <c r="AM55" i="35"/>
  <c r="AP55" i="35"/>
  <c r="AL55" i="35"/>
  <c r="AQ54" i="35"/>
  <c r="AI54" i="35"/>
  <c r="AF56" i="35"/>
  <c r="AI55" i="35"/>
  <c r="AF57" i="35"/>
  <c r="AW55" i="35"/>
  <c r="AY55" i="35"/>
  <c r="BF53" i="35"/>
  <c r="BD55" i="35"/>
  <c r="AU55" i="35"/>
  <c r="BD56" i="35"/>
  <c r="AV53" i="35"/>
  <c r="AW53" i="35" s="1"/>
  <c r="AX53" i="35" s="1"/>
  <c r="AY53" i="35" s="1"/>
  <c r="AZ53" i="35" s="1"/>
  <c r="BA53" i="35" s="1"/>
  <c r="BB53" i="35" s="1"/>
  <c r="AU56" i="35"/>
  <c r="BE55" i="35"/>
  <c r="BC55" i="35"/>
  <c r="AU54" i="35"/>
  <c r="BF54" i="35"/>
  <c r="AU57" i="35"/>
  <c r="BB55" i="35"/>
  <c r="AV55" i="35"/>
  <c r="BF55" i="35"/>
  <c r="BD57" i="35"/>
  <c r="AX54" i="35"/>
  <c r="AX55" i="35"/>
  <c r="BA55" i="35"/>
  <c r="AZ55" i="35"/>
  <c r="AO32" i="30"/>
  <c r="AM34" i="30"/>
  <c r="AP30" i="30" s="1"/>
  <c r="AP27" i="30"/>
  <c r="AP29" i="30"/>
  <c r="AO28" i="30"/>
  <c r="AK34" i="30"/>
  <c r="AL60" i="30"/>
  <c r="AL56" i="30"/>
  <c r="AL62" i="30"/>
  <c r="AM53" i="30"/>
  <c r="AO54" i="30" s="1"/>
  <c r="AL61" i="30"/>
  <c r="AM52" i="30"/>
  <c r="AQ54" i="30" s="1"/>
  <c r="AJ60" i="30"/>
  <c r="AK50" i="30"/>
  <c r="AP49" i="30" s="1"/>
  <c r="AK52" i="30"/>
  <c r="AQ50" i="30" s="1"/>
  <c r="AJ56" i="30"/>
  <c r="AM51" i="30"/>
  <c r="AQ53" i="30" s="1"/>
  <c r="AM50" i="30"/>
  <c r="AP53" i="30" s="1"/>
  <c r="AK49" i="30"/>
  <c r="AL57" i="30"/>
  <c r="AI59" i="30"/>
  <c r="AM49" i="30"/>
  <c r="AJ61" i="30"/>
  <c r="AM54" i="30"/>
  <c r="AP54" i="30" s="1"/>
  <c r="AK51" i="30"/>
  <c r="AQ49" i="30" s="1"/>
  <c r="AJ62" i="30"/>
  <c r="AK54" i="30"/>
  <c r="AJ57" i="30"/>
  <c r="AK53" i="30"/>
  <c r="AO50" i="30" s="1"/>
  <c r="AO80" i="30"/>
  <c r="AQ87" i="30"/>
  <c r="AO101" i="30" s="1"/>
  <c r="AA130" i="27"/>
  <c r="AC136" i="27" s="1"/>
  <c r="AQ170" i="27"/>
  <c r="AS176" i="27" s="1"/>
  <c r="BK125" i="27"/>
  <c r="BG129" i="27"/>
  <c r="BD130" i="27"/>
  <c r="BJ130" i="27" s="1"/>
  <c r="BI131" i="27"/>
  <c r="AZ130" i="27"/>
  <c r="BJ123" i="27" s="1"/>
  <c r="BG124" i="27"/>
  <c r="BI124" i="27"/>
  <c r="BI127" i="27"/>
  <c r="BB130" i="27"/>
  <c r="BJ126" i="27" s="1"/>
  <c r="BO19" i="27"/>
  <c r="BO17" i="27"/>
  <c r="AD126" i="27" s="1"/>
  <c r="BO18" i="27"/>
  <c r="BO16" i="27"/>
  <c r="BJ129" i="27"/>
  <c r="BK128" i="27"/>
  <c r="BG127" i="27"/>
  <c r="BI125" i="27"/>
  <c r="AA170" i="27"/>
  <c r="BJ169" i="27"/>
  <c r="BK168" i="27"/>
  <c r="BI165" i="27"/>
  <c r="BG167" i="27"/>
  <c r="BI171" i="27"/>
  <c r="BD170" i="27"/>
  <c r="BJ170" i="27" s="1"/>
  <c r="BI167" i="27"/>
  <c r="BB170" i="27"/>
  <c r="BJ166" i="27" s="1"/>
  <c r="BJ168" i="27"/>
  <c r="BI169" i="27"/>
  <c r="BJ164" i="27"/>
  <c r="BG165" i="27"/>
  <c r="BO9" i="27"/>
  <c r="BO11" i="27"/>
  <c r="BO13" i="27"/>
  <c r="BO3" i="27"/>
  <c r="AP52" i="27" s="1"/>
  <c r="BO12" i="27"/>
  <c r="BJ128" i="27"/>
  <c r="BI129" i="27"/>
  <c r="BJ124" i="27"/>
  <c r="BG125" i="27"/>
  <c r="BG128" i="27"/>
  <c r="BJ125" i="27"/>
  <c r="BK164" i="27"/>
  <c r="BG166" i="27"/>
  <c r="BK165" i="27"/>
  <c r="BG169" i="27"/>
  <c r="AQ130" i="27"/>
  <c r="BG90" i="27"/>
  <c r="BG126" i="27"/>
  <c r="BK124" i="27"/>
  <c r="BJ165" i="27"/>
  <c r="BG168" i="27"/>
  <c r="BI164" i="27"/>
  <c r="BG164" i="27"/>
  <c r="AZ170" i="27"/>
  <c r="BJ163" i="27" s="1"/>
  <c r="AO79" i="35"/>
  <c r="AJ77" i="35"/>
  <c r="AK77" i="35"/>
  <c r="AI77" i="35"/>
  <c r="AO78" i="35"/>
  <c r="AN77" i="35"/>
  <c r="AP77" i="35"/>
  <c r="AO77" i="35"/>
  <c r="AQ77" i="35"/>
  <c r="AG77" i="35"/>
  <c r="AQ75" i="35"/>
  <c r="AI76" i="35"/>
  <c r="AF79" i="35"/>
  <c r="AL77" i="35"/>
  <c r="AF78" i="35"/>
  <c r="AF76" i="35"/>
  <c r="AQ76" i="35"/>
  <c r="AH77" i="35"/>
  <c r="AF77" i="35"/>
  <c r="AM77" i="35"/>
  <c r="AG75" i="35"/>
  <c r="AH75" i="35" s="1"/>
  <c r="AI75" i="35" s="1"/>
  <c r="AJ75" i="35" s="1"/>
  <c r="AK75" i="35" s="1"/>
  <c r="AL75" i="35" s="1"/>
  <c r="AM75" i="35" s="1"/>
  <c r="AT89" i="35"/>
  <c r="AU97" i="35" s="1"/>
  <c r="AF97" i="35"/>
  <c r="BB77" i="35"/>
  <c r="BF77" i="35"/>
  <c r="BF76" i="35"/>
  <c r="BD79" i="35"/>
  <c r="BD77" i="35"/>
  <c r="BE77" i="35"/>
  <c r="AW77" i="35"/>
  <c r="AU79" i="35"/>
  <c r="BD78" i="35"/>
  <c r="AX77" i="35"/>
  <c r="AZ77" i="35"/>
  <c r="AY77" i="35"/>
  <c r="BA77" i="35"/>
  <c r="AV75" i="35"/>
  <c r="AW75" i="35" s="1"/>
  <c r="AX75" i="35" s="1"/>
  <c r="AY75" i="35" s="1"/>
  <c r="AZ75" i="35" s="1"/>
  <c r="BA75" i="35" s="1"/>
  <c r="BB75" i="35" s="1"/>
  <c r="AU76" i="35"/>
  <c r="AV77" i="35"/>
  <c r="BC77" i="35"/>
  <c r="AX76" i="35"/>
  <c r="BF75" i="35"/>
  <c r="AU78" i="35"/>
  <c r="AU77" i="35"/>
  <c r="Z99" i="35"/>
  <c r="Q99" i="35"/>
  <c r="T98" i="35"/>
  <c r="U99" i="35"/>
  <c r="Z100" i="35"/>
  <c r="AB98" i="35"/>
  <c r="X99" i="35"/>
  <c r="T99" i="35"/>
  <c r="R99" i="35"/>
  <c r="S99" i="35"/>
  <c r="Y99" i="35"/>
  <c r="Q101" i="35"/>
  <c r="Z101" i="35"/>
  <c r="R97" i="35"/>
  <c r="S97" i="35" s="1"/>
  <c r="T97" i="35" s="1"/>
  <c r="U97" i="35" s="1"/>
  <c r="V97" i="35" s="1"/>
  <c r="W97" i="35" s="1"/>
  <c r="X97" i="35" s="1"/>
  <c r="V99" i="35"/>
  <c r="Q100" i="35"/>
  <c r="W99" i="35"/>
  <c r="Q98" i="35"/>
  <c r="AB99" i="35"/>
  <c r="AB97" i="35"/>
  <c r="AA99" i="35"/>
  <c r="AO1080" i="31"/>
  <c r="AP1080" i="31" s="1"/>
  <c r="AO528" i="31"/>
  <c r="AP528" i="31" s="1"/>
  <c r="AO770" i="31"/>
  <c r="AP770" i="31" s="1"/>
  <c r="AO762" i="31"/>
  <c r="AP762" i="31" s="1"/>
  <c r="AO1318" i="31"/>
  <c r="AP1318" i="31" s="1"/>
  <c r="AO700" i="31"/>
  <c r="AP700" i="31" s="1"/>
  <c r="AO892" i="31"/>
  <c r="AP892" i="31" s="1"/>
  <c r="AO1084" i="31"/>
  <c r="AP1084" i="31" s="1"/>
  <c r="AO152" i="31"/>
  <c r="AP152" i="31" s="1"/>
  <c r="AO1076" i="31"/>
  <c r="AP1076" i="31" s="1"/>
  <c r="AO364" i="31"/>
  <c r="AP364" i="31" s="1"/>
  <c r="AO674" i="31"/>
  <c r="AP674" i="31" s="1"/>
  <c r="AO428" i="31"/>
  <c r="AP428" i="31" s="1"/>
  <c r="AO344" i="31"/>
  <c r="AP344" i="31" s="1"/>
  <c r="AO88" i="31"/>
  <c r="AP88" i="31" s="1"/>
  <c r="AO570" i="31"/>
  <c r="AP570" i="31" s="1"/>
  <c r="AO636" i="31"/>
  <c r="AP636" i="31" s="1"/>
  <c r="AO1126" i="31"/>
  <c r="AP1126" i="31" s="1"/>
  <c r="AO470" i="31"/>
  <c r="AP470" i="31" s="1"/>
  <c r="AO502" i="31"/>
  <c r="AP502" i="31" s="1"/>
  <c r="AO226" i="31"/>
  <c r="AP226" i="31" s="1"/>
  <c r="AO540" i="31"/>
  <c r="AP540" i="31" s="1"/>
  <c r="AO1284" i="31"/>
  <c r="AP1284" i="31" s="1"/>
  <c r="AO60" i="31"/>
  <c r="AP60" i="31" s="1"/>
  <c r="AO1288" i="31"/>
  <c r="AP1288" i="31" s="1"/>
  <c r="AO46" i="31"/>
  <c r="AP46" i="31" s="1"/>
  <c r="AO548" i="31"/>
  <c r="AP548" i="31" s="1"/>
  <c r="AO804" i="31"/>
  <c r="AP804" i="31" s="1"/>
  <c r="AO352" i="31"/>
  <c r="AP352" i="31" s="1"/>
  <c r="AO544" i="31"/>
  <c r="AP544" i="31" s="1"/>
  <c r="AO796" i="31"/>
  <c r="AP796" i="31" s="1"/>
  <c r="AO792" i="31"/>
  <c r="AP792" i="31" s="1"/>
  <c r="AO1138" i="31"/>
  <c r="AP1138" i="31" s="1"/>
  <c r="AO260" i="31"/>
  <c r="AP260" i="31" s="1"/>
  <c r="AO130" i="31"/>
  <c r="AP130" i="31" s="1"/>
  <c r="AO782" i="31"/>
  <c r="AP782" i="31" s="1"/>
  <c r="AO1000" i="31"/>
  <c r="AP1000" i="31" s="1"/>
  <c r="AO942" i="31"/>
  <c r="AP942" i="31" s="1"/>
  <c r="AO1298" i="31"/>
  <c r="AP1298" i="31" s="1"/>
  <c r="AO984" i="31"/>
  <c r="AP984" i="31" s="1"/>
  <c r="AO474" i="31"/>
  <c r="AP474" i="31" s="1"/>
  <c r="AO524" i="31"/>
  <c r="AP524" i="31" s="1"/>
  <c r="AO18" i="31"/>
  <c r="AP18" i="31" s="1"/>
  <c r="AO168" i="31"/>
  <c r="AP168" i="31" s="1"/>
  <c r="AO440" i="31"/>
  <c r="AP440" i="31" s="1"/>
  <c r="AO516" i="31"/>
  <c r="AP516" i="31" s="1"/>
  <c r="AO704" i="31"/>
  <c r="AP704" i="31" s="1"/>
  <c r="AO318" i="31"/>
  <c r="AP318" i="31" s="1"/>
  <c r="AO628" i="31"/>
  <c r="AP628" i="31" s="1"/>
  <c r="AO486" i="31"/>
  <c r="AP486" i="31" s="1"/>
  <c r="AO240" i="31"/>
  <c r="AP240" i="31" s="1"/>
  <c r="AO1022" i="31"/>
  <c r="AP1022" i="31" s="1"/>
  <c r="AO172" i="31"/>
  <c r="AP172" i="31" s="1"/>
  <c r="AO214" i="31"/>
  <c r="AP214" i="31" s="1"/>
  <c r="AO1380" i="31"/>
  <c r="AP1380" i="31" s="1"/>
  <c r="AO724" i="31"/>
  <c r="AP724" i="31" s="1"/>
  <c r="AO816" i="31"/>
  <c r="AP816" i="31" s="1"/>
  <c r="AO820" i="31"/>
  <c r="AP820" i="31" s="1"/>
  <c r="AO884" i="31"/>
  <c r="AP884" i="31" s="1"/>
  <c r="AO1368" i="31"/>
  <c r="AP1368" i="31" s="1"/>
  <c r="AO1058" i="31"/>
  <c r="AP1058" i="31" s="1"/>
  <c r="AO490" i="31"/>
  <c r="AP490" i="31" s="1"/>
  <c r="AO1242" i="31"/>
  <c r="AP1242" i="31" s="1"/>
  <c r="AO368" i="31"/>
  <c r="AP368" i="31" s="1"/>
  <c r="AO1252" i="31"/>
  <c r="AP1252" i="31" s="1"/>
  <c r="AO1306" i="31"/>
  <c r="AP1306" i="31" s="1"/>
  <c r="AO1322" i="31"/>
  <c r="AP1322" i="31" s="1"/>
  <c r="AO1372" i="31"/>
  <c r="AP1372" i="31" s="1"/>
  <c r="AO1344" i="31"/>
  <c r="AP1344" i="31" s="1"/>
  <c r="AO678" i="31"/>
  <c r="AP678" i="31" s="1"/>
  <c r="AO1352" i="31"/>
  <c r="AP1352" i="31" s="1"/>
  <c r="AO56" i="31"/>
  <c r="AP56" i="31" s="1"/>
  <c r="AO1130" i="31"/>
  <c r="AP1130" i="31" s="1"/>
  <c r="AO30" i="31"/>
  <c r="AP30" i="31" s="1"/>
  <c r="AO1072" i="31"/>
  <c r="AP1072" i="31" s="1"/>
  <c r="AO414" i="31"/>
  <c r="AP414" i="31" s="1"/>
  <c r="AO1334" i="31"/>
  <c r="AP1334" i="31" s="1"/>
  <c r="AO842" i="31"/>
  <c r="AP842" i="31" s="1"/>
  <c r="AO728" i="31"/>
  <c r="AP728" i="31" s="1"/>
  <c r="AO1280" i="31"/>
  <c r="AP1280" i="31" s="1"/>
  <c r="AO1184" i="31"/>
  <c r="AP1184" i="31" s="1"/>
  <c r="AO76" i="31"/>
  <c r="AP76" i="31" s="1"/>
  <c r="AO1114" i="31"/>
  <c r="AP1114" i="31" s="1"/>
  <c r="AO1164" i="31"/>
  <c r="AP1164" i="31" s="1"/>
  <c r="AO506" i="31"/>
  <c r="AP506" i="31" s="1"/>
  <c r="AO202" i="31"/>
  <c r="AP202" i="31" s="1"/>
  <c r="AO766" i="31"/>
  <c r="AP766" i="31" s="1"/>
  <c r="AO306" i="31"/>
  <c r="AP306" i="31" s="1"/>
  <c r="AO732" i="31"/>
  <c r="AP732" i="31" s="1"/>
  <c r="AO912" i="31"/>
  <c r="AP912" i="31" s="1"/>
  <c r="AO586" i="31"/>
  <c r="AP586" i="31" s="1"/>
  <c r="AO1046" i="31"/>
  <c r="AP1046" i="31" s="1"/>
  <c r="AO194" i="31"/>
  <c r="AP194" i="31" s="1"/>
  <c r="AO478" i="31"/>
  <c r="AP478" i="31" s="1"/>
  <c r="AO812" i="31"/>
  <c r="AP812" i="31" s="1"/>
  <c r="AO1100" i="31"/>
  <c r="AP1100" i="31" s="1"/>
  <c r="AO164" i="31"/>
  <c r="AP164" i="31" s="1"/>
  <c r="AO620" i="31"/>
  <c r="AP620" i="31" s="1"/>
  <c r="AO896" i="31"/>
  <c r="AP896" i="31" s="1"/>
  <c r="AO946" i="31"/>
  <c r="AP946" i="31" s="1"/>
  <c r="AO114" i="31"/>
  <c r="AP114" i="31" s="1"/>
  <c r="AO736" i="31"/>
  <c r="AP736" i="31" s="1"/>
  <c r="AO938" i="31"/>
  <c r="AP938" i="31" s="1"/>
  <c r="AO198" i="31"/>
  <c r="AP198" i="31" s="1"/>
  <c r="AO624" i="31"/>
  <c r="AP624" i="31" s="1"/>
  <c r="AO574" i="31"/>
  <c r="AP574" i="31" s="1"/>
  <c r="AO1012" i="31"/>
  <c r="AP1012" i="31" s="1"/>
  <c r="AO332" i="31"/>
  <c r="AP332" i="31" s="1"/>
  <c r="AO778" i="31"/>
  <c r="AP778" i="31" s="1"/>
  <c r="AO1302" i="31"/>
  <c r="AP1302" i="31" s="1"/>
  <c r="AO708" i="31"/>
  <c r="AP708" i="31" s="1"/>
  <c r="AO348" i="31"/>
  <c r="AP348" i="31" s="1"/>
  <c r="AO252" i="31"/>
  <c r="AP252" i="31" s="1"/>
  <c r="AO314" i="31"/>
  <c r="AP314" i="31" s="1"/>
  <c r="AO222" i="31"/>
  <c r="AP222" i="31" s="1"/>
  <c r="AO1376" i="31"/>
  <c r="AP1376" i="31" s="1"/>
  <c r="AO34" i="31"/>
  <c r="AP34" i="31" s="1"/>
  <c r="AO686" i="31"/>
  <c r="AP686" i="31" s="1"/>
  <c r="AO950" i="31"/>
  <c r="AP950" i="31" s="1"/>
  <c r="AO80" i="31"/>
  <c r="AP80" i="31" s="1"/>
  <c r="AO1068" i="31"/>
  <c r="AP1068" i="31" s="1"/>
  <c r="AO616" i="31"/>
  <c r="AP616" i="31" s="1"/>
  <c r="AO1150" i="31"/>
  <c r="AP1150" i="31" s="1"/>
  <c r="AO356" i="31"/>
  <c r="AP356" i="31" s="1"/>
  <c r="AO1210" i="31"/>
  <c r="AP1210" i="31" s="1"/>
  <c r="AO360" i="31"/>
  <c r="AP360" i="31" s="1"/>
  <c r="AO456" i="31"/>
  <c r="AP456" i="31" s="1"/>
  <c r="AO712" i="31"/>
  <c r="AP712" i="31" s="1"/>
  <c r="AO980" i="31"/>
  <c r="AP980" i="31" s="1"/>
  <c r="AO1330" i="31"/>
  <c r="AP1330" i="31" s="1"/>
  <c r="AO1160" i="31"/>
  <c r="AP1160" i="31" s="1"/>
  <c r="AO184" i="31"/>
  <c r="AP184" i="31" s="1"/>
  <c r="AO302" i="31"/>
  <c r="AP302" i="31" s="1"/>
  <c r="AO106" i="31"/>
  <c r="AP106" i="31" s="1"/>
  <c r="AO1176" i="31"/>
  <c r="AP1176" i="31" s="1"/>
  <c r="AO578" i="31"/>
  <c r="AP578" i="31" s="1"/>
  <c r="AO1188" i="31"/>
  <c r="AP1188" i="31" s="1"/>
  <c r="AO92" i="31"/>
  <c r="AP92" i="31" s="1"/>
  <c r="AO846" i="31"/>
  <c r="AP846" i="31" s="1"/>
  <c r="AO870" i="31"/>
  <c r="AP870" i="31" s="1"/>
  <c r="AO134" i="31"/>
  <c r="AP134" i="31" s="1"/>
  <c r="AO432" i="31"/>
  <c r="AP432" i="31" s="1"/>
  <c r="AO590" i="31"/>
  <c r="AP590" i="31" s="1"/>
  <c r="AO1256" i="31"/>
  <c r="AP1256" i="31" s="1"/>
  <c r="AO1272" i="31"/>
  <c r="AP1272" i="31" s="1"/>
  <c r="AO1096" i="31"/>
  <c r="AP1096" i="31" s="1"/>
  <c r="AO424" i="31"/>
  <c r="AP424" i="31" s="1"/>
  <c r="AO662" i="31"/>
  <c r="AP662" i="31" s="1"/>
  <c r="AO1360" i="31"/>
  <c r="AP1360" i="31" s="1"/>
  <c r="AO1118" i="31"/>
  <c r="AP1118" i="31" s="1"/>
  <c r="AO1226" i="31"/>
  <c r="AP1226" i="31" s="1"/>
  <c r="AO402" i="31"/>
  <c r="AP402" i="31" s="1"/>
  <c r="AO1356" i="31"/>
  <c r="AP1356" i="31" s="1"/>
  <c r="AO272" i="31"/>
  <c r="AP272" i="31" s="1"/>
  <c r="AO1050" i="31"/>
  <c r="AP1050" i="31" s="1"/>
  <c r="AO268" i="31"/>
  <c r="AP268" i="31" s="1"/>
  <c r="AO1054" i="31"/>
  <c r="AP1054" i="31" s="1"/>
  <c r="AO1004" i="31"/>
  <c r="AP1004" i="31" s="1"/>
  <c r="AO1092" i="31"/>
  <c r="AP1092" i="31" s="1"/>
  <c r="AO1314" i="31"/>
  <c r="AP1314" i="31" s="1"/>
  <c r="AO1172" i="31"/>
  <c r="AP1172" i="31" s="1"/>
  <c r="AO1146" i="31"/>
  <c r="AP1146" i="31" s="1"/>
  <c r="AO460" i="31"/>
  <c r="AP460" i="31" s="1"/>
  <c r="AO286" i="31"/>
  <c r="AP286" i="31" s="1"/>
  <c r="AO1180" i="31"/>
  <c r="AP1180" i="31" s="1"/>
  <c r="AO1042" i="31"/>
  <c r="AP1042" i="31" s="1"/>
  <c r="AO566" i="31"/>
  <c r="AP566" i="31" s="1"/>
  <c r="AO854" i="31"/>
  <c r="AP854" i="31" s="1"/>
  <c r="AO1348" i="31"/>
  <c r="AP1348" i="31" s="1"/>
  <c r="AO1134" i="31"/>
  <c r="AP1134" i="31" s="1"/>
  <c r="AO10" i="31"/>
  <c r="AP10" i="31" s="1"/>
  <c r="AO42" i="31"/>
  <c r="AP42" i="31" s="1"/>
  <c r="AO1276" i="31"/>
  <c r="AP1276" i="31" s="1"/>
  <c r="AO494" i="31"/>
  <c r="AP494" i="31" s="1"/>
  <c r="AO962" i="31"/>
  <c r="AP962" i="31" s="1"/>
  <c r="AO122" i="31"/>
  <c r="AP122" i="31" s="1"/>
  <c r="AO774" i="31"/>
  <c r="AP774" i="31" s="1"/>
  <c r="AO406" i="31"/>
  <c r="AP406" i="31" s="1"/>
  <c r="AO264" i="31"/>
  <c r="AP264" i="31" s="1"/>
  <c r="AO582" i="31"/>
  <c r="AP582" i="31" s="1"/>
  <c r="AO750" i="31"/>
  <c r="AP750" i="31" s="1"/>
  <c r="AO14" i="31"/>
  <c r="AP14" i="31" s="1"/>
  <c r="AO138" i="31"/>
  <c r="AP138" i="31" s="1"/>
  <c r="AO992" i="31"/>
  <c r="AP992" i="31" s="1"/>
  <c r="AO758" i="31"/>
  <c r="AP758" i="31" s="1"/>
  <c r="AO398" i="31"/>
  <c r="AP398" i="31" s="1"/>
  <c r="AO666" i="31"/>
  <c r="AP666" i="31" s="1"/>
  <c r="AO244" i="31"/>
  <c r="AP244" i="31" s="1"/>
  <c r="AO180" i="31"/>
  <c r="AP180" i="31" s="1"/>
  <c r="AO850" i="31"/>
  <c r="AP850" i="31" s="1"/>
  <c r="AO298" i="31"/>
  <c r="AP298" i="31" s="1"/>
  <c r="AO874" i="31"/>
  <c r="AP874" i="31" s="1"/>
  <c r="AO290" i="31"/>
  <c r="AP290" i="31" s="1"/>
  <c r="AO858" i="31"/>
  <c r="AP858" i="31" s="1"/>
  <c r="AO754" i="31"/>
  <c r="AP754" i="31" s="1"/>
  <c r="AO988" i="31"/>
  <c r="AP988" i="31" s="1"/>
  <c r="AO482" i="31"/>
  <c r="AP482" i="31" s="1"/>
  <c r="AO1260" i="31"/>
  <c r="AP1260" i="31" s="1"/>
  <c r="AO322" i="31"/>
  <c r="AP322" i="31" s="1"/>
  <c r="AO930" i="31"/>
  <c r="AP930" i="31" s="1"/>
  <c r="AO176" i="31"/>
  <c r="AP176" i="31" s="1"/>
  <c r="AO866" i="31"/>
  <c r="AP866" i="31" s="1"/>
  <c r="AO654" i="31"/>
  <c r="AP654" i="31" s="1"/>
  <c r="AO1264" i="31"/>
  <c r="AP1264" i="31" s="1"/>
  <c r="AO1038" i="31"/>
  <c r="AP1038" i="31" s="1"/>
  <c r="AO248" i="31"/>
  <c r="AP248" i="31" s="1"/>
  <c r="AO612" i="31"/>
  <c r="AP612" i="31" s="1"/>
  <c r="AO386" i="31"/>
  <c r="AP386" i="31" s="1"/>
  <c r="AO1104" i="31"/>
  <c r="AP1104" i="31" s="1"/>
  <c r="AO84" i="31"/>
  <c r="AP84" i="31" s="1"/>
  <c r="AO670" i="31"/>
  <c r="AP670" i="31" s="1"/>
  <c r="AO838" i="31"/>
  <c r="AP838" i="31" s="1"/>
  <c r="AO72" i="31"/>
  <c r="AP72" i="31" s="1"/>
  <c r="AO102" i="31"/>
  <c r="AP102" i="31" s="1"/>
  <c r="AO1310" i="31"/>
  <c r="AP1310" i="31" s="1"/>
  <c r="AO310" i="31"/>
  <c r="AP310" i="31" s="1"/>
  <c r="AO126" i="31"/>
  <c r="AP126" i="31" s="1"/>
  <c r="AO916" i="31"/>
  <c r="AP916" i="31" s="1"/>
  <c r="AO716" i="31"/>
  <c r="AP716" i="31" s="1"/>
  <c r="AO1026" i="31"/>
  <c r="AP1026" i="31" s="1"/>
  <c r="AO1168" i="31"/>
  <c r="AP1168" i="31" s="1"/>
  <c r="AO340" i="31"/>
  <c r="AP340" i="31" s="1"/>
  <c r="AO1030" i="31"/>
  <c r="AP1030" i="31" s="1"/>
  <c r="AO934" i="31"/>
  <c r="AP934" i="31" s="1"/>
  <c r="AO594" i="31"/>
  <c r="AP594" i="31" s="1"/>
  <c r="AO1326" i="31"/>
  <c r="AP1326" i="31" s="1"/>
  <c r="AO394" i="31"/>
  <c r="AP394" i="31" s="1"/>
  <c r="AO828" i="31"/>
  <c r="AP828" i="31" s="1"/>
  <c r="AO378" i="31"/>
  <c r="AP378" i="31" s="1"/>
  <c r="AO294" i="31"/>
  <c r="AP294" i="31" s="1"/>
  <c r="AO644" i="31"/>
  <c r="AP644" i="31" s="1"/>
  <c r="AO908" i="31"/>
  <c r="AP908" i="31" s="1"/>
  <c r="AO1122" i="31"/>
  <c r="AP1122" i="31" s="1"/>
  <c r="AO160" i="31"/>
  <c r="AP160" i="31" s="1"/>
  <c r="AO1230" i="31"/>
  <c r="AP1230" i="31" s="1"/>
  <c r="AO498" i="31"/>
  <c r="AP498" i="31" s="1"/>
  <c r="AO382" i="31"/>
  <c r="AP382" i="31" s="1"/>
  <c r="AO958" i="31"/>
  <c r="AP958" i="31" s="1"/>
  <c r="AO640" i="31"/>
  <c r="AP640" i="31" s="1"/>
  <c r="AO658" i="31"/>
  <c r="AP658" i="31" s="1"/>
  <c r="AO210" i="31"/>
  <c r="AP210" i="31" s="1"/>
  <c r="AO904" i="31"/>
  <c r="AP904" i="31" s="1"/>
  <c r="AO1364" i="31"/>
  <c r="AP1364" i="31" s="1"/>
  <c r="AO1008" i="31"/>
  <c r="AP1008" i="31" s="1"/>
  <c r="AO920" i="31"/>
  <c r="AP920" i="31" s="1"/>
  <c r="AO520" i="31"/>
  <c r="AP520" i="31" s="1"/>
  <c r="AO824" i="31"/>
  <c r="AP824" i="31" s="1"/>
  <c r="AO206" i="31"/>
  <c r="AP206" i="31" s="1"/>
  <c r="AO26" i="31"/>
  <c r="AP26" i="31" s="1"/>
  <c r="AO682" i="31"/>
  <c r="AP682" i="31" s="1"/>
  <c r="AO1088" i="31"/>
  <c r="AP1088" i="31" s="1"/>
  <c r="AO954" i="31"/>
  <c r="AP954" i="31" s="1"/>
  <c r="AO532" i="31"/>
  <c r="AP532" i="31" s="1"/>
  <c r="AO746" i="31"/>
  <c r="AP746" i="31" s="1"/>
  <c r="AO336" i="31"/>
  <c r="AP336" i="31" s="1"/>
  <c r="AO448" i="31"/>
  <c r="AP448" i="31" s="1"/>
  <c r="AO436" i="31"/>
  <c r="AP436" i="31" s="1"/>
  <c r="AO608" i="31"/>
  <c r="AP608" i="31" s="1"/>
  <c r="AO900" i="31"/>
  <c r="AP900" i="31" s="1"/>
  <c r="AO452" i="31"/>
  <c r="AP452" i="31" s="1"/>
  <c r="AO976" i="31"/>
  <c r="AP976" i="31" s="1"/>
  <c r="AO720" i="31"/>
  <c r="AP720" i="31" s="1"/>
  <c r="AO1238" i="31"/>
  <c r="AP1238" i="31" s="1"/>
  <c r="AO888" i="31"/>
  <c r="AP888" i="31" s="1"/>
  <c r="AO996" i="31"/>
  <c r="AP996" i="31" s="1"/>
  <c r="AO800" i="31"/>
  <c r="AP800" i="31" s="1"/>
  <c r="AO38" i="31"/>
  <c r="AP38" i="31" s="1"/>
  <c r="AO1192" i="31"/>
  <c r="AP1192" i="31" s="1"/>
  <c r="AO110" i="31"/>
  <c r="AP110" i="31" s="1"/>
  <c r="AO444" i="31"/>
  <c r="AP444" i="31" s="1"/>
  <c r="AO148" i="31"/>
  <c r="AP148" i="31" s="1"/>
  <c r="AO410" i="31"/>
  <c r="AP410" i="31" s="1"/>
  <c r="AO632" i="31"/>
  <c r="AP632" i="31" s="1"/>
  <c r="AO1214" i="31"/>
  <c r="AP1214" i="31" s="1"/>
  <c r="AO1222" i="31"/>
  <c r="AP1222" i="31" s="1"/>
  <c r="AO64" i="31"/>
  <c r="AP64" i="31" s="1"/>
  <c r="AO562" i="31"/>
  <c r="AP562" i="31" s="1"/>
  <c r="AO156" i="31"/>
  <c r="AP156" i="31" s="1"/>
  <c r="AO118" i="31"/>
  <c r="AP118" i="31" s="1"/>
  <c r="AO552" i="31"/>
  <c r="AP552" i="31" s="1"/>
  <c r="AO218" i="31"/>
  <c r="AP218" i="31" s="1"/>
  <c r="AO1218" i="31"/>
  <c r="AP1218" i="31" s="1"/>
  <c r="AO22" i="31"/>
  <c r="AP22" i="31" s="1"/>
  <c r="AO1268" i="31"/>
  <c r="AP1268" i="31" s="1"/>
  <c r="AO1196" i="31"/>
  <c r="AP1196" i="31" s="1"/>
  <c r="AO598" i="31"/>
  <c r="AP598" i="31" s="1"/>
  <c r="AO966" i="31"/>
  <c r="AP966" i="31" s="1"/>
  <c r="AO68" i="31"/>
  <c r="AP68" i="31" s="1"/>
  <c r="AO1142" i="31"/>
  <c r="AP1142" i="31" s="1"/>
  <c r="AO256" i="31"/>
  <c r="AP256" i="31" s="1"/>
  <c r="AO690" i="31"/>
  <c r="AP690" i="31" s="1"/>
  <c r="AO230" i="31"/>
  <c r="AP230" i="31" s="1"/>
  <c r="AO862" i="31"/>
  <c r="AP862" i="31" s="1"/>
  <c r="AO276" i="31"/>
  <c r="AP276" i="31" s="1"/>
  <c r="AO1234" i="31"/>
  <c r="AP1234" i="31" s="1"/>
  <c r="AO536" i="31"/>
  <c r="AP536" i="31" s="1"/>
  <c r="AO1034" i="31"/>
  <c r="AP1034" i="31" s="1"/>
  <c r="AO390" i="31"/>
  <c r="AP390" i="31" s="1"/>
  <c r="AO808" i="31"/>
  <c r="AP808" i="31" s="1"/>
  <c r="AO1206" i="31"/>
  <c r="AP1206" i="31" s="1"/>
  <c r="N1393" i="31"/>
  <c r="N1392" i="31" s="1"/>
  <c r="H1393" i="31"/>
  <c r="E1393" i="31"/>
  <c r="AT123" i="27" l="1"/>
  <c r="J91" i="27"/>
  <c r="BF12" i="27"/>
  <c r="AT163" i="27"/>
  <c r="N4" i="27"/>
  <c r="BJ47" i="27"/>
  <c r="AT7" i="27"/>
  <c r="AD44" i="27"/>
  <c r="N163" i="27"/>
  <c r="BJ4" i="27"/>
  <c r="AD47" i="27"/>
  <c r="AD83" i="27"/>
  <c r="AT47" i="27"/>
  <c r="AD4" i="27"/>
  <c r="N123" i="27"/>
  <c r="AT4" i="27"/>
  <c r="AT44" i="27"/>
  <c r="AT86" i="27"/>
  <c r="N86" i="27"/>
  <c r="BJ7" i="27"/>
  <c r="AT83" i="27"/>
  <c r="N126" i="27"/>
  <c r="N47" i="27"/>
  <c r="N83" i="27"/>
  <c r="N7" i="27"/>
  <c r="N44" i="27"/>
  <c r="N166" i="27"/>
  <c r="AD7" i="27"/>
  <c r="BJ44" i="27"/>
  <c r="Z12" i="27"/>
  <c r="AP12" i="27"/>
  <c r="J131" i="27"/>
  <c r="BJ83" i="27"/>
  <c r="BJ86" i="27"/>
  <c r="J52" i="27"/>
  <c r="Z52" i="27"/>
  <c r="BF52" i="27"/>
  <c r="AD123" i="27"/>
  <c r="AD163" i="27"/>
  <c r="AT126" i="27"/>
  <c r="J12" i="27"/>
  <c r="AD166" i="27"/>
  <c r="AP91" i="27"/>
  <c r="AT166" i="27"/>
  <c r="AL77" i="30"/>
  <c r="AK75" i="30"/>
  <c r="AM74" i="30"/>
  <c r="AO75" i="30" s="1"/>
  <c r="AM70" i="30"/>
  <c r="AI80" i="30"/>
  <c r="AJ81" i="30"/>
  <c r="AK71" i="30"/>
  <c r="AP70" i="30" s="1"/>
  <c r="AL83" i="30"/>
  <c r="AM75" i="30"/>
  <c r="AP75" i="30" s="1"/>
  <c r="AJ77" i="30"/>
  <c r="AK72" i="30"/>
  <c r="AQ70" i="30" s="1"/>
  <c r="AJ82" i="30"/>
  <c r="AL81" i="30"/>
  <c r="AJ83" i="30"/>
  <c r="AK74" i="30"/>
  <c r="AO71" i="30" s="1"/>
  <c r="AM72" i="30"/>
  <c r="AQ74" i="30" s="1"/>
  <c r="AL82" i="30"/>
  <c r="AM73" i="30"/>
  <c r="AQ75" i="30" s="1"/>
  <c r="AK73" i="30"/>
  <c r="AQ71" i="30" s="1"/>
  <c r="AL78" i="30"/>
  <c r="AM71" i="30"/>
  <c r="AP74" i="30" s="1"/>
  <c r="AK70" i="30"/>
  <c r="AJ78" i="30"/>
  <c r="AO53" i="30"/>
  <c r="AM55" i="30"/>
  <c r="AP51" i="30" s="1"/>
  <c r="AM92" i="30"/>
  <c r="AP95" i="30" s="1"/>
  <c r="AK92" i="30"/>
  <c r="AP91" i="30" s="1"/>
  <c r="AM91" i="30"/>
  <c r="AJ98" i="30"/>
  <c r="AL103" i="30"/>
  <c r="AK91" i="30"/>
  <c r="AM95" i="30"/>
  <c r="AO96" i="30" s="1"/>
  <c r="AM96" i="30"/>
  <c r="AP96" i="30" s="1"/>
  <c r="AK94" i="30"/>
  <c r="AQ92" i="30" s="1"/>
  <c r="AJ102" i="30"/>
  <c r="AI101" i="30"/>
  <c r="AJ99" i="30"/>
  <c r="AL102" i="30"/>
  <c r="AL99" i="30"/>
  <c r="AK93" i="30"/>
  <c r="AQ91" i="30" s="1"/>
  <c r="AJ104" i="30"/>
  <c r="AL98" i="30"/>
  <c r="AJ103" i="30"/>
  <c r="AK96" i="30"/>
  <c r="AL104" i="30"/>
  <c r="AK95" i="30"/>
  <c r="AO92" i="30" s="1"/>
  <c r="AM94" i="30"/>
  <c r="AQ96" i="30" s="1"/>
  <c r="AM93" i="30"/>
  <c r="AQ95" i="30" s="1"/>
  <c r="AP50" i="30"/>
  <c r="AP48" i="30"/>
  <c r="AO49" i="30"/>
  <c r="AK55" i="30"/>
  <c r="Z131" i="27"/>
  <c r="AP171" i="27"/>
  <c r="BG170" i="27"/>
  <c r="BI176" i="27" s="1"/>
  <c r="BI96" i="27"/>
  <c r="BF91" i="27"/>
  <c r="AP131" i="27"/>
  <c r="AS136" i="27"/>
  <c r="Z171" i="27"/>
  <c r="AC176" i="27"/>
  <c r="BG130" i="27"/>
  <c r="BF99" i="35"/>
  <c r="BA99" i="35"/>
  <c r="AW99" i="35"/>
  <c r="BB99" i="35"/>
  <c r="BD101" i="35"/>
  <c r="AU101" i="35"/>
  <c r="AX99" i="35"/>
  <c r="BE99" i="35"/>
  <c r="AU99" i="35"/>
  <c r="AU100" i="35"/>
  <c r="AY99" i="35"/>
  <c r="AV97" i="35"/>
  <c r="AW97" i="35" s="1"/>
  <c r="AX97" i="35" s="1"/>
  <c r="AY97" i="35" s="1"/>
  <c r="AZ97" i="35" s="1"/>
  <c r="BA97" i="35" s="1"/>
  <c r="BB97" i="35" s="1"/>
  <c r="BF98" i="35"/>
  <c r="BD99" i="35"/>
  <c r="BF97" i="35"/>
  <c r="AV99" i="35"/>
  <c r="AZ99" i="35"/>
  <c r="BD100" i="35"/>
  <c r="AU98" i="35"/>
  <c r="AX98" i="35"/>
  <c r="BC99" i="35"/>
  <c r="AP99" i="35"/>
  <c r="AF98" i="35"/>
  <c r="AF101" i="35"/>
  <c r="AO99" i="35"/>
  <c r="AN99" i="35"/>
  <c r="AO101" i="35"/>
  <c r="AO100" i="35"/>
  <c r="AK99" i="35"/>
  <c r="AF100" i="35"/>
  <c r="AF99" i="35"/>
  <c r="AQ98" i="35"/>
  <c r="AQ99" i="35"/>
  <c r="AG99" i="35"/>
  <c r="AM99" i="35"/>
  <c r="AH99" i="35"/>
  <c r="AG97" i="35"/>
  <c r="AH97" i="35" s="1"/>
  <c r="AI97" i="35" s="1"/>
  <c r="AJ97" i="35" s="1"/>
  <c r="AK97" i="35" s="1"/>
  <c r="AL97" i="35" s="1"/>
  <c r="AM97" i="35" s="1"/>
  <c r="AJ99" i="35"/>
  <c r="AI98" i="35"/>
  <c r="AI99" i="35"/>
  <c r="AQ97" i="35"/>
  <c r="AL99" i="35"/>
  <c r="E1392" i="31"/>
  <c r="C1393" i="31"/>
  <c r="C1392" i="31" s="1"/>
  <c r="S1393" i="31"/>
  <c r="S1392" i="31" s="1"/>
  <c r="H1392" i="31"/>
  <c r="AP90" i="30" l="1"/>
  <c r="AP92" i="30"/>
  <c r="AO95" i="30"/>
  <c r="AM97" i="30"/>
  <c r="AP93" i="30" s="1"/>
  <c r="AK76" i="30"/>
  <c r="AO70" i="30"/>
  <c r="AO74" i="30"/>
  <c r="AM76" i="30"/>
  <c r="AP72" i="30" s="1"/>
  <c r="AP69" i="30"/>
  <c r="AP71" i="30"/>
  <c r="AK97" i="30"/>
  <c r="AO91" i="30"/>
  <c r="BF171" i="27"/>
  <c r="BI136" i="27"/>
  <c r="BF131" i="27"/>
</calcChain>
</file>

<file path=xl/sharedStrings.xml><?xml version="1.0" encoding="utf-8"?>
<sst xmlns="http://schemas.openxmlformats.org/spreadsheetml/2006/main" count="5492" uniqueCount="225">
  <si>
    <t>الاسم بالكامل</t>
  </si>
  <si>
    <t>رقم مسلسل</t>
  </si>
  <si>
    <t>المواد الدراسية</t>
  </si>
  <si>
    <t>التقدير</t>
  </si>
  <si>
    <t>مقبول</t>
  </si>
  <si>
    <t>جيد</t>
  </si>
  <si>
    <t>ممتاز</t>
  </si>
  <si>
    <t>ضعيف</t>
  </si>
  <si>
    <t>كتبه</t>
  </si>
  <si>
    <t>الاسم</t>
  </si>
  <si>
    <t>املاه</t>
  </si>
  <si>
    <t>التوقيع</t>
  </si>
  <si>
    <t>عدد الحصص</t>
  </si>
  <si>
    <t>النهايات</t>
  </si>
  <si>
    <t>التوقيعــــات</t>
  </si>
  <si>
    <t>مدير المدرسة</t>
  </si>
  <si>
    <t>التربية الفنية</t>
  </si>
  <si>
    <t>العلوم</t>
  </si>
  <si>
    <t>اللغة الإنجليزية</t>
  </si>
  <si>
    <t>التربية الإسلامية</t>
  </si>
  <si>
    <t>تقديرات</t>
  </si>
  <si>
    <t>الفترة الأولى 30%</t>
  </si>
  <si>
    <t>الفترة الثانية 30%</t>
  </si>
  <si>
    <t>الغترة الثالثة 40%</t>
  </si>
  <si>
    <t>النتيجة النهائية 100%</t>
  </si>
  <si>
    <t xml:space="preserve">المجموع </t>
  </si>
  <si>
    <t>النسبة المئوية</t>
  </si>
  <si>
    <t>تاريخ الميلاد</t>
  </si>
  <si>
    <t>اسم الام</t>
  </si>
  <si>
    <t>النتيجة النهائية للتلميذ</t>
  </si>
  <si>
    <t xml:space="preserve">الفترة الأولى </t>
  </si>
  <si>
    <t xml:space="preserve">الفترة الثانية </t>
  </si>
  <si>
    <t xml:space="preserve">الغترة الثالثة </t>
  </si>
  <si>
    <t xml:space="preserve">النتيجة النهائية </t>
  </si>
  <si>
    <t>متقدمون</t>
  </si>
  <si>
    <t>حاضرون</t>
  </si>
  <si>
    <t>ناجحون</t>
  </si>
  <si>
    <t>مرحلون</t>
  </si>
  <si>
    <t>غائبون</t>
  </si>
  <si>
    <t>دولة ليبيا</t>
  </si>
  <si>
    <t>وزارة التعليم</t>
  </si>
  <si>
    <t>المدرسة</t>
  </si>
  <si>
    <t>مكتب الامتحانات بمنطقة / تاجوراء</t>
  </si>
  <si>
    <t>المرحلة/</t>
  </si>
  <si>
    <t>التعليم الاساسي</t>
  </si>
  <si>
    <t>الفترات</t>
  </si>
  <si>
    <t>الفترة الأولي 30 %</t>
  </si>
  <si>
    <t>الفترة الثانية 30 %</t>
  </si>
  <si>
    <t>الفترة الثالثة 40%</t>
  </si>
  <si>
    <t>النتيجة النهائيــة 100%</t>
  </si>
  <si>
    <t>ملاحظــات عن نتيجة التلميذ خلال كل فترة :</t>
  </si>
  <si>
    <t>الدرجة الكبرى</t>
  </si>
  <si>
    <t>درجة التلميذ</t>
  </si>
  <si>
    <t>النهاية الكبرى</t>
  </si>
  <si>
    <t>النهاية الصغري</t>
  </si>
  <si>
    <r>
      <rPr>
        <b/>
        <u/>
        <sz val="12"/>
        <color theme="1"/>
        <rFont val="Arial"/>
        <family val="2"/>
        <scheme val="minor"/>
      </rPr>
      <t>الأولي</t>
    </r>
    <r>
      <rPr>
        <b/>
        <sz val="12"/>
        <color theme="1"/>
        <rFont val="Arial"/>
        <family val="2"/>
        <scheme val="minor"/>
      </rPr>
      <t xml:space="preserve"> :  </t>
    </r>
  </si>
  <si>
    <t>المجموع العـام</t>
  </si>
  <si>
    <t>بناء على الدرجات المبينة فى هذه البطاقة يعد التلميذ :</t>
  </si>
  <si>
    <t>الســــــلوك</t>
  </si>
  <si>
    <t>غياب مشروع</t>
  </si>
  <si>
    <t>غياب غير مشروع</t>
  </si>
  <si>
    <t>رائــد الصف</t>
  </si>
  <si>
    <t>مديـر المدرسة</t>
  </si>
  <si>
    <t>اعتماد النتيجة النهائيـــة للتلميــذ</t>
  </si>
  <si>
    <t>الفترة الاولى</t>
  </si>
  <si>
    <t>مدير المدرسة/</t>
  </si>
  <si>
    <t>الفترة الثانية</t>
  </si>
  <si>
    <t>التاريخ</t>
  </si>
  <si>
    <t xml:space="preserve"> </t>
  </si>
  <si>
    <t xml:space="preserve">الختـــم </t>
  </si>
  <si>
    <t>توجيهات الى أولياء الآمــــور :</t>
  </si>
  <si>
    <t>1- تحسب درجـــــات كل فترة عن طريق الاختبارات التحريرية والشفهية والمتابعة اليومية ويخصص للفترة الاولى 30 % وللفترة الثانيــة 30 % وللفترة الثالثــة 40 % من درجة النهائية الكبرى للمادة .</t>
  </si>
  <si>
    <t>2- يشتراط لنجاح التلميذ الحصول على النهاية الصغري المقررة لكل مادة على الاقل.</t>
  </si>
  <si>
    <t>1- تنظيم أوقات ابنائهم خارج المدرسة ومتابعة واجباتهم اليومية .</t>
  </si>
  <si>
    <t xml:space="preserve">2- الحضور للمدرسة من وقت لآخر والاستفسار عن سلوك أبنائهم ومستواهم التحصيلي ،ودراسة ما قد يعترضهم من مشكلات.                  </t>
  </si>
  <si>
    <t>تنبيه:-</t>
  </si>
  <si>
    <t xml:space="preserve">3- إفادة المدرسة بأسباب الغياب أولاً بأول. </t>
  </si>
  <si>
    <r>
      <t>يجب إعطاء هذه البطاقة للتلميذ فى نهاية كل فترة</t>
    </r>
    <r>
      <rPr>
        <sz val="11"/>
        <color rgb="FF000000"/>
        <rFont val="Calibri"/>
        <family val="2"/>
      </rPr>
      <t xml:space="preserve"> </t>
    </r>
  </si>
  <si>
    <t xml:space="preserve"> 4- الإسراع عند مرض التلميذ لعرضه على الطبيب المختص والالتزام بتعليمات.</t>
  </si>
  <si>
    <t xml:space="preserve">5- تشجيع الابناء على المشاركة فى النشاط المدرسي لانه متمم للعملية التعليمية.        </t>
  </si>
  <si>
    <t xml:space="preserve">  بطاقة تقدير الدرجات للصــــف</t>
  </si>
  <si>
    <t xml:space="preserve"> من التعليم الأساسي</t>
  </si>
  <si>
    <r>
      <rPr>
        <b/>
        <u/>
        <sz val="12"/>
        <color theme="1"/>
        <rFont val="Arial"/>
        <family val="2"/>
        <scheme val="minor"/>
      </rPr>
      <t>الثانية</t>
    </r>
    <r>
      <rPr>
        <b/>
        <sz val="12"/>
        <color theme="1"/>
        <rFont val="Arial"/>
        <family val="2"/>
        <scheme val="minor"/>
      </rPr>
      <t xml:space="preserve"> :  </t>
    </r>
  </si>
  <si>
    <r>
      <t>ملاحظات</t>
    </r>
    <r>
      <rPr>
        <b/>
        <u/>
        <sz val="11"/>
        <color rgb="FF000000"/>
        <rFont val="Calibri"/>
        <family val="2"/>
      </rPr>
      <t xml:space="preserve"> هامــة </t>
    </r>
    <r>
      <rPr>
        <b/>
        <u/>
        <sz val="11"/>
        <color rgb="FF000000"/>
        <rFont val="Calibri"/>
        <family val="2"/>
      </rPr>
      <t>:</t>
    </r>
  </si>
  <si>
    <r>
      <t>لما كان توثيق الصلة بين المدرسة والمنزل أمراً ضرورياً لتؤدي المدرسة رسالتها على الوجه الأكمل فـــــى تنميــة قدرات أبنائنا وترشيد سلوكهم واستثمار طاقاتهم لـــــذا يطلب من الأخوة أولياء الأمور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  <scheme val="minor"/>
      </rPr>
      <t>الاستجابة</t>
    </r>
    <r>
      <rPr>
        <b/>
        <sz val="11"/>
        <color rgb="FF000000"/>
        <rFont val="Calibri"/>
        <family val="2"/>
      </rPr>
      <t xml:space="preserve"> للتوجيهات التالية </t>
    </r>
    <r>
      <rPr>
        <sz val="11"/>
        <color rgb="FF000000"/>
        <rFont val="Calibri"/>
        <family val="2"/>
      </rPr>
      <t xml:space="preserve">:            </t>
    </r>
  </si>
  <si>
    <t>ولي الامر</t>
  </si>
  <si>
    <t>الفترة الثالثة</t>
  </si>
  <si>
    <t>رائد الفصل</t>
  </si>
  <si>
    <t>ولى الامر</t>
  </si>
  <si>
    <t>في حالة غياب الطالب اكتب امامه كلمة غائب</t>
  </si>
  <si>
    <r>
      <t>كل كشط أو تغيير في هذه البطاقة يلغيها.</t>
    </r>
    <r>
      <rPr>
        <b/>
        <i/>
        <sz val="18"/>
        <color rgb="FF000000"/>
        <rFont val="Calibri"/>
        <family val="2"/>
      </rPr>
      <t xml:space="preserve"> </t>
    </r>
  </si>
  <si>
    <t>السلوك</t>
  </si>
  <si>
    <t>الفترة الأولى</t>
  </si>
  <si>
    <t>الغياب</t>
  </si>
  <si>
    <t>مشروع</t>
  </si>
  <si>
    <t>غير مشروع</t>
  </si>
  <si>
    <t>توقيع مدير المدرسة</t>
  </si>
  <si>
    <t>أملاه</t>
  </si>
  <si>
    <t>ملاحظة/ - تكتب الاسماء بخط واضح مطابقة لشهادة الميلاد</t>
  </si>
  <si>
    <t>يشترط لنجاح التلميذ الحصول على 40 % من النهاية الكبرى للمادة</t>
  </si>
  <si>
    <t xml:space="preserve"> اي كشط أو تغيير في هذا الكشف يلغيه</t>
  </si>
  <si>
    <t>يتم ترتيب المواد حسب بطاقة تقدير الدرجات</t>
  </si>
  <si>
    <t>مدير مكتب الامتحانات</t>
  </si>
  <si>
    <t>تراتيب الفترة الثانية</t>
  </si>
  <si>
    <t>جيدجداً</t>
  </si>
  <si>
    <t>تراتيب الفترة الأولى</t>
  </si>
  <si>
    <t>الفترة الأولى 30% من النهاية العظمى لكل مادة</t>
  </si>
  <si>
    <t>الفترة الثانية 30% من النهاية العظمى لكل مادة</t>
  </si>
  <si>
    <t>الفترة الثالثة 40% من النهاية العظمى لكل مادة</t>
  </si>
  <si>
    <r>
      <rPr>
        <b/>
        <u/>
        <sz val="11"/>
        <color theme="1"/>
        <rFont val="Arial"/>
        <family val="2"/>
        <scheme val="minor"/>
      </rPr>
      <t>الأولي</t>
    </r>
    <r>
      <rPr>
        <b/>
        <sz val="11"/>
        <color theme="1"/>
        <rFont val="Arial"/>
        <family val="2"/>
        <scheme val="minor"/>
      </rPr>
      <t xml:space="preserve"> :  </t>
    </r>
  </si>
  <si>
    <t>الثالثة:</t>
  </si>
  <si>
    <t>تراتيب الفترة الثالثة</t>
  </si>
  <si>
    <t>تراتيب النتيجة النهائية</t>
  </si>
  <si>
    <t>شئون التعليم بمنطقة</t>
  </si>
  <si>
    <t>الصف</t>
  </si>
  <si>
    <t>العام الدراسي</t>
  </si>
  <si>
    <t>المرحلة</t>
  </si>
  <si>
    <t>الاساسي</t>
  </si>
  <si>
    <t>المدرسة كائنة بمنطقة</t>
  </si>
  <si>
    <t>اللقب</t>
  </si>
  <si>
    <t>الرقم الوطني</t>
  </si>
  <si>
    <t>مكان الميلاد</t>
  </si>
  <si>
    <t>جنسية الطالب</t>
  </si>
  <si>
    <t>مستجد/ معيد</t>
  </si>
  <si>
    <t>صفة القيد</t>
  </si>
  <si>
    <t xml:space="preserve">بطاقة تقدير الدرجات لمرحلة التعليم </t>
  </si>
  <si>
    <t>للصف</t>
  </si>
  <si>
    <t>هجرية</t>
  </si>
  <si>
    <t>الموافق</t>
  </si>
  <si>
    <t>ميلادية</t>
  </si>
  <si>
    <t>شؤون التعليم بمنطقة</t>
  </si>
  <si>
    <t>مدرســــــــــــــــــــــة</t>
  </si>
  <si>
    <t>الكــــائنة بـ :</t>
  </si>
  <si>
    <t>اسم التلميذ بالكـــامل</t>
  </si>
  <si>
    <t>اللقــــــــب</t>
  </si>
  <si>
    <t>مكان وتاريخ الميلاد</t>
  </si>
  <si>
    <t>اسم الوالدة بالكامل</t>
  </si>
  <si>
    <t>الرقم الوطنــــــــــي</t>
  </si>
  <si>
    <t xml:space="preserve">جنسيـــــة التلمــــيذ </t>
  </si>
  <si>
    <t>مستجد/</t>
  </si>
  <si>
    <t>معيد</t>
  </si>
  <si>
    <t>رائــــــد الصــــــف</t>
  </si>
  <si>
    <t>(يكتب اسم التلميذ مطابقاً لشهادة الميلاد)</t>
  </si>
  <si>
    <t xml:space="preserve">الانتقـــــــــال </t>
  </si>
  <si>
    <t>مدرســــــة</t>
  </si>
  <si>
    <t xml:space="preserve">يعتمد مديرالمدرسة </t>
  </si>
  <si>
    <t>يعتمد مكتب الامتحانات</t>
  </si>
  <si>
    <t>مستجد</t>
  </si>
  <si>
    <t xml:space="preserve">الفترة الثالثة  </t>
  </si>
  <si>
    <t>اكتب الرقم الوطني هنا</t>
  </si>
  <si>
    <t>نظامي</t>
  </si>
  <si>
    <t>غياب الانقطاع</t>
  </si>
  <si>
    <t>أسماء المراجعين</t>
  </si>
  <si>
    <t>المدرسة/</t>
  </si>
  <si>
    <t>تاجوراء</t>
  </si>
  <si>
    <t>اللغة العربية</t>
  </si>
  <si>
    <t>توقيع مدير مكتب الامتحانات</t>
  </si>
  <si>
    <t>تقدير النتيجة النهائية</t>
  </si>
  <si>
    <t xml:space="preserve">الثانية :- </t>
  </si>
  <si>
    <t>الثالث الابتدائي</t>
  </si>
  <si>
    <t>الثالث</t>
  </si>
  <si>
    <t xml:space="preserve">الصف / </t>
  </si>
  <si>
    <t xml:space="preserve">بناء على طلب ولي أمر التلميذ فإن إدارة هذه المدرسة توافق على انتقاله إلــــــى </t>
  </si>
  <si>
    <t>المركز الوطني للامتحانات</t>
  </si>
  <si>
    <t xml:space="preserve">كشف رصد النتائج النهائية للصف الثالث من مرحلة التعليم الاساسي  </t>
  </si>
  <si>
    <t>الحاسوب</t>
  </si>
  <si>
    <t>مكتبة</t>
  </si>
  <si>
    <t>سهول العلم للتعليم الخاص</t>
  </si>
  <si>
    <t>الرياضيات</t>
  </si>
  <si>
    <t>جيد جداً</t>
  </si>
  <si>
    <t>التربية البدنية</t>
  </si>
  <si>
    <t>امجد عمر عبداللطيف سلطان</t>
  </si>
  <si>
    <t>إيلاف نورالدين عياد حسين</t>
  </si>
  <si>
    <t>الحارث مبروك محمد الزوي</t>
  </si>
  <si>
    <t>دانية حسن مفتاح المقوب</t>
  </si>
  <si>
    <t>عبد العاطى احمد محمود محمد</t>
  </si>
  <si>
    <t>عبدالقدوس عزالدين سالم ادريدر</t>
  </si>
  <si>
    <t>فاطمة سالم سالم الورفلى</t>
  </si>
  <si>
    <t>كنان سالم عبد الكريم النفاتى</t>
  </si>
  <si>
    <t>مريم سامى محمد النفاتى</t>
  </si>
  <si>
    <t>مناف عبد اللطيف ضويلة القنوش</t>
  </si>
  <si>
    <t>يزن عبد السلام على الأطوش</t>
  </si>
  <si>
    <t>يوسف انويجى عثمان ابوزويدة</t>
  </si>
  <si>
    <t>ساجدة عبد السلام شعبان بى</t>
  </si>
  <si>
    <t>على عبد السلام شعبان بي</t>
  </si>
  <si>
    <t>هدى فرحات الجعفري</t>
  </si>
  <si>
    <t>ريم احمد ابوبكر النفاتى</t>
  </si>
  <si>
    <t>رويدة محمد عامر النفاتي</t>
  </si>
  <si>
    <t>الهام احمد مصباح</t>
  </si>
  <si>
    <t>سلطان</t>
  </si>
  <si>
    <t>ليبي</t>
  </si>
  <si>
    <t>حسين</t>
  </si>
  <si>
    <t>طرابلس</t>
  </si>
  <si>
    <t>ليبية</t>
  </si>
  <si>
    <t>الزوى</t>
  </si>
  <si>
    <t>هند الصادق عبدالقادر رمضان</t>
  </si>
  <si>
    <t>سيسبان عبدالحكيم الطاهر</t>
  </si>
  <si>
    <t>مروة الدرعي علي البكوش</t>
  </si>
  <si>
    <t>المقوب</t>
  </si>
  <si>
    <t>بي</t>
  </si>
  <si>
    <t>فاطمة السيد محمد امحمد</t>
  </si>
  <si>
    <t>محمد</t>
  </si>
  <si>
    <t>إيمان الطاهر على بن جابر</t>
  </si>
  <si>
    <t>ادريدر</t>
  </si>
  <si>
    <t>الورفلي</t>
  </si>
  <si>
    <t>عفاف ساسي علي علي</t>
  </si>
  <si>
    <t>مروة عيسى محمد</t>
  </si>
  <si>
    <t>النفاتي</t>
  </si>
  <si>
    <t>ابوسليم</t>
  </si>
  <si>
    <t>عائشة احمد محمد النفاتي</t>
  </si>
  <si>
    <t>نعبمة شعبان شعبان</t>
  </si>
  <si>
    <t>حنان محمد احميد ابوعائشة</t>
  </si>
  <si>
    <t>ايلياء محمد عوض الحداد</t>
  </si>
  <si>
    <t>غادة صالح فرج القذافي</t>
  </si>
  <si>
    <t>هاجر مصطفى محمد فرحات</t>
  </si>
  <si>
    <t>القنوش</t>
  </si>
  <si>
    <t>الاطوش</t>
  </si>
  <si>
    <t>الحداد</t>
  </si>
  <si>
    <t>ابوزويدة</t>
  </si>
  <si>
    <t>بنغازي</t>
  </si>
  <si>
    <t>ريمة صالح المختار</t>
  </si>
  <si>
    <t>2025م /2026م</t>
  </si>
  <si>
    <t>1448هـ/1447 هـ</t>
  </si>
  <si>
    <t>د. عبدالرحمن خليفة العريبي</t>
  </si>
  <si>
    <r>
      <t xml:space="preserve">العام الدراسي 1446 - 1447 هجرية/ الموافق :  20254 - 2026 ميلادية   مكتب الامتحانات بمنطقة / </t>
    </r>
    <r>
      <rPr>
        <b/>
        <sz val="9"/>
        <color indexed="8"/>
        <rFont val="Arial"/>
        <family val="2"/>
      </rPr>
      <t>تاجوراء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</si>
</sst>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10000]yyyy/mm/dd;@"/>
    <numFmt numFmtId="165" formatCode="[$-F800]dddd\,\ mmmm\ dd\,\ yyyy"/>
    <numFmt numFmtId="166" formatCode="0.0%"/>
    <numFmt numFmtId="167" formatCode="0.000"/>
  </numFmts>
  <fonts count="72" x14ac:knownFonts="1">
    <font>
      <sz val="11"/>
      <color theme="1"/>
      <name val="Arial"/>
      <family val="2"/>
      <charset val="178"/>
      <scheme val="minor"/>
    </font>
    <font>
      <sz val="8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8"/>
      <color theme="1"/>
      <name val="Arial"/>
      <family val="2"/>
      <scheme val="minor"/>
    </font>
    <font>
      <sz val="7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charset val="178"/>
      <scheme val="minor"/>
    </font>
    <font>
      <sz val="9"/>
      <color theme="1"/>
      <name val="Arial"/>
      <family val="2"/>
      <charset val="178"/>
      <scheme val="minor"/>
    </font>
    <font>
      <sz val="6"/>
      <color theme="1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9"/>
      <color theme="1"/>
      <name val="PT Bold Heading"/>
      <charset val="178"/>
    </font>
    <font>
      <sz val="9"/>
      <color theme="1"/>
      <name val="Arial"/>
      <family val="2"/>
      <scheme val="minor"/>
    </font>
    <font>
      <b/>
      <i/>
      <sz val="20"/>
      <color theme="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b/>
      <i/>
      <sz val="8"/>
      <color theme="1"/>
      <name val="Arial"/>
      <family val="2"/>
      <scheme val="minor"/>
    </font>
    <font>
      <b/>
      <i/>
      <sz val="12"/>
      <color theme="1"/>
      <name val="Led Italic Font"/>
      <charset val="178"/>
    </font>
    <font>
      <b/>
      <sz val="9"/>
      <color theme="1"/>
      <name val="Arial"/>
      <family val="2"/>
      <scheme val="minor"/>
    </font>
    <font>
      <b/>
      <u/>
      <sz val="12"/>
      <color theme="1"/>
      <name val="Arial"/>
      <family val="2"/>
      <scheme val="minor"/>
    </font>
    <font>
      <b/>
      <u/>
      <sz val="11"/>
      <color rgb="FF000000"/>
      <name val="Arial"/>
      <family val="2"/>
      <scheme val="minor"/>
    </font>
    <font>
      <b/>
      <u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u/>
      <sz val="14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rgb="FF000000"/>
      <name val="Calibri"/>
      <family val="2"/>
    </font>
    <font>
      <sz val="12"/>
      <color theme="1"/>
      <name val="Arial"/>
      <family val="2"/>
      <charset val="178"/>
      <scheme val="minor"/>
    </font>
    <font>
      <b/>
      <sz val="9"/>
      <color indexed="8"/>
      <name val="Arial"/>
      <family val="2"/>
    </font>
    <font>
      <b/>
      <i/>
      <sz val="18"/>
      <color rgb="FF000000"/>
      <name val="Arial"/>
      <family val="2"/>
      <scheme val="minor"/>
    </font>
    <font>
      <b/>
      <i/>
      <sz val="18"/>
      <color rgb="FF000000"/>
      <name val="Calibri"/>
      <family val="2"/>
    </font>
    <font>
      <sz val="12"/>
      <color theme="0"/>
      <name val="Arial"/>
      <family val="2"/>
      <scheme val="minor"/>
    </font>
    <font>
      <sz val="18"/>
      <color theme="1"/>
      <name val="Arial"/>
      <family val="2"/>
      <scheme val="minor"/>
    </font>
    <font>
      <b/>
      <sz val="7"/>
      <color theme="1"/>
      <name val="Arial"/>
      <family val="2"/>
      <scheme val="minor"/>
    </font>
    <font>
      <sz val="14"/>
      <color theme="1"/>
      <name val="Arial"/>
      <family val="2"/>
      <charset val="178"/>
      <scheme val="minor"/>
    </font>
    <font>
      <sz val="16"/>
      <color theme="1"/>
      <name val="Arial"/>
      <family val="2"/>
      <charset val="178"/>
      <scheme val="minor"/>
    </font>
    <font>
      <i/>
      <sz val="8"/>
      <color theme="1"/>
      <name val="NSimSun"/>
      <family val="3"/>
    </font>
    <font>
      <b/>
      <u/>
      <sz val="11"/>
      <color theme="1"/>
      <name val="Arial"/>
      <family val="2"/>
      <scheme val="minor"/>
    </font>
    <font>
      <sz val="12"/>
      <color theme="1"/>
      <name val="Bernard MT Condensed"/>
      <family val="1"/>
    </font>
    <font>
      <sz val="28"/>
      <color theme="1"/>
      <name val="Arial"/>
      <family val="2"/>
      <charset val="178"/>
      <scheme val="minor"/>
    </font>
    <font>
      <sz val="7"/>
      <color theme="1"/>
      <name val="Arial"/>
      <family val="2"/>
      <charset val="178"/>
      <scheme val="minor"/>
    </font>
    <font>
      <sz val="24"/>
      <color theme="1"/>
      <name val="Arial"/>
      <family val="2"/>
      <charset val="178"/>
      <scheme val="minor"/>
    </font>
    <font>
      <sz val="24"/>
      <color theme="2" tint="-0.499984740745262"/>
      <name val="Arial"/>
      <family val="2"/>
      <charset val="178"/>
      <scheme val="minor"/>
    </font>
    <font>
      <sz val="24"/>
      <name val="Arial"/>
      <family val="2"/>
      <charset val="178"/>
      <scheme val="minor"/>
    </font>
    <font>
      <i/>
      <sz val="24"/>
      <name val="DecoType Naskh Swashes"/>
      <charset val="178"/>
    </font>
    <font>
      <sz val="22"/>
      <name val="Arial"/>
      <family val="2"/>
      <charset val="178"/>
      <scheme val="minor"/>
    </font>
    <font>
      <sz val="12"/>
      <name val="Bell MT"/>
      <family val="1"/>
    </font>
    <font>
      <sz val="16"/>
      <name val="DecoType Thuluth"/>
      <charset val="178"/>
    </font>
    <font>
      <sz val="16"/>
      <name val="Arial"/>
      <family val="2"/>
      <charset val="178"/>
      <scheme val="minor"/>
    </font>
    <font>
      <sz val="14"/>
      <name val="Bell MT"/>
      <family val="1"/>
    </font>
    <font>
      <sz val="22"/>
      <name val="DecoType Thuluth"/>
      <charset val="178"/>
    </font>
    <font>
      <sz val="18"/>
      <color theme="1"/>
      <name val="Arial"/>
      <family val="2"/>
      <charset val="178"/>
      <scheme val="minor"/>
    </font>
    <font>
      <i/>
      <sz val="22"/>
      <color theme="1"/>
      <name val="DecoType Naskh Swashes"/>
      <charset val="178"/>
    </font>
    <font>
      <sz val="20"/>
      <color theme="1"/>
      <name val="DecoType Naskh Variants"/>
      <charset val="178"/>
    </font>
    <font>
      <sz val="20"/>
      <color theme="1"/>
      <name val="Arial"/>
      <family val="2"/>
      <charset val="178"/>
      <scheme val="minor"/>
    </font>
    <font>
      <sz val="14"/>
      <color theme="1"/>
      <name val="Constantia"/>
      <family val="1"/>
    </font>
    <font>
      <sz val="15"/>
      <color theme="1"/>
      <name val="Arial"/>
      <family val="2"/>
      <charset val="178"/>
      <scheme val="minor"/>
    </font>
    <font>
      <sz val="12"/>
      <color theme="1"/>
      <name val="Andalus"/>
      <family val="1"/>
    </font>
    <font>
      <sz val="16"/>
      <color theme="1"/>
      <name val="Andalus"/>
      <family val="1"/>
    </font>
    <font>
      <sz val="16"/>
      <color theme="1"/>
      <name val="Arial"/>
      <family val="2"/>
    </font>
    <font>
      <b/>
      <i/>
      <sz val="8"/>
      <color theme="1"/>
      <name val="Arial"/>
      <family val="2"/>
      <charset val="178"/>
      <scheme val="minor"/>
    </font>
    <font>
      <sz val="26"/>
      <color theme="1"/>
      <name val="Arial"/>
      <family val="2"/>
      <charset val="178"/>
      <scheme val="minor"/>
    </font>
    <font>
      <b/>
      <i/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6"/>
      <color theme="1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sz val="18"/>
      <color theme="1"/>
      <name val="DecoType Naskh Variants"/>
      <charset val="178"/>
    </font>
    <font>
      <b/>
      <sz val="8"/>
      <color theme="1"/>
      <name val="Arial"/>
      <family val="2"/>
      <scheme val="minor"/>
    </font>
    <font>
      <sz val="9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double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9" fontId="2" fillId="0" borderId="0" applyFont="0" applyFill="0" applyBorder="0" applyAlignment="0" applyProtection="0"/>
  </cellStyleXfs>
  <cellXfs count="788">
    <xf numFmtId="0" fontId="0" fillId="0" borderId="0" xfId="0"/>
    <xf numFmtId="0" fontId="0" fillId="0" borderId="0" xfId="0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20" xfId="0" applyFont="1" applyBorder="1" applyAlignment="1">
      <alignment vertical="center"/>
    </xf>
    <xf numFmtId="0" fontId="0" fillId="0" borderId="44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shrinkToFit="1"/>
    </xf>
    <xf numFmtId="0" fontId="15" fillId="0" borderId="0" xfId="1" applyFont="1" applyAlignment="1">
      <alignment vertical="center" shrinkToFit="1"/>
    </xf>
    <xf numFmtId="0" fontId="5" fillId="0" borderId="0" xfId="0" applyFont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4" fillId="0" borderId="0" xfId="1" applyFont="1"/>
    <xf numFmtId="0" fontId="12" fillId="0" borderId="0" xfId="1" applyFont="1" applyAlignment="1">
      <alignment vertical="center"/>
    </xf>
    <xf numFmtId="0" fontId="12" fillId="0" borderId="0" xfId="1" applyFont="1" applyAlignment="1">
      <alignment horizontal="center" vertical="center"/>
    </xf>
    <xf numFmtId="0" fontId="0" fillId="0" borderId="22" xfId="0" applyBorder="1"/>
    <xf numFmtId="0" fontId="6" fillId="0" borderId="0" xfId="0" applyFont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/>
    </xf>
    <xf numFmtId="0" fontId="5" fillId="0" borderId="0" xfId="0" applyFont="1"/>
    <xf numFmtId="0" fontId="5" fillId="0" borderId="57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4" xfId="0" applyBorder="1"/>
    <xf numFmtId="0" fontId="11" fillId="0" borderId="20" xfId="0" applyFont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0" fontId="11" fillId="0" borderId="65" xfId="0" applyFont="1" applyBorder="1" applyAlignment="1">
      <alignment vertical="center" wrapText="1"/>
    </xf>
    <xf numFmtId="0" fontId="11" fillId="0" borderId="65" xfId="0" applyFont="1" applyBorder="1" applyAlignment="1">
      <alignment wrapText="1"/>
    </xf>
    <xf numFmtId="0" fontId="3" fillId="0" borderId="6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shrinkToFit="1"/>
    </xf>
    <xf numFmtId="0" fontId="5" fillId="4" borderId="32" xfId="0" applyFont="1" applyFill="1" applyBorder="1" applyAlignment="1">
      <alignment horizontal="center" vertical="center" shrinkToFit="1"/>
    </xf>
    <xf numFmtId="0" fontId="5" fillId="2" borderId="30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5" fillId="4" borderId="33" xfId="0" applyFont="1" applyFill="1" applyBorder="1" applyAlignment="1">
      <alignment horizontal="center" vertical="center" shrinkToFit="1"/>
    </xf>
    <xf numFmtId="0" fontId="16" fillId="5" borderId="35" xfId="0" applyFont="1" applyFill="1" applyBorder="1" applyAlignment="1">
      <alignment horizontal="center" vertical="center"/>
    </xf>
    <xf numFmtId="0" fontId="6" fillId="5" borderId="35" xfId="0" applyFont="1" applyFill="1" applyBorder="1" applyAlignment="1">
      <alignment horizontal="center" vertical="center"/>
    </xf>
    <xf numFmtId="0" fontId="6" fillId="5" borderId="68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1" fillId="0" borderId="59" xfId="0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0" fontId="21" fillId="4" borderId="61" xfId="0" applyFont="1" applyFill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0" fillId="0" borderId="82" xfId="0" applyBorder="1"/>
    <xf numFmtId="0" fontId="0" fillId="0" borderId="20" xfId="0" applyBorder="1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0" fillId="0" borderId="83" xfId="0" applyBorder="1"/>
    <xf numFmtId="0" fontId="0" fillId="0" borderId="86" xfId="0" applyBorder="1" applyAlignment="1">
      <alignment vertical="center"/>
    </xf>
    <xf numFmtId="0" fontId="11" fillId="0" borderId="23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 shrinkToFit="1"/>
    </xf>
    <xf numFmtId="0" fontId="8" fillId="0" borderId="0" xfId="0" applyFont="1" applyAlignment="1">
      <alignment horizontal="center" vertical="center" shrinkToFit="1"/>
    </xf>
    <xf numFmtId="1" fontId="0" fillId="0" borderId="0" xfId="0" applyNumberFormat="1" applyAlignment="1">
      <alignment horizontal="center" vertical="center"/>
    </xf>
    <xf numFmtId="0" fontId="1" fillId="0" borderId="0" xfId="0" applyFont="1"/>
    <xf numFmtId="0" fontId="37" fillId="0" borderId="0" xfId="0" applyFont="1"/>
    <xf numFmtId="0" fontId="1" fillId="0" borderId="6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7" fillId="0" borderId="21" xfId="0" applyFont="1" applyBorder="1" applyAlignment="1" applyProtection="1">
      <alignment horizontal="center" vertical="center"/>
      <protection locked="0" hidden="1"/>
    </xf>
    <xf numFmtId="0" fontId="7" fillId="0" borderId="0" xfId="0" applyFont="1" applyAlignment="1">
      <alignment horizontal="center" vertical="center"/>
    </xf>
    <xf numFmtId="0" fontId="11" fillId="0" borderId="21" xfId="0" applyFont="1" applyBorder="1" applyAlignment="1" applyProtection="1">
      <alignment horizontal="center" vertical="center"/>
      <protection locked="0" hidden="1"/>
    </xf>
    <xf numFmtId="0" fontId="11" fillId="0" borderId="0" xfId="0" applyFont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1" fontId="0" fillId="0" borderId="17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15" fillId="0" borderId="0" xfId="1" applyFont="1" applyAlignment="1">
      <alignment horizontal="center" vertical="center" shrinkToFit="1"/>
    </xf>
    <xf numFmtId="0" fontId="8" fillId="0" borderId="5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 shrinkToFit="1"/>
    </xf>
    <xf numFmtId="0" fontId="1" fillId="0" borderId="16" xfId="0" applyFont="1" applyBorder="1" applyAlignment="1">
      <alignment horizontal="center" vertical="center" wrapText="1" shrinkToFit="1"/>
    </xf>
    <xf numFmtId="0" fontId="8" fillId="0" borderId="33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 applyProtection="1">
      <alignment shrinkToFit="1"/>
      <protection locked="0" hidden="1"/>
    </xf>
    <xf numFmtId="0" fontId="6" fillId="0" borderId="3" xfId="0" applyFont="1" applyBorder="1" applyAlignment="1">
      <alignment horizontal="right" vertical="center" shrinkToFit="1"/>
    </xf>
    <xf numFmtId="0" fontId="16" fillId="0" borderId="6" xfId="0" applyFont="1" applyBorder="1" applyAlignment="1">
      <alignment horizontal="center" vertical="center" shrinkToFit="1"/>
    </xf>
    <xf numFmtId="0" fontId="5" fillId="0" borderId="0" xfId="0" applyFont="1" applyAlignment="1">
      <alignment shrinkToFit="1"/>
    </xf>
    <xf numFmtId="0" fontId="0" fillId="0" borderId="24" xfId="0" applyBorder="1" applyAlignment="1">
      <alignment shrinkToFit="1"/>
    </xf>
    <xf numFmtId="0" fontId="0" fillId="0" borderId="72" xfId="0" applyBorder="1" applyAlignment="1">
      <alignment shrinkToFit="1"/>
    </xf>
    <xf numFmtId="0" fontId="11" fillId="0" borderId="65" xfId="0" applyFont="1" applyBorder="1" applyAlignment="1">
      <alignment shrinkToFit="1"/>
    </xf>
    <xf numFmtId="0" fontId="11" fillId="0" borderId="87" xfId="0" applyFont="1" applyBorder="1" applyAlignment="1">
      <alignment shrinkToFit="1"/>
    </xf>
    <xf numFmtId="0" fontId="0" fillId="0" borderId="0" xfId="0" applyAlignment="1">
      <alignment shrinkToFit="1"/>
    </xf>
    <xf numFmtId="0" fontId="21" fillId="0" borderId="67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shrinkToFit="1"/>
    </xf>
    <xf numFmtId="0" fontId="16" fillId="0" borderId="59" xfId="0" applyFont="1" applyBorder="1" applyAlignment="1">
      <alignment horizontal="center" vertical="center" wrapText="1"/>
    </xf>
    <xf numFmtId="0" fontId="16" fillId="0" borderId="57" xfId="0" applyFont="1" applyBorder="1" applyAlignment="1">
      <alignment horizontal="center" vertical="center" wrapText="1"/>
    </xf>
    <xf numFmtId="0" fontId="16" fillId="0" borderId="76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right" vertical="center" shrinkToFit="1"/>
    </xf>
    <xf numFmtId="0" fontId="0" fillId="0" borderId="23" xfId="0" applyBorder="1"/>
    <xf numFmtId="0" fontId="0" fillId="0" borderId="21" xfId="0" applyBorder="1"/>
    <xf numFmtId="0" fontId="8" fillId="0" borderId="7" xfId="0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10" fillId="0" borderId="8" xfId="0" applyFont="1" applyBorder="1" applyAlignment="1">
      <alignment horizontal="center" vertical="center" shrinkToFit="1"/>
    </xf>
    <xf numFmtId="0" fontId="8" fillId="0" borderId="47" xfId="0" applyFont="1" applyBorder="1" applyAlignment="1">
      <alignment vertical="center" shrinkToFit="1"/>
    </xf>
    <xf numFmtId="0" fontId="1" fillId="0" borderId="36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1" fillId="0" borderId="13" xfId="0" applyFont="1" applyBorder="1" applyAlignment="1">
      <alignment horizontal="center" vertical="center" shrinkToFit="1"/>
    </xf>
    <xf numFmtId="0" fontId="10" fillId="0" borderId="36" xfId="0" applyFont="1" applyBorder="1" applyAlignment="1">
      <alignment horizontal="center" vertical="center" shrinkToFit="1"/>
    </xf>
    <xf numFmtId="0" fontId="10" fillId="0" borderId="2" xfId="0" applyFont="1" applyBorder="1" applyAlignment="1">
      <alignment horizontal="center" vertical="center" shrinkToFit="1"/>
    </xf>
    <xf numFmtId="0" fontId="0" fillId="0" borderId="93" xfId="0" applyBorder="1"/>
    <xf numFmtId="0" fontId="21" fillId="0" borderId="57" xfId="0" applyFont="1" applyBorder="1" applyAlignment="1">
      <alignment horizontal="center" vertical="center"/>
    </xf>
    <xf numFmtId="0" fontId="21" fillId="0" borderId="59" xfId="0" applyFont="1" applyBorder="1" applyAlignment="1">
      <alignment horizontal="center" vertical="center" wrapText="1"/>
    </xf>
    <xf numFmtId="0" fontId="16" fillId="0" borderId="57" xfId="0" applyFont="1" applyBorder="1" applyAlignment="1">
      <alignment horizontal="center" vertical="center"/>
    </xf>
    <xf numFmtId="0" fontId="16" fillId="0" borderId="22" xfId="0" applyFont="1" applyBorder="1"/>
    <xf numFmtId="0" fontId="16" fillId="0" borderId="63" xfId="0" applyFont="1" applyBorder="1" applyAlignment="1">
      <alignment horizontal="center" vertical="center"/>
    </xf>
    <xf numFmtId="0" fontId="16" fillId="0" borderId="61" xfId="0" applyFont="1" applyBorder="1" applyAlignment="1">
      <alignment horizontal="center" vertical="center"/>
    </xf>
    <xf numFmtId="0" fontId="9" fillId="0" borderId="22" xfId="0" applyFont="1" applyBorder="1"/>
    <xf numFmtId="0" fontId="16" fillId="0" borderId="22" xfId="0" applyFont="1" applyBorder="1" applyAlignment="1">
      <alignment vertical="center" wrapText="1"/>
    </xf>
    <xf numFmtId="0" fontId="16" fillId="0" borderId="64" xfId="0" applyFont="1" applyBorder="1" applyAlignment="1">
      <alignment vertical="center" wrapText="1"/>
    </xf>
    <xf numFmtId="0" fontId="9" fillId="0" borderId="0" xfId="0" applyFont="1"/>
    <xf numFmtId="0" fontId="0" fillId="0" borderId="35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4" fillId="0" borderId="0" xfId="1" applyFont="1" applyAlignment="1">
      <alignment horizontal="center" vertical="center" wrapText="1"/>
    </xf>
    <xf numFmtId="0" fontId="7" fillId="5" borderId="35" xfId="0" applyFont="1" applyFill="1" applyBorder="1" applyAlignment="1">
      <alignment horizontal="center" vertical="center"/>
    </xf>
    <xf numFmtId="0" fontId="12" fillId="5" borderId="35" xfId="0" applyFont="1" applyFill="1" applyBorder="1" applyAlignment="1">
      <alignment horizontal="center" vertical="center"/>
    </xf>
    <xf numFmtId="0" fontId="12" fillId="5" borderId="68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vertical="center" wrapText="1"/>
    </xf>
    <xf numFmtId="0" fontId="7" fillId="0" borderId="65" xfId="0" applyFont="1" applyBorder="1" applyAlignment="1">
      <alignment vertical="center" wrapText="1"/>
    </xf>
    <xf numFmtId="0" fontId="30" fillId="0" borderId="84" xfId="0" applyFont="1" applyBorder="1" applyAlignment="1">
      <alignment shrinkToFit="1"/>
    </xf>
    <xf numFmtId="0" fontId="5" fillId="0" borderId="1" xfId="0" applyFont="1" applyBorder="1" applyAlignment="1">
      <alignment horizontal="center" vertical="center" shrinkToFit="1"/>
    </xf>
    <xf numFmtId="0" fontId="5" fillId="0" borderId="74" xfId="0" applyFont="1" applyBorder="1" applyAlignment="1">
      <alignment horizontal="center" vertical="center" shrinkToFit="1"/>
    </xf>
    <xf numFmtId="0" fontId="30" fillId="0" borderId="24" xfId="0" applyFont="1" applyBorder="1" applyAlignment="1">
      <alignment shrinkToFit="1"/>
    </xf>
    <xf numFmtId="0" fontId="30" fillId="0" borderId="72" xfId="0" applyFont="1" applyBorder="1" applyAlignment="1">
      <alignment shrinkToFit="1"/>
    </xf>
    <xf numFmtId="0" fontId="5" fillId="0" borderId="65" xfId="0" applyFont="1" applyBorder="1" applyAlignment="1">
      <alignment shrinkToFit="1"/>
    </xf>
    <xf numFmtId="0" fontId="5" fillId="0" borderId="87" xfId="0" applyFont="1" applyBorder="1" applyAlignment="1">
      <alignment shrinkToFit="1"/>
    </xf>
    <xf numFmtId="0" fontId="30" fillId="0" borderId="0" xfId="0" applyFont="1" applyAlignment="1">
      <alignment shrinkToFit="1"/>
    </xf>
    <xf numFmtId="0" fontId="0" fillId="0" borderId="1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43" fillId="0" borderId="0" xfId="0" applyFont="1" applyAlignment="1">
      <alignment horizontal="center" vertical="center" wrapText="1"/>
    </xf>
    <xf numFmtId="0" fontId="37" fillId="3" borderId="0" xfId="0" applyFont="1" applyFill="1" applyAlignment="1">
      <alignment horizontal="center" wrapText="1"/>
    </xf>
    <xf numFmtId="0" fontId="1" fillId="0" borderId="82" xfId="0" applyFont="1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0" fillId="0" borderId="87" xfId="0" applyBorder="1" applyAlignment="1">
      <alignment horizontal="center" vertical="center"/>
    </xf>
    <xf numFmtId="0" fontId="1" fillId="0" borderId="95" xfId="0" applyFont="1" applyBorder="1" applyAlignment="1">
      <alignment horizontal="center" vertical="center"/>
    </xf>
    <xf numFmtId="0" fontId="9" fillId="0" borderId="76" xfId="0" applyFont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44" fillId="0" borderId="19" xfId="0" applyFont="1" applyBorder="1" applyProtection="1">
      <protection locked="0" hidden="1"/>
    </xf>
    <xf numFmtId="0" fontId="44" fillId="0" borderId="21" xfId="0" applyFont="1" applyBorder="1"/>
    <xf numFmtId="0" fontId="44" fillId="0" borderId="0" xfId="0" applyFont="1"/>
    <xf numFmtId="0" fontId="48" fillId="0" borderId="22" xfId="0" applyFont="1" applyBorder="1" applyAlignment="1">
      <alignment horizontal="left" vertical="center"/>
    </xf>
    <xf numFmtId="0" fontId="53" fillId="0" borderId="23" xfId="0" applyFont="1" applyBorder="1" applyAlignment="1">
      <alignment vertical="center"/>
    </xf>
    <xf numFmtId="0" fontId="54" fillId="0" borderId="22" xfId="0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0" fontId="57" fillId="0" borderId="0" xfId="0" applyFont="1"/>
    <xf numFmtId="0" fontId="37" fillId="0" borderId="23" xfId="0" applyFont="1" applyBorder="1" applyAlignment="1">
      <alignment horizontal="center" vertical="center"/>
    </xf>
    <xf numFmtId="0" fontId="59" fillId="0" borderId="0" xfId="0" applyFont="1"/>
    <xf numFmtId="0" fontId="57" fillId="0" borderId="22" xfId="0" applyFont="1" applyBorder="1" applyAlignment="1" applyProtection="1">
      <alignment horizontal="center" vertical="center"/>
      <protection locked="0" hidden="1"/>
    </xf>
    <xf numFmtId="0" fontId="57" fillId="0" borderId="23" xfId="0" applyFont="1" applyBorder="1" applyProtection="1">
      <protection locked="0" hidden="1"/>
    </xf>
    <xf numFmtId="0" fontId="44" fillId="0" borderId="22" xfId="0" applyFont="1" applyBorder="1" applyAlignment="1">
      <alignment horizontal="center" vertical="center"/>
    </xf>
    <xf numFmtId="0" fontId="44" fillId="0" borderId="23" xfId="0" applyFont="1" applyBorder="1"/>
    <xf numFmtId="0" fontId="44" fillId="0" borderId="64" xfId="0" applyFont="1" applyBorder="1" applyAlignment="1">
      <alignment horizontal="center" vertical="center"/>
    </xf>
    <xf numFmtId="0" fontId="44" fillId="0" borderId="65" xfId="0" applyFont="1" applyBorder="1"/>
    <xf numFmtId="0" fontId="44" fillId="0" borderId="66" xfId="0" applyFont="1" applyBorder="1"/>
    <xf numFmtId="0" fontId="60" fillId="0" borderId="1" xfId="0" applyFont="1" applyBorder="1" applyAlignment="1">
      <alignment horizontal="center" vertical="center"/>
    </xf>
    <xf numFmtId="164" fontId="1" fillId="0" borderId="49" xfId="0" applyNumberFormat="1" applyFont="1" applyBorder="1" applyAlignment="1">
      <alignment horizontal="center" vertical="center" wrapText="1"/>
    </xf>
    <xf numFmtId="164" fontId="1" fillId="0" borderId="50" xfId="0" applyNumberFormat="1" applyFont="1" applyBorder="1" applyAlignment="1">
      <alignment horizontal="center" vertical="center" wrapText="1"/>
    </xf>
    <xf numFmtId="164" fontId="1" fillId="0" borderId="51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88" xfId="0" applyFont="1" applyBorder="1" applyAlignment="1">
      <alignment horizontal="center" vertical="center" wrapText="1"/>
    </xf>
    <xf numFmtId="0" fontId="14" fillId="0" borderId="0" xfId="1" applyFont="1" applyAlignment="1">
      <alignment horizontal="center" vertical="center"/>
    </xf>
    <xf numFmtId="0" fontId="14" fillId="0" borderId="0" xfId="1" applyFont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 shrinkToFit="1"/>
    </xf>
    <xf numFmtId="0" fontId="1" fillId="7" borderId="1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 shrinkToFi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7" borderId="32" xfId="0" applyFont="1" applyFill="1" applyBorder="1" applyAlignment="1">
      <alignment horizontal="center" vertical="center" shrinkToFit="1"/>
    </xf>
    <xf numFmtId="0" fontId="1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4" fillId="7" borderId="33" xfId="0" applyFont="1" applyFill="1" applyBorder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16" fillId="0" borderId="0" xfId="0" applyFont="1" applyAlignment="1">
      <alignment vertical="center"/>
    </xf>
    <xf numFmtId="0" fontId="16" fillId="9" borderId="6" xfId="0" applyFont="1" applyFill="1" applyBorder="1" applyAlignment="1">
      <alignment horizontal="center" vertical="center" shrinkToFit="1"/>
    </xf>
    <xf numFmtId="0" fontId="14" fillId="9" borderId="33" xfId="0" applyFont="1" applyFill="1" applyBorder="1" applyAlignment="1">
      <alignment horizontal="center" vertical="center"/>
    </xf>
    <xf numFmtId="0" fontId="14" fillId="10" borderId="33" xfId="0" applyFont="1" applyFill="1" applyBorder="1" applyAlignment="1">
      <alignment horizontal="center" vertical="center"/>
    </xf>
    <xf numFmtId="0" fontId="16" fillId="10" borderId="85" xfId="0" applyFont="1" applyFill="1" applyBorder="1" applyAlignment="1">
      <alignment horizontal="center" vertical="center"/>
    </xf>
    <xf numFmtId="0" fontId="16" fillId="10" borderId="32" xfId="0" applyFont="1" applyFill="1" applyBorder="1" applyAlignment="1">
      <alignment horizontal="center" vertical="center"/>
    </xf>
    <xf numFmtId="0" fontId="16" fillId="10" borderId="34" xfId="0" applyFont="1" applyFill="1" applyBorder="1" applyAlignment="1">
      <alignment horizontal="center" vertical="center"/>
    </xf>
    <xf numFmtId="0" fontId="16" fillId="9" borderId="32" xfId="0" applyFont="1" applyFill="1" applyBorder="1" applyAlignment="1">
      <alignment horizontal="center" vertical="center"/>
    </xf>
    <xf numFmtId="0" fontId="16" fillId="9" borderId="34" xfId="0" applyFont="1" applyFill="1" applyBorder="1" applyAlignment="1">
      <alignment horizontal="center" vertical="center"/>
    </xf>
    <xf numFmtId="0" fontId="16" fillId="9" borderId="105" xfId="0" applyFont="1" applyFill="1" applyBorder="1" applyAlignment="1">
      <alignment horizontal="center" vertical="center"/>
    </xf>
    <xf numFmtId="0" fontId="16" fillId="8" borderId="32" xfId="0" applyFont="1" applyFill="1" applyBorder="1" applyAlignment="1">
      <alignment horizontal="center" vertical="center"/>
    </xf>
    <xf numFmtId="0" fontId="16" fillId="8" borderId="34" xfId="0" applyFont="1" applyFill="1" applyBorder="1" applyAlignment="1">
      <alignment horizontal="center" vertical="center"/>
    </xf>
    <xf numFmtId="0" fontId="14" fillId="0" borderId="0" xfId="1" applyFont="1" applyAlignment="1">
      <alignment horizontal="center"/>
    </xf>
    <xf numFmtId="167" fontId="0" fillId="0" borderId="0" xfId="0" applyNumberFormat="1" applyAlignment="1">
      <alignment horizontal="center" vertical="center" wrapText="1"/>
    </xf>
    <xf numFmtId="167" fontId="16" fillId="0" borderId="0" xfId="0" applyNumberFormat="1" applyFont="1" applyAlignment="1">
      <alignment horizontal="center" vertical="center" wrapText="1"/>
    </xf>
    <xf numFmtId="0" fontId="8" fillId="0" borderId="32" xfId="0" applyFont="1" applyBorder="1" applyAlignment="1">
      <alignment horizontal="center" vertical="center" shrinkToFit="1"/>
    </xf>
    <xf numFmtId="0" fontId="14" fillId="0" borderId="0" xfId="1" applyFont="1" applyAlignment="1">
      <alignment vertical="center" textRotation="90"/>
    </xf>
    <xf numFmtId="0" fontId="2" fillId="0" borderId="53" xfId="0" applyFont="1" applyBorder="1" applyAlignment="1">
      <alignment horizontal="center" vertical="center" textRotation="90"/>
    </xf>
    <xf numFmtId="9" fontId="2" fillId="0" borderId="0" xfId="2" applyFont="1" applyFill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 textRotation="90"/>
    </xf>
    <xf numFmtId="0" fontId="37" fillId="0" borderId="0" xfId="0" applyFont="1" applyAlignment="1">
      <alignment wrapText="1"/>
    </xf>
    <xf numFmtId="0" fontId="1" fillId="0" borderId="0" xfId="0" applyFont="1" applyAlignment="1">
      <alignment wrapText="1"/>
    </xf>
    <xf numFmtId="164" fontId="0" fillId="0" borderId="0" xfId="0" applyNumberFormat="1" applyAlignment="1">
      <alignment vertical="center" wrapText="1"/>
    </xf>
    <xf numFmtId="0" fontId="14" fillId="0" borderId="0" xfId="1" applyFont="1" applyAlignment="1">
      <alignment vertical="center"/>
    </xf>
    <xf numFmtId="0" fontId="37" fillId="0" borderId="62" xfId="0" applyFont="1" applyBorder="1" applyAlignment="1">
      <alignment horizontal="left" vertical="center"/>
    </xf>
    <xf numFmtId="0" fontId="16" fillId="0" borderId="107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21" fillId="0" borderId="51" xfId="0" applyFont="1" applyBorder="1" applyAlignment="1">
      <alignment horizontal="center" vertical="center"/>
    </xf>
    <xf numFmtId="0" fontId="67" fillId="0" borderId="0" xfId="1" applyFont="1" applyAlignment="1">
      <alignment vertical="center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32" xfId="0" applyFont="1" applyBorder="1" applyAlignment="1">
      <alignment wrapText="1"/>
    </xf>
    <xf numFmtId="0" fontId="1" fillId="0" borderId="34" xfId="0" applyFont="1" applyBorder="1" applyAlignment="1">
      <alignment wrapText="1"/>
    </xf>
    <xf numFmtId="0" fontId="13" fillId="0" borderId="40" xfId="0" applyFont="1" applyBorder="1" applyAlignment="1">
      <alignment horizontal="center" vertical="center" shrinkToFit="1"/>
    </xf>
    <xf numFmtId="0" fontId="13" fillId="0" borderId="89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 textRotation="90" wrapText="1"/>
    </xf>
    <xf numFmtId="0" fontId="0" fillId="0" borderId="42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16" fillId="0" borderId="0" xfId="0" applyFont="1" applyAlignment="1">
      <alignment horizontal="center" vertical="center" shrinkToFit="1"/>
    </xf>
    <xf numFmtId="0" fontId="30" fillId="0" borderId="0" xfId="0" applyFont="1" applyAlignment="1">
      <alignment vertical="center" shrinkToFit="1"/>
    </xf>
    <xf numFmtId="0" fontId="16" fillId="0" borderId="3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23" xfId="0" applyFont="1" applyBorder="1" applyAlignment="1" applyProtection="1">
      <alignment horizontal="center" vertical="center"/>
      <protection locked="0" hidden="1"/>
    </xf>
    <xf numFmtId="0" fontId="5" fillId="0" borderId="24" xfId="0" applyFont="1" applyBorder="1" applyAlignment="1">
      <alignment horizontal="center" vertical="center"/>
    </xf>
    <xf numFmtId="0" fontId="5" fillId="0" borderId="26" xfId="0" applyFont="1" applyBorder="1" applyAlignment="1" applyProtection="1">
      <alignment horizontal="center" vertical="center"/>
      <protection locked="0" hidden="1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 wrapText="1"/>
    </xf>
    <xf numFmtId="0" fontId="5" fillId="0" borderId="72" xfId="0" applyFont="1" applyBorder="1" applyAlignment="1">
      <alignment horizontal="center" vertical="center"/>
    </xf>
    <xf numFmtId="165" fontId="5" fillId="0" borderId="66" xfId="0" applyNumberFormat="1" applyFont="1" applyBorder="1" applyAlignment="1" applyProtection="1">
      <alignment horizontal="center" vertical="center"/>
      <protection locked="0" hidden="1"/>
    </xf>
    <xf numFmtId="0" fontId="5" fillId="0" borderId="21" xfId="0" applyFont="1" applyBorder="1" applyAlignment="1" applyProtection="1">
      <alignment horizontal="center" vertical="center"/>
      <protection locked="0" hidden="1"/>
    </xf>
    <xf numFmtId="0" fontId="5" fillId="0" borderId="25" xfId="0" applyFont="1" applyBorder="1" applyAlignment="1" applyProtection="1">
      <alignment horizontal="center" vertical="center"/>
      <protection locked="0" hidden="1"/>
    </xf>
    <xf numFmtId="165" fontId="5" fillId="0" borderId="28" xfId="0" applyNumberFormat="1" applyFont="1" applyBorder="1" applyAlignment="1" applyProtection="1">
      <alignment horizontal="center" vertical="center"/>
      <protection locked="0" hidden="1"/>
    </xf>
    <xf numFmtId="0" fontId="8" fillId="0" borderId="106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9" borderId="6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8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6" fillId="9" borderId="32" xfId="0" applyFont="1" applyFill="1" applyBorder="1" applyAlignment="1">
      <alignment horizontal="center" vertical="center" shrinkToFit="1"/>
    </xf>
    <xf numFmtId="0" fontId="8" fillId="0" borderId="106" xfId="0" applyFont="1" applyBorder="1" applyAlignment="1">
      <alignment horizontal="center" vertical="center" shrinkToFit="1"/>
    </xf>
    <xf numFmtId="0" fontId="8" fillId="0" borderId="37" xfId="0" applyFont="1" applyBorder="1" applyAlignment="1">
      <alignment horizontal="center" vertical="center" shrinkToFit="1"/>
    </xf>
    <xf numFmtId="0" fontId="8" fillId="0" borderId="70" xfId="0" applyFont="1" applyBorder="1" applyAlignment="1">
      <alignment horizontal="center" vertical="center" shrinkToFit="1"/>
    </xf>
    <xf numFmtId="0" fontId="8" fillId="0" borderId="108" xfId="0" applyFont="1" applyBorder="1" applyAlignment="1">
      <alignment horizontal="center" vertical="center" shrinkToFit="1"/>
    </xf>
    <xf numFmtId="0" fontId="8" fillId="0" borderId="31" xfId="0" applyFont="1" applyBorder="1" applyAlignment="1">
      <alignment horizontal="center" vertical="center" shrinkToFit="1"/>
    </xf>
    <xf numFmtId="0" fontId="8" fillId="0" borderId="45" xfId="0" applyFont="1" applyBorder="1" applyAlignment="1">
      <alignment horizontal="center" vertical="center" shrinkToFit="1"/>
    </xf>
    <xf numFmtId="0" fontId="8" fillId="0" borderId="42" xfId="0" applyFont="1" applyBorder="1" applyAlignment="1">
      <alignment horizontal="center" vertical="center" shrinkToFit="1"/>
    </xf>
    <xf numFmtId="0" fontId="8" fillId="0" borderId="29" xfId="0" applyFont="1" applyBorder="1" applyAlignment="1">
      <alignment horizontal="center" vertical="center" shrinkToFit="1"/>
    </xf>
    <xf numFmtId="0" fontId="8" fillId="0" borderId="35" xfId="0" applyFont="1" applyBorder="1" applyAlignment="1">
      <alignment horizontal="center" vertical="center" shrinkToFit="1"/>
    </xf>
    <xf numFmtId="0" fontId="8" fillId="0" borderId="9" xfId="0" applyFont="1" applyBorder="1" applyAlignment="1">
      <alignment horizontal="center" vertical="center" shrinkToFit="1"/>
    </xf>
    <xf numFmtId="0" fontId="8" fillId="0" borderId="2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0" borderId="61" xfId="0" applyFont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 wrapText="1"/>
    </xf>
    <xf numFmtId="165" fontId="8" fillId="0" borderId="23" xfId="0" applyNumberFormat="1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right" vertical="center"/>
    </xf>
    <xf numFmtId="0" fontId="57" fillId="0" borderId="23" xfId="0" applyFont="1" applyBorder="1" applyAlignment="1">
      <alignment horizontal="center" vertical="center"/>
    </xf>
    <xf numFmtId="0" fontId="16" fillId="0" borderId="108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9" borderId="33" xfId="0" applyFont="1" applyFill="1" applyBorder="1" applyAlignment="1">
      <alignment horizontal="center" vertical="center"/>
    </xf>
    <xf numFmtId="0" fontId="16" fillId="7" borderId="33" xfId="0" applyFont="1" applyFill="1" applyBorder="1" applyAlignment="1">
      <alignment horizontal="center" vertical="center"/>
    </xf>
    <xf numFmtId="0" fontId="16" fillId="10" borderId="33" xfId="0" applyFont="1" applyFill="1" applyBorder="1" applyAlignment="1">
      <alignment horizontal="center" vertical="center"/>
    </xf>
    <xf numFmtId="0" fontId="16" fillId="8" borderId="44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9" xfId="0" applyFont="1" applyBorder="1" applyAlignment="1">
      <alignment horizontal="center" vertical="center"/>
    </xf>
    <xf numFmtId="0" fontId="1" fillId="0" borderId="108" xfId="0" applyFont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0" fontId="1" fillId="10" borderId="43" xfId="0" applyFont="1" applyFill="1" applyBorder="1" applyAlignment="1">
      <alignment horizontal="center" vertical="center" shrinkToFit="1"/>
    </xf>
    <xf numFmtId="0" fontId="1" fillId="10" borderId="30" xfId="0" applyFont="1" applyFill="1" applyBorder="1" applyAlignment="1">
      <alignment horizontal="center" vertical="center" shrinkToFit="1"/>
    </xf>
    <xf numFmtId="0" fontId="16" fillId="10" borderId="30" xfId="0" applyFont="1" applyFill="1" applyBorder="1" applyAlignment="1">
      <alignment horizontal="center" vertical="center" shrinkToFit="1"/>
    </xf>
    <xf numFmtId="0" fontId="16" fillId="10" borderId="40" xfId="0" applyFont="1" applyFill="1" applyBorder="1" applyAlignment="1">
      <alignment horizontal="center" vertical="center" shrinkToFit="1"/>
    </xf>
    <xf numFmtId="0" fontId="1" fillId="9" borderId="7" xfId="0" applyFont="1" applyFill="1" applyBorder="1" applyAlignment="1">
      <alignment horizontal="center" vertical="center"/>
    </xf>
    <xf numFmtId="0" fontId="8" fillId="0" borderId="58" xfId="0" applyFont="1" applyBorder="1" applyAlignment="1">
      <alignment horizontal="center" vertical="center"/>
    </xf>
    <xf numFmtId="0" fontId="11" fillId="0" borderId="91" xfId="0" applyFont="1" applyBorder="1" applyAlignment="1">
      <alignment horizontal="center" vertical="center"/>
    </xf>
    <xf numFmtId="0" fontId="5" fillId="5" borderId="68" xfId="0" applyFont="1" applyFill="1" applyBorder="1" applyAlignment="1">
      <alignment horizontal="center" vertical="center"/>
    </xf>
    <xf numFmtId="0" fontId="8" fillId="0" borderId="109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34" xfId="0" applyFont="1" applyBorder="1" applyAlignment="1">
      <alignment horizontal="center" vertical="center"/>
    </xf>
    <xf numFmtId="0" fontId="43" fillId="0" borderId="33" xfId="0" applyFont="1" applyBorder="1" applyAlignment="1">
      <alignment horizontal="center" vertical="center"/>
    </xf>
    <xf numFmtId="0" fontId="8" fillId="0" borderId="110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 shrinkToFit="1"/>
    </xf>
    <xf numFmtId="0" fontId="8" fillId="0" borderId="49" xfId="0" applyFont="1" applyBorder="1" applyAlignment="1">
      <alignment horizontal="center" vertical="center" wrapText="1"/>
    </xf>
    <xf numFmtId="0" fontId="8" fillId="0" borderId="50" xfId="0" applyFont="1" applyBorder="1" applyAlignment="1">
      <alignment horizontal="center" vertical="center" wrapText="1"/>
    </xf>
    <xf numFmtId="0" fontId="16" fillId="0" borderId="58" xfId="0" applyFont="1" applyBorder="1" applyAlignment="1">
      <alignment horizontal="center" vertical="center"/>
    </xf>
    <xf numFmtId="0" fontId="16" fillId="0" borderId="111" xfId="0" applyFont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16" fillId="0" borderId="70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1" fillId="0" borderId="71" xfId="0" applyFont="1" applyBorder="1" applyAlignment="1">
      <alignment horizontal="center" vertical="center" readingOrder="2"/>
    </xf>
    <xf numFmtId="0" fontId="71" fillId="0" borderId="112" xfId="0" applyFont="1" applyBorder="1" applyAlignment="1">
      <alignment horizontal="center" vertical="center" readingOrder="2"/>
    </xf>
    <xf numFmtId="0" fontId="0" fillId="0" borderId="8" xfId="0" applyBorder="1" applyAlignment="1">
      <alignment horizontal="right" vertical="center" wrapText="1"/>
    </xf>
    <xf numFmtId="0" fontId="8" fillId="0" borderId="36" xfId="0" applyFont="1" applyBorder="1" applyAlignment="1">
      <alignment horizontal="right" vertical="center" wrapText="1"/>
    </xf>
    <xf numFmtId="0" fontId="57" fillId="0" borderId="22" xfId="0" applyFont="1" applyBorder="1" applyAlignment="1">
      <alignment horizontal="left"/>
    </xf>
    <xf numFmtId="0" fontId="57" fillId="0" borderId="0" xfId="0" applyFont="1" applyAlignment="1">
      <alignment horizontal="left"/>
    </xf>
    <xf numFmtId="0" fontId="57" fillId="0" borderId="0" xfId="0" applyFont="1" applyAlignment="1">
      <alignment horizontal="center" vertical="center"/>
    </xf>
    <xf numFmtId="0" fontId="57" fillId="0" borderId="23" xfId="0" applyFont="1" applyBorder="1" applyAlignment="1">
      <alignment horizontal="center" vertical="center"/>
    </xf>
    <xf numFmtId="0" fontId="57" fillId="0" borderId="22" xfId="0" applyFont="1" applyBorder="1" applyAlignment="1">
      <alignment horizontal="center" vertical="center"/>
    </xf>
    <xf numFmtId="0" fontId="57" fillId="0" borderId="99" xfId="0" applyFont="1" applyBorder="1" applyAlignment="1">
      <alignment horizontal="center" vertical="center"/>
    </xf>
    <xf numFmtId="0" fontId="57" fillId="0" borderId="100" xfId="0" applyFont="1" applyBorder="1" applyAlignment="1">
      <alignment horizontal="center" vertical="center"/>
    </xf>
    <xf numFmtId="0" fontId="57" fillId="0" borderId="101" xfId="0" applyFont="1" applyBorder="1" applyAlignment="1">
      <alignment horizontal="center" vertical="center"/>
    </xf>
    <xf numFmtId="0" fontId="57" fillId="0" borderId="102" xfId="0" applyFont="1" applyBorder="1" applyAlignment="1">
      <alignment horizontal="center"/>
    </xf>
    <xf numFmtId="0" fontId="57" fillId="0" borderId="103" xfId="0" applyFont="1" applyBorder="1" applyAlignment="1">
      <alignment horizontal="center"/>
    </xf>
    <xf numFmtId="0" fontId="57" fillId="0" borderId="104" xfId="0" applyFont="1" applyBorder="1" applyAlignment="1">
      <alignment horizontal="center"/>
    </xf>
    <xf numFmtId="0" fontId="56" fillId="0" borderId="0" xfId="0" applyFont="1" applyAlignment="1">
      <alignment horizontal="center" vertical="center"/>
    </xf>
    <xf numFmtId="0" fontId="56" fillId="0" borderId="23" xfId="0" applyFont="1" applyBorder="1" applyAlignment="1">
      <alignment horizontal="center" vertical="center"/>
    </xf>
    <xf numFmtId="164" fontId="58" fillId="0" borderId="29" xfId="0" applyNumberFormat="1" applyFont="1" applyBorder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5" fillId="0" borderId="23" xfId="0" applyFont="1" applyBorder="1" applyAlignment="1">
      <alignment horizontal="center" vertical="center"/>
    </xf>
    <xf numFmtId="0" fontId="46" fillId="0" borderId="22" xfId="0" applyFont="1" applyBorder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46" fillId="0" borderId="0" xfId="0" applyFont="1" applyAlignment="1">
      <alignment horizontal="right" vertical="center"/>
    </xf>
    <xf numFmtId="0" fontId="46" fillId="0" borderId="23" xfId="0" applyFont="1" applyBorder="1" applyAlignment="1">
      <alignment horizontal="right" vertical="center"/>
    </xf>
    <xf numFmtId="0" fontId="47" fillId="0" borderId="0" xfId="0" applyFont="1" applyAlignment="1">
      <alignment horizontal="right" vertical="center"/>
    </xf>
    <xf numFmtId="0" fontId="47" fillId="0" borderId="23" xfId="0" applyFont="1" applyBorder="1" applyAlignment="1">
      <alignment horizontal="right" vertical="center"/>
    </xf>
    <xf numFmtId="0" fontId="44" fillId="0" borderId="22" xfId="0" applyFont="1" applyBorder="1" applyAlignment="1">
      <alignment horizontal="center"/>
    </xf>
    <xf numFmtId="0" fontId="44" fillId="0" borderId="0" xfId="0" applyFont="1" applyAlignment="1">
      <alignment horizontal="center"/>
    </xf>
    <xf numFmtId="0" fontId="44" fillId="0" borderId="23" xfId="0" applyFont="1" applyBorder="1" applyAlignment="1">
      <alignment horizontal="center"/>
    </xf>
    <xf numFmtId="0" fontId="45" fillId="0" borderId="22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45" fillId="0" borderId="23" xfId="0" applyFont="1" applyBorder="1" applyAlignment="1">
      <alignment horizontal="center"/>
    </xf>
    <xf numFmtId="0" fontId="44" fillId="0" borderId="20" xfId="0" applyFont="1" applyBorder="1" applyAlignment="1">
      <alignment horizontal="center"/>
    </xf>
    <xf numFmtId="0" fontId="30" fillId="0" borderId="0" xfId="0" applyFont="1" applyAlignment="1">
      <alignment horizontal="center" vertical="center"/>
    </xf>
    <xf numFmtId="1" fontId="60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60" xfId="0" applyFont="1" applyBorder="1" applyAlignment="1">
      <alignment horizontal="center" vertical="center" wrapText="1"/>
    </xf>
    <xf numFmtId="0" fontId="11" fillId="0" borderId="108" xfId="0" applyFont="1" applyBorder="1" applyAlignment="1">
      <alignment horizontal="center" vertical="center" wrapText="1"/>
    </xf>
    <xf numFmtId="0" fontId="5" fillId="0" borderId="77" xfId="0" applyFont="1" applyBorder="1" applyAlignment="1">
      <alignment horizontal="center" vertical="center"/>
    </xf>
    <xf numFmtId="0" fontId="5" fillId="0" borderId="78" xfId="0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5" fillId="0" borderId="81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92" xfId="0" applyFont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 wrapText="1"/>
    </xf>
    <xf numFmtId="165" fontId="8" fillId="0" borderId="23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30" fillId="0" borderId="23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21" fillId="5" borderId="24" xfId="0" applyFont="1" applyFill="1" applyBorder="1" applyAlignment="1">
      <alignment horizontal="center" vertical="center" textRotation="90"/>
    </xf>
    <xf numFmtId="0" fontId="21" fillId="5" borderId="29" xfId="0" applyFont="1" applyFill="1" applyBorder="1" applyAlignment="1">
      <alignment horizontal="center" vertical="center" textRotation="90"/>
    </xf>
    <xf numFmtId="0" fontId="21" fillId="0" borderId="58" xfId="0" applyFont="1" applyBorder="1" applyAlignment="1">
      <alignment horizontal="center" vertical="center" wrapText="1"/>
    </xf>
    <xf numFmtId="0" fontId="21" fillId="0" borderId="42" xfId="0" applyFont="1" applyBorder="1" applyAlignment="1">
      <alignment horizontal="center" vertical="center" wrapText="1"/>
    </xf>
    <xf numFmtId="0" fontId="21" fillId="0" borderId="41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72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 wrapText="1" readingOrder="2"/>
    </xf>
    <xf numFmtId="0" fontId="32" fillId="0" borderId="23" xfId="0" applyFont="1" applyBorder="1" applyAlignment="1">
      <alignment horizontal="center" vertical="center" wrapText="1" readingOrder="2"/>
    </xf>
    <xf numFmtId="0" fontId="32" fillId="0" borderId="29" xfId="0" applyFont="1" applyBorder="1" applyAlignment="1">
      <alignment horizontal="center" vertical="center" wrapText="1" readingOrder="2"/>
    </xf>
    <xf numFmtId="0" fontId="32" fillId="0" borderId="75" xfId="0" applyFont="1" applyBorder="1" applyAlignment="1">
      <alignment horizontal="center" vertical="center" wrapText="1" readingOrder="2"/>
    </xf>
    <xf numFmtId="0" fontId="5" fillId="0" borderId="13" xfId="0" applyFont="1" applyBorder="1" applyAlignment="1">
      <alignment horizontal="center" vertical="center"/>
    </xf>
    <xf numFmtId="0" fontId="5" fillId="0" borderId="6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7" fillId="0" borderId="20" xfId="0" applyFont="1" applyBorder="1" applyAlignment="1">
      <alignment horizontal="right" vertical="center"/>
    </xf>
    <xf numFmtId="0" fontId="66" fillId="0" borderId="27" xfId="0" applyFont="1" applyBorder="1" applyAlignment="1">
      <alignment horizontal="center" vertical="center"/>
    </xf>
    <xf numFmtId="0" fontId="41" fillId="0" borderId="4" xfId="0" applyFont="1" applyBorder="1" applyAlignment="1">
      <alignment horizontal="center" vertical="center" shrinkToFit="1"/>
    </xf>
    <xf numFmtId="0" fontId="41" fillId="0" borderId="5" xfId="0" applyFont="1" applyBorder="1" applyAlignment="1">
      <alignment horizontal="center" vertical="center" shrinkToFit="1"/>
    </xf>
    <xf numFmtId="0" fontId="5" fillId="0" borderId="17" xfId="0" applyFont="1" applyBorder="1" applyAlignment="1">
      <alignment horizontal="center" vertical="center"/>
    </xf>
    <xf numFmtId="0" fontId="34" fillId="0" borderId="36" xfId="0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/>
    </xf>
    <xf numFmtId="0" fontId="34" fillId="0" borderId="42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0" fillId="0" borderId="11" xfId="0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23" xfId="0" applyBorder="1" applyAlignment="1">
      <alignment horizontal="center" vertical="center" shrinkToFit="1"/>
    </xf>
    <xf numFmtId="0" fontId="20" fillId="0" borderId="29" xfId="0" applyFont="1" applyBorder="1" applyAlignment="1">
      <alignment horizontal="center" vertical="center" shrinkToFit="1"/>
    </xf>
    <xf numFmtId="0" fontId="7" fillId="0" borderId="24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 hidden="1"/>
    </xf>
    <xf numFmtId="0" fontId="12" fillId="5" borderId="47" xfId="0" applyFont="1" applyFill="1" applyBorder="1" applyAlignment="1">
      <alignment horizontal="center" vertical="center" textRotation="90"/>
    </xf>
    <xf numFmtId="0" fontId="12" fillId="5" borderId="60" xfId="0" applyFont="1" applyFill="1" applyBorder="1" applyAlignment="1">
      <alignment horizontal="center" vertical="center" textRotation="90"/>
    </xf>
    <xf numFmtId="0" fontId="5" fillId="0" borderId="7" xfId="0" applyFont="1" applyBorder="1" applyAlignment="1">
      <alignment horizontal="center" vertical="center"/>
    </xf>
    <xf numFmtId="0" fontId="11" fillId="0" borderId="65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right" vertical="center" readingOrder="2"/>
    </xf>
    <xf numFmtId="0" fontId="23" fillId="0" borderId="20" xfId="0" applyFont="1" applyBorder="1" applyAlignment="1">
      <alignment horizontal="right" vertical="center" readingOrder="2"/>
    </xf>
    <xf numFmtId="0" fontId="23" fillId="0" borderId="21" xfId="0" applyFont="1" applyBorder="1" applyAlignment="1">
      <alignment horizontal="right" vertical="center" readingOrder="2"/>
    </xf>
    <xf numFmtId="0" fontId="27" fillId="0" borderId="19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 readingOrder="2"/>
    </xf>
    <xf numFmtId="0" fontId="25" fillId="0" borderId="0" xfId="0" applyFont="1" applyAlignment="1">
      <alignment horizontal="center" vertical="center" readingOrder="2"/>
    </xf>
    <xf numFmtId="0" fontId="25" fillId="0" borderId="23" xfId="0" applyFont="1" applyBorder="1" applyAlignment="1">
      <alignment horizontal="center" vertical="center" readingOrder="2"/>
    </xf>
    <xf numFmtId="0" fontId="28" fillId="0" borderId="22" xfId="0" applyFont="1" applyBorder="1" applyAlignment="1">
      <alignment horizontal="center" vertical="center" readingOrder="2"/>
    </xf>
    <xf numFmtId="0" fontId="28" fillId="0" borderId="0" xfId="0" applyFont="1" applyAlignment="1">
      <alignment horizontal="center" vertical="center" readingOrder="2"/>
    </xf>
    <xf numFmtId="0" fontId="28" fillId="0" borderId="23" xfId="0" applyFont="1" applyBorder="1" applyAlignment="1">
      <alignment horizontal="center" vertical="center" readingOrder="2"/>
    </xf>
    <xf numFmtId="0" fontId="25" fillId="0" borderId="22" xfId="0" applyFont="1" applyBorder="1" applyAlignment="1">
      <alignment horizontal="center" vertical="center" wrapText="1" readingOrder="2"/>
    </xf>
    <xf numFmtId="0" fontId="25" fillId="0" borderId="0" xfId="0" applyFont="1" applyAlignment="1">
      <alignment horizontal="center" vertical="center" wrapText="1" readingOrder="2"/>
    </xf>
    <xf numFmtId="0" fontId="25" fillId="0" borderId="23" xfId="0" applyFont="1" applyBorder="1" applyAlignment="1">
      <alignment horizontal="center" vertical="center" wrapText="1" readingOrder="2"/>
    </xf>
    <xf numFmtId="0" fontId="32" fillId="0" borderId="22" xfId="0" applyFont="1" applyBorder="1" applyAlignment="1">
      <alignment horizontal="center" vertical="center" wrapText="1" readingOrder="2"/>
    </xf>
    <xf numFmtId="0" fontId="32" fillId="0" borderId="64" xfId="0" applyFont="1" applyBorder="1" applyAlignment="1">
      <alignment horizontal="center" vertical="center" wrapText="1" readingOrder="2"/>
    </xf>
    <xf numFmtId="0" fontId="32" fillId="0" borderId="65" xfId="0" applyFont="1" applyBorder="1" applyAlignment="1">
      <alignment horizontal="center" vertical="center" wrapText="1" readingOrder="2"/>
    </xf>
    <xf numFmtId="0" fontId="32" fillId="0" borderId="66" xfId="0" applyFont="1" applyBorder="1" applyAlignment="1">
      <alignment horizontal="center" vertical="center" wrapText="1" readingOrder="2"/>
    </xf>
    <xf numFmtId="0" fontId="25" fillId="0" borderId="65" xfId="0" applyFont="1" applyBorder="1" applyAlignment="1">
      <alignment horizontal="center" vertical="center" wrapText="1" readingOrder="2"/>
    </xf>
    <xf numFmtId="0" fontId="25" fillId="0" borderId="66" xfId="0" applyFont="1" applyBorder="1" applyAlignment="1">
      <alignment horizontal="center" vertical="center" wrapText="1" readingOrder="2"/>
    </xf>
    <xf numFmtId="0" fontId="26" fillId="0" borderId="22" xfId="0" applyFont="1" applyBorder="1" applyAlignment="1">
      <alignment horizontal="center" vertical="center" wrapText="1" readingOrder="2"/>
    </xf>
    <xf numFmtId="0" fontId="26" fillId="0" borderId="0" xfId="0" applyFont="1" applyAlignment="1">
      <alignment horizontal="center" vertical="center" wrapText="1" readingOrder="2"/>
    </xf>
    <xf numFmtId="0" fontId="26" fillId="0" borderId="23" xfId="0" applyFont="1" applyBorder="1" applyAlignment="1">
      <alignment horizontal="center" vertical="center" wrapText="1" readingOrder="2"/>
    </xf>
    <xf numFmtId="0" fontId="28" fillId="0" borderId="22" xfId="0" applyFont="1" applyBorder="1" applyAlignment="1">
      <alignment horizontal="center" vertical="center" wrapText="1" readingOrder="2"/>
    </xf>
    <xf numFmtId="0" fontId="28" fillId="0" borderId="0" xfId="0" applyFont="1" applyAlignment="1">
      <alignment horizontal="center" vertical="center" wrapText="1" readingOrder="2"/>
    </xf>
    <xf numFmtId="0" fontId="28" fillId="0" borderId="23" xfId="0" applyFont="1" applyBorder="1" applyAlignment="1">
      <alignment horizontal="center" vertical="center" wrapText="1" readingOrder="2"/>
    </xf>
    <xf numFmtId="0" fontId="26" fillId="0" borderId="64" xfId="0" applyFont="1" applyBorder="1" applyAlignment="1">
      <alignment horizontal="center" vertical="center" wrapText="1" readingOrder="2"/>
    </xf>
    <xf numFmtId="0" fontId="26" fillId="0" borderId="65" xfId="0" applyFont="1" applyBorder="1" applyAlignment="1">
      <alignment horizontal="center" vertical="center" wrapText="1" readingOrder="2"/>
    </xf>
    <xf numFmtId="0" fontId="26" fillId="0" borderId="66" xfId="0" applyFont="1" applyBorder="1" applyAlignment="1">
      <alignment horizontal="center" vertical="center" wrapText="1" readingOrder="2"/>
    </xf>
    <xf numFmtId="0" fontId="23" fillId="0" borderId="19" xfId="0" applyFont="1" applyBorder="1" applyAlignment="1">
      <alignment horizontal="center" vertical="center" readingOrder="2"/>
    </xf>
    <xf numFmtId="0" fontId="23" fillId="0" borderId="20" xfId="0" applyFont="1" applyBorder="1" applyAlignment="1">
      <alignment horizontal="center" vertical="center" readingOrder="2"/>
    </xf>
    <xf numFmtId="0" fontId="38" fillId="0" borderId="27" xfId="0" applyFont="1" applyBorder="1" applyAlignment="1">
      <alignment horizontal="right" vertical="center" shrinkToFit="1"/>
    </xf>
    <xf numFmtId="0" fontId="65" fillId="0" borderId="11" xfId="0" applyFont="1" applyBorder="1" applyAlignment="1">
      <alignment horizontal="center" vertical="center" shrinkToFit="1"/>
    </xf>
    <xf numFmtId="0" fontId="65" fillId="0" borderId="0" xfId="0" applyFont="1" applyAlignment="1">
      <alignment horizontal="center" vertical="center" shrinkToFit="1"/>
    </xf>
    <xf numFmtId="0" fontId="65" fillId="0" borderId="23" xfId="0" applyFont="1" applyBorder="1" applyAlignment="1">
      <alignment horizontal="center" vertical="center" shrinkToFit="1"/>
    </xf>
    <xf numFmtId="0" fontId="35" fillId="0" borderId="11" xfId="0" applyFont="1" applyBorder="1" applyAlignment="1">
      <alignment horizontal="center" vertical="center" shrinkToFit="1"/>
    </xf>
    <xf numFmtId="0" fontId="35" fillId="0" borderId="0" xfId="0" applyFont="1" applyAlignment="1">
      <alignment horizontal="center" vertical="center" shrinkToFit="1"/>
    </xf>
    <xf numFmtId="0" fontId="35" fillId="0" borderId="23" xfId="0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right" vertical="center"/>
    </xf>
    <xf numFmtId="0" fontId="0" fillId="0" borderId="27" xfId="0" applyBorder="1" applyAlignment="1">
      <alignment horizontal="left" vertical="center"/>
    </xf>
    <xf numFmtId="0" fontId="37" fillId="0" borderId="0" xfId="0" applyFont="1" applyAlignment="1">
      <alignment horizontal="right" vertical="center"/>
    </xf>
    <xf numFmtId="0" fontId="36" fillId="0" borderId="58" xfId="0" applyFont="1" applyBorder="1" applyAlignment="1">
      <alignment horizontal="center" vertical="center" wrapText="1"/>
    </xf>
    <xf numFmtId="0" fontId="36" fillId="0" borderId="42" xfId="0" applyFont="1" applyBorder="1" applyAlignment="1">
      <alignment horizontal="center" vertical="center" wrapText="1"/>
    </xf>
    <xf numFmtId="0" fontId="36" fillId="0" borderId="41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65" fontId="5" fillId="0" borderId="0" xfId="0" applyNumberFormat="1" applyFont="1" applyAlignment="1" applyProtection="1">
      <alignment horizontal="center" vertical="center" shrinkToFit="1"/>
      <protection locked="0" hidden="1"/>
    </xf>
    <xf numFmtId="0" fontId="41" fillId="0" borderId="73" xfId="0" applyFont="1" applyBorder="1" applyAlignment="1">
      <alignment horizontal="center" vertical="center" shrinkToFit="1"/>
    </xf>
    <xf numFmtId="0" fontId="61" fillId="0" borderId="13" xfId="0" applyFont="1" applyBorder="1" applyAlignment="1">
      <alignment horizontal="center" vertical="center"/>
    </xf>
    <xf numFmtId="0" fontId="61" fillId="0" borderId="91" xfId="0" applyFont="1" applyBorder="1" applyAlignment="1">
      <alignment horizontal="center" vertical="center"/>
    </xf>
    <xf numFmtId="1" fontId="62" fillId="0" borderId="12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4" xfId="0" applyFont="1" applyBorder="1" applyAlignment="1">
      <alignment horizontal="center"/>
    </xf>
    <xf numFmtId="0" fontId="12" fillId="0" borderId="10" xfId="0" applyFont="1" applyBorder="1" applyAlignment="1">
      <alignment horizontal="center" vertical="center" shrinkToFit="1"/>
    </xf>
    <xf numFmtId="0" fontId="12" fillId="0" borderId="24" xfId="0" applyFont="1" applyBorder="1" applyAlignment="1">
      <alignment horizontal="center" vertical="center" shrinkToFit="1"/>
    </xf>
    <xf numFmtId="0" fontId="12" fillId="0" borderId="72" xfId="0" applyFont="1" applyBorder="1" applyAlignment="1">
      <alignment horizontal="center" vertical="center" shrinkToFit="1"/>
    </xf>
    <xf numFmtId="0" fontId="21" fillId="0" borderId="58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5" borderId="47" xfId="0" applyFont="1" applyFill="1" applyBorder="1" applyAlignment="1">
      <alignment horizontal="center" vertical="center" textRotation="90"/>
    </xf>
    <xf numFmtId="0" fontId="21" fillId="5" borderId="60" xfId="0" applyFont="1" applyFill="1" applyBorder="1" applyAlignment="1">
      <alignment horizontal="center" vertical="center" textRotation="90"/>
    </xf>
    <xf numFmtId="0" fontId="16" fillId="0" borderId="47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70" fillId="5" borderId="47" xfId="0" applyFont="1" applyFill="1" applyBorder="1" applyAlignment="1">
      <alignment horizontal="center" vertical="center" textRotation="90"/>
    </xf>
    <xf numFmtId="0" fontId="70" fillId="5" borderId="60" xfId="0" applyFont="1" applyFill="1" applyBorder="1" applyAlignment="1">
      <alignment horizontal="center" vertical="center" textRotation="90"/>
    </xf>
    <xf numFmtId="0" fontId="23" fillId="0" borderId="19" xfId="0" applyFont="1" applyBorder="1" applyAlignment="1">
      <alignment horizontal="right" vertical="center" wrapText="1" readingOrder="2"/>
    </xf>
    <xf numFmtId="0" fontId="23" fillId="0" borderId="20" xfId="0" applyFont="1" applyBorder="1" applyAlignment="1">
      <alignment horizontal="right" vertical="center" wrapText="1" readingOrder="2"/>
    </xf>
    <xf numFmtId="0" fontId="23" fillId="0" borderId="21" xfId="0" applyFont="1" applyBorder="1" applyAlignment="1">
      <alignment horizontal="right" vertical="center" wrapText="1" readingOrder="2"/>
    </xf>
    <xf numFmtId="0" fontId="14" fillId="0" borderId="0" xfId="1" applyFont="1" applyAlignment="1">
      <alignment horizontal="center" vertical="center"/>
    </xf>
    <xf numFmtId="0" fontId="39" fillId="0" borderId="0" xfId="1" applyFont="1" applyAlignment="1">
      <alignment horizontal="center" vertical="center" wrapText="1"/>
    </xf>
    <xf numFmtId="0" fontId="14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164" fontId="13" fillId="0" borderId="3" xfId="0" applyNumberFormat="1" applyFont="1" applyBorder="1" applyAlignment="1">
      <alignment horizontal="center" vertical="center"/>
    </xf>
    <xf numFmtId="164" fontId="13" fillId="0" borderId="6" xfId="0" applyNumberFormat="1" applyFont="1" applyBorder="1" applyAlignment="1">
      <alignment horizontal="center" vertical="center"/>
    </xf>
    <xf numFmtId="164" fontId="13" fillId="0" borderId="32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 shrinkToFit="1"/>
    </xf>
    <xf numFmtId="0" fontId="8" fillId="0" borderId="41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66" fontId="2" fillId="0" borderId="25" xfId="2" applyNumberFormat="1" applyFont="1" applyFill="1" applyBorder="1" applyAlignment="1">
      <alignment horizontal="center" vertical="center" textRotation="90" wrapText="1"/>
    </xf>
    <xf numFmtId="166" fontId="2" fillId="0" borderId="26" xfId="2" applyNumberFormat="1" applyFont="1" applyFill="1" applyBorder="1" applyAlignment="1">
      <alignment horizontal="center" vertical="center" textRotation="90" wrapText="1"/>
    </xf>
    <xf numFmtId="166" fontId="2" fillId="0" borderId="28" xfId="2" applyNumberFormat="1" applyFont="1" applyFill="1" applyBorder="1" applyAlignment="1">
      <alignment horizontal="center" vertical="center" textRotation="90" wrapText="1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textRotation="90"/>
    </xf>
    <xf numFmtId="164" fontId="12" fillId="0" borderId="6" xfId="0" applyNumberFormat="1" applyFont="1" applyBorder="1" applyAlignment="1">
      <alignment horizontal="center" vertical="center" textRotation="90"/>
    </xf>
    <xf numFmtId="164" fontId="12" fillId="0" borderId="32" xfId="0" applyNumberFormat="1" applyFont="1" applyBorder="1" applyAlignment="1">
      <alignment horizontal="center" vertical="center" textRotation="90"/>
    </xf>
    <xf numFmtId="164" fontId="3" fillId="0" borderId="3" xfId="0" applyNumberFormat="1" applyFont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 wrapText="1"/>
    </xf>
    <xf numFmtId="164" fontId="3" fillId="0" borderId="32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shrinkToFit="1"/>
    </xf>
    <xf numFmtId="0" fontId="8" fillId="0" borderId="32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 shrinkToFit="1"/>
    </xf>
    <xf numFmtId="0" fontId="8" fillId="0" borderId="33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 shrinkToFit="1"/>
    </xf>
    <xf numFmtId="0" fontId="8" fillId="0" borderId="14" xfId="0" applyFont="1" applyBorder="1" applyAlignment="1">
      <alignment horizontal="center" vertical="center" textRotation="90"/>
    </xf>
    <xf numFmtId="0" fontId="8" fillId="0" borderId="39" xfId="0" applyFont="1" applyBorder="1" applyAlignment="1">
      <alignment horizontal="center" vertical="center" textRotation="90"/>
    </xf>
    <xf numFmtId="0" fontId="1" fillId="0" borderId="6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 textRotation="90"/>
    </xf>
    <xf numFmtId="0" fontId="0" fillId="0" borderId="0" xfId="0" applyAlignment="1">
      <alignment horizontal="center" vertical="center" wrapText="1"/>
    </xf>
    <xf numFmtId="0" fontId="1" fillId="0" borderId="10" xfId="0" applyFont="1" applyBorder="1" applyAlignment="1">
      <alignment horizontal="center" vertical="center" textRotation="90"/>
    </xf>
    <xf numFmtId="0" fontId="1" fillId="0" borderId="11" xfId="0" applyFont="1" applyBorder="1" applyAlignment="1">
      <alignment horizontal="center" vertical="center" textRotation="90"/>
    </xf>
    <xf numFmtId="0" fontId="8" fillId="0" borderId="52" xfId="0" applyFont="1" applyBorder="1" applyAlignment="1">
      <alignment horizontal="center" vertical="center" textRotation="90"/>
    </xf>
    <xf numFmtId="0" fontId="8" fillId="0" borderId="46" xfId="0" applyFont="1" applyBorder="1" applyAlignment="1">
      <alignment horizontal="center" vertical="center" textRotation="90"/>
    </xf>
    <xf numFmtId="0" fontId="8" fillId="0" borderId="38" xfId="0" applyFont="1" applyBorder="1" applyAlignment="1">
      <alignment horizontal="center" vertical="center" textRotation="90"/>
    </xf>
    <xf numFmtId="0" fontId="2" fillId="0" borderId="55" xfId="0" applyFont="1" applyBorder="1" applyAlignment="1">
      <alignment horizontal="center" vertical="center" textRotation="90"/>
    </xf>
    <xf numFmtId="0" fontId="2" fillId="0" borderId="54" xfId="0" applyFont="1" applyBorder="1" applyAlignment="1">
      <alignment horizontal="center" vertical="center" textRotation="90"/>
    </xf>
    <xf numFmtId="166" fontId="2" fillId="0" borderId="55" xfId="2" applyNumberFormat="1" applyFont="1" applyFill="1" applyBorder="1" applyAlignment="1">
      <alignment horizontal="center" vertical="center" textRotation="90" wrapText="1"/>
    </xf>
    <xf numFmtId="166" fontId="2" fillId="0" borderId="54" xfId="2" applyNumberFormat="1" applyFont="1" applyFill="1" applyBorder="1" applyAlignment="1">
      <alignment horizontal="center" vertical="center" textRotation="90" wrapText="1"/>
    </xf>
    <xf numFmtId="166" fontId="2" fillId="0" borderId="71" xfId="2" applyNumberFormat="1" applyFont="1" applyFill="1" applyBorder="1" applyAlignment="1">
      <alignment horizontal="center" vertical="center" textRotation="90" wrapText="1"/>
    </xf>
    <xf numFmtId="0" fontId="8" fillId="0" borderId="8" xfId="0" applyFont="1" applyBorder="1" applyAlignment="1">
      <alignment horizontal="center" vertical="center" wrapText="1" shrinkToFit="1"/>
    </xf>
    <xf numFmtId="0" fontId="14" fillId="0" borderId="27" xfId="1" applyFont="1" applyBorder="1" applyAlignment="1">
      <alignment horizontal="center" vertical="center"/>
    </xf>
    <xf numFmtId="0" fontId="21" fillId="0" borderId="27" xfId="1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 textRotation="90"/>
    </xf>
    <xf numFmtId="0" fontId="19" fillId="0" borderId="6" xfId="0" applyFont="1" applyBorder="1" applyAlignment="1">
      <alignment horizontal="center" vertical="center" textRotation="90"/>
    </xf>
    <xf numFmtId="0" fontId="19" fillId="0" borderId="14" xfId="0" applyFont="1" applyBorder="1" applyAlignment="1">
      <alignment horizontal="center" vertical="center" textRotation="90"/>
    </xf>
    <xf numFmtId="0" fontId="18" fillId="0" borderId="4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164" fontId="68" fillId="0" borderId="56" xfId="0" applyNumberFormat="1" applyFont="1" applyBorder="1" applyAlignment="1">
      <alignment horizontal="center" vertical="center" textRotation="90" wrapText="1"/>
    </xf>
    <xf numFmtId="164" fontId="68" fillId="0" borderId="16" xfId="0" applyNumberFormat="1" applyFont="1" applyBorder="1" applyAlignment="1">
      <alignment horizontal="center" vertical="center" textRotation="90" wrapText="1"/>
    </xf>
    <xf numFmtId="0" fontId="18" fillId="0" borderId="56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30" fillId="0" borderId="48" xfId="0" applyFont="1" applyBorder="1" applyAlignment="1">
      <alignment horizontal="center" vertical="center"/>
    </xf>
    <xf numFmtId="0" fontId="30" fillId="0" borderId="44" xfId="0" applyFont="1" applyBorder="1" applyAlignment="1">
      <alignment horizontal="center" vertical="center" shrinkToFit="1"/>
    </xf>
    <xf numFmtId="0" fontId="30" fillId="0" borderId="44" xfId="0" applyFont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textRotation="90"/>
    </xf>
    <xf numFmtId="0" fontId="3" fillId="0" borderId="49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0" borderId="11" xfId="0" applyFont="1" applyBorder="1" applyAlignment="1">
      <alignment horizontal="center" vertical="center"/>
    </xf>
    <xf numFmtId="0" fontId="13" fillId="0" borderId="89" xfId="0" applyFont="1" applyBorder="1" applyAlignment="1">
      <alignment horizontal="center" vertical="center" shrinkToFit="1"/>
    </xf>
    <xf numFmtId="0" fontId="13" fillId="0" borderId="89" xfId="0" applyFont="1" applyBorder="1" applyAlignment="1">
      <alignment horizontal="center" vertical="center"/>
    </xf>
    <xf numFmtId="9" fontId="13" fillId="0" borderId="90" xfId="2" applyFont="1" applyBorder="1" applyAlignment="1">
      <alignment horizontal="center" vertical="center"/>
    </xf>
    <xf numFmtId="9" fontId="13" fillId="0" borderId="27" xfId="2" applyFont="1" applyBorder="1" applyAlignment="1">
      <alignment horizontal="center" vertical="center"/>
    </xf>
    <xf numFmtId="9" fontId="13" fillId="0" borderId="28" xfId="2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shrinkToFit="1"/>
    </xf>
    <xf numFmtId="0" fontId="13" fillId="0" borderId="36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8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shrinkToFit="1"/>
    </xf>
    <xf numFmtId="0" fontId="13" fillId="0" borderId="9" xfId="0" applyFont="1" applyBorder="1" applyAlignment="1">
      <alignment horizontal="center" vertical="center" shrinkToFit="1"/>
    </xf>
    <xf numFmtId="0" fontId="13" fillId="0" borderId="40" xfId="0" applyFont="1" applyBorder="1" applyAlignment="1">
      <alignment horizontal="center" vertical="center" shrinkToFit="1"/>
    </xf>
    <xf numFmtId="0" fontId="13" fillId="0" borderId="8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9" fontId="13" fillId="0" borderId="8" xfId="2" applyFont="1" applyBorder="1" applyAlignment="1">
      <alignment horizontal="center" vertical="center"/>
    </xf>
    <xf numFmtId="9" fontId="13" fillId="0" borderId="9" xfId="2" applyFont="1" applyBorder="1" applyAlignment="1">
      <alignment horizontal="center" vertical="center"/>
    </xf>
    <xf numFmtId="9" fontId="13" fillId="0" borderId="45" xfId="2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91" xfId="0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10" borderId="5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0" fontId="16" fillId="8" borderId="5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textRotation="90"/>
    </xf>
    <xf numFmtId="0" fontId="37" fillId="0" borderId="3" xfId="0" applyFont="1" applyBorder="1" applyAlignment="1">
      <alignment horizontal="center" wrapText="1"/>
    </xf>
    <xf numFmtId="0" fontId="37" fillId="0" borderId="5" xfId="0" applyFont="1" applyBorder="1" applyAlignment="1">
      <alignment horizontal="center" wrapText="1"/>
    </xf>
    <xf numFmtId="0" fontId="0" fillId="0" borderId="96" xfId="0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16" fillId="0" borderId="29" xfId="0" applyFont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textRotation="90"/>
    </xf>
    <xf numFmtId="0" fontId="1" fillId="10" borderId="4" xfId="0" applyFont="1" applyFill="1" applyBorder="1" applyAlignment="1">
      <alignment horizontal="center" vertical="center" textRotation="90"/>
    </xf>
    <xf numFmtId="0" fontId="16" fillId="10" borderId="1" xfId="0" applyFont="1" applyFill="1" applyBorder="1" applyAlignment="1">
      <alignment horizontal="center" vertical="center" textRotation="90"/>
    </xf>
    <xf numFmtId="0" fontId="16" fillId="10" borderId="33" xfId="0" applyFont="1" applyFill="1" applyBorder="1" applyAlignment="1">
      <alignment horizontal="center" vertical="center" textRotation="90"/>
    </xf>
    <xf numFmtId="0" fontId="16" fillId="0" borderId="1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center" vertical="center"/>
    </xf>
    <xf numFmtId="0" fontId="16" fillId="10" borderId="35" xfId="0" applyFont="1" applyFill="1" applyBorder="1" applyAlignment="1">
      <alignment horizontal="center" vertical="center"/>
    </xf>
    <xf numFmtId="0" fontId="16" fillId="10" borderId="30" xfId="0" applyFont="1" applyFill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35" xfId="0" applyFont="1" applyFill="1" applyBorder="1" applyAlignment="1">
      <alignment horizontal="center" vertical="center"/>
    </xf>
    <xf numFmtId="0" fontId="16" fillId="9" borderId="30" xfId="0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0" fontId="16" fillId="7" borderId="35" xfId="0" applyFont="1" applyFill="1" applyBorder="1" applyAlignment="1">
      <alignment horizontal="center" vertical="center"/>
    </xf>
    <xf numFmtId="0" fontId="16" fillId="7" borderId="30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 textRotation="90" wrapText="1"/>
    </xf>
    <xf numFmtId="0" fontId="16" fillId="10" borderId="33" xfId="0" applyFont="1" applyFill="1" applyBorder="1" applyAlignment="1">
      <alignment horizontal="center" vertical="center" textRotation="90" wrapText="1"/>
    </xf>
    <xf numFmtId="0" fontId="54" fillId="6" borderId="3" xfId="0" applyFont="1" applyFill="1" applyBorder="1" applyAlignment="1">
      <alignment horizontal="center" vertical="center"/>
    </xf>
    <xf numFmtId="0" fontId="54" fillId="6" borderId="4" xfId="0" applyFont="1" applyFill="1" applyBorder="1" applyAlignment="1">
      <alignment horizontal="center" vertical="center"/>
    </xf>
    <xf numFmtId="0" fontId="54" fillId="6" borderId="5" xfId="0" applyFont="1" applyFill="1" applyBorder="1" applyAlignment="1">
      <alignment horizontal="center" vertical="center"/>
    </xf>
    <xf numFmtId="0" fontId="54" fillId="6" borderId="30" xfId="0" applyFont="1" applyFill="1" applyBorder="1" applyAlignment="1">
      <alignment horizontal="center" vertical="center"/>
    </xf>
    <xf numFmtId="0" fontId="54" fillId="6" borderId="1" xfId="0" applyFont="1" applyFill="1" applyBorder="1" applyAlignment="1">
      <alignment horizontal="center" vertical="center"/>
    </xf>
    <xf numFmtId="0" fontId="54" fillId="6" borderId="7" xfId="0" applyFont="1" applyFill="1" applyBorder="1" applyAlignment="1">
      <alignment horizontal="center" vertical="center"/>
    </xf>
    <xf numFmtId="0" fontId="54" fillId="6" borderId="91" xfId="0" applyFont="1" applyFill="1" applyBorder="1" applyAlignment="1">
      <alignment horizontal="center" vertical="center"/>
    </xf>
    <xf numFmtId="0" fontId="54" fillId="6" borderId="12" xfId="0" applyFont="1" applyFill="1" applyBorder="1" applyAlignment="1">
      <alignment horizontal="center" vertical="center"/>
    </xf>
    <xf numFmtId="0" fontId="54" fillId="6" borderId="13" xfId="0" applyFont="1" applyFill="1" applyBorder="1" applyAlignment="1">
      <alignment horizontal="center" vertical="center"/>
    </xf>
    <xf numFmtId="0" fontId="64" fillId="6" borderId="3" xfId="0" applyFont="1" applyFill="1" applyBorder="1" applyAlignment="1">
      <alignment horizontal="center" vertical="center"/>
    </xf>
    <xf numFmtId="0" fontId="64" fillId="6" borderId="4" xfId="0" applyFont="1" applyFill="1" applyBorder="1" applyAlignment="1">
      <alignment horizontal="center" vertical="center"/>
    </xf>
    <xf numFmtId="0" fontId="64" fillId="6" borderId="5" xfId="0" applyFont="1" applyFill="1" applyBorder="1" applyAlignment="1">
      <alignment horizontal="center" vertical="center"/>
    </xf>
    <xf numFmtId="0" fontId="64" fillId="6" borderId="6" xfId="0" applyFont="1" applyFill="1" applyBorder="1" applyAlignment="1">
      <alignment horizontal="center" vertical="center"/>
    </xf>
    <xf numFmtId="0" fontId="64" fillId="6" borderId="1" xfId="0" applyFont="1" applyFill="1" applyBorder="1" applyAlignment="1">
      <alignment horizontal="center" vertical="center"/>
    </xf>
    <xf numFmtId="0" fontId="64" fillId="6" borderId="7" xfId="0" applyFont="1" applyFill="1" applyBorder="1" applyAlignment="1">
      <alignment horizontal="center" vertical="center"/>
    </xf>
    <xf numFmtId="0" fontId="64" fillId="6" borderId="14" xfId="0" applyFont="1" applyFill="1" applyBorder="1" applyAlignment="1">
      <alignment horizontal="center" vertical="center"/>
    </xf>
    <xf numFmtId="0" fontId="64" fillId="6" borderId="12" xfId="0" applyFont="1" applyFill="1" applyBorder="1" applyAlignment="1">
      <alignment horizontal="center" vertical="center"/>
    </xf>
    <xf numFmtId="0" fontId="64" fillId="6" borderId="15" xfId="0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0" fontId="16" fillId="9" borderId="5" xfId="0" applyFont="1" applyFill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 textRotation="90"/>
    </xf>
    <xf numFmtId="0" fontId="19" fillId="6" borderId="6" xfId="0" applyFont="1" applyFill="1" applyBorder="1" applyAlignment="1">
      <alignment horizontal="center" vertical="center" textRotation="90"/>
    </xf>
    <xf numFmtId="0" fontId="19" fillId="6" borderId="14" xfId="0" applyFont="1" applyFill="1" applyBorder="1" applyAlignment="1">
      <alignment horizontal="center" vertical="center" textRotation="90"/>
    </xf>
    <xf numFmtId="0" fontId="18" fillId="6" borderId="4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8" fillId="6" borderId="12" xfId="0" applyFont="1" applyFill="1" applyBorder="1" applyAlignment="1">
      <alignment horizontal="center" vertical="center" wrapText="1"/>
    </xf>
    <xf numFmtId="0" fontId="18" fillId="6" borderId="36" xfId="0" applyFont="1" applyFill="1" applyBorder="1" applyAlignment="1">
      <alignment horizontal="center" vertical="center" wrapText="1"/>
    </xf>
    <xf numFmtId="0" fontId="18" fillId="6" borderId="2" xfId="0" applyFont="1" applyFill="1" applyBorder="1" applyAlignment="1">
      <alignment horizontal="center" vertical="center" wrapText="1"/>
    </xf>
    <xf numFmtId="0" fontId="18" fillId="6" borderId="13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textRotation="90" wrapText="1"/>
    </xf>
    <xf numFmtId="0" fontId="16" fillId="9" borderId="33" xfId="0" applyFont="1" applyFill="1" applyBorder="1" applyAlignment="1">
      <alignment horizontal="center" vertical="center" textRotation="90" wrapText="1"/>
    </xf>
    <xf numFmtId="0" fontId="1" fillId="7" borderId="1" xfId="0" applyFont="1" applyFill="1" applyBorder="1" applyAlignment="1">
      <alignment horizontal="center" vertical="center" textRotation="90"/>
    </xf>
    <xf numFmtId="0" fontId="63" fillId="6" borderId="4" xfId="0" applyFont="1" applyFill="1" applyBorder="1" applyAlignment="1">
      <alignment horizontal="center" vertical="center" wrapText="1"/>
    </xf>
    <xf numFmtId="0" fontId="63" fillId="6" borderId="1" xfId="0" applyFont="1" applyFill="1" applyBorder="1" applyAlignment="1">
      <alignment horizontal="center" vertical="center" wrapText="1"/>
    </xf>
    <xf numFmtId="0" fontId="63" fillId="6" borderId="12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textRotation="90"/>
    </xf>
    <xf numFmtId="0" fontId="16" fillId="9" borderId="33" xfId="0" applyFont="1" applyFill="1" applyBorder="1" applyAlignment="1">
      <alignment horizontal="center" vertical="center" textRotation="90"/>
    </xf>
    <xf numFmtId="0" fontId="16" fillId="7" borderId="1" xfId="0" applyFont="1" applyFill="1" applyBorder="1" applyAlignment="1">
      <alignment horizontal="center" vertical="center" textRotation="90"/>
    </xf>
    <xf numFmtId="0" fontId="16" fillId="7" borderId="33" xfId="0" applyFont="1" applyFill="1" applyBorder="1" applyAlignment="1">
      <alignment horizontal="center" vertical="center" textRotation="90"/>
    </xf>
    <xf numFmtId="0" fontId="16" fillId="7" borderId="1" xfId="0" applyFont="1" applyFill="1" applyBorder="1" applyAlignment="1">
      <alignment horizontal="center" vertical="center" textRotation="90" wrapText="1"/>
    </xf>
    <xf numFmtId="0" fontId="16" fillId="7" borderId="33" xfId="0" applyFont="1" applyFill="1" applyBorder="1" applyAlignment="1">
      <alignment horizontal="center" vertical="center" textRotation="90" wrapText="1"/>
    </xf>
    <xf numFmtId="0" fontId="30" fillId="10" borderId="24" xfId="0" applyFont="1" applyFill="1" applyBorder="1" applyAlignment="1">
      <alignment horizontal="center" vertical="center"/>
    </xf>
    <xf numFmtId="0" fontId="30" fillId="10" borderId="25" xfId="0" applyFont="1" applyFill="1" applyBorder="1" applyAlignment="1">
      <alignment horizontal="center" vertical="center"/>
    </xf>
    <xf numFmtId="0" fontId="30" fillId="9" borderId="3" xfId="0" applyFont="1" applyFill="1" applyBorder="1" applyAlignment="1">
      <alignment horizontal="center" vertical="center"/>
    </xf>
    <xf numFmtId="0" fontId="30" fillId="9" borderId="4" xfId="0" applyFont="1" applyFill="1" applyBorder="1" applyAlignment="1">
      <alignment horizontal="center" vertical="center"/>
    </xf>
    <xf numFmtId="0" fontId="30" fillId="9" borderId="5" xfId="0" applyFont="1" applyFill="1" applyBorder="1" applyAlignment="1">
      <alignment horizontal="center" vertical="center"/>
    </xf>
    <xf numFmtId="0" fontId="30" fillId="7" borderId="10" xfId="0" applyFont="1" applyFill="1" applyBorder="1" applyAlignment="1">
      <alignment horizontal="center" vertical="center"/>
    </xf>
    <xf numFmtId="0" fontId="30" fillId="7" borderId="24" xfId="0" applyFont="1" applyFill="1" applyBorder="1" applyAlignment="1">
      <alignment horizontal="center" vertical="center"/>
    </xf>
    <xf numFmtId="0" fontId="30" fillId="7" borderId="25" xfId="0" applyFont="1" applyFill="1" applyBorder="1" applyAlignment="1">
      <alignment horizontal="center" vertical="center"/>
    </xf>
    <xf numFmtId="0" fontId="1" fillId="10" borderId="7" xfId="0" applyFont="1" applyFill="1" applyBorder="1" applyAlignment="1">
      <alignment horizontal="center" vertical="center" textRotation="90"/>
    </xf>
    <xf numFmtId="0" fontId="1" fillId="9" borderId="7" xfId="0" applyFont="1" applyFill="1" applyBorder="1" applyAlignment="1">
      <alignment horizontal="center" vertical="center" textRotation="90"/>
    </xf>
    <xf numFmtId="0" fontId="1" fillId="7" borderId="7" xfId="0" applyFont="1" applyFill="1" applyBorder="1" applyAlignment="1">
      <alignment horizontal="center" vertical="center" textRotation="90"/>
    </xf>
  </cellXfs>
  <cellStyles count="3">
    <cellStyle name="Normal 2 2" xfId="1" xr:uid="{00000000-0005-0000-0000-000001000000}"/>
    <cellStyle name="Percent" xfId="2" builtinId="5"/>
    <cellStyle name="عادي" xfId="0" builtinId="0"/>
  </cellStyles>
  <dxfs count="310"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&#1575;&#1583;&#1582;&#1575;&#1604;1!AA1"/><Relationship Id="rId3" Type="http://schemas.openxmlformats.org/officeDocument/2006/relationships/hyperlink" Target="#'&#1575;&#1604;&#1589;&#1581;&#1610;&#1601;&#1577; &#1575;&#1604;&#1606;&#1607;&#1575;&#1574;&#1610;&#1577;'!A1"/><Relationship Id="rId7" Type="http://schemas.openxmlformats.org/officeDocument/2006/relationships/hyperlink" Target="#'&#1576;&#1610;&#1575;&#1606;&#1575;&#1578; &#1575;&#1604;&#1589;&#1581;&#1610;&#1601;&#1577;'!A1"/><Relationship Id="rId2" Type="http://schemas.openxmlformats.org/officeDocument/2006/relationships/hyperlink" Target="#&#1575;&#1583;&#1582;&#1575;&#1604;1!A1"/><Relationship Id="rId1" Type="http://schemas.openxmlformats.org/officeDocument/2006/relationships/hyperlink" Target="#&#1575;&#1604;&#1585;&#1574;&#1610;&#1587;&#1610;&#1577;!A1"/><Relationship Id="rId6" Type="http://schemas.openxmlformats.org/officeDocument/2006/relationships/hyperlink" Target="#'&#1589;&#1581;&#1610;&#1601;&#1577; &#1575;&#1604;&#1601;&#1578;&#1585;&#1575;&#1578;'!A1"/><Relationship Id="rId5" Type="http://schemas.openxmlformats.org/officeDocument/2006/relationships/hyperlink" Target="#'&#1576;&#1610;&#1575;&#1606;&#1575;&#1578; &#1575;&#1604;&#1589;&#1581;&#1610;&#1601;&#1577; '!A1"/><Relationship Id="rId4" Type="http://schemas.openxmlformats.org/officeDocument/2006/relationships/hyperlink" Target="#'&#1575;&#1604;&#1606;&#1578;&#1610;&#1580;&#1577; &#1575;&#1604;&#1606;&#1607;&#1575;&#1574;&#1610;&#1577;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1173480</xdr:colOff>
      <xdr:row>1</xdr:row>
      <xdr:rowOff>243840</xdr:rowOff>
    </xdr:from>
    <xdr:to>
      <xdr:col>0</xdr:col>
      <xdr:colOff>1615440</xdr:colOff>
      <xdr:row>2</xdr:row>
      <xdr:rowOff>45720</xdr:rowOff>
    </xdr:to>
    <xdr:sp macro="" textlink="">
      <xdr:nvSpPr>
        <xdr:cNvPr id="3" name="سهم إلى اليمين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973531520" y="746760"/>
          <a:ext cx="441960" cy="304800"/>
        </a:xfrm>
        <a:prstGeom prst="righ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866</xdr:colOff>
      <xdr:row>0</xdr:row>
      <xdr:rowOff>9525</xdr:rowOff>
    </xdr:from>
    <xdr:to>
      <xdr:col>0</xdr:col>
      <xdr:colOff>1732</xdr:colOff>
      <xdr:row>5</xdr:row>
      <xdr:rowOff>133349</xdr:rowOff>
    </xdr:to>
    <xdr:sp macro="" textlink="">
      <xdr:nvSpPr>
        <xdr:cNvPr id="2" name="تمرير أفقي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0971068" y="9525"/>
          <a:ext cx="866" cy="1000124"/>
        </a:xfrm>
        <a:prstGeom prst="horizontalScrol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15</xdr:col>
      <xdr:colOff>657225</xdr:colOff>
      <xdr:row>0</xdr:row>
      <xdr:rowOff>29441</xdr:rowOff>
    </xdr:from>
    <xdr:to>
      <xdr:col>16384</xdr:col>
      <xdr:colOff>392257</xdr:colOff>
      <xdr:row>0</xdr:row>
      <xdr:rowOff>172316</xdr:rowOff>
    </xdr:to>
    <xdr:sp macro="" textlink="">
      <xdr:nvSpPr>
        <xdr:cNvPr id="3" name="سهم إلى اليمين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-392257" y="29441"/>
          <a:ext cx="420832" cy="142875"/>
        </a:xfrm>
        <a:prstGeom prst="righ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0</xdr:col>
      <xdr:colOff>0</xdr:colOff>
      <xdr:row>0</xdr:row>
      <xdr:rowOff>29441</xdr:rowOff>
    </xdr:from>
    <xdr:to>
      <xdr:col>15</xdr:col>
      <xdr:colOff>657225</xdr:colOff>
      <xdr:row>40</xdr:row>
      <xdr:rowOff>0</xdr:rowOff>
    </xdr:to>
    <xdr:grpSp>
      <xdr:nvGrpSpPr>
        <xdr:cNvPr id="4" name="مجموعة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pSpPr/>
      </xdr:nvGrpSpPr>
      <xdr:grpSpPr>
        <a:xfrm>
          <a:off x="17690" y="29441"/>
          <a:ext cx="10780939" cy="6937416"/>
          <a:chOff x="26843" y="29441"/>
          <a:chExt cx="10918248" cy="7244195"/>
        </a:xfrm>
      </xdr:grpSpPr>
      <xdr:grpSp>
        <xdr:nvGrpSpPr>
          <xdr:cNvPr id="5" name="مجموعة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GrpSpPr/>
        </xdr:nvGrpSpPr>
        <xdr:grpSpPr>
          <a:xfrm>
            <a:off x="26843" y="29441"/>
            <a:ext cx="10918248" cy="7244195"/>
            <a:chOff x="26843" y="0"/>
            <a:chExt cx="10918248" cy="7244195"/>
          </a:xfrm>
        </xdr:grpSpPr>
        <xdr:sp macro="" textlink="">
          <xdr:nvSpPr>
            <xdr:cNvPr id="7" name="مستطيل 6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26843" y="0"/>
              <a:ext cx="10918248" cy="1788968"/>
            </a:xfrm>
            <a:prstGeom prst="rect">
              <a:avLst/>
            </a:prstGeom>
            <a:solidFill>
              <a:srgbClr val="FF000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endParaRPr lang="ar-SA" sz="1100"/>
            </a:p>
            <a:p>
              <a:pPr algn="ctr" rtl="1"/>
              <a:endParaRPr lang="ar-SA" sz="1100"/>
            </a:p>
            <a:p>
              <a:pPr algn="ctr" rtl="1"/>
              <a:endParaRPr lang="ar-SA" sz="1100"/>
            </a:p>
            <a:p>
              <a:pPr algn="ctr" rtl="1"/>
              <a:endParaRPr lang="ar-SA" sz="1100"/>
            </a:p>
            <a:p>
              <a:pPr algn="ctr" rtl="1"/>
              <a:endParaRPr lang="ar-SA" sz="1100"/>
            </a:p>
          </xdr:txBody>
        </xdr:sp>
        <xdr:sp macro="" textlink="">
          <xdr:nvSpPr>
            <xdr:cNvPr id="8" name="مستطيل 7">
              <a:extLst>
                <a:ext uri="{FF2B5EF4-FFF2-40B4-BE49-F238E27FC236}">
                  <a16:creationId xmlns:a16="http://schemas.microsoft.com/office/drawing/2014/main" id="{00000000-0008-0000-0100-000008000000}"/>
                </a:ext>
              </a:extLst>
            </xdr:cNvPr>
            <xdr:cNvSpPr/>
          </xdr:nvSpPr>
          <xdr:spPr>
            <a:xfrm>
              <a:off x="26843" y="1814410"/>
              <a:ext cx="10918248" cy="3655868"/>
            </a:xfrm>
            <a:prstGeom prst="rect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endParaRPr lang="ar-LY" sz="900"/>
            </a:p>
          </xdr:txBody>
        </xdr:sp>
        <xdr:sp macro="" textlink="">
          <xdr:nvSpPr>
            <xdr:cNvPr id="9" name="مستطيل 8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SpPr/>
          </xdr:nvSpPr>
          <xdr:spPr>
            <a:xfrm>
              <a:off x="26843" y="5455227"/>
              <a:ext cx="10918248" cy="1788968"/>
            </a:xfrm>
            <a:prstGeom prst="rect">
              <a:avLst/>
            </a:prstGeom>
            <a:solidFill>
              <a:srgbClr val="00B05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endParaRPr lang="ar-LY" sz="1100"/>
            </a:p>
          </xdr:txBody>
        </xdr:sp>
        <xdr:sp macro="" textlink="">
          <xdr:nvSpPr>
            <xdr:cNvPr id="10" name="قمر 9">
              <a:extLst>
                <a:ext uri="{FF2B5EF4-FFF2-40B4-BE49-F238E27FC236}">
                  <a16:creationId xmlns:a16="http://schemas.microsoft.com/office/drawing/2014/main" id="{00000000-0008-0000-0100-00000A000000}"/>
                </a:ext>
              </a:extLst>
            </xdr:cNvPr>
            <xdr:cNvSpPr/>
          </xdr:nvSpPr>
          <xdr:spPr>
            <a:xfrm>
              <a:off x="5005821" y="2707698"/>
              <a:ext cx="998393" cy="1732684"/>
            </a:xfrm>
            <a:prstGeom prst="moon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1" anchor="ctr"/>
            <a:lstStyle/>
            <a:p>
              <a:pPr algn="ctr" rtl="1"/>
              <a:endParaRPr lang="ar-LY" sz="1100"/>
            </a:p>
          </xdr:txBody>
        </xdr:sp>
        <xdr:sp macro="" textlink="">
          <xdr:nvSpPr>
            <xdr:cNvPr id="11" name="نجمة ذات 5 نقاط 10">
              <a:extLst>
                <a:ext uri="{FF2B5EF4-FFF2-40B4-BE49-F238E27FC236}">
                  <a16:creationId xmlns:a16="http://schemas.microsoft.com/office/drawing/2014/main" id="{00000000-0008-0000-0100-00000B000000}"/>
                </a:ext>
              </a:extLst>
            </xdr:cNvPr>
            <xdr:cNvSpPr/>
          </xdr:nvSpPr>
          <xdr:spPr>
            <a:xfrm>
              <a:off x="5623214" y="3215120"/>
              <a:ext cx="626918" cy="670214"/>
            </a:xfrm>
            <a:prstGeom prst="star5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1" anchor="ctr"/>
            <a:lstStyle/>
            <a:p>
              <a:pPr algn="ctr" rtl="1"/>
              <a:endParaRPr lang="ar-LY" sz="1100"/>
            </a:p>
          </xdr:txBody>
        </xdr:sp>
        <xdr:sp macro="" textlink="">
          <xdr:nvSpPr>
            <xdr:cNvPr id="12" name="شكل بيضاوي 11">
              <a:hlinkClick xmlns:r="http://schemas.openxmlformats.org/officeDocument/2006/relationships" r:id="rId2"/>
              <a:extLst>
                <a:ext uri="{FF2B5EF4-FFF2-40B4-BE49-F238E27FC236}">
                  <a16:creationId xmlns:a16="http://schemas.microsoft.com/office/drawing/2014/main" id="{00000000-0008-0000-0100-00000C000000}"/>
                </a:ext>
              </a:extLst>
            </xdr:cNvPr>
            <xdr:cNvSpPr/>
          </xdr:nvSpPr>
          <xdr:spPr>
            <a:xfrm>
              <a:off x="8858249" y="2000250"/>
              <a:ext cx="1652155" cy="746414"/>
            </a:xfrm>
            <a:prstGeom prst="ellipse">
              <a:avLst/>
            </a:prstGeom>
            <a:ln>
              <a:solidFill>
                <a:schemeClr val="tx2">
                  <a:lumMod val="40000"/>
                  <a:lumOff val="60000"/>
                </a:schemeClr>
              </a:solidFill>
            </a:ln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LY" sz="1200"/>
                <a:t>ادخال</a:t>
              </a:r>
              <a:r>
                <a:rPr lang="ar-LY" sz="1400" baseline="0"/>
                <a:t> </a:t>
              </a:r>
              <a:r>
                <a:rPr lang="ar-LY" sz="1400"/>
                <a:t>درجات الفترة</a:t>
              </a:r>
              <a:r>
                <a:rPr lang="ar-LY" sz="1400" baseline="0"/>
                <a:t> الاولى</a:t>
              </a:r>
              <a:endParaRPr lang="ar-LY" sz="900"/>
            </a:p>
          </xdr:txBody>
        </xdr:sp>
        <xdr:sp macro="" textlink="">
          <xdr:nvSpPr>
            <xdr:cNvPr id="13" name="شكل بيضاوي 12">
              <a:hlinkClick xmlns:r="http://schemas.openxmlformats.org/officeDocument/2006/relationships" r:id="rId3" tooltip="صحيفة الفصل الثاني"/>
              <a:extLst>
                <a:ext uri="{FF2B5EF4-FFF2-40B4-BE49-F238E27FC236}">
                  <a16:creationId xmlns:a16="http://schemas.microsoft.com/office/drawing/2014/main" id="{00000000-0008-0000-0100-00000D000000}"/>
                </a:ext>
              </a:extLst>
            </xdr:cNvPr>
            <xdr:cNvSpPr/>
          </xdr:nvSpPr>
          <xdr:spPr>
            <a:xfrm>
              <a:off x="2782166" y="3253220"/>
              <a:ext cx="1653886" cy="747280"/>
            </a:xfrm>
            <a:prstGeom prst="ellipse">
              <a:avLst/>
            </a:prstGeom>
            <a:ln>
              <a:solidFill>
                <a:schemeClr val="tx2">
                  <a:lumMod val="40000"/>
                  <a:lumOff val="60000"/>
                </a:schemeClr>
              </a:solidFill>
            </a:ln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SA" sz="1400"/>
                <a:t>الصحيفة</a:t>
              </a:r>
              <a:r>
                <a:rPr lang="ar-LY" sz="1400"/>
                <a:t> النهائية</a:t>
              </a:r>
            </a:p>
          </xdr:txBody>
        </xdr:sp>
        <xdr:sp macro="" textlink="">
          <xdr:nvSpPr>
            <xdr:cNvPr id="14" name="شكل بيضاوي 13">
              <a:hlinkClick xmlns:r="http://schemas.openxmlformats.org/officeDocument/2006/relationships" r:id="rId4" tooltip="نتيجة الفصل الثاني"/>
              <a:extLst>
                <a:ext uri="{FF2B5EF4-FFF2-40B4-BE49-F238E27FC236}">
                  <a16:creationId xmlns:a16="http://schemas.microsoft.com/office/drawing/2014/main" id="{00000000-0008-0000-0100-00000E000000}"/>
                </a:ext>
              </a:extLst>
            </xdr:cNvPr>
            <xdr:cNvSpPr/>
          </xdr:nvSpPr>
          <xdr:spPr>
            <a:xfrm>
              <a:off x="2669598" y="1970809"/>
              <a:ext cx="1652154" cy="746414"/>
            </a:xfrm>
            <a:prstGeom prst="ellipse">
              <a:avLst/>
            </a:prstGeom>
            <a:ln>
              <a:solidFill>
                <a:schemeClr val="tx2">
                  <a:lumMod val="40000"/>
                  <a:lumOff val="60000"/>
                </a:schemeClr>
              </a:solidFill>
            </a:ln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LY" sz="1600"/>
                <a:t>النتيجة النهائية</a:t>
              </a:r>
            </a:p>
          </xdr:txBody>
        </xdr:sp>
        <xdr:sp macro="" textlink="">
          <xdr:nvSpPr>
            <xdr:cNvPr id="15" name="شكل بيضاوي 14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00000000-0008-0000-0100-00000F000000}"/>
                </a:ext>
              </a:extLst>
            </xdr:cNvPr>
            <xdr:cNvSpPr/>
          </xdr:nvSpPr>
          <xdr:spPr>
            <a:xfrm>
              <a:off x="9081655" y="4392757"/>
              <a:ext cx="1653886" cy="746413"/>
            </a:xfrm>
            <a:prstGeom prst="ellipse">
              <a:avLst/>
            </a:prstGeom>
            <a:ln>
              <a:solidFill>
                <a:schemeClr val="tx2">
                  <a:lumMod val="40000"/>
                  <a:lumOff val="60000"/>
                </a:schemeClr>
              </a:solidFill>
            </a:ln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LY" sz="1400"/>
                <a:t>واجهة</a:t>
              </a:r>
              <a:r>
                <a:rPr lang="ar-LY" sz="1400" baseline="0"/>
                <a:t> الصحيفة</a:t>
              </a:r>
              <a:endParaRPr lang="ar-LY" sz="1400"/>
            </a:p>
          </xdr:txBody>
        </xdr:sp>
        <xdr:sp macro="" textlink="">
          <xdr:nvSpPr>
            <xdr:cNvPr id="16" name="شكل بيضاوي 15">
              <a:hlinkClick xmlns:r="http://schemas.openxmlformats.org/officeDocument/2006/relationships" r:id="rId6"/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9014980" y="3234170"/>
              <a:ext cx="1653886" cy="746414"/>
            </a:xfrm>
            <a:prstGeom prst="ellipse">
              <a:avLst/>
            </a:prstGeom>
            <a:ln>
              <a:solidFill>
                <a:schemeClr val="tx2">
                  <a:lumMod val="40000"/>
                  <a:lumOff val="60000"/>
                </a:schemeClr>
              </a:solidFill>
            </a:ln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SA" sz="1400"/>
                <a:t>صحيفة</a:t>
              </a:r>
              <a:r>
                <a:rPr lang="ar-SA" sz="1600"/>
                <a:t> </a:t>
              </a:r>
              <a:r>
                <a:rPr lang="ar-LY" sz="1600"/>
                <a:t>الفترات</a:t>
              </a:r>
            </a:p>
          </xdr:txBody>
        </xdr:sp>
        <xdr:sp macro="" textlink="">
          <xdr:nvSpPr>
            <xdr:cNvPr id="18" name="شكل بيضاوي 17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/>
          </xdr:nvSpPr>
          <xdr:spPr>
            <a:xfrm>
              <a:off x="701386" y="6076950"/>
              <a:ext cx="1653887" cy="746414"/>
            </a:xfrm>
            <a:prstGeom prst="ellipse">
              <a:avLst/>
            </a:prstGeom>
            <a:solidFill>
              <a:srgbClr val="00B050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scene3d>
              <a:camera prst="orthographicFront"/>
              <a:lightRig rig="threePt" dir="t"/>
            </a:scene3d>
            <a:sp3d>
              <a:bevelT w="152400" h="50800" prst="softRound"/>
            </a:sp3d>
          </xdr:spPr>
          <xdr:style>
            <a:lnRef idx="1">
              <a:schemeClr val="accent6"/>
            </a:lnRef>
            <a:fillRef idx="1003">
              <a:schemeClr val="dk1"/>
            </a:fillRef>
            <a:effectRef idx="2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SA" sz="140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بيانات الصحيفة</a:t>
              </a:r>
              <a:endParaRPr lang="ar-LY" sz="1400">
                <a:solidFill>
                  <a:schemeClr val="tx1">
                    <a:lumMod val="95000"/>
                    <a:lumOff val="5000"/>
                  </a:schemeClr>
                </a:solidFill>
              </a:endParaRPr>
            </a:p>
          </xdr:txBody>
        </xdr:sp>
        <xdr:sp macro="" textlink="">
          <xdr:nvSpPr>
            <xdr:cNvPr id="19" name="تمرير أفقي 18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6639790" y="883228"/>
              <a:ext cx="4113934" cy="750743"/>
            </a:xfrm>
            <a:prstGeom prst="horizontalScroll">
              <a:avLst/>
            </a:prstGeom>
            <a:solidFill>
              <a:srgbClr val="C00000"/>
            </a:solidFill>
          </xdr:spPr>
          <xdr:style>
            <a:lnRef idx="0">
              <a:schemeClr val="dk1"/>
            </a:lnRef>
            <a:fillRef idx="3">
              <a:schemeClr val="dk1"/>
            </a:fillRef>
            <a:effectRef idx="3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SA" sz="2800"/>
                <a:t>مراقبة تعليم تاجوراء</a:t>
              </a:r>
              <a:endParaRPr lang="ar-LY" sz="2800"/>
            </a:p>
          </xdr:txBody>
        </xdr:sp>
        <xdr:sp macro="" textlink="">
          <xdr:nvSpPr>
            <xdr:cNvPr id="20" name="تمرير أفقي 19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>
              <a:off x="827811" y="874568"/>
              <a:ext cx="3822122" cy="783648"/>
            </a:xfrm>
            <a:prstGeom prst="horizontalScroll">
              <a:avLst/>
            </a:prstGeom>
            <a:solidFill>
              <a:srgbClr val="C00000"/>
            </a:solidFill>
          </xdr:spPr>
          <xdr:style>
            <a:lnRef idx="0">
              <a:schemeClr val="dk1"/>
            </a:lnRef>
            <a:fillRef idx="3">
              <a:schemeClr val="dk1"/>
            </a:fillRef>
            <a:effectRef idx="3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SA" sz="2000"/>
                <a:t>منظومة مكتب امتحانات تاجوراء</a:t>
              </a:r>
              <a:endParaRPr lang="ar-LY" sz="2000"/>
            </a:p>
          </xdr:txBody>
        </xdr:sp>
        <xdr:sp macro="" textlink="">
          <xdr:nvSpPr>
            <xdr:cNvPr id="21" name="شكل بيضاوي 20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/>
          </xdr:nvSpPr>
          <xdr:spPr>
            <a:xfrm>
              <a:off x="5403273" y="943841"/>
              <a:ext cx="658091" cy="658091"/>
            </a:xfrm>
            <a:prstGeom prst="ellipse">
              <a:avLst/>
            </a:prstGeom>
            <a:solidFill>
              <a:srgbClr val="C0000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SA" sz="2400"/>
                <a:t>&amp;</a:t>
              </a:r>
              <a:endParaRPr lang="ar-LY" sz="2400"/>
            </a:p>
          </xdr:txBody>
        </xdr:sp>
      </xdr:grpSp>
      <xdr:sp macro="" textlink="">
        <xdr:nvSpPr>
          <xdr:cNvPr id="6" name="مخطط انسيابي: معالجة معرّفة مسبقاً 5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649432" y="3463636"/>
            <a:ext cx="1653886" cy="1143000"/>
          </a:xfrm>
          <a:prstGeom prst="flowChartPredefinedProcess">
            <a:avLst/>
          </a:prstGeom>
          <a:ln>
            <a:noFill/>
          </a:ln>
          <a:effectLst>
            <a:outerShdw blurRad="107950" dist="12700" dir="5400000" algn="ctr">
              <a:srgbClr val="000000"/>
            </a:outerShdw>
          </a:effectLst>
          <a:scene3d>
            <a:camera prst="orthographicFront">
              <a:rot lat="0" lon="0" rev="0"/>
            </a:camera>
            <a:lightRig rig="soft" dir="t">
              <a:rot lat="0" lon="0" rev="0"/>
            </a:lightRig>
          </a:scene3d>
          <a:sp3d contourW="44450" prstMaterial="matte">
            <a:bevelT w="63500" h="63500" prst="artDeco"/>
            <a:contourClr>
              <a:srgbClr val="FFFFFF"/>
            </a:contourClr>
          </a:sp3d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1"/>
            <a:r>
              <a:rPr lang="ar-LY" sz="1800"/>
              <a:t>ادخال اسماء المراجعين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307522</xdr:colOff>
      <xdr:row>0</xdr:row>
      <xdr:rowOff>353785</xdr:rowOff>
    </xdr:from>
    <xdr:to>
      <xdr:col>13</xdr:col>
      <xdr:colOff>329294</xdr:colOff>
      <xdr:row>1</xdr:row>
      <xdr:rowOff>217713</xdr:rowOff>
    </xdr:to>
    <xdr:sp macro="" textlink="">
      <xdr:nvSpPr>
        <xdr:cNvPr id="2" name="سهم إلى اليمين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9972574306" y="353785"/>
          <a:ext cx="421822" cy="22587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31750</xdr:colOff>
      <xdr:row>0</xdr:row>
      <xdr:rowOff>63499</xdr:rowOff>
    </xdr:from>
    <xdr:to>
      <xdr:col>10</xdr:col>
      <xdr:colOff>63500</xdr:colOff>
      <xdr:row>0</xdr:row>
      <xdr:rowOff>253999</xdr:rowOff>
    </xdr:to>
    <xdr:sp macro="" textlink="">
      <xdr:nvSpPr>
        <xdr:cNvPr id="10" name="سهم إلى اليمين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11162855500" y="63499"/>
          <a:ext cx="412750" cy="1905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14</xdr:row>
      <xdr:rowOff>101600</xdr:rowOff>
    </xdr:from>
    <xdr:to>
      <xdr:col>12</xdr:col>
      <xdr:colOff>152400</xdr:colOff>
      <xdr:row>14</xdr:row>
      <xdr:rowOff>253999</xdr:rowOff>
    </xdr:to>
    <xdr:sp macro="" textlink="">
      <xdr:nvSpPr>
        <xdr:cNvPr id="2" name="سهم إلى اليسار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1006785200" y="4902200"/>
          <a:ext cx="3302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14</xdr:row>
      <xdr:rowOff>101600</xdr:rowOff>
    </xdr:from>
    <xdr:to>
      <xdr:col>28</xdr:col>
      <xdr:colOff>152400</xdr:colOff>
      <xdr:row>14</xdr:row>
      <xdr:rowOff>253999</xdr:rowOff>
    </xdr:to>
    <xdr:sp macro="" textlink="">
      <xdr:nvSpPr>
        <xdr:cNvPr id="4" name="سهم إلى اليسار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1006785200" y="4902200"/>
          <a:ext cx="3302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14</xdr:row>
      <xdr:rowOff>101600</xdr:rowOff>
    </xdr:from>
    <xdr:to>
      <xdr:col>44</xdr:col>
      <xdr:colOff>152400</xdr:colOff>
      <xdr:row>14</xdr:row>
      <xdr:rowOff>253999</xdr:rowOff>
    </xdr:to>
    <xdr:sp macro="" textlink="">
      <xdr:nvSpPr>
        <xdr:cNvPr id="5" name="سهم إلى اليسار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1006785200" y="4902200"/>
          <a:ext cx="3302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14</xdr:row>
      <xdr:rowOff>101600</xdr:rowOff>
    </xdr:from>
    <xdr:to>
      <xdr:col>60</xdr:col>
      <xdr:colOff>152400</xdr:colOff>
      <xdr:row>14</xdr:row>
      <xdr:rowOff>253999</xdr:rowOff>
    </xdr:to>
    <xdr:sp macro="" textlink="">
      <xdr:nvSpPr>
        <xdr:cNvPr id="6" name="سهم إلى اليسار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11006785200" y="4902200"/>
          <a:ext cx="3302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54</xdr:row>
      <xdr:rowOff>101600</xdr:rowOff>
    </xdr:from>
    <xdr:to>
      <xdr:col>12</xdr:col>
      <xdr:colOff>152400</xdr:colOff>
      <xdr:row>54</xdr:row>
      <xdr:rowOff>253999</xdr:rowOff>
    </xdr:to>
    <xdr:sp macro="" textlink="">
      <xdr:nvSpPr>
        <xdr:cNvPr id="7" name="سهم إلى اليسار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10903267500" y="47307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54</xdr:row>
      <xdr:rowOff>101600</xdr:rowOff>
    </xdr:from>
    <xdr:to>
      <xdr:col>28</xdr:col>
      <xdr:colOff>152400</xdr:colOff>
      <xdr:row>54</xdr:row>
      <xdr:rowOff>253999</xdr:rowOff>
    </xdr:to>
    <xdr:sp macro="" textlink="">
      <xdr:nvSpPr>
        <xdr:cNvPr id="8" name="سهم إلى اليسار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10903267500" y="47307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54</xdr:row>
      <xdr:rowOff>101600</xdr:rowOff>
    </xdr:from>
    <xdr:to>
      <xdr:col>44</xdr:col>
      <xdr:colOff>152400</xdr:colOff>
      <xdr:row>54</xdr:row>
      <xdr:rowOff>253999</xdr:rowOff>
    </xdr:to>
    <xdr:sp macro="" textlink="">
      <xdr:nvSpPr>
        <xdr:cNvPr id="9" name="سهم إلى اليسار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10903267500" y="47307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54</xdr:row>
      <xdr:rowOff>101600</xdr:rowOff>
    </xdr:from>
    <xdr:to>
      <xdr:col>60</xdr:col>
      <xdr:colOff>152400</xdr:colOff>
      <xdr:row>54</xdr:row>
      <xdr:rowOff>253999</xdr:rowOff>
    </xdr:to>
    <xdr:sp macro="" textlink="">
      <xdr:nvSpPr>
        <xdr:cNvPr id="11" name="سهم إلى اليسار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10903267500" y="47307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93</xdr:row>
      <xdr:rowOff>101600</xdr:rowOff>
    </xdr:from>
    <xdr:to>
      <xdr:col>12</xdr:col>
      <xdr:colOff>152400</xdr:colOff>
      <xdr:row>93</xdr:row>
      <xdr:rowOff>253999</xdr:rowOff>
    </xdr:to>
    <xdr:sp macro="" textlink="">
      <xdr:nvSpPr>
        <xdr:cNvPr id="12" name="سهم إلى اليسار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10903267500" y="47307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93</xdr:row>
      <xdr:rowOff>101600</xdr:rowOff>
    </xdr:from>
    <xdr:to>
      <xdr:col>28</xdr:col>
      <xdr:colOff>152400</xdr:colOff>
      <xdr:row>93</xdr:row>
      <xdr:rowOff>253999</xdr:rowOff>
    </xdr:to>
    <xdr:sp macro="" textlink="">
      <xdr:nvSpPr>
        <xdr:cNvPr id="13" name="سهم إلى اليسار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10903267500" y="47307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93</xdr:row>
      <xdr:rowOff>101600</xdr:rowOff>
    </xdr:from>
    <xdr:to>
      <xdr:col>44</xdr:col>
      <xdr:colOff>152400</xdr:colOff>
      <xdr:row>93</xdr:row>
      <xdr:rowOff>253999</xdr:rowOff>
    </xdr:to>
    <xdr:sp macro="" textlink="">
      <xdr:nvSpPr>
        <xdr:cNvPr id="14" name="سهم إلى اليسار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10903267500" y="47307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93</xdr:row>
      <xdr:rowOff>101600</xdr:rowOff>
    </xdr:from>
    <xdr:to>
      <xdr:col>60</xdr:col>
      <xdr:colOff>152400</xdr:colOff>
      <xdr:row>93</xdr:row>
      <xdr:rowOff>253999</xdr:rowOff>
    </xdr:to>
    <xdr:sp macro="" textlink="">
      <xdr:nvSpPr>
        <xdr:cNvPr id="15" name="سهم إلى اليسار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10903267500" y="47307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133</xdr:row>
      <xdr:rowOff>101600</xdr:rowOff>
    </xdr:from>
    <xdr:to>
      <xdr:col>12</xdr:col>
      <xdr:colOff>152400</xdr:colOff>
      <xdr:row>133</xdr:row>
      <xdr:rowOff>253999</xdr:rowOff>
    </xdr:to>
    <xdr:sp macro="" textlink="">
      <xdr:nvSpPr>
        <xdr:cNvPr id="16" name="سهم إلى اليسار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10903267500" y="47307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133</xdr:row>
      <xdr:rowOff>101600</xdr:rowOff>
    </xdr:from>
    <xdr:to>
      <xdr:col>28</xdr:col>
      <xdr:colOff>152400</xdr:colOff>
      <xdr:row>133</xdr:row>
      <xdr:rowOff>253999</xdr:rowOff>
    </xdr:to>
    <xdr:sp macro="" textlink="">
      <xdr:nvSpPr>
        <xdr:cNvPr id="17" name="سهم إلى اليسار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10903267500" y="47307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133</xdr:row>
      <xdr:rowOff>101600</xdr:rowOff>
    </xdr:from>
    <xdr:to>
      <xdr:col>44</xdr:col>
      <xdr:colOff>152400</xdr:colOff>
      <xdr:row>133</xdr:row>
      <xdr:rowOff>253999</xdr:rowOff>
    </xdr:to>
    <xdr:sp macro="" textlink="">
      <xdr:nvSpPr>
        <xdr:cNvPr id="18" name="سهم إلى اليسار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10903267500" y="47307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133</xdr:row>
      <xdr:rowOff>101600</xdr:rowOff>
    </xdr:from>
    <xdr:to>
      <xdr:col>60</xdr:col>
      <xdr:colOff>152400</xdr:colOff>
      <xdr:row>133</xdr:row>
      <xdr:rowOff>253999</xdr:rowOff>
    </xdr:to>
    <xdr:sp macro="" textlink="">
      <xdr:nvSpPr>
        <xdr:cNvPr id="19" name="سهم إلى اليسار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10903267500" y="47307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173</xdr:row>
      <xdr:rowOff>101600</xdr:rowOff>
    </xdr:from>
    <xdr:to>
      <xdr:col>12</xdr:col>
      <xdr:colOff>152400</xdr:colOff>
      <xdr:row>173</xdr:row>
      <xdr:rowOff>253999</xdr:rowOff>
    </xdr:to>
    <xdr:sp macro="" textlink="">
      <xdr:nvSpPr>
        <xdr:cNvPr id="20" name="سهم إلى اليسار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10903267500" y="47307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173</xdr:row>
      <xdr:rowOff>101600</xdr:rowOff>
    </xdr:from>
    <xdr:to>
      <xdr:col>28</xdr:col>
      <xdr:colOff>152400</xdr:colOff>
      <xdr:row>173</xdr:row>
      <xdr:rowOff>253999</xdr:rowOff>
    </xdr:to>
    <xdr:sp macro="" textlink="">
      <xdr:nvSpPr>
        <xdr:cNvPr id="21" name="سهم إلى اليسار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10903267500" y="47307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173</xdr:row>
      <xdr:rowOff>101600</xdr:rowOff>
    </xdr:from>
    <xdr:to>
      <xdr:col>44</xdr:col>
      <xdr:colOff>152400</xdr:colOff>
      <xdr:row>173</xdr:row>
      <xdr:rowOff>253999</xdr:rowOff>
    </xdr:to>
    <xdr:sp macro="" textlink="">
      <xdr:nvSpPr>
        <xdr:cNvPr id="22" name="سهم إلى اليسار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10903267500" y="47307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173</xdr:row>
      <xdr:rowOff>101600</xdr:rowOff>
    </xdr:from>
    <xdr:to>
      <xdr:col>60</xdr:col>
      <xdr:colOff>152400</xdr:colOff>
      <xdr:row>173</xdr:row>
      <xdr:rowOff>253999</xdr:rowOff>
    </xdr:to>
    <xdr:sp macro="" textlink="">
      <xdr:nvSpPr>
        <xdr:cNvPr id="23" name="سهم إلى اليسار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10903267500" y="47307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14</xdr:row>
      <xdr:rowOff>101600</xdr:rowOff>
    </xdr:from>
    <xdr:to>
      <xdr:col>28</xdr:col>
      <xdr:colOff>152400</xdr:colOff>
      <xdr:row>14</xdr:row>
      <xdr:rowOff>253999</xdr:rowOff>
    </xdr:to>
    <xdr:sp macro="" textlink="">
      <xdr:nvSpPr>
        <xdr:cNvPr id="24" name="سهم إلى اليسار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11006785200" y="4826000"/>
          <a:ext cx="3302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14</xdr:row>
      <xdr:rowOff>101600</xdr:rowOff>
    </xdr:from>
    <xdr:to>
      <xdr:col>44</xdr:col>
      <xdr:colOff>152400</xdr:colOff>
      <xdr:row>14</xdr:row>
      <xdr:rowOff>253999</xdr:rowOff>
    </xdr:to>
    <xdr:sp macro="" textlink="">
      <xdr:nvSpPr>
        <xdr:cNvPr id="25" name="سهم إلى اليسار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11006785200" y="4826000"/>
          <a:ext cx="3302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14</xdr:row>
      <xdr:rowOff>101600</xdr:rowOff>
    </xdr:from>
    <xdr:to>
      <xdr:col>60</xdr:col>
      <xdr:colOff>152400</xdr:colOff>
      <xdr:row>14</xdr:row>
      <xdr:rowOff>253999</xdr:rowOff>
    </xdr:to>
    <xdr:sp macro="" textlink="">
      <xdr:nvSpPr>
        <xdr:cNvPr id="26" name="سهم إلى اليسار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11006785200" y="4826000"/>
          <a:ext cx="3302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54</xdr:row>
      <xdr:rowOff>101600</xdr:rowOff>
    </xdr:from>
    <xdr:to>
      <xdr:col>12</xdr:col>
      <xdr:colOff>152400</xdr:colOff>
      <xdr:row>54</xdr:row>
      <xdr:rowOff>253999</xdr:rowOff>
    </xdr:to>
    <xdr:sp macro="" textlink="">
      <xdr:nvSpPr>
        <xdr:cNvPr id="27" name="سهم إلى اليسار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1090326750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54</xdr:row>
      <xdr:rowOff>101600</xdr:rowOff>
    </xdr:from>
    <xdr:to>
      <xdr:col>28</xdr:col>
      <xdr:colOff>152400</xdr:colOff>
      <xdr:row>54</xdr:row>
      <xdr:rowOff>253999</xdr:rowOff>
    </xdr:to>
    <xdr:sp macro="" textlink="">
      <xdr:nvSpPr>
        <xdr:cNvPr id="28" name="سهم إلى اليسار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1090326750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54</xdr:row>
      <xdr:rowOff>101600</xdr:rowOff>
    </xdr:from>
    <xdr:to>
      <xdr:col>44</xdr:col>
      <xdr:colOff>152400</xdr:colOff>
      <xdr:row>54</xdr:row>
      <xdr:rowOff>253999</xdr:rowOff>
    </xdr:to>
    <xdr:sp macro="" textlink="">
      <xdr:nvSpPr>
        <xdr:cNvPr id="29" name="سهم إلى اليسار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>
          <a:off x="1090326750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54</xdr:row>
      <xdr:rowOff>101600</xdr:rowOff>
    </xdr:from>
    <xdr:to>
      <xdr:col>60</xdr:col>
      <xdr:colOff>152400</xdr:colOff>
      <xdr:row>54</xdr:row>
      <xdr:rowOff>253999</xdr:rowOff>
    </xdr:to>
    <xdr:sp macro="" textlink="">
      <xdr:nvSpPr>
        <xdr:cNvPr id="30" name="سهم إلى اليسار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1090326750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93</xdr:row>
      <xdr:rowOff>101600</xdr:rowOff>
    </xdr:from>
    <xdr:to>
      <xdr:col>12</xdr:col>
      <xdr:colOff>152400</xdr:colOff>
      <xdr:row>93</xdr:row>
      <xdr:rowOff>253999</xdr:rowOff>
    </xdr:to>
    <xdr:sp macro="" textlink="">
      <xdr:nvSpPr>
        <xdr:cNvPr id="31" name="سهم إلى اليسار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>
          <a:off x="1090326750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93</xdr:row>
      <xdr:rowOff>101600</xdr:rowOff>
    </xdr:from>
    <xdr:to>
      <xdr:col>28</xdr:col>
      <xdr:colOff>152400</xdr:colOff>
      <xdr:row>93</xdr:row>
      <xdr:rowOff>253999</xdr:rowOff>
    </xdr:to>
    <xdr:sp macro="" textlink="">
      <xdr:nvSpPr>
        <xdr:cNvPr id="32" name="سهم إلى اليسار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/>
      </xdr:nvSpPr>
      <xdr:spPr>
        <a:xfrm>
          <a:off x="1090326750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93</xdr:row>
      <xdr:rowOff>101600</xdr:rowOff>
    </xdr:from>
    <xdr:to>
      <xdr:col>44</xdr:col>
      <xdr:colOff>152400</xdr:colOff>
      <xdr:row>93</xdr:row>
      <xdr:rowOff>253999</xdr:rowOff>
    </xdr:to>
    <xdr:sp macro="" textlink="">
      <xdr:nvSpPr>
        <xdr:cNvPr id="33" name="سهم إلى اليسار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/>
      </xdr:nvSpPr>
      <xdr:spPr>
        <a:xfrm>
          <a:off x="1090326750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93</xdr:row>
      <xdr:rowOff>101600</xdr:rowOff>
    </xdr:from>
    <xdr:to>
      <xdr:col>60</xdr:col>
      <xdr:colOff>152400</xdr:colOff>
      <xdr:row>93</xdr:row>
      <xdr:rowOff>253999</xdr:rowOff>
    </xdr:to>
    <xdr:sp macro="" textlink="">
      <xdr:nvSpPr>
        <xdr:cNvPr id="34" name="سهم إلى اليسار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>
        <a:xfrm>
          <a:off x="1090326750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133</xdr:row>
      <xdr:rowOff>101600</xdr:rowOff>
    </xdr:from>
    <xdr:to>
      <xdr:col>12</xdr:col>
      <xdr:colOff>152400</xdr:colOff>
      <xdr:row>133</xdr:row>
      <xdr:rowOff>253999</xdr:rowOff>
    </xdr:to>
    <xdr:sp macro="" textlink="">
      <xdr:nvSpPr>
        <xdr:cNvPr id="35" name="سهم إلى اليسار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/>
      </xdr:nvSpPr>
      <xdr:spPr>
        <a:xfrm>
          <a:off x="1090326750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133</xdr:row>
      <xdr:rowOff>101600</xdr:rowOff>
    </xdr:from>
    <xdr:to>
      <xdr:col>28</xdr:col>
      <xdr:colOff>152400</xdr:colOff>
      <xdr:row>133</xdr:row>
      <xdr:rowOff>253999</xdr:rowOff>
    </xdr:to>
    <xdr:sp macro="" textlink="">
      <xdr:nvSpPr>
        <xdr:cNvPr id="36" name="سهم إلى اليسار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/>
      </xdr:nvSpPr>
      <xdr:spPr>
        <a:xfrm>
          <a:off x="1090326750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133</xdr:row>
      <xdr:rowOff>101600</xdr:rowOff>
    </xdr:from>
    <xdr:to>
      <xdr:col>44</xdr:col>
      <xdr:colOff>152400</xdr:colOff>
      <xdr:row>133</xdr:row>
      <xdr:rowOff>253999</xdr:rowOff>
    </xdr:to>
    <xdr:sp macro="" textlink="">
      <xdr:nvSpPr>
        <xdr:cNvPr id="37" name="سهم إلى اليسار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/>
      </xdr:nvSpPr>
      <xdr:spPr>
        <a:xfrm>
          <a:off x="1090326750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133</xdr:row>
      <xdr:rowOff>101600</xdr:rowOff>
    </xdr:from>
    <xdr:to>
      <xdr:col>60</xdr:col>
      <xdr:colOff>152400</xdr:colOff>
      <xdr:row>133</xdr:row>
      <xdr:rowOff>253999</xdr:rowOff>
    </xdr:to>
    <xdr:sp macro="" textlink="">
      <xdr:nvSpPr>
        <xdr:cNvPr id="38" name="سهم إلى اليسار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/>
      </xdr:nvSpPr>
      <xdr:spPr>
        <a:xfrm>
          <a:off x="1090326750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173</xdr:row>
      <xdr:rowOff>101600</xdr:rowOff>
    </xdr:from>
    <xdr:to>
      <xdr:col>12</xdr:col>
      <xdr:colOff>152400</xdr:colOff>
      <xdr:row>173</xdr:row>
      <xdr:rowOff>253999</xdr:rowOff>
    </xdr:to>
    <xdr:sp macro="" textlink="">
      <xdr:nvSpPr>
        <xdr:cNvPr id="39" name="سهم إلى اليسار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/>
      </xdr:nvSpPr>
      <xdr:spPr>
        <a:xfrm>
          <a:off x="1090326750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173</xdr:row>
      <xdr:rowOff>101600</xdr:rowOff>
    </xdr:from>
    <xdr:to>
      <xdr:col>28</xdr:col>
      <xdr:colOff>152400</xdr:colOff>
      <xdr:row>173</xdr:row>
      <xdr:rowOff>253999</xdr:rowOff>
    </xdr:to>
    <xdr:sp macro="" textlink="">
      <xdr:nvSpPr>
        <xdr:cNvPr id="40" name="سهم إلى اليسار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/>
      </xdr:nvSpPr>
      <xdr:spPr>
        <a:xfrm>
          <a:off x="1090326750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173</xdr:row>
      <xdr:rowOff>101600</xdr:rowOff>
    </xdr:from>
    <xdr:to>
      <xdr:col>44</xdr:col>
      <xdr:colOff>152400</xdr:colOff>
      <xdr:row>173</xdr:row>
      <xdr:rowOff>253999</xdr:rowOff>
    </xdr:to>
    <xdr:sp macro="" textlink="">
      <xdr:nvSpPr>
        <xdr:cNvPr id="41" name="سهم إلى اليسار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/>
      </xdr:nvSpPr>
      <xdr:spPr>
        <a:xfrm>
          <a:off x="1090326750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173</xdr:row>
      <xdr:rowOff>101600</xdr:rowOff>
    </xdr:from>
    <xdr:to>
      <xdr:col>60</xdr:col>
      <xdr:colOff>152400</xdr:colOff>
      <xdr:row>173</xdr:row>
      <xdr:rowOff>253999</xdr:rowOff>
    </xdr:to>
    <xdr:sp macro="" textlink="">
      <xdr:nvSpPr>
        <xdr:cNvPr id="42" name="سهم إلى اليسار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/>
      </xdr:nvSpPr>
      <xdr:spPr>
        <a:xfrm>
          <a:off x="1090326750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14</xdr:row>
      <xdr:rowOff>101600</xdr:rowOff>
    </xdr:from>
    <xdr:to>
      <xdr:col>28</xdr:col>
      <xdr:colOff>152400</xdr:colOff>
      <xdr:row>14</xdr:row>
      <xdr:rowOff>253999</xdr:rowOff>
    </xdr:to>
    <xdr:sp macro="" textlink="">
      <xdr:nvSpPr>
        <xdr:cNvPr id="43" name="سهم إلى اليسار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14</xdr:row>
      <xdr:rowOff>101600</xdr:rowOff>
    </xdr:from>
    <xdr:to>
      <xdr:col>44</xdr:col>
      <xdr:colOff>152400</xdr:colOff>
      <xdr:row>14</xdr:row>
      <xdr:rowOff>253999</xdr:rowOff>
    </xdr:to>
    <xdr:sp macro="" textlink="">
      <xdr:nvSpPr>
        <xdr:cNvPr id="44" name="سهم إلى اليسار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14</xdr:row>
      <xdr:rowOff>101600</xdr:rowOff>
    </xdr:from>
    <xdr:to>
      <xdr:col>60</xdr:col>
      <xdr:colOff>152400</xdr:colOff>
      <xdr:row>14</xdr:row>
      <xdr:rowOff>253999</xdr:rowOff>
    </xdr:to>
    <xdr:sp macro="" textlink="">
      <xdr:nvSpPr>
        <xdr:cNvPr id="45" name="سهم إلى اليسار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54</xdr:row>
      <xdr:rowOff>101600</xdr:rowOff>
    </xdr:from>
    <xdr:to>
      <xdr:col>12</xdr:col>
      <xdr:colOff>152400</xdr:colOff>
      <xdr:row>54</xdr:row>
      <xdr:rowOff>253999</xdr:rowOff>
    </xdr:to>
    <xdr:sp macro="" textlink="">
      <xdr:nvSpPr>
        <xdr:cNvPr id="46" name="سهم إلى اليسار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54</xdr:row>
      <xdr:rowOff>101600</xdr:rowOff>
    </xdr:from>
    <xdr:to>
      <xdr:col>28</xdr:col>
      <xdr:colOff>152400</xdr:colOff>
      <xdr:row>54</xdr:row>
      <xdr:rowOff>253999</xdr:rowOff>
    </xdr:to>
    <xdr:sp macro="" textlink="">
      <xdr:nvSpPr>
        <xdr:cNvPr id="47" name="سهم إلى اليسار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54</xdr:row>
      <xdr:rowOff>101600</xdr:rowOff>
    </xdr:from>
    <xdr:to>
      <xdr:col>44</xdr:col>
      <xdr:colOff>152400</xdr:colOff>
      <xdr:row>54</xdr:row>
      <xdr:rowOff>253999</xdr:rowOff>
    </xdr:to>
    <xdr:sp macro="" textlink="">
      <xdr:nvSpPr>
        <xdr:cNvPr id="48" name="سهم إلى اليسار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54</xdr:row>
      <xdr:rowOff>101600</xdr:rowOff>
    </xdr:from>
    <xdr:to>
      <xdr:col>60</xdr:col>
      <xdr:colOff>152400</xdr:colOff>
      <xdr:row>54</xdr:row>
      <xdr:rowOff>253999</xdr:rowOff>
    </xdr:to>
    <xdr:sp macro="" textlink="">
      <xdr:nvSpPr>
        <xdr:cNvPr id="49" name="سهم إلى اليسار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93</xdr:row>
      <xdr:rowOff>101600</xdr:rowOff>
    </xdr:from>
    <xdr:to>
      <xdr:col>12</xdr:col>
      <xdr:colOff>152400</xdr:colOff>
      <xdr:row>93</xdr:row>
      <xdr:rowOff>253999</xdr:rowOff>
    </xdr:to>
    <xdr:sp macro="" textlink="">
      <xdr:nvSpPr>
        <xdr:cNvPr id="50" name="سهم إلى اليسار 4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93</xdr:row>
      <xdr:rowOff>101600</xdr:rowOff>
    </xdr:from>
    <xdr:to>
      <xdr:col>28</xdr:col>
      <xdr:colOff>152400</xdr:colOff>
      <xdr:row>93</xdr:row>
      <xdr:rowOff>253999</xdr:rowOff>
    </xdr:to>
    <xdr:sp macro="" textlink="">
      <xdr:nvSpPr>
        <xdr:cNvPr id="51" name="سهم إلى اليسار 50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93</xdr:row>
      <xdr:rowOff>101600</xdr:rowOff>
    </xdr:from>
    <xdr:to>
      <xdr:col>44</xdr:col>
      <xdr:colOff>152400</xdr:colOff>
      <xdr:row>93</xdr:row>
      <xdr:rowOff>253999</xdr:rowOff>
    </xdr:to>
    <xdr:sp macro="" textlink="">
      <xdr:nvSpPr>
        <xdr:cNvPr id="52" name="سهم إلى اليسار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93</xdr:row>
      <xdr:rowOff>101600</xdr:rowOff>
    </xdr:from>
    <xdr:to>
      <xdr:col>60</xdr:col>
      <xdr:colOff>152400</xdr:colOff>
      <xdr:row>93</xdr:row>
      <xdr:rowOff>253999</xdr:rowOff>
    </xdr:to>
    <xdr:sp macro="" textlink="">
      <xdr:nvSpPr>
        <xdr:cNvPr id="53" name="سهم إلى اليسار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133</xdr:row>
      <xdr:rowOff>101600</xdr:rowOff>
    </xdr:from>
    <xdr:to>
      <xdr:col>12</xdr:col>
      <xdr:colOff>152400</xdr:colOff>
      <xdr:row>133</xdr:row>
      <xdr:rowOff>253999</xdr:rowOff>
    </xdr:to>
    <xdr:sp macro="" textlink="">
      <xdr:nvSpPr>
        <xdr:cNvPr id="54" name="سهم إلى اليسار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133</xdr:row>
      <xdr:rowOff>101600</xdr:rowOff>
    </xdr:from>
    <xdr:to>
      <xdr:col>28</xdr:col>
      <xdr:colOff>152400</xdr:colOff>
      <xdr:row>133</xdr:row>
      <xdr:rowOff>253999</xdr:rowOff>
    </xdr:to>
    <xdr:sp macro="" textlink="">
      <xdr:nvSpPr>
        <xdr:cNvPr id="55" name="سهم إلى اليسار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133</xdr:row>
      <xdr:rowOff>101600</xdr:rowOff>
    </xdr:from>
    <xdr:to>
      <xdr:col>44</xdr:col>
      <xdr:colOff>152400</xdr:colOff>
      <xdr:row>133</xdr:row>
      <xdr:rowOff>253999</xdr:rowOff>
    </xdr:to>
    <xdr:sp macro="" textlink="">
      <xdr:nvSpPr>
        <xdr:cNvPr id="56" name="سهم إلى اليسار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133</xdr:row>
      <xdr:rowOff>101600</xdr:rowOff>
    </xdr:from>
    <xdr:to>
      <xdr:col>60</xdr:col>
      <xdr:colOff>152400</xdr:colOff>
      <xdr:row>133</xdr:row>
      <xdr:rowOff>253999</xdr:rowOff>
    </xdr:to>
    <xdr:sp macro="" textlink="">
      <xdr:nvSpPr>
        <xdr:cNvPr id="57" name="سهم إلى اليسار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173</xdr:row>
      <xdr:rowOff>101600</xdr:rowOff>
    </xdr:from>
    <xdr:to>
      <xdr:col>12</xdr:col>
      <xdr:colOff>152400</xdr:colOff>
      <xdr:row>173</xdr:row>
      <xdr:rowOff>253999</xdr:rowOff>
    </xdr:to>
    <xdr:sp macro="" textlink="">
      <xdr:nvSpPr>
        <xdr:cNvPr id="58" name="سهم إلى اليسار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173</xdr:row>
      <xdr:rowOff>101600</xdr:rowOff>
    </xdr:from>
    <xdr:to>
      <xdr:col>28</xdr:col>
      <xdr:colOff>152400</xdr:colOff>
      <xdr:row>173</xdr:row>
      <xdr:rowOff>253999</xdr:rowOff>
    </xdr:to>
    <xdr:sp macro="" textlink="">
      <xdr:nvSpPr>
        <xdr:cNvPr id="59" name="سهم إلى اليسار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173</xdr:row>
      <xdr:rowOff>101600</xdr:rowOff>
    </xdr:from>
    <xdr:to>
      <xdr:col>44</xdr:col>
      <xdr:colOff>152400</xdr:colOff>
      <xdr:row>173</xdr:row>
      <xdr:rowOff>253999</xdr:rowOff>
    </xdr:to>
    <xdr:sp macro="" textlink="">
      <xdr:nvSpPr>
        <xdr:cNvPr id="60" name="سهم إلى اليسار 59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173</xdr:row>
      <xdr:rowOff>101600</xdr:rowOff>
    </xdr:from>
    <xdr:to>
      <xdr:col>60</xdr:col>
      <xdr:colOff>152400</xdr:colOff>
      <xdr:row>173</xdr:row>
      <xdr:rowOff>253999</xdr:rowOff>
    </xdr:to>
    <xdr:sp macro="" textlink="">
      <xdr:nvSpPr>
        <xdr:cNvPr id="61" name="سهم إلى اليسار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14</xdr:row>
      <xdr:rowOff>101600</xdr:rowOff>
    </xdr:from>
    <xdr:to>
      <xdr:col>28</xdr:col>
      <xdr:colOff>152400</xdr:colOff>
      <xdr:row>14</xdr:row>
      <xdr:rowOff>253999</xdr:rowOff>
    </xdr:to>
    <xdr:sp macro="" textlink="">
      <xdr:nvSpPr>
        <xdr:cNvPr id="63" name="سهم إلى اليسار 6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/>
      </xdr:nvSpPr>
      <xdr:spPr>
        <a:xfrm>
          <a:off x="11050055298" y="4788619"/>
          <a:ext cx="340744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14</xdr:row>
      <xdr:rowOff>101600</xdr:rowOff>
    </xdr:from>
    <xdr:to>
      <xdr:col>44</xdr:col>
      <xdr:colOff>152400</xdr:colOff>
      <xdr:row>14</xdr:row>
      <xdr:rowOff>253999</xdr:rowOff>
    </xdr:to>
    <xdr:sp macro="" textlink="">
      <xdr:nvSpPr>
        <xdr:cNvPr id="65" name="سهم إلى اليسار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/>
      </xdr:nvSpPr>
      <xdr:spPr>
        <a:xfrm>
          <a:off x="11050055298" y="4788619"/>
          <a:ext cx="340744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14</xdr:row>
      <xdr:rowOff>101600</xdr:rowOff>
    </xdr:from>
    <xdr:to>
      <xdr:col>60</xdr:col>
      <xdr:colOff>152400</xdr:colOff>
      <xdr:row>14</xdr:row>
      <xdr:rowOff>253999</xdr:rowOff>
    </xdr:to>
    <xdr:sp macro="" textlink="">
      <xdr:nvSpPr>
        <xdr:cNvPr id="67" name="سهم إلى اليسار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54</xdr:row>
      <xdr:rowOff>101600</xdr:rowOff>
    </xdr:from>
    <xdr:to>
      <xdr:col>12</xdr:col>
      <xdr:colOff>152400</xdr:colOff>
      <xdr:row>54</xdr:row>
      <xdr:rowOff>253999</xdr:rowOff>
    </xdr:to>
    <xdr:sp macro="" textlink="">
      <xdr:nvSpPr>
        <xdr:cNvPr id="69" name="سهم إلى اليسار 68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54</xdr:row>
      <xdr:rowOff>101600</xdr:rowOff>
    </xdr:from>
    <xdr:to>
      <xdr:col>28</xdr:col>
      <xdr:colOff>152400</xdr:colOff>
      <xdr:row>54</xdr:row>
      <xdr:rowOff>253999</xdr:rowOff>
    </xdr:to>
    <xdr:sp macro="" textlink="">
      <xdr:nvSpPr>
        <xdr:cNvPr id="71" name="سهم إلى اليسار 70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54</xdr:row>
      <xdr:rowOff>101600</xdr:rowOff>
    </xdr:from>
    <xdr:to>
      <xdr:col>44</xdr:col>
      <xdr:colOff>152400</xdr:colOff>
      <xdr:row>54</xdr:row>
      <xdr:rowOff>253999</xdr:rowOff>
    </xdr:to>
    <xdr:sp macro="" textlink="">
      <xdr:nvSpPr>
        <xdr:cNvPr id="73" name="سهم إلى اليسار 72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54</xdr:row>
      <xdr:rowOff>101600</xdr:rowOff>
    </xdr:from>
    <xdr:to>
      <xdr:col>60</xdr:col>
      <xdr:colOff>152400</xdr:colOff>
      <xdr:row>54</xdr:row>
      <xdr:rowOff>253999</xdr:rowOff>
    </xdr:to>
    <xdr:sp macro="" textlink="">
      <xdr:nvSpPr>
        <xdr:cNvPr id="75" name="سهم إلى اليسار 74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93</xdr:row>
      <xdr:rowOff>101600</xdr:rowOff>
    </xdr:from>
    <xdr:to>
      <xdr:col>12</xdr:col>
      <xdr:colOff>152400</xdr:colOff>
      <xdr:row>93</xdr:row>
      <xdr:rowOff>253999</xdr:rowOff>
    </xdr:to>
    <xdr:sp macro="" textlink="">
      <xdr:nvSpPr>
        <xdr:cNvPr id="77" name="سهم إلى اليسار 76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93</xdr:row>
      <xdr:rowOff>101600</xdr:rowOff>
    </xdr:from>
    <xdr:to>
      <xdr:col>28</xdr:col>
      <xdr:colOff>152400</xdr:colOff>
      <xdr:row>93</xdr:row>
      <xdr:rowOff>253999</xdr:rowOff>
    </xdr:to>
    <xdr:sp macro="" textlink="">
      <xdr:nvSpPr>
        <xdr:cNvPr id="79" name="سهم إلى اليسار 78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93</xdr:row>
      <xdr:rowOff>101600</xdr:rowOff>
    </xdr:from>
    <xdr:to>
      <xdr:col>44</xdr:col>
      <xdr:colOff>152400</xdr:colOff>
      <xdr:row>93</xdr:row>
      <xdr:rowOff>253999</xdr:rowOff>
    </xdr:to>
    <xdr:sp macro="" textlink="">
      <xdr:nvSpPr>
        <xdr:cNvPr id="80" name="سهم إلى اليسار 79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93</xdr:row>
      <xdr:rowOff>101600</xdr:rowOff>
    </xdr:from>
    <xdr:to>
      <xdr:col>60</xdr:col>
      <xdr:colOff>152400</xdr:colOff>
      <xdr:row>93</xdr:row>
      <xdr:rowOff>253999</xdr:rowOff>
    </xdr:to>
    <xdr:sp macro="" textlink="">
      <xdr:nvSpPr>
        <xdr:cNvPr id="81" name="سهم إلى اليسار 80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133</xdr:row>
      <xdr:rowOff>101600</xdr:rowOff>
    </xdr:from>
    <xdr:to>
      <xdr:col>12</xdr:col>
      <xdr:colOff>152400</xdr:colOff>
      <xdr:row>133</xdr:row>
      <xdr:rowOff>253999</xdr:rowOff>
    </xdr:to>
    <xdr:sp macro="" textlink="">
      <xdr:nvSpPr>
        <xdr:cNvPr id="82" name="سهم إلى اليسار 81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133</xdr:row>
      <xdr:rowOff>101600</xdr:rowOff>
    </xdr:from>
    <xdr:to>
      <xdr:col>28</xdr:col>
      <xdr:colOff>152400</xdr:colOff>
      <xdr:row>133</xdr:row>
      <xdr:rowOff>253999</xdr:rowOff>
    </xdr:to>
    <xdr:sp macro="" textlink="">
      <xdr:nvSpPr>
        <xdr:cNvPr id="84" name="سهم إلى اليسار 83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133</xdr:row>
      <xdr:rowOff>101600</xdr:rowOff>
    </xdr:from>
    <xdr:to>
      <xdr:col>44</xdr:col>
      <xdr:colOff>152400</xdr:colOff>
      <xdr:row>133</xdr:row>
      <xdr:rowOff>253999</xdr:rowOff>
    </xdr:to>
    <xdr:sp macro="" textlink="">
      <xdr:nvSpPr>
        <xdr:cNvPr id="85" name="سهم إلى اليسار 84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133</xdr:row>
      <xdr:rowOff>101600</xdr:rowOff>
    </xdr:from>
    <xdr:to>
      <xdr:col>60</xdr:col>
      <xdr:colOff>152400</xdr:colOff>
      <xdr:row>133</xdr:row>
      <xdr:rowOff>253999</xdr:rowOff>
    </xdr:to>
    <xdr:sp macro="" textlink="">
      <xdr:nvSpPr>
        <xdr:cNvPr id="86" name="سهم إلى اليسار 85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173</xdr:row>
      <xdr:rowOff>101600</xdr:rowOff>
    </xdr:from>
    <xdr:to>
      <xdr:col>12</xdr:col>
      <xdr:colOff>152400</xdr:colOff>
      <xdr:row>173</xdr:row>
      <xdr:rowOff>253999</xdr:rowOff>
    </xdr:to>
    <xdr:sp macro="" textlink="">
      <xdr:nvSpPr>
        <xdr:cNvPr id="87" name="سهم إلى اليسار 86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173</xdr:row>
      <xdr:rowOff>101600</xdr:rowOff>
    </xdr:from>
    <xdr:to>
      <xdr:col>28</xdr:col>
      <xdr:colOff>152400</xdr:colOff>
      <xdr:row>173</xdr:row>
      <xdr:rowOff>253999</xdr:rowOff>
    </xdr:to>
    <xdr:sp macro="" textlink="">
      <xdr:nvSpPr>
        <xdr:cNvPr id="88" name="سهم إلى اليسار 87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173</xdr:row>
      <xdr:rowOff>101600</xdr:rowOff>
    </xdr:from>
    <xdr:to>
      <xdr:col>44</xdr:col>
      <xdr:colOff>152400</xdr:colOff>
      <xdr:row>173</xdr:row>
      <xdr:rowOff>253999</xdr:rowOff>
    </xdr:to>
    <xdr:sp macro="" textlink="">
      <xdr:nvSpPr>
        <xdr:cNvPr id="90" name="سهم إلى اليسار 89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173</xdr:row>
      <xdr:rowOff>101600</xdr:rowOff>
    </xdr:from>
    <xdr:to>
      <xdr:col>60</xdr:col>
      <xdr:colOff>152400</xdr:colOff>
      <xdr:row>173</xdr:row>
      <xdr:rowOff>253999</xdr:rowOff>
    </xdr:to>
    <xdr:sp macro="" textlink="">
      <xdr:nvSpPr>
        <xdr:cNvPr id="92" name="سهم إلى اليسار 91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14</xdr:row>
      <xdr:rowOff>101600</xdr:rowOff>
    </xdr:from>
    <xdr:to>
      <xdr:col>28</xdr:col>
      <xdr:colOff>152400</xdr:colOff>
      <xdr:row>14</xdr:row>
      <xdr:rowOff>253999</xdr:rowOff>
    </xdr:to>
    <xdr:sp macro="" textlink="">
      <xdr:nvSpPr>
        <xdr:cNvPr id="83" name="سهم إلى اليسار 82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14</xdr:row>
      <xdr:rowOff>101600</xdr:rowOff>
    </xdr:from>
    <xdr:to>
      <xdr:col>60</xdr:col>
      <xdr:colOff>152400</xdr:colOff>
      <xdr:row>14</xdr:row>
      <xdr:rowOff>253999</xdr:rowOff>
    </xdr:to>
    <xdr:sp macro="" textlink="">
      <xdr:nvSpPr>
        <xdr:cNvPr id="89" name="سهم إلى اليسار 88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14</xdr:row>
      <xdr:rowOff>101600</xdr:rowOff>
    </xdr:from>
    <xdr:to>
      <xdr:col>44</xdr:col>
      <xdr:colOff>152400</xdr:colOff>
      <xdr:row>14</xdr:row>
      <xdr:rowOff>253999</xdr:rowOff>
    </xdr:to>
    <xdr:sp macro="" textlink="">
      <xdr:nvSpPr>
        <xdr:cNvPr id="91" name="سهم إلى اليسار 90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54</xdr:row>
      <xdr:rowOff>101600</xdr:rowOff>
    </xdr:from>
    <xdr:to>
      <xdr:col>12</xdr:col>
      <xdr:colOff>152400</xdr:colOff>
      <xdr:row>54</xdr:row>
      <xdr:rowOff>253999</xdr:rowOff>
    </xdr:to>
    <xdr:sp macro="" textlink="">
      <xdr:nvSpPr>
        <xdr:cNvPr id="93" name="سهم إلى اليسار 92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54</xdr:row>
      <xdr:rowOff>101600</xdr:rowOff>
    </xdr:from>
    <xdr:to>
      <xdr:col>28</xdr:col>
      <xdr:colOff>152400</xdr:colOff>
      <xdr:row>54</xdr:row>
      <xdr:rowOff>253999</xdr:rowOff>
    </xdr:to>
    <xdr:sp macro="" textlink="">
      <xdr:nvSpPr>
        <xdr:cNvPr id="94" name="سهم إلى اليسار 93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54</xdr:row>
      <xdr:rowOff>101600</xdr:rowOff>
    </xdr:from>
    <xdr:to>
      <xdr:col>44</xdr:col>
      <xdr:colOff>152400</xdr:colOff>
      <xdr:row>54</xdr:row>
      <xdr:rowOff>253999</xdr:rowOff>
    </xdr:to>
    <xdr:sp macro="" textlink="">
      <xdr:nvSpPr>
        <xdr:cNvPr id="95" name="سهم إلى اليسار 94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54</xdr:row>
      <xdr:rowOff>101600</xdr:rowOff>
    </xdr:from>
    <xdr:to>
      <xdr:col>60</xdr:col>
      <xdr:colOff>152400</xdr:colOff>
      <xdr:row>54</xdr:row>
      <xdr:rowOff>253999</xdr:rowOff>
    </xdr:to>
    <xdr:sp macro="" textlink="">
      <xdr:nvSpPr>
        <xdr:cNvPr id="96" name="سهم إلى اليسار 95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93</xdr:row>
      <xdr:rowOff>101600</xdr:rowOff>
    </xdr:from>
    <xdr:to>
      <xdr:col>12</xdr:col>
      <xdr:colOff>152400</xdr:colOff>
      <xdr:row>93</xdr:row>
      <xdr:rowOff>253999</xdr:rowOff>
    </xdr:to>
    <xdr:sp macro="" textlink="">
      <xdr:nvSpPr>
        <xdr:cNvPr id="97" name="سهم إلى اليسار 96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93</xdr:row>
      <xdr:rowOff>101600</xdr:rowOff>
    </xdr:from>
    <xdr:to>
      <xdr:col>28</xdr:col>
      <xdr:colOff>152400</xdr:colOff>
      <xdr:row>93</xdr:row>
      <xdr:rowOff>253999</xdr:rowOff>
    </xdr:to>
    <xdr:sp macro="" textlink="">
      <xdr:nvSpPr>
        <xdr:cNvPr id="98" name="سهم إلى اليسار 97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93</xdr:row>
      <xdr:rowOff>101600</xdr:rowOff>
    </xdr:from>
    <xdr:to>
      <xdr:col>44</xdr:col>
      <xdr:colOff>152400</xdr:colOff>
      <xdr:row>93</xdr:row>
      <xdr:rowOff>253999</xdr:rowOff>
    </xdr:to>
    <xdr:sp macro="" textlink="">
      <xdr:nvSpPr>
        <xdr:cNvPr id="99" name="سهم إلى اليسار 98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93</xdr:row>
      <xdr:rowOff>101600</xdr:rowOff>
    </xdr:from>
    <xdr:to>
      <xdr:col>60</xdr:col>
      <xdr:colOff>152400</xdr:colOff>
      <xdr:row>93</xdr:row>
      <xdr:rowOff>253999</xdr:rowOff>
    </xdr:to>
    <xdr:sp macro="" textlink="">
      <xdr:nvSpPr>
        <xdr:cNvPr id="100" name="سهم إلى اليسار 99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133</xdr:row>
      <xdr:rowOff>101600</xdr:rowOff>
    </xdr:from>
    <xdr:to>
      <xdr:col>12</xdr:col>
      <xdr:colOff>152400</xdr:colOff>
      <xdr:row>133</xdr:row>
      <xdr:rowOff>253999</xdr:rowOff>
    </xdr:to>
    <xdr:sp macro="" textlink="">
      <xdr:nvSpPr>
        <xdr:cNvPr id="101" name="سهم إلى اليسار 100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133</xdr:row>
      <xdr:rowOff>101600</xdr:rowOff>
    </xdr:from>
    <xdr:to>
      <xdr:col>28</xdr:col>
      <xdr:colOff>152400</xdr:colOff>
      <xdr:row>133</xdr:row>
      <xdr:rowOff>253999</xdr:rowOff>
    </xdr:to>
    <xdr:sp macro="" textlink="">
      <xdr:nvSpPr>
        <xdr:cNvPr id="102" name="سهم إلى اليسار 101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133</xdr:row>
      <xdr:rowOff>101600</xdr:rowOff>
    </xdr:from>
    <xdr:to>
      <xdr:col>44</xdr:col>
      <xdr:colOff>152400</xdr:colOff>
      <xdr:row>133</xdr:row>
      <xdr:rowOff>253999</xdr:rowOff>
    </xdr:to>
    <xdr:sp macro="" textlink="">
      <xdr:nvSpPr>
        <xdr:cNvPr id="103" name="سهم إلى اليسار 102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133</xdr:row>
      <xdr:rowOff>101600</xdr:rowOff>
    </xdr:from>
    <xdr:to>
      <xdr:col>60</xdr:col>
      <xdr:colOff>152400</xdr:colOff>
      <xdr:row>133</xdr:row>
      <xdr:rowOff>253999</xdr:rowOff>
    </xdr:to>
    <xdr:sp macro="" textlink="">
      <xdr:nvSpPr>
        <xdr:cNvPr id="104" name="سهم إلى اليسار 103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173</xdr:row>
      <xdr:rowOff>101600</xdr:rowOff>
    </xdr:from>
    <xdr:to>
      <xdr:col>12</xdr:col>
      <xdr:colOff>152400</xdr:colOff>
      <xdr:row>173</xdr:row>
      <xdr:rowOff>253999</xdr:rowOff>
    </xdr:to>
    <xdr:sp macro="" textlink="">
      <xdr:nvSpPr>
        <xdr:cNvPr id="105" name="سهم إلى اليسار 104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173</xdr:row>
      <xdr:rowOff>101600</xdr:rowOff>
    </xdr:from>
    <xdr:to>
      <xdr:col>28</xdr:col>
      <xdr:colOff>152400</xdr:colOff>
      <xdr:row>173</xdr:row>
      <xdr:rowOff>253999</xdr:rowOff>
    </xdr:to>
    <xdr:sp macro="" textlink="">
      <xdr:nvSpPr>
        <xdr:cNvPr id="106" name="سهم إلى اليسار 105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173</xdr:row>
      <xdr:rowOff>101600</xdr:rowOff>
    </xdr:from>
    <xdr:to>
      <xdr:col>44</xdr:col>
      <xdr:colOff>152400</xdr:colOff>
      <xdr:row>173</xdr:row>
      <xdr:rowOff>253999</xdr:rowOff>
    </xdr:to>
    <xdr:sp macro="" textlink="">
      <xdr:nvSpPr>
        <xdr:cNvPr id="107" name="سهم إلى اليسار 106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173</xdr:row>
      <xdr:rowOff>101600</xdr:rowOff>
    </xdr:from>
    <xdr:to>
      <xdr:col>60</xdr:col>
      <xdr:colOff>152400</xdr:colOff>
      <xdr:row>173</xdr:row>
      <xdr:rowOff>253999</xdr:rowOff>
    </xdr:to>
    <xdr:sp macro="" textlink="">
      <xdr:nvSpPr>
        <xdr:cNvPr id="108" name="سهم إلى اليسار 107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14</xdr:row>
      <xdr:rowOff>101600</xdr:rowOff>
    </xdr:from>
    <xdr:to>
      <xdr:col>28</xdr:col>
      <xdr:colOff>152400</xdr:colOff>
      <xdr:row>14</xdr:row>
      <xdr:rowOff>253999</xdr:rowOff>
    </xdr:to>
    <xdr:sp macro="" textlink="">
      <xdr:nvSpPr>
        <xdr:cNvPr id="109" name="سهم إلى اليسار 108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SpPr/>
      </xdr:nvSpPr>
      <xdr:spPr>
        <a:xfrm>
          <a:off x="11291973225" y="4768850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14</xdr:row>
      <xdr:rowOff>101600</xdr:rowOff>
    </xdr:from>
    <xdr:to>
      <xdr:col>44</xdr:col>
      <xdr:colOff>152400</xdr:colOff>
      <xdr:row>14</xdr:row>
      <xdr:rowOff>253999</xdr:rowOff>
    </xdr:to>
    <xdr:sp macro="" textlink="">
      <xdr:nvSpPr>
        <xdr:cNvPr id="110" name="سهم إلى اليسار 109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SpPr/>
      </xdr:nvSpPr>
      <xdr:spPr>
        <a:xfrm>
          <a:off x="11291973225" y="4768850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14</xdr:row>
      <xdr:rowOff>101600</xdr:rowOff>
    </xdr:from>
    <xdr:to>
      <xdr:col>60</xdr:col>
      <xdr:colOff>152400</xdr:colOff>
      <xdr:row>14</xdr:row>
      <xdr:rowOff>253999</xdr:rowOff>
    </xdr:to>
    <xdr:sp macro="" textlink="">
      <xdr:nvSpPr>
        <xdr:cNvPr id="111" name="سهم إلى اليسار 110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SpPr/>
      </xdr:nvSpPr>
      <xdr:spPr>
        <a:xfrm>
          <a:off x="11291973225" y="4768850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54</xdr:row>
      <xdr:rowOff>101600</xdr:rowOff>
    </xdr:from>
    <xdr:to>
      <xdr:col>12</xdr:col>
      <xdr:colOff>152400</xdr:colOff>
      <xdr:row>54</xdr:row>
      <xdr:rowOff>253999</xdr:rowOff>
    </xdr:to>
    <xdr:sp macro="" textlink="">
      <xdr:nvSpPr>
        <xdr:cNvPr id="112" name="سهم إلى اليسار 111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SpPr/>
      </xdr:nvSpPr>
      <xdr:spPr>
        <a:xfrm>
          <a:off x="11291973225" y="4768850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54</xdr:row>
      <xdr:rowOff>101600</xdr:rowOff>
    </xdr:from>
    <xdr:to>
      <xdr:col>28</xdr:col>
      <xdr:colOff>152400</xdr:colOff>
      <xdr:row>54</xdr:row>
      <xdr:rowOff>253999</xdr:rowOff>
    </xdr:to>
    <xdr:sp macro="" textlink="">
      <xdr:nvSpPr>
        <xdr:cNvPr id="113" name="سهم إلى اليسار 112">
          <a:extLst>
            <a:ext uri="{FF2B5EF4-FFF2-40B4-BE49-F238E27FC236}">
              <a16:creationId xmlns:a16="http://schemas.microsoft.com/office/drawing/2014/main" id="{00000000-0008-0000-0300-000071000000}"/>
            </a:ext>
          </a:extLst>
        </xdr:cNvPr>
        <xdr:cNvSpPr/>
      </xdr:nvSpPr>
      <xdr:spPr>
        <a:xfrm>
          <a:off x="11291973225" y="4768850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54</xdr:row>
      <xdr:rowOff>101600</xdr:rowOff>
    </xdr:from>
    <xdr:to>
      <xdr:col>44</xdr:col>
      <xdr:colOff>152400</xdr:colOff>
      <xdr:row>54</xdr:row>
      <xdr:rowOff>253999</xdr:rowOff>
    </xdr:to>
    <xdr:sp macro="" textlink="">
      <xdr:nvSpPr>
        <xdr:cNvPr id="114" name="سهم إلى اليسار 113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SpPr/>
      </xdr:nvSpPr>
      <xdr:spPr>
        <a:xfrm>
          <a:off x="11291973225" y="4768850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54</xdr:row>
      <xdr:rowOff>101600</xdr:rowOff>
    </xdr:from>
    <xdr:to>
      <xdr:col>60</xdr:col>
      <xdr:colOff>152400</xdr:colOff>
      <xdr:row>54</xdr:row>
      <xdr:rowOff>253999</xdr:rowOff>
    </xdr:to>
    <xdr:sp macro="" textlink="">
      <xdr:nvSpPr>
        <xdr:cNvPr id="115" name="سهم إلى اليسار 114"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SpPr/>
      </xdr:nvSpPr>
      <xdr:spPr>
        <a:xfrm>
          <a:off x="11291973225" y="4768850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93</xdr:row>
      <xdr:rowOff>101600</xdr:rowOff>
    </xdr:from>
    <xdr:to>
      <xdr:col>12</xdr:col>
      <xdr:colOff>152400</xdr:colOff>
      <xdr:row>93</xdr:row>
      <xdr:rowOff>253999</xdr:rowOff>
    </xdr:to>
    <xdr:sp macro="" textlink="">
      <xdr:nvSpPr>
        <xdr:cNvPr id="116" name="سهم إلى اليسار 115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SpPr/>
      </xdr:nvSpPr>
      <xdr:spPr>
        <a:xfrm>
          <a:off x="11291973225" y="4768850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93</xdr:row>
      <xdr:rowOff>101600</xdr:rowOff>
    </xdr:from>
    <xdr:to>
      <xdr:col>28</xdr:col>
      <xdr:colOff>152400</xdr:colOff>
      <xdr:row>93</xdr:row>
      <xdr:rowOff>253999</xdr:rowOff>
    </xdr:to>
    <xdr:sp macro="" textlink="">
      <xdr:nvSpPr>
        <xdr:cNvPr id="117" name="سهم إلى اليسار 116">
          <a:extLst>
            <a:ext uri="{FF2B5EF4-FFF2-40B4-BE49-F238E27FC236}">
              <a16:creationId xmlns:a16="http://schemas.microsoft.com/office/drawing/2014/main" id="{00000000-0008-0000-0300-000075000000}"/>
            </a:ext>
          </a:extLst>
        </xdr:cNvPr>
        <xdr:cNvSpPr/>
      </xdr:nvSpPr>
      <xdr:spPr>
        <a:xfrm>
          <a:off x="11291973225" y="4768850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93</xdr:row>
      <xdr:rowOff>101600</xdr:rowOff>
    </xdr:from>
    <xdr:to>
      <xdr:col>44</xdr:col>
      <xdr:colOff>152400</xdr:colOff>
      <xdr:row>93</xdr:row>
      <xdr:rowOff>253999</xdr:rowOff>
    </xdr:to>
    <xdr:sp macro="" textlink="">
      <xdr:nvSpPr>
        <xdr:cNvPr id="118" name="سهم إلى اليسار 117">
          <a:extLst>
            <a:ext uri="{FF2B5EF4-FFF2-40B4-BE49-F238E27FC236}">
              <a16:creationId xmlns:a16="http://schemas.microsoft.com/office/drawing/2014/main" id="{00000000-0008-0000-0300-000076000000}"/>
            </a:ext>
          </a:extLst>
        </xdr:cNvPr>
        <xdr:cNvSpPr/>
      </xdr:nvSpPr>
      <xdr:spPr>
        <a:xfrm>
          <a:off x="11291973225" y="4768850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93</xdr:row>
      <xdr:rowOff>101600</xdr:rowOff>
    </xdr:from>
    <xdr:to>
      <xdr:col>60</xdr:col>
      <xdr:colOff>152400</xdr:colOff>
      <xdr:row>93</xdr:row>
      <xdr:rowOff>253999</xdr:rowOff>
    </xdr:to>
    <xdr:sp macro="" textlink="">
      <xdr:nvSpPr>
        <xdr:cNvPr id="119" name="سهم إلى اليسار 118">
          <a:extLst>
            <a:ext uri="{FF2B5EF4-FFF2-40B4-BE49-F238E27FC236}">
              <a16:creationId xmlns:a16="http://schemas.microsoft.com/office/drawing/2014/main" id="{00000000-0008-0000-0300-000077000000}"/>
            </a:ext>
          </a:extLst>
        </xdr:cNvPr>
        <xdr:cNvSpPr/>
      </xdr:nvSpPr>
      <xdr:spPr>
        <a:xfrm>
          <a:off x="11291973225" y="4768850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133</xdr:row>
      <xdr:rowOff>101600</xdr:rowOff>
    </xdr:from>
    <xdr:to>
      <xdr:col>12</xdr:col>
      <xdr:colOff>152400</xdr:colOff>
      <xdr:row>133</xdr:row>
      <xdr:rowOff>253999</xdr:rowOff>
    </xdr:to>
    <xdr:sp macro="" textlink="">
      <xdr:nvSpPr>
        <xdr:cNvPr id="120" name="سهم إلى اليسار 119">
          <a:extLst>
            <a:ext uri="{FF2B5EF4-FFF2-40B4-BE49-F238E27FC236}">
              <a16:creationId xmlns:a16="http://schemas.microsoft.com/office/drawing/2014/main" id="{00000000-0008-0000-0300-000078000000}"/>
            </a:ext>
          </a:extLst>
        </xdr:cNvPr>
        <xdr:cNvSpPr/>
      </xdr:nvSpPr>
      <xdr:spPr>
        <a:xfrm>
          <a:off x="11291973225" y="4768850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133</xdr:row>
      <xdr:rowOff>101600</xdr:rowOff>
    </xdr:from>
    <xdr:to>
      <xdr:col>28</xdr:col>
      <xdr:colOff>152400</xdr:colOff>
      <xdr:row>133</xdr:row>
      <xdr:rowOff>253999</xdr:rowOff>
    </xdr:to>
    <xdr:sp macro="" textlink="">
      <xdr:nvSpPr>
        <xdr:cNvPr id="121" name="سهم إلى اليسار 120">
          <a:extLst>
            <a:ext uri="{FF2B5EF4-FFF2-40B4-BE49-F238E27FC236}">
              <a16:creationId xmlns:a16="http://schemas.microsoft.com/office/drawing/2014/main" id="{00000000-0008-0000-0300-000079000000}"/>
            </a:ext>
          </a:extLst>
        </xdr:cNvPr>
        <xdr:cNvSpPr/>
      </xdr:nvSpPr>
      <xdr:spPr>
        <a:xfrm>
          <a:off x="11291973225" y="4768850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133</xdr:row>
      <xdr:rowOff>101600</xdr:rowOff>
    </xdr:from>
    <xdr:to>
      <xdr:col>44</xdr:col>
      <xdr:colOff>152400</xdr:colOff>
      <xdr:row>133</xdr:row>
      <xdr:rowOff>253999</xdr:rowOff>
    </xdr:to>
    <xdr:sp macro="" textlink="">
      <xdr:nvSpPr>
        <xdr:cNvPr id="122" name="سهم إلى اليسار 121"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SpPr/>
      </xdr:nvSpPr>
      <xdr:spPr>
        <a:xfrm>
          <a:off x="11291973225" y="4768850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133</xdr:row>
      <xdr:rowOff>101600</xdr:rowOff>
    </xdr:from>
    <xdr:to>
      <xdr:col>60</xdr:col>
      <xdr:colOff>152400</xdr:colOff>
      <xdr:row>133</xdr:row>
      <xdr:rowOff>253999</xdr:rowOff>
    </xdr:to>
    <xdr:sp macro="" textlink="">
      <xdr:nvSpPr>
        <xdr:cNvPr id="123" name="سهم إلى اليسار 122">
          <a:extLst>
            <a:ext uri="{FF2B5EF4-FFF2-40B4-BE49-F238E27FC236}">
              <a16:creationId xmlns:a16="http://schemas.microsoft.com/office/drawing/2014/main" id="{00000000-0008-0000-0300-00007B000000}"/>
            </a:ext>
          </a:extLst>
        </xdr:cNvPr>
        <xdr:cNvSpPr/>
      </xdr:nvSpPr>
      <xdr:spPr>
        <a:xfrm>
          <a:off x="11291973225" y="4768850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173</xdr:row>
      <xdr:rowOff>101600</xdr:rowOff>
    </xdr:from>
    <xdr:to>
      <xdr:col>12</xdr:col>
      <xdr:colOff>152400</xdr:colOff>
      <xdr:row>173</xdr:row>
      <xdr:rowOff>253999</xdr:rowOff>
    </xdr:to>
    <xdr:sp macro="" textlink="">
      <xdr:nvSpPr>
        <xdr:cNvPr id="124" name="سهم إلى اليسار 123">
          <a:extLst>
            <a:ext uri="{FF2B5EF4-FFF2-40B4-BE49-F238E27FC236}">
              <a16:creationId xmlns:a16="http://schemas.microsoft.com/office/drawing/2014/main" id="{00000000-0008-0000-0300-00007C000000}"/>
            </a:ext>
          </a:extLst>
        </xdr:cNvPr>
        <xdr:cNvSpPr/>
      </xdr:nvSpPr>
      <xdr:spPr>
        <a:xfrm>
          <a:off x="11291973225" y="35748913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173</xdr:row>
      <xdr:rowOff>101600</xdr:rowOff>
    </xdr:from>
    <xdr:to>
      <xdr:col>12</xdr:col>
      <xdr:colOff>152400</xdr:colOff>
      <xdr:row>173</xdr:row>
      <xdr:rowOff>253999</xdr:rowOff>
    </xdr:to>
    <xdr:sp macro="" textlink="">
      <xdr:nvSpPr>
        <xdr:cNvPr id="125" name="سهم إلى اليسار 124">
          <a:extLst>
            <a:ext uri="{FF2B5EF4-FFF2-40B4-BE49-F238E27FC236}">
              <a16:creationId xmlns:a16="http://schemas.microsoft.com/office/drawing/2014/main" id="{00000000-0008-0000-0300-00007D000000}"/>
            </a:ext>
          </a:extLst>
        </xdr:cNvPr>
        <xdr:cNvSpPr/>
      </xdr:nvSpPr>
      <xdr:spPr>
        <a:xfrm>
          <a:off x="11291973225" y="35748913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173</xdr:row>
      <xdr:rowOff>101600</xdr:rowOff>
    </xdr:from>
    <xdr:to>
      <xdr:col>12</xdr:col>
      <xdr:colOff>152400</xdr:colOff>
      <xdr:row>173</xdr:row>
      <xdr:rowOff>253999</xdr:rowOff>
    </xdr:to>
    <xdr:sp macro="" textlink="">
      <xdr:nvSpPr>
        <xdr:cNvPr id="126" name="سهم إلى اليسار 125">
          <a:extLst>
            <a:ext uri="{FF2B5EF4-FFF2-40B4-BE49-F238E27FC236}">
              <a16:creationId xmlns:a16="http://schemas.microsoft.com/office/drawing/2014/main" id="{00000000-0008-0000-0300-00007E000000}"/>
            </a:ext>
          </a:extLst>
        </xdr:cNvPr>
        <xdr:cNvSpPr/>
      </xdr:nvSpPr>
      <xdr:spPr>
        <a:xfrm>
          <a:off x="11291973225" y="35748913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173</xdr:row>
      <xdr:rowOff>101600</xdr:rowOff>
    </xdr:from>
    <xdr:to>
      <xdr:col>12</xdr:col>
      <xdr:colOff>152400</xdr:colOff>
      <xdr:row>173</xdr:row>
      <xdr:rowOff>253999</xdr:rowOff>
    </xdr:to>
    <xdr:sp macro="" textlink="">
      <xdr:nvSpPr>
        <xdr:cNvPr id="127" name="سهم إلى اليسار 126">
          <a:extLst>
            <a:ext uri="{FF2B5EF4-FFF2-40B4-BE49-F238E27FC236}">
              <a16:creationId xmlns:a16="http://schemas.microsoft.com/office/drawing/2014/main" id="{00000000-0008-0000-0300-00007F000000}"/>
            </a:ext>
          </a:extLst>
        </xdr:cNvPr>
        <xdr:cNvSpPr/>
      </xdr:nvSpPr>
      <xdr:spPr>
        <a:xfrm>
          <a:off x="11291973225" y="35748913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173</xdr:row>
      <xdr:rowOff>101600</xdr:rowOff>
    </xdr:from>
    <xdr:to>
      <xdr:col>12</xdr:col>
      <xdr:colOff>152400</xdr:colOff>
      <xdr:row>173</xdr:row>
      <xdr:rowOff>253999</xdr:rowOff>
    </xdr:to>
    <xdr:sp macro="" textlink="">
      <xdr:nvSpPr>
        <xdr:cNvPr id="128" name="سهم إلى اليسار 127">
          <a:extLst>
            <a:ext uri="{FF2B5EF4-FFF2-40B4-BE49-F238E27FC236}">
              <a16:creationId xmlns:a16="http://schemas.microsoft.com/office/drawing/2014/main" id="{00000000-0008-0000-0300-000080000000}"/>
            </a:ext>
          </a:extLst>
        </xdr:cNvPr>
        <xdr:cNvSpPr/>
      </xdr:nvSpPr>
      <xdr:spPr>
        <a:xfrm>
          <a:off x="11291973225" y="35748913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173</xdr:row>
      <xdr:rowOff>101600</xdr:rowOff>
    </xdr:from>
    <xdr:to>
      <xdr:col>12</xdr:col>
      <xdr:colOff>152400</xdr:colOff>
      <xdr:row>173</xdr:row>
      <xdr:rowOff>253999</xdr:rowOff>
    </xdr:to>
    <xdr:sp macro="" textlink="">
      <xdr:nvSpPr>
        <xdr:cNvPr id="129" name="سهم إلى اليسار 128">
          <a:extLst>
            <a:ext uri="{FF2B5EF4-FFF2-40B4-BE49-F238E27FC236}">
              <a16:creationId xmlns:a16="http://schemas.microsoft.com/office/drawing/2014/main" id="{00000000-0008-0000-0300-000081000000}"/>
            </a:ext>
          </a:extLst>
        </xdr:cNvPr>
        <xdr:cNvSpPr/>
      </xdr:nvSpPr>
      <xdr:spPr>
        <a:xfrm>
          <a:off x="11291973225" y="35748913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173</xdr:row>
      <xdr:rowOff>101600</xdr:rowOff>
    </xdr:from>
    <xdr:to>
      <xdr:col>28</xdr:col>
      <xdr:colOff>152400</xdr:colOff>
      <xdr:row>173</xdr:row>
      <xdr:rowOff>253999</xdr:rowOff>
    </xdr:to>
    <xdr:sp macro="" textlink="">
      <xdr:nvSpPr>
        <xdr:cNvPr id="130" name="سهم إلى اليسار 129">
          <a:extLst>
            <a:ext uri="{FF2B5EF4-FFF2-40B4-BE49-F238E27FC236}">
              <a16:creationId xmlns:a16="http://schemas.microsoft.com/office/drawing/2014/main" id="{00000000-0008-0000-0300-000082000000}"/>
            </a:ext>
          </a:extLst>
        </xdr:cNvPr>
        <xdr:cNvSpPr/>
      </xdr:nvSpPr>
      <xdr:spPr>
        <a:xfrm>
          <a:off x="11291973225" y="35748913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173</xdr:row>
      <xdr:rowOff>101600</xdr:rowOff>
    </xdr:from>
    <xdr:to>
      <xdr:col>28</xdr:col>
      <xdr:colOff>152400</xdr:colOff>
      <xdr:row>173</xdr:row>
      <xdr:rowOff>253999</xdr:rowOff>
    </xdr:to>
    <xdr:sp macro="" textlink="">
      <xdr:nvSpPr>
        <xdr:cNvPr id="131" name="سهم إلى اليسار 130">
          <a:extLst>
            <a:ext uri="{FF2B5EF4-FFF2-40B4-BE49-F238E27FC236}">
              <a16:creationId xmlns:a16="http://schemas.microsoft.com/office/drawing/2014/main" id="{00000000-0008-0000-0300-000083000000}"/>
            </a:ext>
          </a:extLst>
        </xdr:cNvPr>
        <xdr:cNvSpPr/>
      </xdr:nvSpPr>
      <xdr:spPr>
        <a:xfrm>
          <a:off x="11291973225" y="35748913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173</xdr:row>
      <xdr:rowOff>101600</xdr:rowOff>
    </xdr:from>
    <xdr:to>
      <xdr:col>28</xdr:col>
      <xdr:colOff>152400</xdr:colOff>
      <xdr:row>173</xdr:row>
      <xdr:rowOff>253999</xdr:rowOff>
    </xdr:to>
    <xdr:sp macro="" textlink="">
      <xdr:nvSpPr>
        <xdr:cNvPr id="132" name="سهم إلى اليسار 131">
          <a:extLst>
            <a:ext uri="{FF2B5EF4-FFF2-40B4-BE49-F238E27FC236}">
              <a16:creationId xmlns:a16="http://schemas.microsoft.com/office/drawing/2014/main" id="{00000000-0008-0000-0300-000084000000}"/>
            </a:ext>
          </a:extLst>
        </xdr:cNvPr>
        <xdr:cNvSpPr/>
      </xdr:nvSpPr>
      <xdr:spPr>
        <a:xfrm>
          <a:off x="11291973225" y="35748913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173</xdr:row>
      <xdr:rowOff>101600</xdr:rowOff>
    </xdr:from>
    <xdr:to>
      <xdr:col>28</xdr:col>
      <xdr:colOff>152400</xdr:colOff>
      <xdr:row>173</xdr:row>
      <xdr:rowOff>253999</xdr:rowOff>
    </xdr:to>
    <xdr:sp macro="" textlink="">
      <xdr:nvSpPr>
        <xdr:cNvPr id="133" name="سهم إلى اليسار 132">
          <a:extLst>
            <a:ext uri="{FF2B5EF4-FFF2-40B4-BE49-F238E27FC236}">
              <a16:creationId xmlns:a16="http://schemas.microsoft.com/office/drawing/2014/main" id="{00000000-0008-0000-0300-000085000000}"/>
            </a:ext>
          </a:extLst>
        </xdr:cNvPr>
        <xdr:cNvSpPr/>
      </xdr:nvSpPr>
      <xdr:spPr>
        <a:xfrm>
          <a:off x="11291973225" y="35748913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173</xdr:row>
      <xdr:rowOff>101600</xdr:rowOff>
    </xdr:from>
    <xdr:to>
      <xdr:col>28</xdr:col>
      <xdr:colOff>152400</xdr:colOff>
      <xdr:row>173</xdr:row>
      <xdr:rowOff>253999</xdr:rowOff>
    </xdr:to>
    <xdr:sp macro="" textlink="">
      <xdr:nvSpPr>
        <xdr:cNvPr id="134" name="سهم إلى اليسار 133">
          <a:extLst>
            <a:ext uri="{FF2B5EF4-FFF2-40B4-BE49-F238E27FC236}">
              <a16:creationId xmlns:a16="http://schemas.microsoft.com/office/drawing/2014/main" id="{00000000-0008-0000-0300-000086000000}"/>
            </a:ext>
          </a:extLst>
        </xdr:cNvPr>
        <xdr:cNvSpPr/>
      </xdr:nvSpPr>
      <xdr:spPr>
        <a:xfrm>
          <a:off x="11291973225" y="35748913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173</xdr:row>
      <xdr:rowOff>101600</xdr:rowOff>
    </xdr:from>
    <xdr:to>
      <xdr:col>28</xdr:col>
      <xdr:colOff>152400</xdr:colOff>
      <xdr:row>173</xdr:row>
      <xdr:rowOff>253999</xdr:rowOff>
    </xdr:to>
    <xdr:sp macro="" textlink="">
      <xdr:nvSpPr>
        <xdr:cNvPr id="135" name="سهم إلى اليسار 134">
          <a:extLst>
            <a:ext uri="{FF2B5EF4-FFF2-40B4-BE49-F238E27FC236}">
              <a16:creationId xmlns:a16="http://schemas.microsoft.com/office/drawing/2014/main" id="{00000000-0008-0000-0300-000087000000}"/>
            </a:ext>
          </a:extLst>
        </xdr:cNvPr>
        <xdr:cNvSpPr/>
      </xdr:nvSpPr>
      <xdr:spPr>
        <a:xfrm>
          <a:off x="11291973225" y="35748913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173</xdr:row>
      <xdr:rowOff>101600</xdr:rowOff>
    </xdr:from>
    <xdr:to>
      <xdr:col>44</xdr:col>
      <xdr:colOff>152400</xdr:colOff>
      <xdr:row>173</xdr:row>
      <xdr:rowOff>253999</xdr:rowOff>
    </xdr:to>
    <xdr:sp macro="" textlink="">
      <xdr:nvSpPr>
        <xdr:cNvPr id="136" name="سهم إلى اليسار 135">
          <a:extLst>
            <a:ext uri="{FF2B5EF4-FFF2-40B4-BE49-F238E27FC236}">
              <a16:creationId xmlns:a16="http://schemas.microsoft.com/office/drawing/2014/main" id="{00000000-0008-0000-0300-000088000000}"/>
            </a:ext>
          </a:extLst>
        </xdr:cNvPr>
        <xdr:cNvSpPr/>
      </xdr:nvSpPr>
      <xdr:spPr>
        <a:xfrm>
          <a:off x="11291973225" y="35748913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173</xdr:row>
      <xdr:rowOff>101600</xdr:rowOff>
    </xdr:from>
    <xdr:to>
      <xdr:col>44</xdr:col>
      <xdr:colOff>152400</xdr:colOff>
      <xdr:row>173</xdr:row>
      <xdr:rowOff>253999</xdr:rowOff>
    </xdr:to>
    <xdr:sp macro="" textlink="">
      <xdr:nvSpPr>
        <xdr:cNvPr id="137" name="سهم إلى اليسار 136">
          <a:extLst>
            <a:ext uri="{FF2B5EF4-FFF2-40B4-BE49-F238E27FC236}">
              <a16:creationId xmlns:a16="http://schemas.microsoft.com/office/drawing/2014/main" id="{00000000-0008-0000-0300-000089000000}"/>
            </a:ext>
          </a:extLst>
        </xdr:cNvPr>
        <xdr:cNvSpPr/>
      </xdr:nvSpPr>
      <xdr:spPr>
        <a:xfrm>
          <a:off x="11291973225" y="35748913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173</xdr:row>
      <xdr:rowOff>101600</xdr:rowOff>
    </xdr:from>
    <xdr:to>
      <xdr:col>44</xdr:col>
      <xdr:colOff>152400</xdr:colOff>
      <xdr:row>173</xdr:row>
      <xdr:rowOff>253999</xdr:rowOff>
    </xdr:to>
    <xdr:sp macro="" textlink="">
      <xdr:nvSpPr>
        <xdr:cNvPr id="138" name="سهم إلى اليسار 137">
          <a:extLst>
            <a:ext uri="{FF2B5EF4-FFF2-40B4-BE49-F238E27FC236}">
              <a16:creationId xmlns:a16="http://schemas.microsoft.com/office/drawing/2014/main" id="{00000000-0008-0000-0300-00008A000000}"/>
            </a:ext>
          </a:extLst>
        </xdr:cNvPr>
        <xdr:cNvSpPr/>
      </xdr:nvSpPr>
      <xdr:spPr>
        <a:xfrm>
          <a:off x="11291973225" y="35748913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173</xdr:row>
      <xdr:rowOff>101600</xdr:rowOff>
    </xdr:from>
    <xdr:to>
      <xdr:col>44</xdr:col>
      <xdr:colOff>152400</xdr:colOff>
      <xdr:row>173</xdr:row>
      <xdr:rowOff>253999</xdr:rowOff>
    </xdr:to>
    <xdr:sp macro="" textlink="">
      <xdr:nvSpPr>
        <xdr:cNvPr id="139" name="سهم إلى اليسار 138">
          <a:extLst>
            <a:ext uri="{FF2B5EF4-FFF2-40B4-BE49-F238E27FC236}">
              <a16:creationId xmlns:a16="http://schemas.microsoft.com/office/drawing/2014/main" id="{00000000-0008-0000-0300-00008B000000}"/>
            </a:ext>
          </a:extLst>
        </xdr:cNvPr>
        <xdr:cNvSpPr/>
      </xdr:nvSpPr>
      <xdr:spPr>
        <a:xfrm>
          <a:off x="11291973225" y="35748913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173</xdr:row>
      <xdr:rowOff>101600</xdr:rowOff>
    </xdr:from>
    <xdr:to>
      <xdr:col>44</xdr:col>
      <xdr:colOff>152400</xdr:colOff>
      <xdr:row>173</xdr:row>
      <xdr:rowOff>253999</xdr:rowOff>
    </xdr:to>
    <xdr:sp macro="" textlink="">
      <xdr:nvSpPr>
        <xdr:cNvPr id="140" name="سهم إلى اليسار 139">
          <a:extLst>
            <a:ext uri="{FF2B5EF4-FFF2-40B4-BE49-F238E27FC236}">
              <a16:creationId xmlns:a16="http://schemas.microsoft.com/office/drawing/2014/main" id="{00000000-0008-0000-0300-00008C000000}"/>
            </a:ext>
          </a:extLst>
        </xdr:cNvPr>
        <xdr:cNvSpPr/>
      </xdr:nvSpPr>
      <xdr:spPr>
        <a:xfrm>
          <a:off x="11291973225" y="35748913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173</xdr:row>
      <xdr:rowOff>101600</xdr:rowOff>
    </xdr:from>
    <xdr:to>
      <xdr:col>44</xdr:col>
      <xdr:colOff>152400</xdr:colOff>
      <xdr:row>173</xdr:row>
      <xdr:rowOff>253999</xdr:rowOff>
    </xdr:to>
    <xdr:sp macro="" textlink="">
      <xdr:nvSpPr>
        <xdr:cNvPr id="141" name="سهم إلى اليسار 140">
          <a:extLst>
            <a:ext uri="{FF2B5EF4-FFF2-40B4-BE49-F238E27FC236}">
              <a16:creationId xmlns:a16="http://schemas.microsoft.com/office/drawing/2014/main" id="{00000000-0008-0000-0300-00008D000000}"/>
            </a:ext>
          </a:extLst>
        </xdr:cNvPr>
        <xdr:cNvSpPr/>
      </xdr:nvSpPr>
      <xdr:spPr>
        <a:xfrm>
          <a:off x="11291973225" y="35748913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173</xdr:row>
      <xdr:rowOff>101600</xdr:rowOff>
    </xdr:from>
    <xdr:to>
      <xdr:col>60</xdr:col>
      <xdr:colOff>152400</xdr:colOff>
      <xdr:row>173</xdr:row>
      <xdr:rowOff>253999</xdr:rowOff>
    </xdr:to>
    <xdr:sp macro="" textlink="">
      <xdr:nvSpPr>
        <xdr:cNvPr id="142" name="سهم إلى اليسار 141">
          <a:extLst>
            <a:ext uri="{FF2B5EF4-FFF2-40B4-BE49-F238E27FC236}">
              <a16:creationId xmlns:a16="http://schemas.microsoft.com/office/drawing/2014/main" id="{00000000-0008-0000-0300-00008E000000}"/>
            </a:ext>
          </a:extLst>
        </xdr:cNvPr>
        <xdr:cNvSpPr/>
      </xdr:nvSpPr>
      <xdr:spPr>
        <a:xfrm>
          <a:off x="11291973225" y="35748913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173</xdr:row>
      <xdr:rowOff>101600</xdr:rowOff>
    </xdr:from>
    <xdr:to>
      <xdr:col>60</xdr:col>
      <xdr:colOff>152400</xdr:colOff>
      <xdr:row>173</xdr:row>
      <xdr:rowOff>253999</xdr:rowOff>
    </xdr:to>
    <xdr:sp macro="" textlink="">
      <xdr:nvSpPr>
        <xdr:cNvPr id="143" name="سهم إلى اليسار 142">
          <a:extLst>
            <a:ext uri="{FF2B5EF4-FFF2-40B4-BE49-F238E27FC236}">
              <a16:creationId xmlns:a16="http://schemas.microsoft.com/office/drawing/2014/main" id="{00000000-0008-0000-0300-00008F000000}"/>
            </a:ext>
          </a:extLst>
        </xdr:cNvPr>
        <xdr:cNvSpPr/>
      </xdr:nvSpPr>
      <xdr:spPr>
        <a:xfrm>
          <a:off x="11291973225" y="35748913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173</xdr:row>
      <xdr:rowOff>101600</xdr:rowOff>
    </xdr:from>
    <xdr:to>
      <xdr:col>60</xdr:col>
      <xdr:colOff>152400</xdr:colOff>
      <xdr:row>173</xdr:row>
      <xdr:rowOff>253999</xdr:rowOff>
    </xdr:to>
    <xdr:sp macro="" textlink="">
      <xdr:nvSpPr>
        <xdr:cNvPr id="144" name="سهم إلى اليسار 143">
          <a:extLst>
            <a:ext uri="{FF2B5EF4-FFF2-40B4-BE49-F238E27FC236}">
              <a16:creationId xmlns:a16="http://schemas.microsoft.com/office/drawing/2014/main" id="{00000000-0008-0000-0300-000090000000}"/>
            </a:ext>
          </a:extLst>
        </xdr:cNvPr>
        <xdr:cNvSpPr/>
      </xdr:nvSpPr>
      <xdr:spPr>
        <a:xfrm>
          <a:off x="11291973225" y="35748913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173</xdr:row>
      <xdr:rowOff>101600</xdr:rowOff>
    </xdr:from>
    <xdr:to>
      <xdr:col>60</xdr:col>
      <xdr:colOff>152400</xdr:colOff>
      <xdr:row>173</xdr:row>
      <xdr:rowOff>253999</xdr:rowOff>
    </xdr:to>
    <xdr:sp macro="" textlink="">
      <xdr:nvSpPr>
        <xdr:cNvPr id="145" name="سهم إلى اليسار 144">
          <a:extLst>
            <a:ext uri="{FF2B5EF4-FFF2-40B4-BE49-F238E27FC236}">
              <a16:creationId xmlns:a16="http://schemas.microsoft.com/office/drawing/2014/main" id="{00000000-0008-0000-0300-000091000000}"/>
            </a:ext>
          </a:extLst>
        </xdr:cNvPr>
        <xdr:cNvSpPr/>
      </xdr:nvSpPr>
      <xdr:spPr>
        <a:xfrm>
          <a:off x="11291973225" y="35748913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173</xdr:row>
      <xdr:rowOff>101600</xdr:rowOff>
    </xdr:from>
    <xdr:to>
      <xdr:col>60</xdr:col>
      <xdr:colOff>152400</xdr:colOff>
      <xdr:row>173</xdr:row>
      <xdr:rowOff>253999</xdr:rowOff>
    </xdr:to>
    <xdr:sp macro="" textlink="">
      <xdr:nvSpPr>
        <xdr:cNvPr id="146" name="سهم إلى اليسار 145">
          <a:extLst>
            <a:ext uri="{FF2B5EF4-FFF2-40B4-BE49-F238E27FC236}">
              <a16:creationId xmlns:a16="http://schemas.microsoft.com/office/drawing/2014/main" id="{00000000-0008-0000-0300-000092000000}"/>
            </a:ext>
          </a:extLst>
        </xdr:cNvPr>
        <xdr:cNvSpPr/>
      </xdr:nvSpPr>
      <xdr:spPr>
        <a:xfrm>
          <a:off x="11291973225" y="35748913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173</xdr:row>
      <xdr:rowOff>101600</xdr:rowOff>
    </xdr:from>
    <xdr:to>
      <xdr:col>60</xdr:col>
      <xdr:colOff>152400</xdr:colOff>
      <xdr:row>173</xdr:row>
      <xdr:rowOff>253999</xdr:rowOff>
    </xdr:to>
    <xdr:sp macro="" textlink="">
      <xdr:nvSpPr>
        <xdr:cNvPr id="147" name="سهم إلى اليسار 146">
          <a:extLst>
            <a:ext uri="{FF2B5EF4-FFF2-40B4-BE49-F238E27FC236}">
              <a16:creationId xmlns:a16="http://schemas.microsoft.com/office/drawing/2014/main" id="{00000000-0008-0000-0300-000093000000}"/>
            </a:ext>
          </a:extLst>
        </xdr:cNvPr>
        <xdr:cNvSpPr/>
      </xdr:nvSpPr>
      <xdr:spPr>
        <a:xfrm>
          <a:off x="11291973225" y="35748913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14</xdr:row>
      <xdr:rowOff>101600</xdr:rowOff>
    </xdr:from>
    <xdr:to>
      <xdr:col>28</xdr:col>
      <xdr:colOff>152400</xdr:colOff>
      <xdr:row>14</xdr:row>
      <xdr:rowOff>253999</xdr:rowOff>
    </xdr:to>
    <xdr:sp macro="" textlink="">
      <xdr:nvSpPr>
        <xdr:cNvPr id="148" name="سهم إلى اليسار 147">
          <a:extLst>
            <a:ext uri="{FF2B5EF4-FFF2-40B4-BE49-F238E27FC236}">
              <a16:creationId xmlns:a16="http://schemas.microsoft.com/office/drawing/2014/main" id="{00000000-0008-0000-0300-000094000000}"/>
            </a:ext>
          </a:extLst>
        </xdr:cNvPr>
        <xdr:cNvSpPr/>
      </xdr:nvSpPr>
      <xdr:spPr>
        <a:xfrm>
          <a:off x="11162655475" y="4149725"/>
          <a:ext cx="33655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14</xdr:row>
      <xdr:rowOff>101600</xdr:rowOff>
    </xdr:from>
    <xdr:to>
      <xdr:col>28</xdr:col>
      <xdr:colOff>152400</xdr:colOff>
      <xdr:row>14</xdr:row>
      <xdr:rowOff>253999</xdr:rowOff>
    </xdr:to>
    <xdr:sp macro="" textlink="">
      <xdr:nvSpPr>
        <xdr:cNvPr id="149" name="سهم إلى اليسار 148">
          <a:extLst>
            <a:ext uri="{FF2B5EF4-FFF2-40B4-BE49-F238E27FC236}">
              <a16:creationId xmlns:a16="http://schemas.microsoft.com/office/drawing/2014/main" id="{00000000-0008-0000-0300-000095000000}"/>
            </a:ext>
          </a:extLst>
        </xdr:cNvPr>
        <xdr:cNvSpPr/>
      </xdr:nvSpPr>
      <xdr:spPr>
        <a:xfrm>
          <a:off x="11162655475" y="4149725"/>
          <a:ext cx="33655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14</xdr:row>
      <xdr:rowOff>101600</xdr:rowOff>
    </xdr:from>
    <xdr:to>
      <xdr:col>44</xdr:col>
      <xdr:colOff>152400</xdr:colOff>
      <xdr:row>14</xdr:row>
      <xdr:rowOff>253999</xdr:rowOff>
    </xdr:to>
    <xdr:sp macro="" textlink="">
      <xdr:nvSpPr>
        <xdr:cNvPr id="150" name="سهم إلى اليسار 149">
          <a:extLst>
            <a:ext uri="{FF2B5EF4-FFF2-40B4-BE49-F238E27FC236}">
              <a16:creationId xmlns:a16="http://schemas.microsoft.com/office/drawing/2014/main" id="{00000000-0008-0000-0300-000096000000}"/>
            </a:ext>
          </a:extLst>
        </xdr:cNvPr>
        <xdr:cNvSpPr/>
      </xdr:nvSpPr>
      <xdr:spPr>
        <a:xfrm>
          <a:off x="11162655475" y="4149725"/>
          <a:ext cx="33655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14</xdr:row>
      <xdr:rowOff>101600</xdr:rowOff>
    </xdr:from>
    <xdr:to>
      <xdr:col>60</xdr:col>
      <xdr:colOff>152400</xdr:colOff>
      <xdr:row>14</xdr:row>
      <xdr:rowOff>253999</xdr:rowOff>
    </xdr:to>
    <xdr:sp macro="" textlink="">
      <xdr:nvSpPr>
        <xdr:cNvPr id="151" name="سهم إلى اليسار 150">
          <a:extLst>
            <a:ext uri="{FF2B5EF4-FFF2-40B4-BE49-F238E27FC236}">
              <a16:creationId xmlns:a16="http://schemas.microsoft.com/office/drawing/2014/main" id="{00000000-0008-0000-0300-000097000000}"/>
            </a:ext>
          </a:extLst>
        </xdr:cNvPr>
        <xdr:cNvSpPr/>
      </xdr:nvSpPr>
      <xdr:spPr>
        <a:xfrm>
          <a:off x="11162655475" y="4149725"/>
          <a:ext cx="33655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54</xdr:row>
      <xdr:rowOff>101600</xdr:rowOff>
    </xdr:from>
    <xdr:to>
      <xdr:col>12</xdr:col>
      <xdr:colOff>152400</xdr:colOff>
      <xdr:row>54</xdr:row>
      <xdr:rowOff>253999</xdr:rowOff>
    </xdr:to>
    <xdr:sp macro="" textlink="">
      <xdr:nvSpPr>
        <xdr:cNvPr id="152" name="سهم إلى اليسار 151">
          <a:extLst>
            <a:ext uri="{FF2B5EF4-FFF2-40B4-BE49-F238E27FC236}">
              <a16:creationId xmlns:a16="http://schemas.microsoft.com/office/drawing/2014/main" id="{00000000-0008-0000-0300-000098000000}"/>
            </a:ext>
          </a:extLst>
        </xdr:cNvPr>
        <xdr:cNvSpPr/>
      </xdr:nvSpPr>
      <xdr:spPr>
        <a:xfrm>
          <a:off x="11162655475" y="4149725"/>
          <a:ext cx="33655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54</xdr:row>
      <xdr:rowOff>101600</xdr:rowOff>
    </xdr:from>
    <xdr:to>
      <xdr:col>28</xdr:col>
      <xdr:colOff>152400</xdr:colOff>
      <xdr:row>54</xdr:row>
      <xdr:rowOff>253999</xdr:rowOff>
    </xdr:to>
    <xdr:sp macro="" textlink="">
      <xdr:nvSpPr>
        <xdr:cNvPr id="153" name="سهم إلى اليسار 152">
          <a:extLst>
            <a:ext uri="{FF2B5EF4-FFF2-40B4-BE49-F238E27FC236}">
              <a16:creationId xmlns:a16="http://schemas.microsoft.com/office/drawing/2014/main" id="{00000000-0008-0000-0300-000099000000}"/>
            </a:ext>
          </a:extLst>
        </xdr:cNvPr>
        <xdr:cNvSpPr/>
      </xdr:nvSpPr>
      <xdr:spPr>
        <a:xfrm>
          <a:off x="11162655475" y="4149725"/>
          <a:ext cx="33655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54</xdr:row>
      <xdr:rowOff>101600</xdr:rowOff>
    </xdr:from>
    <xdr:to>
      <xdr:col>44</xdr:col>
      <xdr:colOff>152400</xdr:colOff>
      <xdr:row>54</xdr:row>
      <xdr:rowOff>253999</xdr:rowOff>
    </xdr:to>
    <xdr:sp macro="" textlink="">
      <xdr:nvSpPr>
        <xdr:cNvPr id="154" name="سهم إلى اليسار 153">
          <a:extLst>
            <a:ext uri="{FF2B5EF4-FFF2-40B4-BE49-F238E27FC236}">
              <a16:creationId xmlns:a16="http://schemas.microsoft.com/office/drawing/2014/main" id="{00000000-0008-0000-0300-00009A000000}"/>
            </a:ext>
          </a:extLst>
        </xdr:cNvPr>
        <xdr:cNvSpPr/>
      </xdr:nvSpPr>
      <xdr:spPr>
        <a:xfrm>
          <a:off x="11162655475" y="4149725"/>
          <a:ext cx="33655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54</xdr:row>
      <xdr:rowOff>101600</xdr:rowOff>
    </xdr:from>
    <xdr:to>
      <xdr:col>60</xdr:col>
      <xdr:colOff>152400</xdr:colOff>
      <xdr:row>54</xdr:row>
      <xdr:rowOff>253999</xdr:rowOff>
    </xdr:to>
    <xdr:sp macro="" textlink="">
      <xdr:nvSpPr>
        <xdr:cNvPr id="155" name="سهم إلى اليسار 154">
          <a:extLst>
            <a:ext uri="{FF2B5EF4-FFF2-40B4-BE49-F238E27FC236}">
              <a16:creationId xmlns:a16="http://schemas.microsoft.com/office/drawing/2014/main" id="{00000000-0008-0000-0300-00009B000000}"/>
            </a:ext>
          </a:extLst>
        </xdr:cNvPr>
        <xdr:cNvSpPr/>
      </xdr:nvSpPr>
      <xdr:spPr>
        <a:xfrm>
          <a:off x="11162655475" y="4149725"/>
          <a:ext cx="33655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93</xdr:row>
      <xdr:rowOff>101600</xdr:rowOff>
    </xdr:from>
    <xdr:to>
      <xdr:col>12</xdr:col>
      <xdr:colOff>152400</xdr:colOff>
      <xdr:row>93</xdr:row>
      <xdr:rowOff>253999</xdr:rowOff>
    </xdr:to>
    <xdr:sp macro="" textlink="">
      <xdr:nvSpPr>
        <xdr:cNvPr id="156" name="سهم إلى اليسار 155">
          <a:extLst>
            <a:ext uri="{FF2B5EF4-FFF2-40B4-BE49-F238E27FC236}">
              <a16:creationId xmlns:a16="http://schemas.microsoft.com/office/drawing/2014/main" id="{00000000-0008-0000-0300-00009C000000}"/>
            </a:ext>
          </a:extLst>
        </xdr:cNvPr>
        <xdr:cNvSpPr/>
      </xdr:nvSpPr>
      <xdr:spPr>
        <a:xfrm>
          <a:off x="11162655475" y="4149725"/>
          <a:ext cx="33655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93</xdr:row>
      <xdr:rowOff>101600</xdr:rowOff>
    </xdr:from>
    <xdr:to>
      <xdr:col>28</xdr:col>
      <xdr:colOff>152400</xdr:colOff>
      <xdr:row>93</xdr:row>
      <xdr:rowOff>253999</xdr:rowOff>
    </xdr:to>
    <xdr:sp macro="" textlink="">
      <xdr:nvSpPr>
        <xdr:cNvPr id="157" name="سهم إلى اليسار 156">
          <a:extLst>
            <a:ext uri="{FF2B5EF4-FFF2-40B4-BE49-F238E27FC236}">
              <a16:creationId xmlns:a16="http://schemas.microsoft.com/office/drawing/2014/main" id="{00000000-0008-0000-0300-00009D000000}"/>
            </a:ext>
          </a:extLst>
        </xdr:cNvPr>
        <xdr:cNvSpPr/>
      </xdr:nvSpPr>
      <xdr:spPr>
        <a:xfrm>
          <a:off x="11162655475" y="4149725"/>
          <a:ext cx="33655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93</xdr:row>
      <xdr:rowOff>101600</xdr:rowOff>
    </xdr:from>
    <xdr:to>
      <xdr:col>44</xdr:col>
      <xdr:colOff>152400</xdr:colOff>
      <xdr:row>93</xdr:row>
      <xdr:rowOff>253999</xdr:rowOff>
    </xdr:to>
    <xdr:sp macro="" textlink="">
      <xdr:nvSpPr>
        <xdr:cNvPr id="158" name="سهم إلى اليسار 157">
          <a:extLst>
            <a:ext uri="{FF2B5EF4-FFF2-40B4-BE49-F238E27FC236}">
              <a16:creationId xmlns:a16="http://schemas.microsoft.com/office/drawing/2014/main" id="{00000000-0008-0000-0300-00009E000000}"/>
            </a:ext>
          </a:extLst>
        </xdr:cNvPr>
        <xdr:cNvSpPr/>
      </xdr:nvSpPr>
      <xdr:spPr>
        <a:xfrm>
          <a:off x="11162655475" y="4149725"/>
          <a:ext cx="33655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93</xdr:row>
      <xdr:rowOff>101600</xdr:rowOff>
    </xdr:from>
    <xdr:to>
      <xdr:col>60</xdr:col>
      <xdr:colOff>152400</xdr:colOff>
      <xdr:row>93</xdr:row>
      <xdr:rowOff>253999</xdr:rowOff>
    </xdr:to>
    <xdr:sp macro="" textlink="">
      <xdr:nvSpPr>
        <xdr:cNvPr id="159" name="سهم إلى اليسار 158">
          <a:extLst>
            <a:ext uri="{FF2B5EF4-FFF2-40B4-BE49-F238E27FC236}">
              <a16:creationId xmlns:a16="http://schemas.microsoft.com/office/drawing/2014/main" id="{00000000-0008-0000-0300-00009F000000}"/>
            </a:ext>
          </a:extLst>
        </xdr:cNvPr>
        <xdr:cNvSpPr/>
      </xdr:nvSpPr>
      <xdr:spPr>
        <a:xfrm>
          <a:off x="11162655475" y="4149725"/>
          <a:ext cx="33655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133</xdr:row>
      <xdr:rowOff>101600</xdr:rowOff>
    </xdr:from>
    <xdr:to>
      <xdr:col>12</xdr:col>
      <xdr:colOff>152400</xdr:colOff>
      <xdr:row>133</xdr:row>
      <xdr:rowOff>253999</xdr:rowOff>
    </xdr:to>
    <xdr:sp macro="" textlink="">
      <xdr:nvSpPr>
        <xdr:cNvPr id="160" name="سهم إلى اليسار 159">
          <a:extLst>
            <a:ext uri="{FF2B5EF4-FFF2-40B4-BE49-F238E27FC236}">
              <a16:creationId xmlns:a16="http://schemas.microsoft.com/office/drawing/2014/main" id="{00000000-0008-0000-0300-0000A0000000}"/>
            </a:ext>
          </a:extLst>
        </xdr:cNvPr>
        <xdr:cNvSpPr/>
      </xdr:nvSpPr>
      <xdr:spPr>
        <a:xfrm>
          <a:off x="11162655475" y="4149725"/>
          <a:ext cx="33655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133</xdr:row>
      <xdr:rowOff>101600</xdr:rowOff>
    </xdr:from>
    <xdr:to>
      <xdr:col>28</xdr:col>
      <xdr:colOff>152400</xdr:colOff>
      <xdr:row>133</xdr:row>
      <xdr:rowOff>253999</xdr:rowOff>
    </xdr:to>
    <xdr:sp macro="" textlink="">
      <xdr:nvSpPr>
        <xdr:cNvPr id="161" name="سهم إلى اليسار 160">
          <a:extLst>
            <a:ext uri="{FF2B5EF4-FFF2-40B4-BE49-F238E27FC236}">
              <a16:creationId xmlns:a16="http://schemas.microsoft.com/office/drawing/2014/main" id="{00000000-0008-0000-0300-0000A1000000}"/>
            </a:ext>
          </a:extLst>
        </xdr:cNvPr>
        <xdr:cNvSpPr/>
      </xdr:nvSpPr>
      <xdr:spPr>
        <a:xfrm>
          <a:off x="11162655475" y="4149725"/>
          <a:ext cx="33655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133</xdr:row>
      <xdr:rowOff>101600</xdr:rowOff>
    </xdr:from>
    <xdr:to>
      <xdr:col>44</xdr:col>
      <xdr:colOff>152400</xdr:colOff>
      <xdr:row>133</xdr:row>
      <xdr:rowOff>253999</xdr:rowOff>
    </xdr:to>
    <xdr:sp macro="" textlink="">
      <xdr:nvSpPr>
        <xdr:cNvPr id="162" name="سهم إلى اليسار 161">
          <a:extLst>
            <a:ext uri="{FF2B5EF4-FFF2-40B4-BE49-F238E27FC236}">
              <a16:creationId xmlns:a16="http://schemas.microsoft.com/office/drawing/2014/main" id="{00000000-0008-0000-0300-0000A2000000}"/>
            </a:ext>
          </a:extLst>
        </xdr:cNvPr>
        <xdr:cNvSpPr/>
      </xdr:nvSpPr>
      <xdr:spPr>
        <a:xfrm>
          <a:off x="11162655475" y="4149725"/>
          <a:ext cx="33655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133</xdr:row>
      <xdr:rowOff>101600</xdr:rowOff>
    </xdr:from>
    <xdr:to>
      <xdr:col>60</xdr:col>
      <xdr:colOff>152400</xdr:colOff>
      <xdr:row>133</xdr:row>
      <xdr:rowOff>253999</xdr:rowOff>
    </xdr:to>
    <xdr:sp macro="" textlink="">
      <xdr:nvSpPr>
        <xdr:cNvPr id="163" name="سهم إلى اليسار 162">
          <a:extLst>
            <a:ext uri="{FF2B5EF4-FFF2-40B4-BE49-F238E27FC236}">
              <a16:creationId xmlns:a16="http://schemas.microsoft.com/office/drawing/2014/main" id="{00000000-0008-0000-0300-0000A3000000}"/>
            </a:ext>
          </a:extLst>
        </xdr:cNvPr>
        <xdr:cNvSpPr/>
      </xdr:nvSpPr>
      <xdr:spPr>
        <a:xfrm>
          <a:off x="11162655475" y="4149725"/>
          <a:ext cx="33655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173</xdr:row>
      <xdr:rowOff>101600</xdr:rowOff>
    </xdr:from>
    <xdr:to>
      <xdr:col>12</xdr:col>
      <xdr:colOff>152400</xdr:colOff>
      <xdr:row>173</xdr:row>
      <xdr:rowOff>253999</xdr:rowOff>
    </xdr:to>
    <xdr:sp macro="" textlink="">
      <xdr:nvSpPr>
        <xdr:cNvPr id="164" name="سهم إلى اليسار 163">
          <a:extLst>
            <a:ext uri="{FF2B5EF4-FFF2-40B4-BE49-F238E27FC236}">
              <a16:creationId xmlns:a16="http://schemas.microsoft.com/office/drawing/2014/main" id="{00000000-0008-0000-0300-0000A4000000}"/>
            </a:ext>
          </a:extLst>
        </xdr:cNvPr>
        <xdr:cNvSpPr/>
      </xdr:nvSpPr>
      <xdr:spPr>
        <a:xfrm>
          <a:off x="11162655475" y="4149725"/>
          <a:ext cx="33655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173</xdr:row>
      <xdr:rowOff>101600</xdr:rowOff>
    </xdr:from>
    <xdr:to>
      <xdr:col>28</xdr:col>
      <xdr:colOff>152400</xdr:colOff>
      <xdr:row>173</xdr:row>
      <xdr:rowOff>253999</xdr:rowOff>
    </xdr:to>
    <xdr:sp macro="" textlink="">
      <xdr:nvSpPr>
        <xdr:cNvPr id="165" name="سهم إلى اليسار 164">
          <a:extLst>
            <a:ext uri="{FF2B5EF4-FFF2-40B4-BE49-F238E27FC236}">
              <a16:creationId xmlns:a16="http://schemas.microsoft.com/office/drawing/2014/main" id="{00000000-0008-0000-0300-0000A5000000}"/>
            </a:ext>
          </a:extLst>
        </xdr:cNvPr>
        <xdr:cNvSpPr/>
      </xdr:nvSpPr>
      <xdr:spPr>
        <a:xfrm>
          <a:off x="11162655475" y="4149725"/>
          <a:ext cx="33655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173</xdr:row>
      <xdr:rowOff>101600</xdr:rowOff>
    </xdr:from>
    <xdr:to>
      <xdr:col>44</xdr:col>
      <xdr:colOff>152400</xdr:colOff>
      <xdr:row>173</xdr:row>
      <xdr:rowOff>253999</xdr:rowOff>
    </xdr:to>
    <xdr:sp macro="" textlink="">
      <xdr:nvSpPr>
        <xdr:cNvPr id="166" name="سهم إلى اليسار 165">
          <a:extLst>
            <a:ext uri="{FF2B5EF4-FFF2-40B4-BE49-F238E27FC236}">
              <a16:creationId xmlns:a16="http://schemas.microsoft.com/office/drawing/2014/main" id="{00000000-0008-0000-0300-0000A6000000}"/>
            </a:ext>
          </a:extLst>
        </xdr:cNvPr>
        <xdr:cNvSpPr/>
      </xdr:nvSpPr>
      <xdr:spPr>
        <a:xfrm>
          <a:off x="11162655475" y="4149725"/>
          <a:ext cx="33655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173</xdr:row>
      <xdr:rowOff>101600</xdr:rowOff>
    </xdr:from>
    <xdr:to>
      <xdr:col>60</xdr:col>
      <xdr:colOff>152400</xdr:colOff>
      <xdr:row>173</xdr:row>
      <xdr:rowOff>253999</xdr:rowOff>
    </xdr:to>
    <xdr:sp macro="" textlink="">
      <xdr:nvSpPr>
        <xdr:cNvPr id="167" name="سهم إلى اليسار 166">
          <a:extLst>
            <a:ext uri="{FF2B5EF4-FFF2-40B4-BE49-F238E27FC236}">
              <a16:creationId xmlns:a16="http://schemas.microsoft.com/office/drawing/2014/main" id="{00000000-0008-0000-0300-0000A7000000}"/>
            </a:ext>
          </a:extLst>
        </xdr:cNvPr>
        <xdr:cNvSpPr/>
      </xdr:nvSpPr>
      <xdr:spPr>
        <a:xfrm>
          <a:off x="11162655475" y="4149725"/>
          <a:ext cx="33655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14</xdr:row>
      <xdr:rowOff>101600</xdr:rowOff>
    </xdr:from>
    <xdr:to>
      <xdr:col>28</xdr:col>
      <xdr:colOff>152400</xdr:colOff>
      <xdr:row>14</xdr:row>
      <xdr:rowOff>253999</xdr:rowOff>
    </xdr:to>
    <xdr:sp macro="" textlink="">
      <xdr:nvSpPr>
        <xdr:cNvPr id="168" name="سهم إلى اليسار 167">
          <a:extLst>
            <a:ext uri="{FF2B5EF4-FFF2-40B4-BE49-F238E27FC236}">
              <a16:creationId xmlns:a16="http://schemas.microsoft.com/office/drawing/2014/main" id="{00000000-0008-0000-0300-0000A8000000}"/>
            </a:ext>
          </a:extLst>
        </xdr:cNvPr>
        <xdr:cNvSpPr/>
      </xdr:nvSpPr>
      <xdr:spPr>
        <a:xfrm>
          <a:off x="10012473172" y="4442279"/>
          <a:ext cx="29119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14</xdr:row>
      <xdr:rowOff>101600</xdr:rowOff>
    </xdr:from>
    <xdr:to>
      <xdr:col>44</xdr:col>
      <xdr:colOff>152400</xdr:colOff>
      <xdr:row>14</xdr:row>
      <xdr:rowOff>253999</xdr:rowOff>
    </xdr:to>
    <xdr:sp macro="" textlink="">
      <xdr:nvSpPr>
        <xdr:cNvPr id="169" name="سهم إلى اليسار 168">
          <a:extLst>
            <a:ext uri="{FF2B5EF4-FFF2-40B4-BE49-F238E27FC236}">
              <a16:creationId xmlns:a16="http://schemas.microsoft.com/office/drawing/2014/main" id="{00000000-0008-0000-0300-0000A9000000}"/>
            </a:ext>
          </a:extLst>
        </xdr:cNvPr>
        <xdr:cNvSpPr/>
      </xdr:nvSpPr>
      <xdr:spPr>
        <a:xfrm>
          <a:off x="10012473172" y="4442279"/>
          <a:ext cx="29119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14</xdr:row>
      <xdr:rowOff>101600</xdr:rowOff>
    </xdr:from>
    <xdr:to>
      <xdr:col>60</xdr:col>
      <xdr:colOff>152400</xdr:colOff>
      <xdr:row>14</xdr:row>
      <xdr:rowOff>253999</xdr:rowOff>
    </xdr:to>
    <xdr:sp macro="" textlink="">
      <xdr:nvSpPr>
        <xdr:cNvPr id="170" name="سهم إلى اليسار 169">
          <a:extLst>
            <a:ext uri="{FF2B5EF4-FFF2-40B4-BE49-F238E27FC236}">
              <a16:creationId xmlns:a16="http://schemas.microsoft.com/office/drawing/2014/main" id="{00000000-0008-0000-0300-0000AA000000}"/>
            </a:ext>
          </a:extLst>
        </xdr:cNvPr>
        <xdr:cNvSpPr/>
      </xdr:nvSpPr>
      <xdr:spPr>
        <a:xfrm>
          <a:off x="10012473172" y="4442279"/>
          <a:ext cx="29119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54</xdr:row>
      <xdr:rowOff>101600</xdr:rowOff>
    </xdr:from>
    <xdr:to>
      <xdr:col>12</xdr:col>
      <xdr:colOff>152400</xdr:colOff>
      <xdr:row>54</xdr:row>
      <xdr:rowOff>253999</xdr:rowOff>
    </xdr:to>
    <xdr:sp macro="" textlink="">
      <xdr:nvSpPr>
        <xdr:cNvPr id="171" name="سهم إلى اليسار 170">
          <a:extLst>
            <a:ext uri="{FF2B5EF4-FFF2-40B4-BE49-F238E27FC236}">
              <a16:creationId xmlns:a16="http://schemas.microsoft.com/office/drawing/2014/main" id="{00000000-0008-0000-0300-0000AB000000}"/>
            </a:ext>
          </a:extLst>
        </xdr:cNvPr>
        <xdr:cNvSpPr/>
      </xdr:nvSpPr>
      <xdr:spPr>
        <a:xfrm>
          <a:off x="9864366225" y="4467225"/>
          <a:ext cx="288925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54</xdr:row>
      <xdr:rowOff>101600</xdr:rowOff>
    </xdr:from>
    <xdr:to>
      <xdr:col>28</xdr:col>
      <xdr:colOff>152400</xdr:colOff>
      <xdr:row>54</xdr:row>
      <xdr:rowOff>253999</xdr:rowOff>
    </xdr:to>
    <xdr:sp macro="" textlink="">
      <xdr:nvSpPr>
        <xdr:cNvPr id="172" name="سهم إلى اليسار 171">
          <a:extLst>
            <a:ext uri="{FF2B5EF4-FFF2-40B4-BE49-F238E27FC236}">
              <a16:creationId xmlns:a16="http://schemas.microsoft.com/office/drawing/2014/main" id="{00000000-0008-0000-0300-0000AC000000}"/>
            </a:ext>
          </a:extLst>
        </xdr:cNvPr>
        <xdr:cNvSpPr/>
      </xdr:nvSpPr>
      <xdr:spPr>
        <a:xfrm>
          <a:off x="9864366225" y="4467225"/>
          <a:ext cx="288925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54</xdr:row>
      <xdr:rowOff>101600</xdr:rowOff>
    </xdr:from>
    <xdr:to>
      <xdr:col>44</xdr:col>
      <xdr:colOff>152400</xdr:colOff>
      <xdr:row>54</xdr:row>
      <xdr:rowOff>253999</xdr:rowOff>
    </xdr:to>
    <xdr:sp macro="" textlink="">
      <xdr:nvSpPr>
        <xdr:cNvPr id="173" name="سهم إلى اليسار 172">
          <a:extLst>
            <a:ext uri="{FF2B5EF4-FFF2-40B4-BE49-F238E27FC236}">
              <a16:creationId xmlns:a16="http://schemas.microsoft.com/office/drawing/2014/main" id="{00000000-0008-0000-0300-0000AD000000}"/>
            </a:ext>
          </a:extLst>
        </xdr:cNvPr>
        <xdr:cNvSpPr/>
      </xdr:nvSpPr>
      <xdr:spPr>
        <a:xfrm>
          <a:off x="9864366225" y="4467225"/>
          <a:ext cx="288925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54</xdr:row>
      <xdr:rowOff>101600</xdr:rowOff>
    </xdr:from>
    <xdr:to>
      <xdr:col>60</xdr:col>
      <xdr:colOff>152400</xdr:colOff>
      <xdr:row>54</xdr:row>
      <xdr:rowOff>253999</xdr:rowOff>
    </xdr:to>
    <xdr:sp macro="" textlink="">
      <xdr:nvSpPr>
        <xdr:cNvPr id="174" name="سهم إلى اليسار 173">
          <a:extLst>
            <a:ext uri="{FF2B5EF4-FFF2-40B4-BE49-F238E27FC236}">
              <a16:creationId xmlns:a16="http://schemas.microsoft.com/office/drawing/2014/main" id="{00000000-0008-0000-0300-0000AE000000}"/>
            </a:ext>
          </a:extLst>
        </xdr:cNvPr>
        <xdr:cNvSpPr/>
      </xdr:nvSpPr>
      <xdr:spPr>
        <a:xfrm>
          <a:off x="9864366225" y="4467225"/>
          <a:ext cx="288925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93</xdr:row>
      <xdr:rowOff>101600</xdr:rowOff>
    </xdr:from>
    <xdr:to>
      <xdr:col>12</xdr:col>
      <xdr:colOff>152400</xdr:colOff>
      <xdr:row>93</xdr:row>
      <xdr:rowOff>253999</xdr:rowOff>
    </xdr:to>
    <xdr:sp macro="" textlink="">
      <xdr:nvSpPr>
        <xdr:cNvPr id="175" name="سهم إلى اليسار 174">
          <a:extLst>
            <a:ext uri="{FF2B5EF4-FFF2-40B4-BE49-F238E27FC236}">
              <a16:creationId xmlns:a16="http://schemas.microsoft.com/office/drawing/2014/main" id="{00000000-0008-0000-0300-0000AF000000}"/>
            </a:ext>
          </a:extLst>
        </xdr:cNvPr>
        <xdr:cNvSpPr/>
      </xdr:nvSpPr>
      <xdr:spPr>
        <a:xfrm>
          <a:off x="9864366225" y="4467225"/>
          <a:ext cx="288925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93</xdr:row>
      <xdr:rowOff>101600</xdr:rowOff>
    </xdr:from>
    <xdr:to>
      <xdr:col>28</xdr:col>
      <xdr:colOff>152400</xdr:colOff>
      <xdr:row>93</xdr:row>
      <xdr:rowOff>253999</xdr:rowOff>
    </xdr:to>
    <xdr:sp macro="" textlink="">
      <xdr:nvSpPr>
        <xdr:cNvPr id="176" name="سهم إلى اليسار 175">
          <a:extLst>
            <a:ext uri="{FF2B5EF4-FFF2-40B4-BE49-F238E27FC236}">
              <a16:creationId xmlns:a16="http://schemas.microsoft.com/office/drawing/2014/main" id="{00000000-0008-0000-0300-0000B0000000}"/>
            </a:ext>
          </a:extLst>
        </xdr:cNvPr>
        <xdr:cNvSpPr/>
      </xdr:nvSpPr>
      <xdr:spPr>
        <a:xfrm>
          <a:off x="9864366225" y="4467225"/>
          <a:ext cx="288925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93</xdr:row>
      <xdr:rowOff>101600</xdr:rowOff>
    </xdr:from>
    <xdr:to>
      <xdr:col>44</xdr:col>
      <xdr:colOff>152400</xdr:colOff>
      <xdr:row>93</xdr:row>
      <xdr:rowOff>253999</xdr:rowOff>
    </xdr:to>
    <xdr:sp macro="" textlink="">
      <xdr:nvSpPr>
        <xdr:cNvPr id="177" name="سهم إلى اليسار 176">
          <a:extLst>
            <a:ext uri="{FF2B5EF4-FFF2-40B4-BE49-F238E27FC236}">
              <a16:creationId xmlns:a16="http://schemas.microsoft.com/office/drawing/2014/main" id="{00000000-0008-0000-0300-0000B1000000}"/>
            </a:ext>
          </a:extLst>
        </xdr:cNvPr>
        <xdr:cNvSpPr/>
      </xdr:nvSpPr>
      <xdr:spPr>
        <a:xfrm>
          <a:off x="9864366225" y="4467225"/>
          <a:ext cx="288925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93</xdr:row>
      <xdr:rowOff>101600</xdr:rowOff>
    </xdr:from>
    <xdr:to>
      <xdr:col>60</xdr:col>
      <xdr:colOff>152400</xdr:colOff>
      <xdr:row>93</xdr:row>
      <xdr:rowOff>253999</xdr:rowOff>
    </xdr:to>
    <xdr:sp macro="" textlink="">
      <xdr:nvSpPr>
        <xdr:cNvPr id="178" name="سهم إلى اليسار 177">
          <a:extLst>
            <a:ext uri="{FF2B5EF4-FFF2-40B4-BE49-F238E27FC236}">
              <a16:creationId xmlns:a16="http://schemas.microsoft.com/office/drawing/2014/main" id="{00000000-0008-0000-0300-0000B2000000}"/>
            </a:ext>
          </a:extLst>
        </xdr:cNvPr>
        <xdr:cNvSpPr/>
      </xdr:nvSpPr>
      <xdr:spPr>
        <a:xfrm>
          <a:off x="9864366225" y="4467225"/>
          <a:ext cx="288925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133</xdr:row>
      <xdr:rowOff>101600</xdr:rowOff>
    </xdr:from>
    <xdr:to>
      <xdr:col>12</xdr:col>
      <xdr:colOff>152400</xdr:colOff>
      <xdr:row>133</xdr:row>
      <xdr:rowOff>253999</xdr:rowOff>
    </xdr:to>
    <xdr:sp macro="" textlink="">
      <xdr:nvSpPr>
        <xdr:cNvPr id="179" name="سهم إلى اليسار 178">
          <a:extLst>
            <a:ext uri="{FF2B5EF4-FFF2-40B4-BE49-F238E27FC236}">
              <a16:creationId xmlns:a16="http://schemas.microsoft.com/office/drawing/2014/main" id="{00000000-0008-0000-0300-0000B3000000}"/>
            </a:ext>
          </a:extLst>
        </xdr:cNvPr>
        <xdr:cNvSpPr/>
      </xdr:nvSpPr>
      <xdr:spPr>
        <a:xfrm>
          <a:off x="9864366225" y="4467225"/>
          <a:ext cx="288925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133</xdr:row>
      <xdr:rowOff>101600</xdr:rowOff>
    </xdr:from>
    <xdr:to>
      <xdr:col>28</xdr:col>
      <xdr:colOff>152400</xdr:colOff>
      <xdr:row>133</xdr:row>
      <xdr:rowOff>253999</xdr:rowOff>
    </xdr:to>
    <xdr:sp macro="" textlink="">
      <xdr:nvSpPr>
        <xdr:cNvPr id="180" name="سهم إلى اليسار 179">
          <a:extLst>
            <a:ext uri="{FF2B5EF4-FFF2-40B4-BE49-F238E27FC236}">
              <a16:creationId xmlns:a16="http://schemas.microsoft.com/office/drawing/2014/main" id="{00000000-0008-0000-0300-0000B4000000}"/>
            </a:ext>
          </a:extLst>
        </xdr:cNvPr>
        <xdr:cNvSpPr/>
      </xdr:nvSpPr>
      <xdr:spPr>
        <a:xfrm>
          <a:off x="9864366225" y="4467225"/>
          <a:ext cx="288925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133</xdr:row>
      <xdr:rowOff>101600</xdr:rowOff>
    </xdr:from>
    <xdr:to>
      <xdr:col>44</xdr:col>
      <xdr:colOff>152400</xdr:colOff>
      <xdr:row>133</xdr:row>
      <xdr:rowOff>253999</xdr:rowOff>
    </xdr:to>
    <xdr:sp macro="" textlink="">
      <xdr:nvSpPr>
        <xdr:cNvPr id="181" name="سهم إلى اليسار 180">
          <a:extLst>
            <a:ext uri="{FF2B5EF4-FFF2-40B4-BE49-F238E27FC236}">
              <a16:creationId xmlns:a16="http://schemas.microsoft.com/office/drawing/2014/main" id="{00000000-0008-0000-0300-0000B5000000}"/>
            </a:ext>
          </a:extLst>
        </xdr:cNvPr>
        <xdr:cNvSpPr/>
      </xdr:nvSpPr>
      <xdr:spPr>
        <a:xfrm>
          <a:off x="9864366225" y="4467225"/>
          <a:ext cx="288925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133</xdr:row>
      <xdr:rowOff>101600</xdr:rowOff>
    </xdr:from>
    <xdr:to>
      <xdr:col>60</xdr:col>
      <xdr:colOff>152400</xdr:colOff>
      <xdr:row>133</xdr:row>
      <xdr:rowOff>253999</xdr:rowOff>
    </xdr:to>
    <xdr:sp macro="" textlink="">
      <xdr:nvSpPr>
        <xdr:cNvPr id="182" name="سهم إلى اليسار 181">
          <a:extLst>
            <a:ext uri="{FF2B5EF4-FFF2-40B4-BE49-F238E27FC236}">
              <a16:creationId xmlns:a16="http://schemas.microsoft.com/office/drawing/2014/main" id="{00000000-0008-0000-0300-0000B6000000}"/>
            </a:ext>
          </a:extLst>
        </xdr:cNvPr>
        <xdr:cNvSpPr/>
      </xdr:nvSpPr>
      <xdr:spPr>
        <a:xfrm>
          <a:off x="9864366225" y="4467225"/>
          <a:ext cx="288925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173</xdr:row>
      <xdr:rowOff>101600</xdr:rowOff>
    </xdr:from>
    <xdr:to>
      <xdr:col>12</xdr:col>
      <xdr:colOff>152400</xdr:colOff>
      <xdr:row>173</xdr:row>
      <xdr:rowOff>253999</xdr:rowOff>
    </xdr:to>
    <xdr:sp macro="" textlink="">
      <xdr:nvSpPr>
        <xdr:cNvPr id="183" name="سهم إلى اليسار 182">
          <a:extLst>
            <a:ext uri="{FF2B5EF4-FFF2-40B4-BE49-F238E27FC236}">
              <a16:creationId xmlns:a16="http://schemas.microsoft.com/office/drawing/2014/main" id="{00000000-0008-0000-0300-0000B7000000}"/>
            </a:ext>
          </a:extLst>
        </xdr:cNvPr>
        <xdr:cNvSpPr/>
      </xdr:nvSpPr>
      <xdr:spPr>
        <a:xfrm>
          <a:off x="9864366225" y="4467225"/>
          <a:ext cx="288925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173</xdr:row>
      <xdr:rowOff>101600</xdr:rowOff>
    </xdr:from>
    <xdr:to>
      <xdr:col>28</xdr:col>
      <xdr:colOff>152400</xdr:colOff>
      <xdr:row>173</xdr:row>
      <xdr:rowOff>253999</xdr:rowOff>
    </xdr:to>
    <xdr:sp macro="" textlink="">
      <xdr:nvSpPr>
        <xdr:cNvPr id="184" name="سهم إلى اليسار 183">
          <a:extLst>
            <a:ext uri="{FF2B5EF4-FFF2-40B4-BE49-F238E27FC236}">
              <a16:creationId xmlns:a16="http://schemas.microsoft.com/office/drawing/2014/main" id="{00000000-0008-0000-0300-0000B8000000}"/>
            </a:ext>
          </a:extLst>
        </xdr:cNvPr>
        <xdr:cNvSpPr/>
      </xdr:nvSpPr>
      <xdr:spPr>
        <a:xfrm>
          <a:off x="9864366225" y="4467225"/>
          <a:ext cx="288925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173</xdr:row>
      <xdr:rowOff>101600</xdr:rowOff>
    </xdr:from>
    <xdr:to>
      <xdr:col>44</xdr:col>
      <xdr:colOff>152400</xdr:colOff>
      <xdr:row>173</xdr:row>
      <xdr:rowOff>253999</xdr:rowOff>
    </xdr:to>
    <xdr:sp macro="" textlink="">
      <xdr:nvSpPr>
        <xdr:cNvPr id="185" name="سهم إلى اليسار 184">
          <a:extLst>
            <a:ext uri="{FF2B5EF4-FFF2-40B4-BE49-F238E27FC236}">
              <a16:creationId xmlns:a16="http://schemas.microsoft.com/office/drawing/2014/main" id="{00000000-0008-0000-0300-0000B9000000}"/>
            </a:ext>
          </a:extLst>
        </xdr:cNvPr>
        <xdr:cNvSpPr/>
      </xdr:nvSpPr>
      <xdr:spPr>
        <a:xfrm>
          <a:off x="9864366225" y="4467225"/>
          <a:ext cx="288925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173</xdr:row>
      <xdr:rowOff>101600</xdr:rowOff>
    </xdr:from>
    <xdr:to>
      <xdr:col>60</xdr:col>
      <xdr:colOff>152400</xdr:colOff>
      <xdr:row>173</xdr:row>
      <xdr:rowOff>253999</xdr:rowOff>
    </xdr:to>
    <xdr:sp macro="" textlink="">
      <xdr:nvSpPr>
        <xdr:cNvPr id="186" name="سهم إلى اليسار 185">
          <a:extLst>
            <a:ext uri="{FF2B5EF4-FFF2-40B4-BE49-F238E27FC236}">
              <a16:creationId xmlns:a16="http://schemas.microsoft.com/office/drawing/2014/main" id="{00000000-0008-0000-0300-0000BA000000}"/>
            </a:ext>
          </a:extLst>
        </xdr:cNvPr>
        <xdr:cNvSpPr/>
      </xdr:nvSpPr>
      <xdr:spPr>
        <a:xfrm>
          <a:off x="9864366225" y="4467225"/>
          <a:ext cx="288925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1</xdr:row>
      <xdr:rowOff>95250</xdr:rowOff>
    </xdr:from>
    <xdr:to>
      <xdr:col>3</xdr:col>
      <xdr:colOff>581025</xdr:colOff>
      <xdr:row>2</xdr:row>
      <xdr:rowOff>9525</xdr:rowOff>
    </xdr:to>
    <xdr:sp macro="" textlink="">
      <xdr:nvSpPr>
        <xdr:cNvPr id="2" name="سهم إلى اليمين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1224440975" y="352425"/>
          <a:ext cx="304800" cy="171450"/>
        </a:xfrm>
        <a:prstGeom prst="righ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0</xdr:colOff>
      <xdr:row>2</xdr:row>
      <xdr:rowOff>0</xdr:rowOff>
    </xdr:from>
    <xdr:to>
      <xdr:col>51</xdr:col>
      <xdr:colOff>419100</xdr:colOff>
      <xdr:row>2</xdr:row>
      <xdr:rowOff>142875</xdr:rowOff>
    </xdr:to>
    <xdr:sp macro="" textlink="">
      <xdr:nvSpPr>
        <xdr:cNvPr id="4" name="سهم إلى اليمين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1209315275" y="257175"/>
          <a:ext cx="419100" cy="142875"/>
        </a:xfrm>
        <a:prstGeom prst="righ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87</xdr:col>
      <xdr:colOff>0</xdr:colOff>
      <xdr:row>2</xdr:row>
      <xdr:rowOff>0</xdr:rowOff>
    </xdr:from>
    <xdr:to>
      <xdr:col>87</xdr:col>
      <xdr:colOff>419100</xdr:colOff>
      <xdr:row>2</xdr:row>
      <xdr:rowOff>142875</xdr:rowOff>
    </xdr:to>
    <xdr:sp macro="" textlink="">
      <xdr:nvSpPr>
        <xdr:cNvPr id="5" name="سهم إلى اليمين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1200752300" y="257175"/>
          <a:ext cx="419100" cy="142875"/>
        </a:xfrm>
        <a:prstGeom prst="righ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0</xdr:col>
      <xdr:colOff>187036</xdr:colOff>
      <xdr:row>1</xdr:row>
      <xdr:rowOff>69273</xdr:rowOff>
    </xdr:from>
    <xdr:to>
      <xdr:col>1</xdr:col>
      <xdr:colOff>349827</xdr:colOff>
      <xdr:row>1</xdr:row>
      <xdr:rowOff>212148</xdr:rowOff>
    </xdr:to>
    <xdr:sp macro="" textlink="">
      <xdr:nvSpPr>
        <xdr:cNvPr id="7" name="سهم إلى اليمين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11223113537" y="242455"/>
          <a:ext cx="419100" cy="142875"/>
        </a:xfrm>
        <a:prstGeom prst="righ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70</xdr:col>
      <xdr:colOff>0</xdr:colOff>
      <xdr:row>2</xdr:row>
      <xdr:rowOff>0</xdr:rowOff>
    </xdr:from>
    <xdr:to>
      <xdr:col>70</xdr:col>
      <xdr:colOff>419100</xdr:colOff>
      <xdr:row>2</xdr:row>
      <xdr:rowOff>142875</xdr:rowOff>
    </xdr:to>
    <xdr:sp macro="" textlink="">
      <xdr:nvSpPr>
        <xdr:cNvPr id="6" name="سهم إلى اليمين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11206276800" y="426720"/>
          <a:ext cx="129540" cy="142875"/>
        </a:xfrm>
        <a:prstGeom prst="righ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&#1575;&#1604;&#1579;&#1575;&#1604;&#1579;%20&#1571;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بيانات الصحيفة "/>
      <sheetName val="الرئيسية"/>
      <sheetName val="صحيفة الفترات"/>
      <sheetName val="الصحيفة النهائية"/>
      <sheetName val="النتيجة النهائية"/>
      <sheetName val="ادخال1"/>
    </sheetNames>
    <sheetDataSet>
      <sheetData sheetId="0"/>
      <sheetData sheetId="1"/>
      <sheetData sheetId="2"/>
      <sheetData sheetId="3"/>
      <sheetData sheetId="4"/>
      <sheetData sheetId="5">
        <row r="12">
          <cell r="B12" t="str">
            <v>انصير احمد انصير خليل</v>
          </cell>
        </row>
      </sheetData>
    </sheetDataSet>
  </externalBook>
</externalLink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10"/>
  <sheetViews>
    <sheetView rightToLeft="1" view="pageBreakPreview" zoomScale="50" zoomScaleNormal="70" zoomScaleSheetLayoutView="50" workbookViewId="0">
      <selection sqref="A1:O21"/>
    </sheetView>
  </sheetViews>
  <sheetFormatPr defaultRowHeight="13.8" x14ac:dyDescent="0.25"/>
  <cols>
    <col min="1" max="1" width="27.59765625" style="1" customWidth="1"/>
    <col min="2" max="13" width="3.69921875" customWidth="1"/>
    <col min="14" max="14" width="30.19921875" customWidth="1"/>
    <col min="15" max="15" width="3.19921875" customWidth="1"/>
    <col min="16" max="16" width="22.19921875" customWidth="1"/>
    <col min="17" max="28" width="3.69921875" customWidth="1"/>
    <col min="29" max="29" width="23.69921875" customWidth="1"/>
    <col min="30" max="30" width="2.19921875" customWidth="1"/>
    <col min="31" max="31" width="22.69921875" customWidth="1"/>
    <col min="32" max="43" width="3.69921875" customWidth="1"/>
    <col min="44" max="44" width="25" customWidth="1"/>
    <col min="45" max="45" width="1.19921875" customWidth="1"/>
    <col min="46" max="46" width="23.19921875" customWidth="1"/>
    <col min="47" max="58" width="3.69921875" customWidth="1"/>
    <col min="59" max="59" width="25" customWidth="1"/>
  </cols>
  <sheetData>
    <row r="1" spans="1:59" s="177" customFormat="1" ht="39.9" customHeight="1" thickTop="1" x14ac:dyDescent="0.5">
      <c r="A1" s="175">
        <v>8</v>
      </c>
      <c r="B1" s="418" t="s">
        <v>39</v>
      </c>
      <c r="C1" s="418"/>
      <c r="D1" s="418"/>
      <c r="E1" s="418"/>
      <c r="F1" s="418"/>
      <c r="G1" s="418"/>
      <c r="H1" s="418"/>
      <c r="I1" s="418"/>
      <c r="J1" s="418"/>
      <c r="K1" s="418"/>
      <c r="L1" s="418"/>
      <c r="M1" s="418"/>
      <c r="N1" s="176"/>
      <c r="P1" s="175">
        <f>A1-5</f>
        <v>3</v>
      </c>
      <c r="Q1" s="418" t="s">
        <v>39</v>
      </c>
      <c r="R1" s="418"/>
      <c r="S1" s="418"/>
      <c r="T1" s="418"/>
      <c r="U1" s="418"/>
      <c r="V1" s="418"/>
      <c r="W1" s="418"/>
      <c r="X1" s="418"/>
      <c r="Y1" s="418"/>
      <c r="Z1" s="418"/>
      <c r="AA1" s="418"/>
      <c r="AB1" s="418"/>
      <c r="AC1" s="176"/>
      <c r="AE1" s="175">
        <f>P1-5</f>
        <v>-2</v>
      </c>
      <c r="AF1" s="418" t="s">
        <v>39</v>
      </c>
      <c r="AG1" s="418"/>
      <c r="AH1" s="418"/>
      <c r="AI1" s="418"/>
      <c r="AJ1" s="418"/>
      <c r="AK1" s="418"/>
      <c r="AL1" s="418"/>
      <c r="AM1" s="418"/>
      <c r="AN1" s="418"/>
      <c r="AO1" s="418"/>
      <c r="AP1" s="418"/>
      <c r="AQ1" s="418"/>
      <c r="AR1" s="176"/>
      <c r="AT1" s="175">
        <f>AE1-5</f>
        <v>-7</v>
      </c>
      <c r="AU1" s="418" t="s">
        <v>39</v>
      </c>
      <c r="AV1" s="418"/>
      <c r="AW1" s="418"/>
      <c r="AX1" s="418"/>
      <c r="AY1" s="418"/>
      <c r="AZ1" s="418"/>
      <c r="BA1" s="418"/>
      <c r="BB1" s="418"/>
      <c r="BC1" s="418"/>
      <c r="BD1" s="418"/>
      <c r="BE1" s="418"/>
      <c r="BF1" s="418"/>
      <c r="BG1" s="176"/>
    </row>
    <row r="2" spans="1:59" s="177" customFormat="1" ht="39.9" customHeight="1" x14ac:dyDescent="0.5">
      <c r="A2" s="412" t="s">
        <v>40</v>
      </c>
      <c r="B2" s="413"/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4"/>
      <c r="P2" s="412" t="s">
        <v>40</v>
      </c>
      <c r="Q2" s="413"/>
      <c r="R2" s="413"/>
      <c r="S2" s="413"/>
      <c r="T2" s="413"/>
      <c r="U2" s="413"/>
      <c r="V2" s="413"/>
      <c r="W2" s="413"/>
      <c r="X2" s="413"/>
      <c r="Y2" s="413"/>
      <c r="Z2" s="413"/>
      <c r="AA2" s="413"/>
      <c r="AB2" s="413"/>
      <c r="AC2" s="414"/>
      <c r="AE2" s="412" t="s">
        <v>40</v>
      </c>
      <c r="AF2" s="413"/>
      <c r="AG2" s="413"/>
      <c r="AH2" s="413"/>
      <c r="AI2" s="413"/>
      <c r="AJ2" s="413"/>
      <c r="AK2" s="413"/>
      <c r="AL2" s="413"/>
      <c r="AM2" s="413"/>
      <c r="AN2" s="413"/>
      <c r="AO2" s="413"/>
      <c r="AP2" s="413"/>
      <c r="AQ2" s="413"/>
      <c r="AR2" s="414"/>
      <c r="AT2" s="412" t="s">
        <v>40</v>
      </c>
      <c r="AU2" s="413"/>
      <c r="AV2" s="413"/>
      <c r="AW2" s="413"/>
      <c r="AX2" s="413"/>
      <c r="AY2" s="413"/>
      <c r="AZ2" s="413"/>
      <c r="BA2" s="413"/>
      <c r="BB2" s="413"/>
      <c r="BC2" s="413"/>
      <c r="BD2" s="413"/>
      <c r="BE2" s="413"/>
      <c r="BF2" s="413"/>
      <c r="BG2" s="414"/>
    </row>
    <row r="3" spans="1:59" s="177" customFormat="1" ht="39.9" customHeight="1" x14ac:dyDescent="0.5">
      <c r="A3" s="415" t="s">
        <v>163</v>
      </c>
      <c r="B3" s="416"/>
      <c r="C3" s="416"/>
      <c r="D3" s="416"/>
      <c r="E3" s="416"/>
      <c r="F3" s="416"/>
      <c r="G3" s="416"/>
      <c r="H3" s="416"/>
      <c r="I3" s="416"/>
      <c r="J3" s="416"/>
      <c r="K3" s="416"/>
      <c r="L3" s="416"/>
      <c r="M3" s="416"/>
      <c r="N3" s="417"/>
      <c r="P3" s="415" t="s">
        <v>163</v>
      </c>
      <c r="Q3" s="416"/>
      <c r="R3" s="416"/>
      <c r="S3" s="416"/>
      <c r="T3" s="416"/>
      <c r="U3" s="416"/>
      <c r="V3" s="416"/>
      <c r="W3" s="416"/>
      <c r="X3" s="416"/>
      <c r="Y3" s="416"/>
      <c r="Z3" s="416"/>
      <c r="AA3" s="416"/>
      <c r="AB3" s="416"/>
      <c r="AC3" s="417"/>
      <c r="AE3" s="415" t="s">
        <v>163</v>
      </c>
      <c r="AF3" s="416"/>
      <c r="AG3" s="416"/>
      <c r="AH3" s="416"/>
      <c r="AI3" s="416"/>
      <c r="AJ3" s="416"/>
      <c r="AK3" s="416"/>
      <c r="AL3" s="416"/>
      <c r="AM3" s="416"/>
      <c r="AN3" s="416"/>
      <c r="AO3" s="416"/>
      <c r="AP3" s="416"/>
      <c r="AQ3" s="416"/>
      <c r="AR3" s="417"/>
      <c r="AT3" s="415" t="s">
        <v>163</v>
      </c>
      <c r="AU3" s="416"/>
      <c r="AV3" s="416"/>
      <c r="AW3" s="416"/>
      <c r="AX3" s="416"/>
      <c r="AY3" s="416"/>
      <c r="AZ3" s="416"/>
      <c r="BA3" s="416"/>
      <c r="BB3" s="416"/>
      <c r="BC3" s="416"/>
      <c r="BD3" s="416"/>
      <c r="BE3" s="416"/>
      <c r="BF3" s="416"/>
      <c r="BG3" s="417"/>
    </row>
    <row r="4" spans="1:59" s="177" customFormat="1" ht="39.9" customHeight="1" x14ac:dyDescent="0.5">
      <c r="A4" s="406" t="s">
        <v>125</v>
      </c>
      <c r="B4" s="407"/>
      <c r="C4" s="407"/>
      <c r="D4" s="407"/>
      <c r="E4" s="407"/>
      <c r="F4" s="407"/>
      <c r="G4" s="407"/>
      <c r="H4" s="407"/>
      <c r="I4" s="407"/>
      <c r="J4" s="407"/>
      <c r="K4" s="408" t="str">
        <f>ادخال1!$CG$7</f>
        <v>الاساسي</v>
      </c>
      <c r="L4" s="408"/>
      <c r="M4" s="408"/>
      <c r="N4" s="409"/>
      <c r="P4" s="406" t="s">
        <v>125</v>
      </c>
      <c r="Q4" s="407"/>
      <c r="R4" s="407"/>
      <c r="S4" s="407"/>
      <c r="T4" s="407"/>
      <c r="U4" s="407"/>
      <c r="V4" s="407"/>
      <c r="W4" s="407"/>
      <c r="X4" s="407"/>
      <c r="Y4" s="407"/>
      <c r="Z4" s="408" t="str">
        <f>ادخال1!$CG$7</f>
        <v>الاساسي</v>
      </c>
      <c r="AA4" s="408"/>
      <c r="AB4" s="408"/>
      <c r="AC4" s="409"/>
      <c r="AE4" s="406" t="s">
        <v>125</v>
      </c>
      <c r="AF4" s="407"/>
      <c r="AG4" s="407"/>
      <c r="AH4" s="407"/>
      <c r="AI4" s="407"/>
      <c r="AJ4" s="407"/>
      <c r="AK4" s="407"/>
      <c r="AL4" s="407"/>
      <c r="AM4" s="407"/>
      <c r="AN4" s="407"/>
      <c r="AO4" s="408" t="str">
        <f>ادخال1!$CG$7</f>
        <v>الاساسي</v>
      </c>
      <c r="AP4" s="408"/>
      <c r="AQ4" s="408"/>
      <c r="AR4" s="409"/>
      <c r="AT4" s="406" t="s">
        <v>125</v>
      </c>
      <c r="AU4" s="407"/>
      <c r="AV4" s="407"/>
      <c r="AW4" s="407"/>
      <c r="AX4" s="407"/>
      <c r="AY4" s="407"/>
      <c r="AZ4" s="407"/>
      <c r="BA4" s="407"/>
      <c r="BB4" s="407"/>
      <c r="BC4" s="407"/>
      <c r="BD4" s="408" t="str">
        <f>ادخال1!$CG$7</f>
        <v>الاساسي</v>
      </c>
      <c r="BE4" s="408"/>
      <c r="BF4" s="408"/>
      <c r="BG4" s="409"/>
    </row>
    <row r="5" spans="1:59" s="177" customFormat="1" ht="39.9" customHeight="1" x14ac:dyDescent="0.5">
      <c r="A5" s="406" t="s">
        <v>126</v>
      </c>
      <c r="B5" s="407"/>
      <c r="C5" s="407"/>
      <c r="D5" s="407"/>
      <c r="E5" s="407"/>
      <c r="F5" s="407"/>
      <c r="G5" s="410" t="str">
        <f>ادخال1!$CE$5</f>
        <v>الثالث الابتدائي</v>
      </c>
      <c r="H5" s="410"/>
      <c r="I5" s="410"/>
      <c r="J5" s="410"/>
      <c r="K5" s="410"/>
      <c r="L5" s="410"/>
      <c r="M5" s="410"/>
      <c r="N5" s="411"/>
      <c r="P5" s="406" t="s">
        <v>126</v>
      </c>
      <c r="Q5" s="407"/>
      <c r="R5" s="407"/>
      <c r="S5" s="407"/>
      <c r="T5" s="407"/>
      <c r="U5" s="407"/>
      <c r="V5" s="410" t="str">
        <f>ادخال1!$CE$5</f>
        <v>الثالث الابتدائي</v>
      </c>
      <c r="W5" s="410"/>
      <c r="X5" s="410"/>
      <c r="Y5" s="410"/>
      <c r="Z5" s="410"/>
      <c r="AA5" s="410"/>
      <c r="AB5" s="410"/>
      <c r="AC5" s="411"/>
      <c r="AE5" s="406" t="s">
        <v>126</v>
      </c>
      <c r="AF5" s="407"/>
      <c r="AG5" s="407"/>
      <c r="AH5" s="407"/>
      <c r="AI5" s="407"/>
      <c r="AJ5" s="407"/>
      <c r="AK5" s="410" t="str">
        <f>ادخال1!$CE$5</f>
        <v>الثالث الابتدائي</v>
      </c>
      <c r="AL5" s="410"/>
      <c r="AM5" s="410"/>
      <c r="AN5" s="410"/>
      <c r="AO5" s="410"/>
      <c r="AP5" s="410"/>
      <c r="AQ5" s="410"/>
      <c r="AR5" s="411"/>
      <c r="AT5" s="406" t="s">
        <v>126</v>
      </c>
      <c r="AU5" s="407"/>
      <c r="AV5" s="407"/>
      <c r="AW5" s="407"/>
      <c r="AX5" s="407"/>
      <c r="AY5" s="407"/>
      <c r="AZ5" s="410" t="str">
        <f>ادخال1!$CE$5</f>
        <v>الثالث الابتدائي</v>
      </c>
      <c r="BA5" s="410"/>
      <c r="BB5" s="410"/>
      <c r="BC5" s="410"/>
      <c r="BD5" s="410"/>
      <c r="BE5" s="410"/>
      <c r="BF5" s="410"/>
      <c r="BG5" s="411"/>
    </row>
    <row r="6" spans="1:59" s="177" customFormat="1" ht="39.9" customHeight="1" x14ac:dyDescent="0.5">
      <c r="A6" s="178" t="s">
        <v>115</v>
      </c>
      <c r="B6" s="400" t="str">
        <f>ادخال1!$CD$8</f>
        <v>1448هـ/1447 هـ</v>
      </c>
      <c r="C6" s="400"/>
      <c r="D6" s="400"/>
      <c r="E6" s="400"/>
      <c r="F6" s="401" t="s">
        <v>127</v>
      </c>
      <c r="G6" s="401"/>
      <c r="H6" s="402" t="s">
        <v>128</v>
      </c>
      <c r="I6" s="402"/>
      <c r="J6" s="403" t="str">
        <f>ادخال1!$CE$8</f>
        <v>2025م /2026م</v>
      </c>
      <c r="K6" s="403"/>
      <c r="L6" s="403"/>
      <c r="M6" s="403"/>
      <c r="N6" s="179" t="s">
        <v>129</v>
      </c>
      <c r="P6" s="178" t="s">
        <v>115</v>
      </c>
      <c r="Q6" s="400" t="str">
        <f>ادخال1!$CD$8</f>
        <v>1448هـ/1447 هـ</v>
      </c>
      <c r="R6" s="400"/>
      <c r="S6" s="400"/>
      <c r="T6" s="400"/>
      <c r="U6" s="401" t="s">
        <v>127</v>
      </c>
      <c r="V6" s="401"/>
      <c r="W6" s="402" t="s">
        <v>128</v>
      </c>
      <c r="X6" s="402"/>
      <c r="Y6" s="403" t="str">
        <f>ادخال1!$CE$8</f>
        <v>2025م /2026م</v>
      </c>
      <c r="Z6" s="403"/>
      <c r="AA6" s="403"/>
      <c r="AB6" s="403"/>
      <c r="AC6" s="179" t="s">
        <v>129</v>
      </c>
      <c r="AE6" s="178" t="s">
        <v>115</v>
      </c>
      <c r="AF6" s="400" t="str">
        <f>ادخال1!$CD$8</f>
        <v>1448هـ/1447 هـ</v>
      </c>
      <c r="AG6" s="400"/>
      <c r="AH6" s="400"/>
      <c r="AI6" s="400"/>
      <c r="AJ6" s="401" t="s">
        <v>127</v>
      </c>
      <c r="AK6" s="401"/>
      <c r="AL6" s="402" t="s">
        <v>128</v>
      </c>
      <c r="AM6" s="402"/>
      <c r="AN6" s="403" t="str">
        <f>ادخال1!$CE$8</f>
        <v>2025م /2026م</v>
      </c>
      <c r="AO6" s="403"/>
      <c r="AP6" s="403"/>
      <c r="AQ6" s="403"/>
      <c r="AR6" s="179" t="s">
        <v>129</v>
      </c>
      <c r="AT6" s="178" t="s">
        <v>115</v>
      </c>
      <c r="AU6" s="400" t="str">
        <f>ادخال1!$CD$8</f>
        <v>1448هـ/1447 هـ</v>
      </c>
      <c r="AV6" s="400"/>
      <c r="AW6" s="400"/>
      <c r="AX6" s="400"/>
      <c r="AY6" s="401" t="s">
        <v>127</v>
      </c>
      <c r="AZ6" s="401"/>
      <c r="BA6" s="402" t="s">
        <v>128</v>
      </c>
      <c r="BB6" s="402"/>
      <c r="BC6" s="403" t="str">
        <f>ادخال1!$CE$8</f>
        <v>2025م /2026م</v>
      </c>
      <c r="BD6" s="403"/>
      <c r="BE6" s="403"/>
      <c r="BF6" s="403"/>
      <c r="BG6" s="179" t="s">
        <v>129</v>
      </c>
    </row>
    <row r="7" spans="1:59" ht="45" customHeight="1" x14ac:dyDescent="0.25">
      <c r="A7" s="180" t="s">
        <v>130</v>
      </c>
      <c r="B7" s="404" t="str">
        <f>ادخال1!$CE$4</f>
        <v>تاجوراء</v>
      </c>
      <c r="C7" s="404"/>
      <c r="D7" s="404"/>
      <c r="E7" s="404"/>
      <c r="F7" s="404"/>
      <c r="G7" s="404"/>
      <c r="H7" s="404"/>
      <c r="I7" s="404"/>
      <c r="J7" s="404"/>
      <c r="K7" s="404"/>
      <c r="L7" s="404"/>
      <c r="M7" s="404"/>
      <c r="N7" s="405"/>
      <c r="P7" s="180" t="s">
        <v>130</v>
      </c>
      <c r="Q7" s="404" t="str">
        <f>ادخال1!$CE$4</f>
        <v>تاجوراء</v>
      </c>
      <c r="R7" s="404"/>
      <c r="S7" s="404"/>
      <c r="T7" s="404"/>
      <c r="U7" s="404"/>
      <c r="V7" s="404"/>
      <c r="W7" s="404"/>
      <c r="X7" s="404"/>
      <c r="Y7" s="404"/>
      <c r="Z7" s="404"/>
      <c r="AA7" s="404"/>
      <c r="AB7" s="404"/>
      <c r="AC7" s="405"/>
      <c r="AE7" s="180" t="s">
        <v>130</v>
      </c>
      <c r="AF7" s="404" t="str">
        <f>ادخال1!$CE$4</f>
        <v>تاجوراء</v>
      </c>
      <c r="AG7" s="404"/>
      <c r="AH7" s="404"/>
      <c r="AI7" s="404"/>
      <c r="AJ7" s="404"/>
      <c r="AK7" s="404"/>
      <c r="AL7" s="404"/>
      <c r="AM7" s="404"/>
      <c r="AN7" s="404"/>
      <c r="AO7" s="404"/>
      <c r="AP7" s="404"/>
      <c r="AQ7" s="404"/>
      <c r="AR7" s="405"/>
      <c r="AT7" s="180" t="s">
        <v>130</v>
      </c>
      <c r="AU7" s="404" t="str">
        <f>ادخال1!$CE$4</f>
        <v>تاجوراء</v>
      </c>
      <c r="AV7" s="404"/>
      <c r="AW7" s="404"/>
      <c r="AX7" s="404"/>
      <c r="AY7" s="404"/>
      <c r="AZ7" s="404"/>
      <c r="BA7" s="404"/>
      <c r="BB7" s="404"/>
      <c r="BC7" s="404"/>
      <c r="BD7" s="404"/>
      <c r="BE7" s="404"/>
      <c r="BF7" s="404"/>
      <c r="BG7" s="405"/>
    </row>
    <row r="8" spans="1:59" ht="45" customHeight="1" x14ac:dyDescent="0.25">
      <c r="A8" s="180" t="s">
        <v>131</v>
      </c>
      <c r="B8" s="394" t="str">
        <f>ادخال1!$CC$6</f>
        <v>سهول العلم للتعليم الخاص</v>
      </c>
      <c r="C8" s="394"/>
      <c r="D8" s="394"/>
      <c r="E8" s="394"/>
      <c r="F8" s="394"/>
      <c r="G8" s="394"/>
      <c r="H8" s="394"/>
      <c r="I8" s="394"/>
      <c r="J8" s="399" t="s">
        <v>132</v>
      </c>
      <c r="K8" s="399"/>
      <c r="L8" s="399"/>
      <c r="M8" s="394" t="str">
        <f>ادخال1!$CC$8</f>
        <v>تاجوراء</v>
      </c>
      <c r="N8" s="395"/>
      <c r="P8" s="180" t="s">
        <v>131</v>
      </c>
      <c r="Q8" s="394" t="str">
        <f>ادخال1!$CC$6</f>
        <v>سهول العلم للتعليم الخاص</v>
      </c>
      <c r="R8" s="394"/>
      <c r="S8" s="394"/>
      <c r="T8" s="394"/>
      <c r="U8" s="394"/>
      <c r="V8" s="394"/>
      <c r="W8" s="394"/>
      <c r="X8" s="394"/>
      <c r="Y8" s="399" t="s">
        <v>132</v>
      </c>
      <c r="Z8" s="399"/>
      <c r="AA8" s="399"/>
      <c r="AB8" s="394" t="str">
        <f>ادخال1!$CC$8</f>
        <v>تاجوراء</v>
      </c>
      <c r="AC8" s="395"/>
      <c r="AE8" s="180" t="s">
        <v>131</v>
      </c>
      <c r="AF8" s="394" t="str">
        <f>ادخال1!$CC$6</f>
        <v>سهول العلم للتعليم الخاص</v>
      </c>
      <c r="AG8" s="394"/>
      <c r="AH8" s="394"/>
      <c r="AI8" s="394"/>
      <c r="AJ8" s="394"/>
      <c r="AK8" s="394"/>
      <c r="AL8" s="394"/>
      <c r="AM8" s="394"/>
      <c r="AN8" s="399" t="s">
        <v>132</v>
      </c>
      <c r="AO8" s="399"/>
      <c r="AP8" s="399"/>
      <c r="AQ8" s="394" t="str">
        <f>ادخال1!$CC$8</f>
        <v>تاجوراء</v>
      </c>
      <c r="AR8" s="395"/>
      <c r="AT8" s="180" t="s">
        <v>131</v>
      </c>
      <c r="AU8" s="394" t="str">
        <f>ادخال1!$CC$6</f>
        <v>سهول العلم للتعليم الخاص</v>
      </c>
      <c r="AV8" s="394"/>
      <c r="AW8" s="394"/>
      <c r="AX8" s="394"/>
      <c r="AY8" s="394"/>
      <c r="AZ8" s="394"/>
      <c r="BA8" s="394"/>
      <c r="BB8" s="394"/>
      <c r="BC8" s="399" t="s">
        <v>132</v>
      </c>
      <c r="BD8" s="399"/>
      <c r="BE8" s="399"/>
      <c r="BF8" s="394" t="str">
        <f>ادخال1!$CC$8</f>
        <v>تاجوراء</v>
      </c>
      <c r="BG8" s="395"/>
    </row>
    <row r="9" spans="1:59" ht="45" customHeight="1" x14ac:dyDescent="0.25">
      <c r="A9" s="180" t="s">
        <v>133</v>
      </c>
      <c r="B9" s="398" t="str">
        <f>IFERROR(VLOOKUP(A1,مسلسل,2,0),0)</f>
        <v>على عبد السلام شعبان بي</v>
      </c>
      <c r="C9" s="398">
        <f t="shared" ref="C9" si="0">IFERROR(VLOOKUP(B9,مسلسل,2,0),0)</f>
        <v>0</v>
      </c>
      <c r="D9" s="398">
        <f t="shared" ref="D9" si="1">IFERROR(VLOOKUP(C9,مسلسل,2,0),0)</f>
        <v>0</v>
      </c>
      <c r="E9" s="398">
        <f t="shared" ref="E9" si="2">IFERROR(VLOOKUP(D9,مسلسل,2,0),0)</f>
        <v>0</v>
      </c>
      <c r="F9" s="398">
        <f t="shared" ref="F9" si="3">IFERROR(VLOOKUP(E9,مسلسل,2,0),0)</f>
        <v>0</v>
      </c>
      <c r="G9" s="398">
        <f t="shared" ref="G9" si="4">IFERROR(VLOOKUP(F9,مسلسل,2,0),0)</f>
        <v>0</v>
      </c>
      <c r="H9" s="398">
        <f t="shared" ref="H9" si="5">IFERROR(VLOOKUP(G9,مسلسل,2,0),0)</f>
        <v>0</v>
      </c>
      <c r="I9" s="398">
        <f t="shared" ref="I9" si="6">IFERROR(VLOOKUP(H9,مسلسل,2,0),0)</f>
        <v>0</v>
      </c>
      <c r="J9" s="399" t="s">
        <v>134</v>
      </c>
      <c r="K9" s="399"/>
      <c r="L9" s="399"/>
      <c r="M9" s="394" t="str">
        <f>IFERROR(VLOOKUP(B9,اسماء,66,0),"")</f>
        <v>بي</v>
      </c>
      <c r="N9" s="395"/>
      <c r="P9" s="180" t="s">
        <v>133</v>
      </c>
      <c r="Q9" s="398" t="str">
        <f>IFERROR(VLOOKUP(P1,مسلسل,2,0),0)</f>
        <v>الحارث مبروك محمد الزوي</v>
      </c>
      <c r="R9" s="398">
        <f t="shared" ref="R9" si="7">IFERROR(VLOOKUP(Q9,مسلسل,2,0),0)</f>
        <v>0</v>
      </c>
      <c r="S9" s="398">
        <f t="shared" ref="S9" si="8">IFERROR(VLOOKUP(R9,مسلسل,2,0),0)</f>
        <v>0</v>
      </c>
      <c r="T9" s="398">
        <f t="shared" ref="T9" si="9">IFERROR(VLOOKUP(S9,مسلسل,2,0),0)</f>
        <v>0</v>
      </c>
      <c r="U9" s="398">
        <f t="shared" ref="U9" si="10">IFERROR(VLOOKUP(T9,مسلسل,2,0),0)</f>
        <v>0</v>
      </c>
      <c r="V9" s="398">
        <f t="shared" ref="V9" si="11">IFERROR(VLOOKUP(U9,مسلسل,2,0),0)</f>
        <v>0</v>
      </c>
      <c r="W9" s="398">
        <f t="shared" ref="W9" si="12">IFERROR(VLOOKUP(V9,مسلسل,2,0),0)</f>
        <v>0</v>
      </c>
      <c r="X9" s="398">
        <f t="shared" ref="X9" si="13">IFERROR(VLOOKUP(W9,مسلسل,2,0),0)</f>
        <v>0</v>
      </c>
      <c r="Y9" s="399" t="s">
        <v>134</v>
      </c>
      <c r="Z9" s="399"/>
      <c r="AA9" s="399"/>
      <c r="AB9" s="394" t="str">
        <f>IFERROR(VLOOKUP(Q9,اسماء,66,0),"")</f>
        <v>الزوى</v>
      </c>
      <c r="AC9" s="395"/>
      <c r="AE9" s="180" t="s">
        <v>133</v>
      </c>
      <c r="AF9" s="398">
        <f>IFERROR(VLOOKUP(AE1,مسلسل,2,0),0)</f>
        <v>0</v>
      </c>
      <c r="AG9" s="398">
        <f t="shared" ref="AG9" si="14">IFERROR(VLOOKUP(AF9,مسلسل,2,0),0)</f>
        <v>0</v>
      </c>
      <c r="AH9" s="398">
        <f t="shared" ref="AH9" si="15">IFERROR(VLOOKUP(AG9,مسلسل,2,0),0)</f>
        <v>0</v>
      </c>
      <c r="AI9" s="398">
        <f t="shared" ref="AI9" si="16">IFERROR(VLOOKUP(AH9,مسلسل,2,0),0)</f>
        <v>0</v>
      </c>
      <c r="AJ9" s="398">
        <f t="shared" ref="AJ9" si="17">IFERROR(VLOOKUP(AI9,مسلسل,2,0),0)</f>
        <v>0</v>
      </c>
      <c r="AK9" s="398">
        <f t="shared" ref="AK9" si="18">IFERROR(VLOOKUP(AJ9,مسلسل,2,0),0)</f>
        <v>0</v>
      </c>
      <c r="AL9" s="398">
        <f t="shared" ref="AL9" si="19">IFERROR(VLOOKUP(AK9,مسلسل,2,0),0)</f>
        <v>0</v>
      </c>
      <c r="AM9" s="398">
        <f t="shared" ref="AM9" si="20">IFERROR(VLOOKUP(AL9,مسلسل,2,0),0)</f>
        <v>0</v>
      </c>
      <c r="AN9" s="399" t="s">
        <v>134</v>
      </c>
      <c r="AO9" s="399"/>
      <c r="AP9" s="399"/>
      <c r="AQ9" s="394" t="str">
        <f>IFERROR(VLOOKUP(AF9,اسماء,66,0),"")</f>
        <v/>
      </c>
      <c r="AR9" s="395"/>
      <c r="AT9" s="180" t="s">
        <v>133</v>
      </c>
      <c r="AU9" s="398">
        <f>IFERROR(VLOOKUP(AT1,مسلسل,2,0),0)</f>
        <v>0</v>
      </c>
      <c r="AV9" s="398">
        <f t="shared" ref="AV9" si="21">IFERROR(VLOOKUP(AU9,مسلسل,2,0),0)</f>
        <v>0</v>
      </c>
      <c r="AW9" s="398">
        <f t="shared" ref="AW9" si="22">IFERROR(VLOOKUP(AV9,مسلسل,2,0),0)</f>
        <v>0</v>
      </c>
      <c r="AX9" s="398">
        <f t="shared" ref="AX9" si="23">IFERROR(VLOOKUP(AW9,مسلسل,2,0),0)</f>
        <v>0</v>
      </c>
      <c r="AY9" s="398">
        <f t="shared" ref="AY9" si="24">IFERROR(VLOOKUP(AX9,مسلسل,2,0),0)</f>
        <v>0</v>
      </c>
      <c r="AZ9" s="398">
        <f t="shared" ref="AZ9" si="25">IFERROR(VLOOKUP(AY9,مسلسل,2,0),0)</f>
        <v>0</v>
      </c>
      <c r="BA9" s="398">
        <f t="shared" ref="BA9" si="26">IFERROR(VLOOKUP(AZ9,مسلسل,2,0),0)</f>
        <v>0</v>
      </c>
      <c r="BB9" s="398">
        <f t="shared" ref="BB9" si="27">IFERROR(VLOOKUP(BA9,مسلسل,2,0),0)</f>
        <v>0</v>
      </c>
      <c r="BC9" s="399" t="s">
        <v>134</v>
      </c>
      <c r="BD9" s="399"/>
      <c r="BE9" s="399"/>
      <c r="BF9" s="394" t="str">
        <f>IFERROR(VLOOKUP(AU9,اسماء,66,0),"")</f>
        <v/>
      </c>
      <c r="BG9" s="395"/>
    </row>
    <row r="10" spans="1:59" ht="45" customHeight="1" x14ac:dyDescent="0.25">
      <c r="A10" s="180" t="s">
        <v>135</v>
      </c>
      <c r="B10" s="419" t="str">
        <f>IFERROR(VLOOKUP(B9,اسماء,79,0),"")</f>
        <v>طرابلس</v>
      </c>
      <c r="C10" s="419"/>
      <c r="D10" s="419"/>
      <c r="E10" s="396">
        <f>IFERROR(VLOOKUP(B9,اسماء,2,0),"")</f>
        <v>42772</v>
      </c>
      <c r="F10" s="396"/>
      <c r="G10" s="396"/>
      <c r="H10" s="396"/>
      <c r="I10" s="397" t="s">
        <v>136</v>
      </c>
      <c r="J10" s="397"/>
      <c r="K10" s="397"/>
      <c r="L10" s="397"/>
      <c r="M10" s="394" t="str">
        <f>IFERROR(VLOOKUP(B9,اسماء,3,0),"")</f>
        <v>هدى فرحات الجعفري</v>
      </c>
      <c r="N10" s="395"/>
      <c r="P10" s="180" t="s">
        <v>135</v>
      </c>
      <c r="Q10" s="385">
        <f>IFERROR(VLOOKUP(Q9,اسماء,79,0),"")</f>
        <v>0</v>
      </c>
      <c r="R10" s="385"/>
      <c r="S10" s="385"/>
      <c r="T10" s="396">
        <f>IFERROR(VLOOKUP(Q9,اسماء,2,0),"")</f>
        <v>43014</v>
      </c>
      <c r="U10" s="396"/>
      <c r="V10" s="396"/>
      <c r="W10" s="396"/>
      <c r="X10" s="397" t="s">
        <v>136</v>
      </c>
      <c r="Y10" s="397"/>
      <c r="Z10" s="397"/>
      <c r="AA10" s="397"/>
      <c r="AB10" s="394" t="str">
        <f>IFERROR(VLOOKUP(Q9,اسماء,3,0),"")</f>
        <v>سيسبان عبدالحكيم الطاهر</v>
      </c>
      <c r="AC10" s="395"/>
      <c r="AE10" s="180" t="s">
        <v>135</v>
      </c>
      <c r="AF10" s="385" t="str">
        <f>IFERROR(VLOOKUP(AF9,اسماء,79,0),"")</f>
        <v/>
      </c>
      <c r="AG10" s="385"/>
      <c r="AH10" s="385"/>
      <c r="AI10" s="396" t="str">
        <f>IFERROR(VLOOKUP(AF9,اسماء,2,0),"")</f>
        <v/>
      </c>
      <c r="AJ10" s="396"/>
      <c r="AK10" s="396"/>
      <c r="AL10" s="396"/>
      <c r="AM10" s="397" t="s">
        <v>136</v>
      </c>
      <c r="AN10" s="397"/>
      <c r="AO10" s="397"/>
      <c r="AP10" s="397"/>
      <c r="AQ10" s="394" t="str">
        <f>IFERROR(VLOOKUP(AF9,اسماء,3,0),"")</f>
        <v/>
      </c>
      <c r="AR10" s="395"/>
      <c r="AT10" s="180" t="s">
        <v>135</v>
      </c>
      <c r="AU10" s="385" t="str">
        <f>IFERROR(VLOOKUP(AU9,اسماء,79,0),"")</f>
        <v/>
      </c>
      <c r="AV10" s="385"/>
      <c r="AW10" s="385"/>
      <c r="AX10" s="396" t="str">
        <f>IFERROR(VLOOKUP(AU9,اسماء,2,0),"")</f>
        <v/>
      </c>
      <c r="AY10" s="396"/>
      <c r="AZ10" s="396"/>
      <c r="BA10" s="396"/>
      <c r="BB10" s="397" t="s">
        <v>136</v>
      </c>
      <c r="BC10" s="397"/>
      <c r="BD10" s="397"/>
      <c r="BE10" s="397"/>
      <c r="BF10" s="394" t="str">
        <f>IFERROR(VLOOKUP(AU9,اسماء,3,0),"")</f>
        <v/>
      </c>
      <c r="BG10" s="395"/>
    </row>
    <row r="11" spans="1:59" ht="35.1" customHeight="1" x14ac:dyDescent="0.25">
      <c r="A11" s="180" t="s">
        <v>137</v>
      </c>
      <c r="B11" s="181" t="str">
        <f>IFERROR(VLOOKUP(B9,اسماء,67,0),"")</f>
        <v>8</v>
      </c>
      <c r="C11" s="181" t="str">
        <f>IFERROR(VLOOKUP(B9,اسماء,68,0),"")</f>
        <v>0</v>
      </c>
      <c r="D11" s="181" t="str">
        <f>IFERROR(VLOOKUP(B9,اسماء,69,0),"")</f>
        <v>4</v>
      </c>
      <c r="E11" s="181" t="str">
        <f>IFERROR(VLOOKUP(B9,اسماء,70,0),"")</f>
        <v>5</v>
      </c>
      <c r="F11" s="181" t="str">
        <f>IFERROR(VLOOKUP(B9,اسماء,71,0),"")</f>
        <v>8</v>
      </c>
      <c r="G11" s="181" t="str">
        <f>IFERROR(VLOOKUP(B9,اسماء,72,0),"")</f>
        <v>0</v>
      </c>
      <c r="H11" s="181" t="str">
        <f>IFERROR(VLOOKUP(B9,اسماء,73,0),"")</f>
        <v>0</v>
      </c>
      <c r="I11" s="181" t="str">
        <f>IFERROR(VLOOKUP(B9,اسماء,74,0),"")</f>
        <v>7</v>
      </c>
      <c r="J11" s="181" t="str">
        <f>IFERROR(VLOOKUP(B9,اسماء,75,0),"")</f>
        <v>1</v>
      </c>
      <c r="K11" s="181" t="str">
        <f>IFERROR(VLOOKUP(B9,اسماء,76,0),"")</f>
        <v>0</v>
      </c>
      <c r="L11" s="181" t="str">
        <f>IFERROR(VLOOKUP(B9,اسماء,77,0),"")</f>
        <v>2</v>
      </c>
      <c r="M11" s="181" t="str">
        <f>IFERROR(VLOOKUP(B9,اسماء,78,0),"")</f>
        <v>1</v>
      </c>
      <c r="N11" s="339"/>
      <c r="P11" s="180" t="s">
        <v>137</v>
      </c>
      <c r="Q11" s="181" t="str">
        <f>IFERROR(VLOOKUP(Q9,اسماء,67,0),"")</f>
        <v>7</v>
      </c>
      <c r="R11" s="181" t="str">
        <f>IFERROR(VLOOKUP(Q9,اسماء,68,0),"")</f>
        <v>2</v>
      </c>
      <c r="S11" s="181" t="str">
        <f>IFERROR(VLOOKUP(Q9,اسماء,69,0),"")</f>
        <v>2</v>
      </c>
      <c r="T11" s="181" t="str">
        <f>IFERROR(VLOOKUP(Q9,اسماء,70,0),"")</f>
        <v>9</v>
      </c>
      <c r="U11" s="181" t="str">
        <f>IFERROR(VLOOKUP(Q9,اسماء,71,0),"")</f>
        <v>2</v>
      </c>
      <c r="V11" s="181" t="str">
        <f>IFERROR(VLOOKUP(Q9,اسماء,72,0),"")</f>
        <v>7</v>
      </c>
      <c r="W11" s="181" t="str">
        <f>IFERROR(VLOOKUP(Q9,اسماء,73,0),"")</f>
        <v>0</v>
      </c>
      <c r="X11" s="181" t="str">
        <f>IFERROR(VLOOKUP(Q9,اسماء,74,0),"")</f>
        <v>7</v>
      </c>
      <c r="Y11" s="181" t="str">
        <f>IFERROR(VLOOKUP(Q9,اسماء,75,0),"")</f>
        <v>1</v>
      </c>
      <c r="Z11" s="181" t="str">
        <f>IFERROR(VLOOKUP(Q9,اسماء,76,0),"")</f>
        <v>0</v>
      </c>
      <c r="AA11" s="181" t="str">
        <f>IFERROR(VLOOKUP(Q9,اسماء,77,0),"")</f>
        <v>2</v>
      </c>
      <c r="AB11" s="181" t="str">
        <f>IFERROR(VLOOKUP(Q9,اسماء,78,0),"")</f>
        <v>1</v>
      </c>
      <c r="AC11" s="339"/>
      <c r="AE11" s="180" t="s">
        <v>137</v>
      </c>
      <c r="AF11" s="181" t="str">
        <f>IFERROR(VLOOKUP(AF9,اسماء,67,0),"")</f>
        <v/>
      </c>
      <c r="AG11" s="181" t="str">
        <f>IFERROR(VLOOKUP(AF9,اسماء,68,0),"")</f>
        <v/>
      </c>
      <c r="AH11" s="181" t="str">
        <f>IFERROR(VLOOKUP(AF9,اسماء,69,0),"")</f>
        <v/>
      </c>
      <c r="AI11" s="181" t="str">
        <f>IFERROR(VLOOKUP(AF9,اسماء,70,0),"")</f>
        <v/>
      </c>
      <c r="AJ11" s="181" t="str">
        <f>IFERROR(VLOOKUP(AF9,اسماء,71,0),"")</f>
        <v/>
      </c>
      <c r="AK11" s="181" t="str">
        <f>IFERROR(VLOOKUP(AF9,اسماء,72,0),"")</f>
        <v/>
      </c>
      <c r="AL11" s="181" t="str">
        <f>IFERROR(VLOOKUP(AF9,اسماء,73,0),"")</f>
        <v/>
      </c>
      <c r="AM11" s="181" t="str">
        <f>IFERROR(VLOOKUP(AF9,اسماء,74,0),"")</f>
        <v/>
      </c>
      <c r="AN11" s="181" t="str">
        <f>IFERROR(VLOOKUP(AF9,اسماء,75,0),"")</f>
        <v/>
      </c>
      <c r="AO11" s="181" t="str">
        <f>IFERROR(VLOOKUP(AF9,اسماء,76,0),"")</f>
        <v/>
      </c>
      <c r="AP11" s="181" t="str">
        <f>IFERROR(VLOOKUP(AF9,اسماء,77,0),"")</f>
        <v/>
      </c>
      <c r="AQ11" s="181" t="str">
        <f>IFERROR(VLOOKUP(AF9,اسماء,78,0),"")</f>
        <v/>
      </c>
      <c r="AR11" s="339"/>
      <c r="AT11" s="180" t="s">
        <v>137</v>
      </c>
      <c r="AU11" s="181" t="str">
        <f>IFERROR(VLOOKUP(AU9,اسماء,67,0),"")</f>
        <v/>
      </c>
      <c r="AV11" s="181" t="str">
        <f>IFERROR(VLOOKUP(AU9,اسماء,68,0),"")</f>
        <v/>
      </c>
      <c r="AW11" s="181" t="str">
        <f>IFERROR(VLOOKUP(AU9,اسماء,69,0),"")</f>
        <v/>
      </c>
      <c r="AX11" s="181" t="str">
        <f>IFERROR(VLOOKUP(AU9,اسماء,70,0),"")</f>
        <v/>
      </c>
      <c r="AY11" s="181" t="str">
        <f>IFERROR(VLOOKUP(AU9,اسماء,71,0),"")</f>
        <v/>
      </c>
      <c r="AZ11" s="181" t="str">
        <f>IFERROR(VLOOKUP(AU9,اسماء,72,0),"")</f>
        <v/>
      </c>
      <c r="BA11" s="181" t="str">
        <f>IFERROR(VLOOKUP(AU9,اسماء,73,0),"")</f>
        <v/>
      </c>
      <c r="BB11" s="181" t="str">
        <f>IFERROR(VLOOKUP(AU9,اسماء,74,0),"")</f>
        <v/>
      </c>
      <c r="BC11" s="181" t="str">
        <f>IFERROR(VLOOKUP(AU9,اسماء,75,0),"")</f>
        <v/>
      </c>
      <c r="BD11" s="181" t="str">
        <f>IFERROR(VLOOKUP(AU9,اسماء,76,0),"")</f>
        <v/>
      </c>
      <c r="BE11" s="181" t="str">
        <f>IFERROR(VLOOKUP(AU9,اسماء,77,0),"")</f>
        <v/>
      </c>
      <c r="BF11" s="181" t="str">
        <f>IFERROR(VLOOKUP(AU9,اسماء,78,0),"")</f>
        <v/>
      </c>
      <c r="BG11" s="339"/>
    </row>
    <row r="12" spans="1:59" ht="45" customHeight="1" x14ac:dyDescent="0.25">
      <c r="A12" s="180" t="s">
        <v>138</v>
      </c>
      <c r="B12" s="394" t="str">
        <f>IFERROR(VLOOKUP(B9,اسماء,80,0),"")</f>
        <v>ليبي</v>
      </c>
      <c r="C12" s="394"/>
      <c r="D12" s="394"/>
      <c r="E12" s="394"/>
      <c r="F12" s="394"/>
      <c r="G12" s="385" t="s">
        <v>139</v>
      </c>
      <c r="H12" s="385"/>
      <c r="I12" s="385" t="s">
        <v>140</v>
      </c>
      <c r="J12" s="385"/>
      <c r="K12" s="394" t="str">
        <f>IFERROR(VLOOKUP(B9,اسماء,81,0),"")</f>
        <v>مستجد</v>
      </c>
      <c r="L12" s="394"/>
      <c r="M12" s="394"/>
      <c r="N12" s="395"/>
      <c r="P12" s="180" t="s">
        <v>138</v>
      </c>
      <c r="Q12" s="394" t="str">
        <f>IFERROR(VLOOKUP(Q9,اسماء,80,0),"")</f>
        <v>ليبي</v>
      </c>
      <c r="R12" s="394"/>
      <c r="S12" s="394"/>
      <c r="T12" s="394"/>
      <c r="U12" s="394"/>
      <c r="V12" s="385" t="s">
        <v>139</v>
      </c>
      <c r="W12" s="385"/>
      <c r="X12" s="385" t="s">
        <v>140</v>
      </c>
      <c r="Y12" s="385"/>
      <c r="Z12" s="394" t="str">
        <f>IFERROR(VLOOKUP(Q9,اسماء,81,0),"")</f>
        <v>مستجد</v>
      </c>
      <c r="AA12" s="394"/>
      <c r="AB12" s="394"/>
      <c r="AC12" s="395"/>
      <c r="AE12" s="180" t="s">
        <v>138</v>
      </c>
      <c r="AF12" s="394" t="str">
        <f>IFERROR(VLOOKUP(AF9,اسماء,80,0),"")</f>
        <v/>
      </c>
      <c r="AG12" s="394"/>
      <c r="AH12" s="394"/>
      <c r="AI12" s="394"/>
      <c r="AJ12" s="394"/>
      <c r="AK12" s="385" t="s">
        <v>139</v>
      </c>
      <c r="AL12" s="385"/>
      <c r="AM12" s="385" t="s">
        <v>140</v>
      </c>
      <c r="AN12" s="385"/>
      <c r="AO12" s="394" t="str">
        <f>IFERROR(VLOOKUP(AF9,اسماء,81,0),"")</f>
        <v/>
      </c>
      <c r="AP12" s="394"/>
      <c r="AQ12" s="394"/>
      <c r="AR12" s="395"/>
      <c r="AT12" s="180" t="s">
        <v>138</v>
      </c>
      <c r="AU12" s="394" t="str">
        <f>IFERROR(VLOOKUP(AU9,اسماء,80,0),"")</f>
        <v/>
      </c>
      <c r="AV12" s="394"/>
      <c r="AW12" s="394"/>
      <c r="AX12" s="394"/>
      <c r="AY12" s="394"/>
      <c r="AZ12" s="385" t="s">
        <v>139</v>
      </c>
      <c r="BA12" s="385"/>
      <c r="BB12" s="385" t="s">
        <v>140</v>
      </c>
      <c r="BC12" s="385"/>
      <c r="BD12" s="394" t="str">
        <f>IFERROR(VLOOKUP(AU9,اسماء,81,0),"")</f>
        <v/>
      </c>
      <c r="BE12" s="394"/>
      <c r="BF12" s="394"/>
      <c r="BG12" s="395"/>
    </row>
    <row r="13" spans="1:59" ht="45" customHeight="1" x14ac:dyDescent="0.25">
      <c r="A13" s="180" t="s">
        <v>141</v>
      </c>
      <c r="B13" s="394" t="str">
        <f>IFERROR(VLOOKUP(B9,اسماء,83,0),"")</f>
        <v>ريمة صالح المختار</v>
      </c>
      <c r="C13" s="394"/>
      <c r="D13" s="394"/>
      <c r="E13" s="394"/>
      <c r="F13" s="394"/>
      <c r="G13" s="385" t="s">
        <v>124</v>
      </c>
      <c r="H13" s="385"/>
      <c r="I13" s="385"/>
      <c r="J13" s="385"/>
      <c r="K13" s="394" t="str">
        <f>IFERROR(VLOOKUP(B9,اسماء,82,0),"")</f>
        <v>نظامي</v>
      </c>
      <c r="L13" s="394"/>
      <c r="M13" s="394"/>
      <c r="N13" s="395"/>
      <c r="P13" s="180" t="s">
        <v>141</v>
      </c>
      <c r="Q13" s="394" t="str">
        <f>IFERROR(VLOOKUP(Q9,اسماء,83,0),"")</f>
        <v>ريمة صالح المختار</v>
      </c>
      <c r="R13" s="394"/>
      <c r="S13" s="394"/>
      <c r="T13" s="394"/>
      <c r="U13" s="394"/>
      <c r="V13" s="385" t="s">
        <v>124</v>
      </c>
      <c r="W13" s="385"/>
      <c r="X13" s="385"/>
      <c r="Y13" s="385"/>
      <c r="Z13" s="394" t="str">
        <f>IFERROR(VLOOKUP(Q9,اسماء,82,0),"")</f>
        <v>نظامي</v>
      </c>
      <c r="AA13" s="394"/>
      <c r="AB13" s="394"/>
      <c r="AC13" s="395"/>
      <c r="AE13" s="180" t="s">
        <v>141</v>
      </c>
      <c r="AF13" s="394" t="str">
        <f>IFERROR(VLOOKUP(AF9,اسماء,83,0),"")</f>
        <v/>
      </c>
      <c r="AG13" s="394"/>
      <c r="AH13" s="394"/>
      <c r="AI13" s="394"/>
      <c r="AJ13" s="394"/>
      <c r="AK13" s="385" t="s">
        <v>124</v>
      </c>
      <c r="AL13" s="385"/>
      <c r="AM13" s="385"/>
      <c r="AN13" s="385"/>
      <c r="AO13" s="394" t="str">
        <f>IFERROR(VLOOKUP(AF9,اسماء,82,0),"")</f>
        <v/>
      </c>
      <c r="AP13" s="394"/>
      <c r="AQ13" s="394"/>
      <c r="AR13" s="395"/>
      <c r="AT13" s="180" t="s">
        <v>141</v>
      </c>
      <c r="AU13" s="394" t="str">
        <f>IFERROR(VLOOKUP(AU9,اسماء,83,0),"")</f>
        <v/>
      </c>
      <c r="AV13" s="394"/>
      <c r="AW13" s="394"/>
      <c r="AX13" s="394"/>
      <c r="AY13" s="394"/>
      <c r="AZ13" s="385" t="s">
        <v>124</v>
      </c>
      <c r="BA13" s="385"/>
      <c r="BB13" s="385"/>
      <c r="BC13" s="385"/>
      <c r="BD13" s="394" t="str">
        <f>IFERROR(VLOOKUP(AU9,اسماء,82,0),"")</f>
        <v/>
      </c>
      <c r="BE13" s="394"/>
      <c r="BF13" s="394"/>
      <c r="BG13" s="395"/>
    </row>
    <row r="14" spans="1:59" ht="45" customHeight="1" thickBot="1" x14ac:dyDescent="0.3">
      <c r="A14" s="388" t="s">
        <v>142</v>
      </c>
      <c r="B14" s="389"/>
      <c r="C14" s="389"/>
      <c r="D14" s="389"/>
      <c r="E14" s="389"/>
      <c r="F14" s="389"/>
      <c r="G14" s="389"/>
      <c r="H14" s="389"/>
      <c r="I14" s="389"/>
      <c r="J14" s="389"/>
      <c r="K14" s="389"/>
      <c r="L14" s="389"/>
      <c r="M14" s="389"/>
      <c r="N14" s="390"/>
      <c r="P14" s="388" t="s">
        <v>142</v>
      </c>
      <c r="Q14" s="389"/>
      <c r="R14" s="389"/>
      <c r="S14" s="389"/>
      <c r="T14" s="389"/>
      <c r="U14" s="389"/>
      <c r="V14" s="389"/>
      <c r="W14" s="389"/>
      <c r="X14" s="389"/>
      <c r="Y14" s="389"/>
      <c r="Z14" s="389"/>
      <c r="AA14" s="389"/>
      <c r="AB14" s="389"/>
      <c r="AC14" s="390"/>
      <c r="AE14" s="388" t="s">
        <v>142</v>
      </c>
      <c r="AF14" s="389"/>
      <c r="AG14" s="389"/>
      <c r="AH14" s="389"/>
      <c r="AI14" s="389"/>
      <c r="AJ14" s="389"/>
      <c r="AK14" s="389"/>
      <c r="AL14" s="389"/>
      <c r="AM14" s="389"/>
      <c r="AN14" s="389"/>
      <c r="AO14" s="389"/>
      <c r="AP14" s="389"/>
      <c r="AQ14" s="389"/>
      <c r="AR14" s="390"/>
      <c r="AT14" s="388" t="s">
        <v>142</v>
      </c>
      <c r="AU14" s="389"/>
      <c r="AV14" s="389"/>
      <c r="AW14" s="389"/>
      <c r="AX14" s="389"/>
      <c r="AY14" s="389"/>
      <c r="AZ14" s="389"/>
      <c r="BA14" s="389"/>
      <c r="BB14" s="389"/>
      <c r="BC14" s="389"/>
      <c r="BD14" s="389"/>
      <c r="BE14" s="389"/>
      <c r="BF14" s="389"/>
      <c r="BG14" s="390"/>
    </row>
    <row r="15" spans="1:59" ht="45" customHeight="1" thickTop="1" x14ac:dyDescent="0.4">
      <c r="A15" s="391" t="s">
        <v>143</v>
      </c>
      <c r="B15" s="392"/>
      <c r="C15" s="392"/>
      <c r="D15" s="392"/>
      <c r="E15" s="392"/>
      <c r="F15" s="392"/>
      <c r="G15" s="392"/>
      <c r="H15" s="392"/>
      <c r="I15" s="392"/>
      <c r="J15" s="392"/>
      <c r="K15" s="392"/>
      <c r="L15" s="392"/>
      <c r="M15" s="392"/>
      <c r="N15" s="393"/>
      <c r="P15" s="391" t="s">
        <v>143</v>
      </c>
      <c r="Q15" s="392"/>
      <c r="R15" s="392"/>
      <c r="S15" s="392"/>
      <c r="T15" s="392"/>
      <c r="U15" s="392"/>
      <c r="V15" s="392"/>
      <c r="W15" s="392"/>
      <c r="X15" s="392"/>
      <c r="Y15" s="392"/>
      <c r="Z15" s="392"/>
      <c r="AA15" s="392"/>
      <c r="AB15" s="392"/>
      <c r="AC15" s="393"/>
      <c r="AE15" s="391" t="s">
        <v>143</v>
      </c>
      <c r="AF15" s="392"/>
      <c r="AG15" s="392"/>
      <c r="AH15" s="392"/>
      <c r="AI15" s="392"/>
      <c r="AJ15" s="392"/>
      <c r="AK15" s="392"/>
      <c r="AL15" s="392"/>
      <c r="AM15" s="392"/>
      <c r="AN15" s="392"/>
      <c r="AO15" s="392"/>
      <c r="AP15" s="392"/>
      <c r="AQ15" s="392"/>
      <c r="AR15" s="393"/>
      <c r="AT15" s="391" t="s">
        <v>143</v>
      </c>
      <c r="AU15" s="392"/>
      <c r="AV15" s="392"/>
      <c r="AW15" s="392"/>
      <c r="AX15" s="392"/>
      <c r="AY15" s="392"/>
      <c r="AZ15" s="392"/>
      <c r="BA15" s="392"/>
      <c r="BB15" s="392"/>
      <c r="BC15" s="392"/>
      <c r="BD15" s="392"/>
      <c r="BE15" s="392"/>
      <c r="BF15" s="392"/>
      <c r="BG15" s="393"/>
    </row>
    <row r="16" spans="1:59" s="63" customFormat="1" ht="33" customHeight="1" x14ac:dyDescent="0.25">
      <c r="A16" s="387" t="s">
        <v>162</v>
      </c>
      <c r="B16" s="385"/>
      <c r="C16" s="385"/>
      <c r="D16" s="385"/>
      <c r="E16" s="385"/>
      <c r="F16" s="385"/>
      <c r="G16" s="385"/>
      <c r="H16" s="385"/>
      <c r="I16" s="385"/>
      <c r="J16" s="385"/>
      <c r="K16" s="385"/>
      <c r="L16" s="385"/>
      <c r="M16" s="385"/>
      <c r="N16" s="386"/>
      <c r="P16" s="387" t="s">
        <v>162</v>
      </c>
      <c r="Q16" s="385"/>
      <c r="R16" s="385"/>
      <c r="S16" s="385"/>
      <c r="T16" s="385"/>
      <c r="U16" s="385"/>
      <c r="V16" s="385"/>
      <c r="W16" s="385"/>
      <c r="X16" s="385"/>
      <c r="Y16" s="385"/>
      <c r="Z16" s="385"/>
      <c r="AA16" s="385"/>
      <c r="AB16" s="385"/>
      <c r="AC16" s="386"/>
      <c r="AE16" s="387" t="s">
        <v>162</v>
      </c>
      <c r="AF16" s="385"/>
      <c r="AG16" s="385"/>
      <c r="AH16" s="385"/>
      <c r="AI16" s="385"/>
      <c r="AJ16" s="385"/>
      <c r="AK16" s="385"/>
      <c r="AL16" s="385"/>
      <c r="AM16" s="385"/>
      <c r="AN16" s="385"/>
      <c r="AO16" s="385"/>
      <c r="AP16" s="385"/>
      <c r="AQ16" s="385"/>
      <c r="AR16" s="386"/>
      <c r="AT16" s="387" t="s">
        <v>162</v>
      </c>
      <c r="AU16" s="385"/>
      <c r="AV16" s="385"/>
      <c r="AW16" s="385"/>
      <c r="AX16" s="385"/>
      <c r="AY16" s="385"/>
      <c r="AZ16" s="385"/>
      <c r="BA16" s="385"/>
      <c r="BB16" s="385"/>
      <c r="BC16" s="385"/>
      <c r="BD16" s="385"/>
      <c r="BE16" s="385"/>
      <c r="BF16" s="385"/>
      <c r="BG16" s="386"/>
    </row>
    <row r="17" spans="1:59" ht="33" customHeight="1" x14ac:dyDescent="0.4">
      <c r="A17" s="383" t="s">
        <v>144</v>
      </c>
      <c r="B17" s="384"/>
      <c r="C17" s="384"/>
      <c r="D17" s="384"/>
      <c r="E17" s="384"/>
      <c r="F17" s="384"/>
      <c r="G17" s="385"/>
      <c r="H17" s="385"/>
      <c r="I17" s="385"/>
      <c r="J17" s="385"/>
      <c r="K17" s="385"/>
      <c r="L17" s="385"/>
      <c r="M17" s="385"/>
      <c r="N17" s="386"/>
      <c r="P17" s="383" t="s">
        <v>144</v>
      </c>
      <c r="Q17" s="384"/>
      <c r="R17" s="384"/>
      <c r="S17" s="384"/>
      <c r="T17" s="384"/>
      <c r="U17" s="384"/>
      <c r="V17" s="385"/>
      <c r="W17" s="385"/>
      <c r="X17" s="385"/>
      <c r="Y17" s="385"/>
      <c r="Z17" s="385"/>
      <c r="AA17" s="385"/>
      <c r="AB17" s="385"/>
      <c r="AC17" s="386"/>
      <c r="AE17" s="383" t="s">
        <v>144</v>
      </c>
      <c r="AF17" s="384"/>
      <c r="AG17" s="384"/>
      <c r="AH17" s="384"/>
      <c r="AI17" s="384"/>
      <c r="AJ17" s="384"/>
      <c r="AK17" s="385"/>
      <c r="AL17" s="385"/>
      <c r="AM17" s="385"/>
      <c r="AN17" s="385"/>
      <c r="AO17" s="385"/>
      <c r="AP17" s="385"/>
      <c r="AQ17" s="385"/>
      <c r="AR17" s="386"/>
      <c r="AT17" s="383" t="s">
        <v>144</v>
      </c>
      <c r="AU17" s="384"/>
      <c r="AV17" s="384"/>
      <c r="AW17" s="384"/>
      <c r="AX17" s="384"/>
      <c r="AY17" s="384"/>
      <c r="AZ17" s="385"/>
      <c r="BA17" s="385"/>
      <c r="BB17" s="385"/>
      <c r="BC17" s="385"/>
      <c r="BD17" s="385"/>
      <c r="BE17" s="385"/>
      <c r="BF17" s="385"/>
      <c r="BG17" s="386"/>
    </row>
    <row r="18" spans="1:59" s="184" customFormat="1" ht="30" customHeight="1" x14ac:dyDescent="0.4">
      <c r="A18" s="180" t="s">
        <v>145</v>
      </c>
      <c r="B18" s="182"/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  <c r="N18" s="183" t="s">
        <v>146</v>
      </c>
      <c r="P18" s="180" t="s">
        <v>145</v>
      </c>
      <c r="Q18" s="182"/>
      <c r="R18" s="182"/>
      <c r="S18" s="182"/>
      <c r="T18" s="182"/>
      <c r="U18" s="182"/>
      <c r="V18" s="182"/>
      <c r="W18" s="182"/>
      <c r="X18" s="182"/>
      <c r="Y18" s="182"/>
      <c r="Z18" s="182"/>
      <c r="AA18" s="182"/>
      <c r="AB18" s="182"/>
      <c r="AC18" s="183" t="s">
        <v>146</v>
      </c>
      <c r="AE18" s="180" t="s">
        <v>145</v>
      </c>
      <c r="AF18" s="182"/>
      <c r="AG18" s="182"/>
      <c r="AH18" s="182"/>
      <c r="AI18" s="182"/>
      <c r="AJ18" s="182"/>
      <c r="AK18" s="182"/>
      <c r="AL18" s="182"/>
      <c r="AM18" s="182"/>
      <c r="AN18" s="182"/>
      <c r="AO18" s="182"/>
      <c r="AP18" s="182"/>
      <c r="AQ18" s="182"/>
      <c r="AR18" s="183" t="s">
        <v>146</v>
      </c>
      <c r="AT18" s="180" t="s">
        <v>145</v>
      </c>
      <c r="AU18" s="182"/>
      <c r="AV18" s="182"/>
      <c r="AW18" s="182"/>
      <c r="AX18" s="182"/>
      <c r="AY18" s="182"/>
      <c r="AZ18" s="182"/>
      <c r="BA18" s="182"/>
      <c r="BB18" s="182"/>
      <c r="BC18" s="182"/>
      <c r="BD18" s="182"/>
      <c r="BE18" s="182"/>
      <c r="BF18" s="182"/>
      <c r="BG18" s="183" t="s">
        <v>146</v>
      </c>
    </row>
    <row r="19" spans="1:59" ht="30" customHeight="1" x14ac:dyDescent="0.4">
      <c r="A19" s="185"/>
      <c r="B19" s="182"/>
      <c r="C19" s="182"/>
      <c r="D19" s="182"/>
      <c r="E19" s="182"/>
      <c r="F19" s="182"/>
      <c r="G19" s="182"/>
      <c r="H19" s="182"/>
      <c r="I19" s="182"/>
      <c r="J19" s="182"/>
      <c r="K19" s="182"/>
      <c r="L19" s="182"/>
      <c r="M19" s="182"/>
      <c r="N19" s="186"/>
      <c r="P19" s="185"/>
      <c r="Q19" s="182"/>
      <c r="R19" s="182"/>
      <c r="S19" s="182"/>
      <c r="T19" s="182"/>
      <c r="U19" s="182"/>
      <c r="V19" s="182"/>
      <c r="W19" s="182"/>
      <c r="X19" s="182"/>
      <c r="Y19" s="182"/>
      <c r="Z19" s="182"/>
      <c r="AA19" s="182"/>
      <c r="AB19" s="182"/>
      <c r="AC19" s="186"/>
      <c r="AE19" s="185"/>
      <c r="AF19" s="182"/>
      <c r="AG19" s="182"/>
      <c r="AH19" s="182"/>
      <c r="AI19" s="182"/>
      <c r="AJ19" s="182"/>
      <c r="AK19" s="182"/>
      <c r="AL19" s="182"/>
      <c r="AM19" s="182"/>
      <c r="AN19" s="182"/>
      <c r="AO19" s="182"/>
      <c r="AP19" s="182"/>
      <c r="AQ19" s="182"/>
      <c r="AR19" s="186"/>
      <c r="AT19" s="185"/>
      <c r="AU19" s="182"/>
      <c r="AV19" s="182"/>
      <c r="AW19" s="182"/>
      <c r="AX19" s="182"/>
      <c r="AY19" s="182"/>
      <c r="AZ19" s="182"/>
      <c r="BA19" s="182"/>
      <c r="BB19" s="182"/>
      <c r="BC19" s="182"/>
      <c r="BD19" s="182"/>
      <c r="BE19" s="182"/>
      <c r="BF19" s="182"/>
      <c r="BG19" s="186"/>
    </row>
    <row r="20" spans="1:59" ht="24.9" customHeight="1" x14ac:dyDescent="0.5">
      <c r="A20" s="187"/>
      <c r="B20" s="177"/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88"/>
      <c r="P20" s="18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88"/>
      <c r="AE20" s="187"/>
      <c r="AF20" s="177"/>
      <c r="AG20" s="177"/>
      <c r="AH20" s="177"/>
      <c r="AI20" s="177"/>
      <c r="AJ20" s="177"/>
      <c r="AK20" s="177"/>
      <c r="AL20" s="177"/>
      <c r="AM20" s="177"/>
      <c r="AN20" s="177"/>
      <c r="AO20" s="177"/>
      <c r="AP20" s="177"/>
      <c r="AQ20" s="177"/>
      <c r="AR20" s="188"/>
      <c r="AT20" s="187"/>
      <c r="AU20" s="177"/>
      <c r="AV20" s="177"/>
      <c r="AW20" s="177"/>
      <c r="AX20" s="177"/>
      <c r="AY20" s="177"/>
      <c r="AZ20" s="177"/>
      <c r="BA20" s="177"/>
      <c r="BB20" s="177"/>
      <c r="BC20" s="177"/>
      <c r="BD20" s="177"/>
      <c r="BE20" s="177"/>
      <c r="BF20" s="177"/>
      <c r="BG20" s="188"/>
    </row>
    <row r="21" spans="1:59" ht="24.9" customHeight="1" thickBot="1" x14ac:dyDescent="0.55000000000000004">
      <c r="A21" s="189"/>
      <c r="B21" s="190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1"/>
      <c r="P21" s="189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1"/>
      <c r="AE21" s="189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1"/>
      <c r="AT21" s="189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1"/>
    </row>
    <row r="22" spans="1:59" ht="15" thickTop="1" thickBot="1" x14ac:dyDescent="0.3"/>
    <row r="23" spans="1:59" s="177" customFormat="1" ht="39.9" customHeight="1" thickTop="1" x14ac:dyDescent="0.5">
      <c r="A23" s="175">
        <f>A1-1</f>
        <v>7</v>
      </c>
      <c r="B23" s="418" t="s">
        <v>39</v>
      </c>
      <c r="C23" s="418"/>
      <c r="D23" s="418"/>
      <c r="E23" s="418"/>
      <c r="F23" s="418"/>
      <c r="G23" s="418"/>
      <c r="H23" s="418"/>
      <c r="I23" s="418"/>
      <c r="J23" s="418"/>
      <c r="K23" s="418"/>
      <c r="L23" s="418"/>
      <c r="M23" s="418"/>
      <c r="N23" s="176"/>
      <c r="P23" s="175">
        <f>A23-5</f>
        <v>2</v>
      </c>
      <c r="Q23" s="418" t="s">
        <v>39</v>
      </c>
      <c r="R23" s="418"/>
      <c r="S23" s="418"/>
      <c r="T23" s="418"/>
      <c r="U23" s="418"/>
      <c r="V23" s="418"/>
      <c r="W23" s="418"/>
      <c r="X23" s="418"/>
      <c r="Y23" s="418"/>
      <c r="Z23" s="418"/>
      <c r="AA23" s="418"/>
      <c r="AB23" s="418"/>
      <c r="AC23" s="176"/>
      <c r="AE23" s="175">
        <f>P23-5</f>
        <v>-3</v>
      </c>
      <c r="AF23" s="418" t="s">
        <v>39</v>
      </c>
      <c r="AG23" s="418"/>
      <c r="AH23" s="418"/>
      <c r="AI23" s="418"/>
      <c r="AJ23" s="418"/>
      <c r="AK23" s="418"/>
      <c r="AL23" s="418"/>
      <c r="AM23" s="418"/>
      <c r="AN23" s="418"/>
      <c r="AO23" s="418"/>
      <c r="AP23" s="418"/>
      <c r="AQ23" s="418"/>
      <c r="AR23" s="176"/>
      <c r="AT23" s="175">
        <f>AE23-5</f>
        <v>-8</v>
      </c>
      <c r="AU23" s="418" t="s">
        <v>39</v>
      </c>
      <c r="AV23" s="418"/>
      <c r="AW23" s="418"/>
      <c r="AX23" s="418"/>
      <c r="AY23" s="418"/>
      <c r="AZ23" s="418"/>
      <c r="BA23" s="418"/>
      <c r="BB23" s="418"/>
      <c r="BC23" s="418"/>
      <c r="BD23" s="418"/>
      <c r="BE23" s="418"/>
      <c r="BF23" s="418"/>
      <c r="BG23" s="176"/>
    </row>
    <row r="24" spans="1:59" s="177" customFormat="1" ht="39.9" customHeight="1" x14ac:dyDescent="0.5">
      <c r="A24" s="412" t="s">
        <v>40</v>
      </c>
      <c r="B24" s="413"/>
      <c r="C24" s="413"/>
      <c r="D24" s="413"/>
      <c r="E24" s="413"/>
      <c r="F24" s="413"/>
      <c r="G24" s="413"/>
      <c r="H24" s="413"/>
      <c r="I24" s="413"/>
      <c r="J24" s="413"/>
      <c r="K24" s="413"/>
      <c r="L24" s="413"/>
      <c r="M24" s="413"/>
      <c r="N24" s="414"/>
      <c r="P24" s="412" t="s">
        <v>40</v>
      </c>
      <c r="Q24" s="413"/>
      <c r="R24" s="413"/>
      <c r="S24" s="413"/>
      <c r="T24" s="413"/>
      <c r="U24" s="413"/>
      <c r="V24" s="413"/>
      <c r="W24" s="413"/>
      <c r="X24" s="413"/>
      <c r="Y24" s="413"/>
      <c r="Z24" s="413"/>
      <c r="AA24" s="413"/>
      <c r="AB24" s="413"/>
      <c r="AC24" s="414"/>
      <c r="AE24" s="412" t="s">
        <v>40</v>
      </c>
      <c r="AF24" s="413"/>
      <c r="AG24" s="413"/>
      <c r="AH24" s="413"/>
      <c r="AI24" s="413"/>
      <c r="AJ24" s="413"/>
      <c r="AK24" s="413"/>
      <c r="AL24" s="413"/>
      <c r="AM24" s="413"/>
      <c r="AN24" s="413"/>
      <c r="AO24" s="413"/>
      <c r="AP24" s="413"/>
      <c r="AQ24" s="413"/>
      <c r="AR24" s="414"/>
      <c r="AT24" s="412" t="s">
        <v>40</v>
      </c>
      <c r="AU24" s="413"/>
      <c r="AV24" s="413"/>
      <c r="AW24" s="413"/>
      <c r="AX24" s="413"/>
      <c r="AY24" s="413"/>
      <c r="AZ24" s="413"/>
      <c r="BA24" s="413"/>
      <c r="BB24" s="413"/>
      <c r="BC24" s="413"/>
      <c r="BD24" s="413"/>
      <c r="BE24" s="413"/>
      <c r="BF24" s="413"/>
      <c r="BG24" s="414"/>
    </row>
    <row r="25" spans="1:59" s="177" customFormat="1" ht="39.9" customHeight="1" x14ac:dyDescent="0.5">
      <c r="A25" s="415" t="s">
        <v>163</v>
      </c>
      <c r="B25" s="416"/>
      <c r="C25" s="416"/>
      <c r="D25" s="416"/>
      <c r="E25" s="416"/>
      <c r="F25" s="416"/>
      <c r="G25" s="416"/>
      <c r="H25" s="416"/>
      <c r="I25" s="416"/>
      <c r="J25" s="416"/>
      <c r="K25" s="416"/>
      <c r="L25" s="416"/>
      <c r="M25" s="416"/>
      <c r="N25" s="417"/>
      <c r="P25" s="415" t="s">
        <v>163</v>
      </c>
      <c r="Q25" s="416"/>
      <c r="R25" s="416"/>
      <c r="S25" s="416"/>
      <c r="T25" s="416"/>
      <c r="U25" s="416"/>
      <c r="V25" s="416"/>
      <c r="W25" s="416"/>
      <c r="X25" s="416"/>
      <c r="Y25" s="416"/>
      <c r="Z25" s="416"/>
      <c r="AA25" s="416"/>
      <c r="AB25" s="416"/>
      <c r="AC25" s="417"/>
      <c r="AE25" s="415" t="s">
        <v>163</v>
      </c>
      <c r="AF25" s="416"/>
      <c r="AG25" s="416"/>
      <c r="AH25" s="416"/>
      <c r="AI25" s="416"/>
      <c r="AJ25" s="416"/>
      <c r="AK25" s="416"/>
      <c r="AL25" s="416"/>
      <c r="AM25" s="416"/>
      <c r="AN25" s="416"/>
      <c r="AO25" s="416"/>
      <c r="AP25" s="416"/>
      <c r="AQ25" s="416"/>
      <c r="AR25" s="417"/>
      <c r="AT25" s="415" t="s">
        <v>163</v>
      </c>
      <c r="AU25" s="416"/>
      <c r="AV25" s="416"/>
      <c r="AW25" s="416"/>
      <c r="AX25" s="416"/>
      <c r="AY25" s="416"/>
      <c r="AZ25" s="416"/>
      <c r="BA25" s="416"/>
      <c r="BB25" s="416"/>
      <c r="BC25" s="416"/>
      <c r="BD25" s="416"/>
      <c r="BE25" s="416"/>
      <c r="BF25" s="416"/>
      <c r="BG25" s="417"/>
    </row>
    <row r="26" spans="1:59" s="177" customFormat="1" ht="39.9" customHeight="1" x14ac:dyDescent="0.5">
      <c r="A26" s="406" t="s">
        <v>125</v>
      </c>
      <c r="B26" s="407"/>
      <c r="C26" s="407"/>
      <c r="D26" s="407"/>
      <c r="E26" s="407"/>
      <c r="F26" s="407"/>
      <c r="G26" s="407"/>
      <c r="H26" s="407"/>
      <c r="I26" s="407"/>
      <c r="J26" s="407"/>
      <c r="K26" s="408" t="str">
        <f>ادخال1!$CG$7</f>
        <v>الاساسي</v>
      </c>
      <c r="L26" s="408"/>
      <c r="M26" s="408"/>
      <c r="N26" s="409"/>
      <c r="P26" s="406" t="s">
        <v>125</v>
      </c>
      <c r="Q26" s="407"/>
      <c r="R26" s="407"/>
      <c r="S26" s="407"/>
      <c r="T26" s="407"/>
      <c r="U26" s="407"/>
      <c r="V26" s="407"/>
      <c r="W26" s="407"/>
      <c r="X26" s="407"/>
      <c r="Y26" s="407"/>
      <c r="Z26" s="408" t="str">
        <f>ادخال1!$CG$7</f>
        <v>الاساسي</v>
      </c>
      <c r="AA26" s="408"/>
      <c r="AB26" s="408"/>
      <c r="AC26" s="409"/>
      <c r="AE26" s="406" t="s">
        <v>125</v>
      </c>
      <c r="AF26" s="407"/>
      <c r="AG26" s="407"/>
      <c r="AH26" s="407"/>
      <c r="AI26" s="407"/>
      <c r="AJ26" s="407"/>
      <c r="AK26" s="407"/>
      <c r="AL26" s="407"/>
      <c r="AM26" s="407"/>
      <c r="AN26" s="407"/>
      <c r="AO26" s="408" t="str">
        <f>ادخال1!$CG$7</f>
        <v>الاساسي</v>
      </c>
      <c r="AP26" s="408"/>
      <c r="AQ26" s="408"/>
      <c r="AR26" s="409"/>
      <c r="AT26" s="406" t="s">
        <v>125</v>
      </c>
      <c r="AU26" s="407"/>
      <c r="AV26" s="407"/>
      <c r="AW26" s="407"/>
      <c r="AX26" s="407"/>
      <c r="AY26" s="407"/>
      <c r="AZ26" s="407"/>
      <c r="BA26" s="407"/>
      <c r="BB26" s="407"/>
      <c r="BC26" s="407"/>
      <c r="BD26" s="408" t="str">
        <f>ادخال1!$CG$7</f>
        <v>الاساسي</v>
      </c>
      <c r="BE26" s="408"/>
      <c r="BF26" s="408"/>
      <c r="BG26" s="409"/>
    </row>
    <row r="27" spans="1:59" s="177" customFormat="1" ht="39.9" customHeight="1" x14ac:dyDescent="0.5">
      <c r="A27" s="406" t="s">
        <v>126</v>
      </c>
      <c r="B27" s="407"/>
      <c r="C27" s="407"/>
      <c r="D27" s="407"/>
      <c r="E27" s="407"/>
      <c r="F27" s="407"/>
      <c r="G27" s="410" t="str">
        <f>ادخال1!$CE$5</f>
        <v>الثالث الابتدائي</v>
      </c>
      <c r="H27" s="410"/>
      <c r="I27" s="410"/>
      <c r="J27" s="410"/>
      <c r="K27" s="410"/>
      <c r="L27" s="410"/>
      <c r="M27" s="410"/>
      <c r="N27" s="411"/>
      <c r="P27" s="406" t="s">
        <v>126</v>
      </c>
      <c r="Q27" s="407"/>
      <c r="R27" s="407"/>
      <c r="S27" s="407"/>
      <c r="T27" s="407"/>
      <c r="U27" s="407"/>
      <c r="V27" s="410" t="str">
        <f>ادخال1!$CE$5</f>
        <v>الثالث الابتدائي</v>
      </c>
      <c r="W27" s="410"/>
      <c r="X27" s="410"/>
      <c r="Y27" s="410"/>
      <c r="Z27" s="410"/>
      <c r="AA27" s="410"/>
      <c r="AB27" s="410"/>
      <c r="AC27" s="411"/>
      <c r="AE27" s="406" t="s">
        <v>126</v>
      </c>
      <c r="AF27" s="407"/>
      <c r="AG27" s="407"/>
      <c r="AH27" s="407"/>
      <c r="AI27" s="407"/>
      <c r="AJ27" s="407"/>
      <c r="AK27" s="410" t="str">
        <f>ادخال1!$CE$5</f>
        <v>الثالث الابتدائي</v>
      </c>
      <c r="AL27" s="410"/>
      <c r="AM27" s="410"/>
      <c r="AN27" s="410"/>
      <c r="AO27" s="410"/>
      <c r="AP27" s="410"/>
      <c r="AQ27" s="410"/>
      <c r="AR27" s="411"/>
      <c r="AT27" s="406" t="s">
        <v>126</v>
      </c>
      <c r="AU27" s="407"/>
      <c r="AV27" s="407"/>
      <c r="AW27" s="407"/>
      <c r="AX27" s="407"/>
      <c r="AY27" s="407"/>
      <c r="AZ27" s="410" t="str">
        <f>ادخال1!$CE$5</f>
        <v>الثالث الابتدائي</v>
      </c>
      <c r="BA27" s="410"/>
      <c r="BB27" s="410"/>
      <c r="BC27" s="410"/>
      <c r="BD27" s="410"/>
      <c r="BE27" s="410"/>
      <c r="BF27" s="410"/>
      <c r="BG27" s="411"/>
    </row>
    <row r="28" spans="1:59" s="177" customFormat="1" ht="39.9" customHeight="1" x14ac:dyDescent="0.5">
      <c r="A28" s="178" t="s">
        <v>115</v>
      </c>
      <c r="B28" s="400" t="str">
        <f>ادخال1!$CD$8</f>
        <v>1448هـ/1447 هـ</v>
      </c>
      <c r="C28" s="400"/>
      <c r="D28" s="400"/>
      <c r="E28" s="400"/>
      <c r="F28" s="401" t="s">
        <v>127</v>
      </c>
      <c r="G28" s="401"/>
      <c r="H28" s="402" t="s">
        <v>128</v>
      </c>
      <c r="I28" s="402"/>
      <c r="J28" s="403" t="str">
        <f>ادخال1!$CE$8</f>
        <v>2025م /2026م</v>
      </c>
      <c r="K28" s="403"/>
      <c r="L28" s="403"/>
      <c r="M28" s="403"/>
      <c r="N28" s="179" t="s">
        <v>129</v>
      </c>
      <c r="P28" s="178" t="s">
        <v>115</v>
      </c>
      <c r="Q28" s="400" t="str">
        <f>ادخال1!$CD$8</f>
        <v>1448هـ/1447 هـ</v>
      </c>
      <c r="R28" s="400"/>
      <c r="S28" s="400"/>
      <c r="T28" s="400"/>
      <c r="U28" s="401" t="s">
        <v>127</v>
      </c>
      <c r="V28" s="401"/>
      <c r="W28" s="402" t="s">
        <v>128</v>
      </c>
      <c r="X28" s="402"/>
      <c r="Y28" s="403" t="str">
        <f>ادخال1!$CE$8</f>
        <v>2025م /2026م</v>
      </c>
      <c r="Z28" s="403"/>
      <c r="AA28" s="403"/>
      <c r="AB28" s="403"/>
      <c r="AC28" s="179" t="s">
        <v>129</v>
      </c>
      <c r="AE28" s="178" t="s">
        <v>115</v>
      </c>
      <c r="AF28" s="400" t="str">
        <f>ادخال1!$CD$8</f>
        <v>1448هـ/1447 هـ</v>
      </c>
      <c r="AG28" s="400"/>
      <c r="AH28" s="400"/>
      <c r="AI28" s="400"/>
      <c r="AJ28" s="401" t="s">
        <v>127</v>
      </c>
      <c r="AK28" s="401"/>
      <c r="AL28" s="402" t="s">
        <v>128</v>
      </c>
      <c r="AM28" s="402"/>
      <c r="AN28" s="403" t="str">
        <f>ادخال1!$CE$8</f>
        <v>2025م /2026م</v>
      </c>
      <c r="AO28" s="403"/>
      <c r="AP28" s="403"/>
      <c r="AQ28" s="403"/>
      <c r="AR28" s="179" t="s">
        <v>129</v>
      </c>
      <c r="AT28" s="178" t="s">
        <v>115</v>
      </c>
      <c r="AU28" s="400" t="str">
        <f>ادخال1!$CD$8</f>
        <v>1448هـ/1447 هـ</v>
      </c>
      <c r="AV28" s="400"/>
      <c r="AW28" s="400"/>
      <c r="AX28" s="400"/>
      <c r="AY28" s="401" t="s">
        <v>127</v>
      </c>
      <c r="AZ28" s="401"/>
      <c r="BA28" s="402" t="s">
        <v>128</v>
      </c>
      <c r="BB28" s="402"/>
      <c r="BC28" s="403" t="str">
        <f>ادخال1!$CE$8</f>
        <v>2025م /2026م</v>
      </c>
      <c r="BD28" s="403"/>
      <c r="BE28" s="403"/>
      <c r="BF28" s="403"/>
      <c r="BG28" s="179" t="s">
        <v>129</v>
      </c>
    </row>
    <row r="29" spans="1:59" ht="45" customHeight="1" x14ac:dyDescent="0.25">
      <c r="A29" s="180" t="s">
        <v>130</v>
      </c>
      <c r="B29" s="404" t="str">
        <f>ادخال1!$CE$4</f>
        <v>تاجوراء</v>
      </c>
      <c r="C29" s="404"/>
      <c r="D29" s="404"/>
      <c r="E29" s="404"/>
      <c r="F29" s="404"/>
      <c r="G29" s="404"/>
      <c r="H29" s="404"/>
      <c r="I29" s="404"/>
      <c r="J29" s="404"/>
      <c r="K29" s="404"/>
      <c r="L29" s="404"/>
      <c r="M29" s="404"/>
      <c r="N29" s="405"/>
      <c r="P29" s="180" t="s">
        <v>130</v>
      </c>
      <c r="Q29" s="404" t="str">
        <f>ادخال1!$CE$4</f>
        <v>تاجوراء</v>
      </c>
      <c r="R29" s="404"/>
      <c r="S29" s="404"/>
      <c r="T29" s="404"/>
      <c r="U29" s="404"/>
      <c r="V29" s="404"/>
      <c r="W29" s="404"/>
      <c r="X29" s="404"/>
      <c r="Y29" s="404"/>
      <c r="Z29" s="404"/>
      <c r="AA29" s="404"/>
      <c r="AB29" s="404"/>
      <c r="AC29" s="405"/>
      <c r="AE29" s="180" t="s">
        <v>130</v>
      </c>
      <c r="AF29" s="404" t="str">
        <f>ادخال1!$CE$4</f>
        <v>تاجوراء</v>
      </c>
      <c r="AG29" s="404"/>
      <c r="AH29" s="404"/>
      <c r="AI29" s="404"/>
      <c r="AJ29" s="404"/>
      <c r="AK29" s="404"/>
      <c r="AL29" s="404"/>
      <c r="AM29" s="404"/>
      <c r="AN29" s="404"/>
      <c r="AO29" s="404"/>
      <c r="AP29" s="404"/>
      <c r="AQ29" s="404"/>
      <c r="AR29" s="405"/>
      <c r="AT29" s="180" t="s">
        <v>130</v>
      </c>
      <c r="AU29" s="404" t="str">
        <f>ادخال1!$CE$4</f>
        <v>تاجوراء</v>
      </c>
      <c r="AV29" s="404"/>
      <c r="AW29" s="404"/>
      <c r="AX29" s="404"/>
      <c r="AY29" s="404"/>
      <c r="AZ29" s="404"/>
      <c r="BA29" s="404"/>
      <c r="BB29" s="404"/>
      <c r="BC29" s="404"/>
      <c r="BD29" s="404"/>
      <c r="BE29" s="404"/>
      <c r="BF29" s="404"/>
      <c r="BG29" s="405"/>
    </row>
    <row r="30" spans="1:59" ht="45" customHeight="1" x14ac:dyDescent="0.25">
      <c r="A30" s="180" t="s">
        <v>131</v>
      </c>
      <c r="B30" s="394" t="str">
        <f>ادخال1!$CC$6</f>
        <v>سهول العلم للتعليم الخاص</v>
      </c>
      <c r="C30" s="394"/>
      <c r="D30" s="394"/>
      <c r="E30" s="394"/>
      <c r="F30" s="394"/>
      <c r="G30" s="394"/>
      <c r="H30" s="394"/>
      <c r="I30" s="394"/>
      <c r="J30" s="399" t="s">
        <v>132</v>
      </c>
      <c r="K30" s="399"/>
      <c r="L30" s="399"/>
      <c r="M30" s="394" t="str">
        <f>ادخال1!$CC$8</f>
        <v>تاجوراء</v>
      </c>
      <c r="N30" s="395"/>
      <c r="P30" s="180" t="s">
        <v>131</v>
      </c>
      <c r="Q30" s="394" t="str">
        <f>ادخال1!$CC$6</f>
        <v>سهول العلم للتعليم الخاص</v>
      </c>
      <c r="R30" s="394"/>
      <c r="S30" s="394"/>
      <c r="T30" s="394"/>
      <c r="U30" s="394"/>
      <c r="V30" s="394"/>
      <c r="W30" s="394"/>
      <c r="X30" s="394"/>
      <c r="Y30" s="399" t="s">
        <v>132</v>
      </c>
      <c r="Z30" s="399"/>
      <c r="AA30" s="399"/>
      <c r="AB30" s="394" t="str">
        <f>ادخال1!$CC$8</f>
        <v>تاجوراء</v>
      </c>
      <c r="AC30" s="395"/>
      <c r="AE30" s="180" t="s">
        <v>131</v>
      </c>
      <c r="AF30" s="394" t="str">
        <f>ادخال1!$CC$6</f>
        <v>سهول العلم للتعليم الخاص</v>
      </c>
      <c r="AG30" s="394"/>
      <c r="AH30" s="394"/>
      <c r="AI30" s="394"/>
      <c r="AJ30" s="394"/>
      <c r="AK30" s="394"/>
      <c r="AL30" s="394"/>
      <c r="AM30" s="394"/>
      <c r="AN30" s="399" t="s">
        <v>132</v>
      </c>
      <c r="AO30" s="399"/>
      <c r="AP30" s="399"/>
      <c r="AQ30" s="394" t="str">
        <f>ادخال1!$CC$8</f>
        <v>تاجوراء</v>
      </c>
      <c r="AR30" s="395"/>
      <c r="AT30" s="180" t="s">
        <v>131</v>
      </c>
      <c r="AU30" s="394" t="str">
        <f>ادخال1!$CC$6</f>
        <v>سهول العلم للتعليم الخاص</v>
      </c>
      <c r="AV30" s="394"/>
      <c r="AW30" s="394"/>
      <c r="AX30" s="394"/>
      <c r="AY30" s="394"/>
      <c r="AZ30" s="394"/>
      <c r="BA30" s="394"/>
      <c r="BB30" s="394"/>
      <c r="BC30" s="399" t="s">
        <v>132</v>
      </c>
      <c r="BD30" s="399"/>
      <c r="BE30" s="399"/>
      <c r="BF30" s="394" t="str">
        <f>ادخال1!$CC$8</f>
        <v>تاجوراء</v>
      </c>
      <c r="BG30" s="395"/>
    </row>
    <row r="31" spans="1:59" ht="45" customHeight="1" x14ac:dyDescent="0.25">
      <c r="A31" s="180" t="s">
        <v>133</v>
      </c>
      <c r="B31" s="398" t="str">
        <f>IFERROR(VLOOKUP(A23,مسلسل,2,0),0)</f>
        <v>عبدالقدوس عزالدين سالم ادريدر</v>
      </c>
      <c r="C31" s="398">
        <f t="shared" ref="C31" si="28">IFERROR(VLOOKUP(B31,مسلسل,2,0),0)</f>
        <v>0</v>
      </c>
      <c r="D31" s="398">
        <f t="shared" ref="D31" si="29">IFERROR(VLOOKUP(C31,مسلسل,2,0),0)</f>
        <v>0</v>
      </c>
      <c r="E31" s="398">
        <f t="shared" ref="E31" si="30">IFERROR(VLOOKUP(D31,مسلسل,2,0),0)</f>
        <v>0</v>
      </c>
      <c r="F31" s="398">
        <f t="shared" ref="F31" si="31">IFERROR(VLOOKUP(E31,مسلسل,2,0),0)</f>
        <v>0</v>
      </c>
      <c r="G31" s="398">
        <f t="shared" ref="G31" si="32">IFERROR(VLOOKUP(F31,مسلسل,2,0),0)</f>
        <v>0</v>
      </c>
      <c r="H31" s="398">
        <f t="shared" ref="H31" si="33">IFERROR(VLOOKUP(G31,مسلسل,2,0),0)</f>
        <v>0</v>
      </c>
      <c r="I31" s="398">
        <f t="shared" ref="I31" si="34">IFERROR(VLOOKUP(H31,مسلسل,2,0),0)</f>
        <v>0</v>
      </c>
      <c r="J31" s="399" t="s">
        <v>134</v>
      </c>
      <c r="K31" s="399"/>
      <c r="L31" s="399"/>
      <c r="M31" s="394" t="str">
        <f>IFERROR(VLOOKUP(B31,اسماء,66,0),"")</f>
        <v>ادريدر</v>
      </c>
      <c r="N31" s="395"/>
      <c r="P31" s="180" t="s">
        <v>133</v>
      </c>
      <c r="Q31" s="398" t="str">
        <f>IFERROR(VLOOKUP(P23,مسلسل,2,0),0)</f>
        <v>إيلاف نورالدين عياد حسين</v>
      </c>
      <c r="R31" s="398">
        <f t="shared" ref="R31" si="35">IFERROR(VLOOKUP(Q31,مسلسل,2,0),0)</f>
        <v>0</v>
      </c>
      <c r="S31" s="398">
        <f t="shared" ref="S31" si="36">IFERROR(VLOOKUP(R31,مسلسل,2,0),0)</f>
        <v>0</v>
      </c>
      <c r="T31" s="398">
        <f t="shared" ref="T31" si="37">IFERROR(VLOOKUP(S31,مسلسل,2,0),0)</f>
        <v>0</v>
      </c>
      <c r="U31" s="398">
        <f t="shared" ref="U31" si="38">IFERROR(VLOOKUP(T31,مسلسل,2,0),0)</f>
        <v>0</v>
      </c>
      <c r="V31" s="398">
        <f t="shared" ref="V31" si="39">IFERROR(VLOOKUP(U31,مسلسل,2,0),0)</f>
        <v>0</v>
      </c>
      <c r="W31" s="398">
        <f t="shared" ref="W31" si="40">IFERROR(VLOOKUP(V31,مسلسل,2,0),0)</f>
        <v>0</v>
      </c>
      <c r="X31" s="398">
        <f t="shared" ref="X31" si="41">IFERROR(VLOOKUP(W31,مسلسل,2,0),0)</f>
        <v>0</v>
      </c>
      <c r="Y31" s="399" t="s">
        <v>134</v>
      </c>
      <c r="Z31" s="399"/>
      <c r="AA31" s="399"/>
      <c r="AB31" s="394" t="str">
        <f>IFERROR(VLOOKUP(Q31,اسماء,66,0),"")</f>
        <v>حسين</v>
      </c>
      <c r="AC31" s="395"/>
      <c r="AE31" s="180" t="s">
        <v>133</v>
      </c>
      <c r="AF31" s="398">
        <f>IFERROR(VLOOKUP(AE23,مسلسل,2,0),0)</f>
        <v>0</v>
      </c>
      <c r="AG31" s="398">
        <f t="shared" ref="AG31" si="42">IFERROR(VLOOKUP(AF31,مسلسل,2,0),0)</f>
        <v>0</v>
      </c>
      <c r="AH31" s="398">
        <f t="shared" ref="AH31" si="43">IFERROR(VLOOKUP(AG31,مسلسل,2,0),0)</f>
        <v>0</v>
      </c>
      <c r="AI31" s="398">
        <f t="shared" ref="AI31" si="44">IFERROR(VLOOKUP(AH31,مسلسل,2,0),0)</f>
        <v>0</v>
      </c>
      <c r="AJ31" s="398">
        <f t="shared" ref="AJ31" si="45">IFERROR(VLOOKUP(AI31,مسلسل,2,0),0)</f>
        <v>0</v>
      </c>
      <c r="AK31" s="398">
        <f t="shared" ref="AK31" si="46">IFERROR(VLOOKUP(AJ31,مسلسل,2,0),0)</f>
        <v>0</v>
      </c>
      <c r="AL31" s="398">
        <f t="shared" ref="AL31" si="47">IFERROR(VLOOKUP(AK31,مسلسل,2,0),0)</f>
        <v>0</v>
      </c>
      <c r="AM31" s="398">
        <f t="shared" ref="AM31" si="48">IFERROR(VLOOKUP(AL31,مسلسل,2,0),0)</f>
        <v>0</v>
      </c>
      <c r="AN31" s="399" t="s">
        <v>134</v>
      </c>
      <c r="AO31" s="399"/>
      <c r="AP31" s="399"/>
      <c r="AQ31" s="394" t="str">
        <f>IFERROR(VLOOKUP(AF31,اسماء,66,0),"")</f>
        <v/>
      </c>
      <c r="AR31" s="395"/>
      <c r="AT31" s="180" t="s">
        <v>133</v>
      </c>
      <c r="AU31" s="398">
        <f>IFERROR(VLOOKUP(AT23,مسلسل,2,0),0)</f>
        <v>0</v>
      </c>
      <c r="AV31" s="398">
        <f t="shared" ref="AV31" si="49">IFERROR(VLOOKUP(AU31,مسلسل,2,0),0)</f>
        <v>0</v>
      </c>
      <c r="AW31" s="398">
        <f t="shared" ref="AW31" si="50">IFERROR(VLOOKUP(AV31,مسلسل,2,0),0)</f>
        <v>0</v>
      </c>
      <c r="AX31" s="398">
        <f t="shared" ref="AX31" si="51">IFERROR(VLOOKUP(AW31,مسلسل,2,0),0)</f>
        <v>0</v>
      </c>
      <c r="AY31" s="398">
        <f t="shared" ref="AY31" si="52">IFERROR(VLOOKUP(AX31,مسلسل,2,0),0)</f>
        <v>0</v>
      </c>
      <c r="AZ31" s="398">
        <f t="shared" ref="AZ31" si="53">IFERROR(VLOOKUP(AY31,مسلسل,2,0),0)</f>
        <v>0</v>
      </c>
      <c r="BA31" s="398">
        <f t="shared" ref="BA31" si="54">IFERROR(VLOOKUP(AZ31,مسلسل,2,0),0)</f>
        <v>0</v>
      </c>
      <c r="BB31" s="398">
        <f t="shared" ref="BB31" si="55">IFERROR(VLOOKUP(BA31,مسلسل,2,0),0)</f>
        <v>0</v>
      </c>
      <c r="BC31" s="399" t="s">
        <v>134</v>
      </c>
      <c r="BD31" s="399"/>
      <c r="BE31" s="399"/>
      <c r="BF31" s="394" t="str">
        <f>IFERROR(VLOOKUP(AU31,اسماء,66,0),"")</f>
        <v/>
      </c>
      <c r="BG31" s="395"/>
    </row>
    <row r="32" spans="1:59" ht="45" customHeight="1" x14ac:dyDescent="0.25">
      <c r="A32" s="180" t="s">
        <v>135</v>
      </c>
      <c r="B32" s="385" t="str">
        <f>IFERROR(VLOOKUP(B31,اسماء,79,0),"")</f>
        <v>تاجوراء</v>
      </c>
      <c r="C32" s="385"/>
      <c r="D32" s="385"/>
      <c r="E32" s="396">
        <f>IFERROR(VLOOKUP(B31,اسماء,2,0),"")</f>
        <v>43022</v>
      </c>
      <c r="F32" s="396"/>
      <c r="G32" s="396"/>
      <c r="H32" s="396"/>
      <c r="I32" s="397" t="s">
        <v>136</v>
      </c>
      <c r="J32" s="397"/>
      <c r="K32" s="397"/>
      <c r="L32" s="397"/>
      <c r="M32" s="394" t="str">
        <f>IFERROR(VLOOKUP(B31,اسماء,3,0),"")</f>
        <v>إيمان الطاهر على بن جابر</v>
      </c>
      <c r="N32" s="395"/>
      <c r="P32" s="180" t="s">
        <v>135</v>
      </c>
      <c r="Q32" s="385" t="str">
        <f>IFERROR(VLOOKUP(Q31,اسماء,79,0),"")</f>
        <v>طرابلس</v>
      </c>
      <c r="R32" s="385"/>
      <c r="S32" s="385"/>
      <c r="T32" s="396">
        <f>IFERROR(VLOOKUP(Q31,اسماء,2,0),"")</f>
        <v>42906</v>
      </c>
      <c r="U32" s="396"/>
      <c r="V32" s="396"/>
      <c r="W32" s="396"/>
      <c r="X32" s="397" t="s">
        <v>136</v>
      </c>
      <c r="Y32" s="397"/>
      <c r="Z32" s="397"/>
      <c r="AA32" s="397"/>
      <c r="AB32" s="394" t="str">
        <f>IFERROR(VLOOKUP(Q31,اسماء,3,0),"")</f>
        <v>هند الصادق عبدالقادر رمضان</v>
      </c>
      <c r="AC32" s="395"/>
      <c r="AE32" s="180" t="s">
        <v>135</v>
      </c>
      <c r="AF32" s="385" t="str">
        <f>IFERROR(VLOOKUP(AF31,اسماء,79,0),"")</f>
        <v/>
      </c>
      <c r="AG32" s="385"/>
      <c r="AH32" s="385"/>
      <c r="AI32" s="396" t="str">
        <f>IFERROR(VLOOKUP(AF31,اسماء,2,0),"")</f>
        <v/>
      </c>
      <c r="AJ32" s="396"/>
      <c r="AK32" s="396"/>
      <c r="AL32" s="396"/>
      <c r="AM32" s="397" t="s">
        <v>136</v>
      </c>
      <c r="AN32" s="397"/>
      <c r="AO32" s="397"/>
      <c r="AP32" s="397"/>
      <c r="AQ32" s="394" t="str">
        <f>IFERROR(VLOOKUP(AF31,اسماء,3,0),"")</f>
        <v/>
      </c>
      <c r="AR32" s="395"/>
      <c r="AT32" s="180" t="s">
        <v>135</v>
      </c>
      <c r="AU32" s="385" t="str">
        <f>IFERROR(VLOOKUP(AU31,اسماء,79,0),"")</f>
        <v/>
      </c>
      <c r="AV32" s="385"/>
      <c r="AW32" s="385"/>
      <c r="AX32" s="396" t="str">
        <f>IFERROR(VLOOKUP(AU31,اسماء,2,0),"")</f>
        <v/>
      </c>
      <c r="AY32" s="396"/>
      <c r="AZ32" s="396"/>
      <c r="BA32" s="396"/>
      <c r="BB32" s="397" t="s">
        <v>136</v>
      </c>
      <c r="BC32" s="397"/>
      <c r="BD32" s="397"/>
      <c r="BE32" s="397"/>
      <c r="BF32" s="394" t="str">
        <f>IFERROR(VLOOKUP(AU31,اسماء,3,0),"")</f>
        <v/>
      </c>
      <c r="BG32" s="395"/>
    </row>
    <row r="33" spans="1:59" ht="35.1" customHeight="1" x14ac:dyDescent="0.25">
      <c r="A33" s="180" t="s">
        <v>137</v>
      </c>
      <c r="B33" s="181" t="str">
        <f>IFERROR(VLOOKUP(B31,اسماء,67,0),"")</f>
        <v>6</v>
      </c>
      <c r="C33" s="181" t="str">
        <f>IFERROR(VLOOKUP(B31,اسماء,68,0),"")</f>
        <v>5</v>
      </c>
      <c r="D33" s="181" t="str">
        <f>IFERROR(VLOOKUP(B31,اسماء,69,0),"")</f>
        <v>0</v>
      </c>
      <c r="E33" s="181" t="str">
        <f>IFERROR(VLOOKUP(B31,اسماء,70,0),"")</f>
        <v>9</v>
      </c>
      <c r="F33" s="181" t="str">
        <f>IFERROR(VLOOKUP(B31,اسماء,71,0),"")</f>
        <v>7</v>
      </c>
      <c r="G33" s="181" t="str">
        <f>IFERROR(VLOOKUP(B31,اسماء,72,0),"")</f>
        <v>6</v>
      </c>
      <c r="H33" s="181" t="str">
        <f>IFERROR(VLOOKUP(B31,اسماء,73,0),"")</f>
        <v>0</v>
      </c>
      <c r="I33" s="181" t="str">
        <f>IFERROR(VLOOKUP(B31,اسماء,74,0),"")</f>
        <v>7</v>
      </c>
      <c r="J33" s="181" t="str">
        <f>IFERROR(VLOOKUP(B31,اسماء,75,0),"")</f>
        <v>1</v>
      </c>
      <c r="K33" s="181" t="str">
        <f>IFERROR(VLOOKUP(B31,اسماء,76,0),"")</f>
        <v>0</v>
      </c>
      <c r="L33" s="181" t="str">
        <f>IFERROR(VLOOKUP(B31,اسماء,77,0),"")</f>
        <v>2</v>
      </c>
      <c r="M33" s="181" t="str">
        <f>IFERROR(VLOOKUP(B31,اسماء,78,0),"")</f>
        <v>1</v>
      </c>
      <c r="N33" s="339"/>
      <c r="P33" s="180" t="s">
        <v>137</v>
      </c>
      <c r="Q33" s="181" t="str">
        <f>IFERROR(VLOOKUP(Q31,اسماء,67,0),"")</f>
        <v>4</v>
      </c>
      <c r="R33" s="181" t="str">
        <f>IFERROR(VLOOKUP(Q31,اسماء,68,0),"")</f>
        <v>7</v>
      </c>
      <c r="S33" s="181" t="str">
        <f>IFERROR(VLOOKUP(Q31,اسماء,69,0),"")</f>
        <v>7</v>
      </c>
      <c r="T33" s="181" t="str">
        <f>IFERROR(VLOOKUP(Q31,اسماء,70,0),"")</f>
        <v>5</v>
      </c>
      <c r="U33" s="181" t="str">
        <f>IFERROR(VLOOKUP(Q31,اسماء,71,0),"")</f>
        <v>6</v>
      </c>
      <c r="V33" s="181" t="str">
        <f>IFERROR(VLOOKUP(Q31,اسماء,72,0),"")</f>
        <v>5</v>
      </c>
      <c r="W33" s="181" t="str">
        <f>IFERROR(VLOOKUP(Q31,اسماء,73,0),"")</f>
        <v>0</v>
      </c>
      <c r="X33" s="181" t="str">
        <f>IFERROR(VLOOKUP(Q31,اسماء,74,0),"")</f>
        <v>7</v>
      </c>
      <c r="Y33" s="181" t="str">
        <f>IFERROR(VLOOKUP(Q31,اسماء,75,0),"")</f>
        <v>1</v>
      </c>
      <c r="Z33" s="181" t="str">
        <f>IFERROR(VLOOKUP(Q31,اسماء,76,0),"")</f>
        <v>0</v>
      </c>
      <c r="AA33" s="181" t="str">
        <f>IFERROR(VLOOKUP(Q31,اسماء,77,0),"")</f>
        <v>2</v>
      </c>
      <c r="AB33" s="181" t="str">
        <f>IFERROR(VLOOKUP(Q31,اسماء,78,0),"")</f>
        <v>2</v>
      </c>
      <c r="AC33" s="339"/>
      <c r="AE33" s="180" t="s">
        <v>137</v>
      </c>
      <c r="AF33" s="181" t="str">
        <f>IFERROR(VLOOKUP(AF31,اسماء,67,0),"")</f>
        <v/>
      </c>
      <c r="AG33" s="181" t="str">
        <f>IFERROR(VLOOKUP(AF31,اسماء,68,0),"")</f>
        <v/>
      </c>
      <c r="AH33" s="181" t="str">
        <f>IFERROR(VLOOKUP(AF31,اسماء,69,0),"")</f>
        <v/>
      </c>
      <c r="AI33" s="181" t="str">
        <f>IFERROR(VLOOKUP(AF31,اسماء,70,0),"")</f>
        <v/>
      </c>
      <c r="AJ33" s="181" t="str">
        <f>IFERROR(VLOOKUP(AF31,اسماء,71,0),"")</f>
        <v/>
      </c>
      <c r="AK33" s="181" t="str">
        <f>IFERROR(VLOOKUP(AF31,اسماء,72,0),"")</f>
        <v/>
      </c>
      <c r="AL33" s="181" t="str">
        <f>IFERROR(VLOOKUP(AF31,اسماء,73,0),"")</f>
        <v/>
      </c>
      <c r="AM33" s="181" t="str">
        <f>IFERROR(VLOOKUP(AF31,اسماء,74,0),"")</f>
        <v/>
      </c>
      <c r="AN33" s="181" t="str">
        <f>IFERROR(VLOOKUP(AF31,اسماء,75,0),"")</f>
        <v/>
      </c>
      <c r="AO33" s="181" t="str">
        <f>IFERROR(VLOOKUP(AF31,اسماء,76,0),"")</f>
        <v/>
      </c>
      <c r="AP33" s="181" t="str">
        <f>IFERROR(VLOOKUP(AF31,اسماء,77,0),"")</f>
        <v/>
      </c>
      <c r="AQ33" s="181" t="str">
        <f>IFERROR(VLOOKUP(AF31,اسماء,78,0),"")</f>
        <v/>
      </c>
      <c r="AR33" s="339"/>
      <c r="AT33" s="180" t="s">
        <v>137</v>
      </c>
      <c r="AU33" s="181" t="str">
        <f>IFERROR(VLOOKUP(AU31,اسماء,67,0),"")</f>
        <v/>
      </c>
      <c r="AV33" s="181" t="str">
        <f>IFERROR(VLOOKUP(AU31,اسماء,68,0),"")</f>
        <v/>
      </c>
      <c r="AW33" s="181" t="str">
        <f>IFERROR(VLOOKUP(AU31,اسماء,69,0),"")</f>
        <v/>
      </c>
      <c r="AX33" s="181" t="str">
        <f>IFERROR(VLOOKUP(AU31,اسماء,70,0),"")</f>
        <v/>
      </c>
      <c r="AY33" s="181" t="str">
        <f>IFERROR(VLOOKUP(AU31,اسماء,71,0),"")</f>
        <v/>
      </c>
      <c r="AZ33" s="181" t="str">
        <f>IFERROR(VLOOKUP(AU31,اسماء,72,0),"")</f>
        <v/>
      </c>
      <c r="BA33" s="181" t="str">
        <f>IFERROR(VLOOKUP(AU31,اسماء,73,0),"")</f>
        <v/>
      </c>
      <c r="BB33" s="181" t="str">
        <f>IFERROR(VLOOKUP(AU31,اسماء,74,0),"")</f>
        <v/>
      </c>
      <c r="BC33" s="181" t="str">
        <f>IFERROR(VLOOKUP(AU31,اسماء,75,0),"")</f>
        <v/>
      </c>
      <c r="BD33" s="181" t="str">
        <f>IFERROR(VLOOKUP(AU31,اسماء,76,0),"")</f>
        <v/>
      </c>
      <c r="BE33" s="181" t="str">
        <f>IFERROR(VLOOKUP(AU31,اسماء,77,0),"")</f>
        <v/>
      </c>
      <c r="BF33" s="181" t="str">
        <f>IFERROR(VLOOKUP(AU31,اسماء,78,0),"")</f>
        <v/>
      </c>
      <c r="BG33" s="339"/>
    </row>
    <row r="34" spans="1:59" ht="45" customHeight="1" x14ac:dyDescent="0.25">
      <c r="A34" s="180" t="s">
        <v>138</v>
      </c>
      <c r="B34" s="394" t="str">
        <f>IFERROR(VLOOKUP(B31,اسماء,80,0),"")</f>
        <v>ليبي</v>
      </c>
      <c r="C34" s="394"/>
      <c r="D34" s="394"/>
      <c r="E34" s="394"/>
      <c r="F34" s="394"/>
      <c r="G34" s="385" t="s">
        <v>139</v>
      </c>
      <c r="H34" s="385"/>
      <c r="I34" s="385" t="s">
        <v>140</v>
      </c>
      <c r="J34" s="385"/>
      <c r="K34" s="394" t="str">
        <f>IFERROR(VLOOKUP(B31,اسماء,81,0),"")</f>
        <v>مستجد</v>
      </c>
      <c r="L34" s="394"/>
      <c r="M34" s="394"/>
      <c r="N34" s="395"/>
      <c r="P34" s="180" t="s">
        <v>138</v>
      </c>
      <c r="Q34" s="394" t="str">
        <f>IFERROR(VLOOKUP(Q31,اسماء,80,0),"")</f>
        <v>ليبية</v>
      </c>
      <c r="R34" s="394"/>
      <c r="S34" s="394"/>
      <c r="T34" s="394"/>
      <c r="U34" s="394"/>
      <c r="V34" s="385" t="s">
        <v>139</v>
      </c>
      <c r="W34" s="385"/>
      <c r="X34" s="385" t="s">
        <v>140</v>
      </c>
      <c r="Y34" s="385"/>
      <c r="Z34" s="394" t="str">
        <f>IFERROR(VLOOKUP(Q31,اسماء,81,0),"")</f>
        <v>مستجد</v>
      </c>
      <c r="AA34" s="394"/>
      <c r="AB34" s="394"/>
      <c r="AC34" s="395"/>
      <c r="AE34" s="180" t="s">
        <v>138</v>
      </c>
      <c r="AF34" s="394" t="str">
        <f>IFERROR(VLOOKUP(AF31,اسماء,80,0),"")</f>
        <v/>
      </c>
      <c r="AG34" s="394"/>
      <c r="AH34" s="394"/>
      <c r="AI34" s="394"/>
      <c r="AJ34" s="394"/>
      <c r="AK34" s="385" t="s">
        <v>139</v>
      </c>
      <c r="AL34" s="385"/>
      <c r="AM34" s="385" t="s">
        <v>140</v>
      </c>
      <c r="AN34" s="385"/>
      <c r="AO34" s="394" t="str">
        <f>IFERROR(VLOOKUP(AF31,اسماء,81,0),"")</f>
        <v/>
      </c>
      <c r="AP34" s="394"/>
      <c r="AQ34" s="394"/>
      <c r="AR34" s="395"/>
      <c r="AT34" s="180" t="s">
        <v>138</v>
      </c>
      <c r="AU34" s="394" t="str">
        <f>IFERROR(VLOOKUP(AU31,اسماء,80,0),"")</f>
        <v/>
      </c>
      <c r="AV34" s="394"/>
      <c r="AW34" s="394"/>
      <c r="AX34" s="394"/>
      <c r="AY34" s="394"/>
      <c r="AZ34" s="385" t="s">
        <v>139</v>
      </c>
      <c r="BA34" s="385"/>
      <c r="BB34" s="385" t="s">
        <v>140</v>
      </c>
      <c r="BC34" s="385"/>
      <c r="BD34" s="394" t="str">
        <f>IFERROR(VLOOKUP(AU31,اسماء,81,0),"")</f>
        <v/>
      </c>
      <c r="BE34" s="394"/>
      <c r="BF34" s="394"/>
      <c r="BG34" s="395"/>
    </row>
    <row r="35" spans="1:59" ht="45" customHeight="1" x14ac:dyDescent="0.25">
      <c r="A35" s="180" t="s">
        <v>141</v>
      </c>
      <c r="B35" s="394" t="str">
        <f>IFERROR(VLOOKUP(B31,اسماء,83,0),"")</f>
        <v>ريمة صالح المختار</v>
      </c>
      <c r="C35" s="394"/>
      <c r="D35" s="394"/>
      <c r="E35" s="394"/>
      <c r="F35" s="394"/>
      <c r="G35" s="385" t="s">
        <v>124</v>
      </c>
      <c r="H35" s="385"/>
      <c r="I35" s="385"/>
      <c r="J35" s="385"/>
      <c r="K35" s="394" t="str">
        <f>IFERROR(VLOOKUP(B31,اسماء,82,0),"")</f>
        <v>نظامي</v>
      </c>
      <c r="L35" s="394"/>
      <c r="M35" s="394"/>
      <c r="N35" s="395"/>
      <c r="P35" s="180" t="s">
        <v>141</v>
      </c>
      <c r="Q35" s="394" t="str">
        <f>IFERROR(VLOOKUP(Q31,اسماء,83,0),"")</f>
        <v>ريمة صالح المختار</v>
      </c>
      <c r="R35" s="394"/>
      <c r="S35" s="394"/>
      <c r="T35" s="394"/>
      <c r="U35" s="394"/>
      <c r="V35" s="385" t="s">
        <v>124</v>
      </c>
      <c r="W35" s="385"/>
      <c r="X35" s="385"/>
      <c r="Y35" s="385"/>
      <c r="Z35" s="394" t="str">
        <f>IFERROR(VLOOKUP(Q31,اسماء,82,0),"")</f>
        <v>نظامي</v>
      </c>
      <c r="AA35" s="394"/>
      <c r="AB35" s="394"/>
      <c r="AC35" s="395"/>
      <c r="AE35" s="180" t="s">
        <v>141</v>
      </c>
      <c r="AF35" s="394" t="str">
        <f>IFERROR(VLOOKUP(AF31,اسماء,83,0),"")</f>
        <v/>
      </c>
      <c r="AG35" s="394"/>
      <c r="AH35" s="394"/>
      <c r="AI35" s="394"/>
      <c r="AJ35" s="394"/>
      <c r="AK35" s="385" t="s">
        <v>124</v>
      </c>
      <c r="AL35" s="385"/>
      <c r="AM35" s="385"/>
      <c r="AN35" s="385"/>
      <c r="AO35" s="394" t="str">
        <f>IFERROR(VLOOKUP(AF31,اسماء,82,0),"")</f>
        <v/>
      </c>
      <c r="AP35" s="394"/>
      <c r="AQ35" s="394"/>
      <c r="AR35" s="395"/>
      <c r="AT35" s="180" t="s">
        <v>141</v>
      </c>
      <c r="AU35" s="394" t="str">
        <f>IFERROR(VLOOKUP(AU31,اسماء,83,0),"")</f>
        <v/>
      </c>
      <c r="AV35" s="394"/>
      <c r="AW35" s="394"/>
      <c r="AX35" s="394"/>
      <c r="AY35" s="394"/>
      <c r="AZ35" s="385" t="s">
        <v>124</v>
      </c>
      <c r="BA35" s="385"/>
      <c r="BB35" s="385"/>
      <c r="BC35" s="385"/>
      <c r="BD35" s="394" t="str">
        <f>IFERROR(VLOOKUP(AU31,اسماء,82,0),"")</f>
        <v/>
      </c>
      <c r="BE35" s="394"/>
      <c r="BF35" s="394"/>
      <c r="BG35" s="395"/>
    </row>
    <row r="36" spans="1:59" ht="45" customHeight="1" thickBot="1" x14ac:dyDescent="0.3">
      <c r="A36" s="388" t="s">
        <v>142</v>
      </c>
      <c r="B36" s="389"/>
      <c r="C36" s="389"/>
      <c r="D36" s="389"/>
      <c r="E36" s="389"/>
      <c r="F36" s="389"/>
      <c r="G36" s="389"/>
      <c r="H36" s="389"/>
      <c r="I36" s="389"/>
      <c r="J36" s="389"/>
      <c r="K36" s="389"/>
      <c r="L36" s="389"/>
      <c r="M36" s="389"/>
      <c r="N36" s="390"/>
      <c r="P36" s="388" t="s">
        <v>142</v>
      </c>
      <c r="Q36" s="389"/>
      <c r="R36" s="389"/>
      <c r="S36" s="389"/>
      <c r="T36" s="389"/>
      <c r="U36" s="389"/>
      <c r="V36" s="389"/>
      <c r="W36" s="389"/>
      <c r="X36" s="389"/>
      <c r="Y36" s="389"/>
      <c r="Z36" s="389"/>
      <c r="AA36" s="389"/>
      <c r="AB36" s="389"/>
      <c r="AC36" s="390"/>
      <c r="AE36" s="388" t="s">
        <v>142</v>
      </c>
      <c r="AF36" s="389"/>
      <c r="AG36" s="389"/>
      <c r="AH36" s="389"/>
      <c r="AI36" s="389"/>
      <c r="AJ36" s="389"/>
      <c r="AK36" s="389"/>
      <c r="AL36" s="389"/>
      <c r="AM36" s="389"/>
      <c r="AN36" s="389"/>
      <c r="AO36" s="389"/>
      <c r="AP36" s="389"/>
      <c r="AQ36" s="389"/>
      <c r="AR36" s="390"/>
      <c r="AT36" s="388" t="s">
        <v>142</v>
      </c>
      <c r="AU36" s="389"/>
      <c r="AV36" s="389"/>
      <c r="AW36" s="389"/>
      <c r="AX36" s="389"/>
      <c r="AY36" s="389"/>
      <c r="AZ36" s="389"/>
      <c r="BA36" s="389"/>
      <c r="BB36" s="389"/>
      <c r="BC36" s="389"/>
      <c r="BD36" s="389"/>
      <c r="BE36" s="389"/>
      <c r="BF36" s="389"/>
      <c r="BG36" s="390"/>
    </row>
    <row r="37" spans="1:59" ht="45" customHeight="1" thickTop="1" x14ac:dyDescent="0.4">
      <c r="A37" s="391" t="s">
        <v>143</v>
      </c>
      <c r="B37" s="392"/>
      <c r="C37" s="392"/>
      <c r="D37" s="392"/>
      <c r="E37" s="392"/>
      <c r="F37" s="392"/>
      <c r="G37" s="392"/>
      <c r="H37" s="392"/>
      <c r="I37" s="392"/>
      <c r="J37" s="392"/>
      <c r="K37" s="392"/>
      <c r="L37" s="392"/>
      <c r="M37" s="392"/>
      <c r="N37" s="393"/>
      <c r="P37" s="391" t="s">
        <v>143</v>
      </c>
      <c r="Q37" s="392"/>
      <c r="R37" s="392"/>
      <c r="S37" s="392"/>
      <c r="T37" s="392"/>
      <c r="U37" s="392"/>
      <c r="V37" s="392"/>
      <c r="W37" s="392"/>
      <c r="X37" s="392"/>
      <c r="Y37" s="392"/>
      <c r="Z37" s="392"/>
      <c r="AA37" s="392"/>
      <c r="AB37" s="392"/>
      <c r="AC37" s="393"/>
      <c r="AE37" s="391" t="s">
        <v>143</v>
      </c>
      <c r="AF37" s="392"/>
      <c r="AG37" s="392"/>
      <c r="AH37" s="392"/>
      <c r="AI37" s="392"/>
      <c r="AJ37" s="392"/>
      <c r="AK37" s="392"/>
      <c r="AL37" s="392"/>
      <c r="AM37" s="392"/>
      <c r="AN37" s="392"/>
      <c r="AO37" s="392"/>
      <c r="AP37" s="392"/>
      <c r="AQ37" s="392"/>
      <c r="AR37" s="393"/>
      <c r="AT37" s="391" t="s">
        <v>143</v>
      </c>
      <c r="AU37" s="392"/>
      <c r="AV37" s="392"/>
      <c r="AW37" s="392"/>
      <c r="AX37" s="392"/>
      <c r="AY37" s="392"/>
      <c r="AZ37" s="392"/>
      <c r="BA37" s="392"/>
      <c r="BB37" s="392"/>
      <c r="BC37" s="392"/>
      <c r="BD37" s="392"/>
      <c r="BE37" s="392"/>
      <c r="BF37" s="392"/>
      <c r="BG37" s="393"/>
    </row>
    <row r="38" spans="1:59" s="63" customFormat="1" ht="33" customHeight="1" x14ac:dyDescent="0.25">
      <c r="A38" s="387" t="s">
        <v>162</v>
      </c>
      <c r="B38" s="385"/>
      <c r="C38" s="385"/>
      <c r="D38" s="385"/>
      <c r="E38" s="385"/>
      <c r="F38" s="385"/>
      <c r="G38" s="385"/>
      <c r="H38" s="385"/>
      <c r="I38" s="385"/>
      <c r="J38" s="385"/>
      <c r="K38" s="385"/>
      <c r="L38" s="385"/>
      <c r="M38" s="385"/>
      <c r="N38" s="386"/>
      <c r="P38" s="387" t="s">
        <v>162</v>
      </c>
      <c r="Q38" s="385"/>
      <c r="R38" s="385"/>
      <c r="S38" s="385"/>
      <c r="T38" s="385"/>
      <c r="U38" s="385"/>
      <c r="V38" s="385"/>
      <c r="W38" s="385"/>
      <c r="X38" s="385"/>
      <c r="Y38" s="385"/>
      <c r="Z38" s="385"/>
      <c r="AA38" s="385"/>
      <c r="AB38" s="385"/>
      <c r="AC38" s="386"/>
      <c r="AE38" s="387" t="s">
        <v>162</v>
      </c>
      <c r="AF38" s="385"/>
      <c r="AG38" s="385"/>
      <c r="AH38" s="385"/>
      <c r="AI38" s="385"/>
      <c r="AJ38" s="385"/>
      <c r="AK38" s="385"/>
      <c r="AL38" s="385"/>
      <c r="AM38" s="385"/>
      <c r="AN38" s="385"/>
      <c r="AO38" s="385"/>
      <c r="AP38" s="385"/>
      <c r="AQ38" s="385"/>
      <c r="AR38" s="386"/>
      <c r="AT38" s="387" t="s">
        <v>162</v>
      </c>
      <c r="AU38" s="385"/>
      <c r="AV38" s="385"/>
      <c r="AW38" s="385"/>
      <c r="AX38" s="385"/>
      <c r="AY38" s="385"/>
      <c r="AZ38" s="385"/>
      <c r="BA38" s="385"/>
      <c r="BB38" s="385"/>
      <c r="BC38" s="385"/>
      <c r="BD38" s="385"/>
      <c r="BE38" s="385"/>
      <c r="BF38" s="385"/>
      <c r="BG38" s="386"/>
    </row>
    <row r="39" spans="1:59" ht="33" customHeight="1" x14ac:dyDescent="0.4">
      <c r="A39" s="383" t="s">
        <v>144</v>
      </c>
      <c r="B39" s="384"/>
      <c r="C39" s="384"/>
      <c r="D39" s="384"/>
      <c r="E39" s="384"/>
      <c r="F39" s="384"/>
      <c r="G39" s="385"/>
      <c r="H39" s="385"/>
      <c r="I39" s="385"/>
      <c r="J39" s="385"/>
      <c r="K39" s="385"/>
      <c r="L39" s="385"/>
      <c r="M39" s="385"/>
      <c r="N39" s="386"/>
      <c r="P39" s="383" t="s">
        <v>144</v>
      </c>
      <c r="Q39" s="384"/>
      <c r="R39" s="384"/>
      <c r="S39" s="384"/>
      <c r="T39" s="384"/>
      <c r="U39" s="384"/>
      <c r="V39" s="385"/>
      <c r="W39" s="385"/>
      <c r="X39" s="385"/>
      <c r="Y39" s="385"/>
      <c r="Z39" s="385"/>
      <c r="AA39" s="385"/>
      <c r="AB39" s="385"/>
      <c r="AC39" s="386"/>
      <c r="AE39" s="383" t="s">
        <v>144</v>
      </c>
      <c r="AF39" s="384"/>
      <c r="AG39" s="384"/>
      <c r="AH39" s="384"/>
      <c r="AI39" s="384"/>
      <c r="AJ39" s="384"/>
      <c r="AK39" s="385"/>
      <c r="AL39" s="385"/>
      <c r="AM39" s="385"/>
      <c r="AN39" s="385"/>
      <c r="AO39" s="385"/>
      <c r="AP39" s="385"/>
      <c r="AQ39" s="385"/>
      <c r="AR39" s="386"/>
      <c r="AT39" s="383" t="s">
        <v>144</v>
      </c>
      <c r="AU39" s="384"/>
      <c r="AV39" s="384"/>
      <c r="AW39" s="384"/>
      <c r="AX39" s="384"/>
      <c r="AY39" s="384"/>
      <c r="AZ39" s="385"/>
      <c r="BA39" s="385"/>
      <c r="BB39" s="385"/>
      <c r="BC39" s="385"/>
      <c r="BD39" s="385"/>
      <c r="BE39" s="385"/>
      <c r="BF39" s="385"/>
      <c r="BG39" s="386"/>
    </row>
    <row r="40" spans="1:59" s="184" customFormat="1" ht="30" customHeight="1" x14ac:dyDescent="0.4">
      <c r="A40" s="180" t="s">
        <v>145</v>
      </c>
      <c r="B40" s="182"/>
      <c r="C40" s="182"/>
      <c r="D40" s="182"/>
      <c r="E40" s="182"/>
      <c r="F40" s="182"/>
      <c r="G40" s="182"/>
      <c r="H40" s="182"/>
      <c r="I40" s="182"/>
      <c r="J40" s="182"/>
      <c r="K40" s="182"/>
      <c r="L40" s="182"/>
      <c r="M40" s="182"/>
      <c r="N40" s="183" t="s">
        <v>146</v>
      </c>
      <c r="P40" s="180" t="s">
        <v>145</v>
      </c>
      <c r="Q40" s="182"/>
      <c r="R40" s="182"/>
      <c r="S40" s="182"/>
      <c r="T40" s="182"/>
      <c r="U40" s="182"/>
      <c r="V40" s="182"/>
      <c r="W40" s="182"/>
      <c r="X40" s="182"/>
      <c r="Y40" s="182"/>
      <c r="Z40" s="182"/>
      <c r="AA40" s="182"/>
      <c r="AB40" s="182"/>
      <c r="AC40" s="183" t="s">
        <v>146</v>
      </c>
      <c r="AE40" s="180" t="s">
        <v>145</v>
      </c>
      <c r="AF40" s="182"/>
      <c r="AG40" s="182"/>
      <c r="AH40" s="182"/>
      <c r="AI40" s="182"/>
      <c r="AJ40" s="182"/>
      <c r="AK40" s="182"/>
      <c r="AL40" s="182"/>
      <c r="AM40" s="182"/>
      <c r="AN40" s="182"/>
      <c r="AO40" s="182"/>
      <c r="AP40" s="182"/>
      <c r="AQ40" s="182"/>
      <c r="AR40" s="183" t="s">
        <v>146</v>
      </c>
      <c r="AT40" s="180" t="s">
        <v>145</v>
      </c>
      <c r="AU40" s="182"/>
      <c r="AV40" s="182"/>
      <c r="AW40" s="182"/>
      <c r="AX40" s="182"/>
      <c r="AY40" s="182"/>
      <c r="AZ40" s="182"/>
      <c r="BA40" s="182"/>
      <c r="BB40" s="182"/>
      <c r="BC40" s="182"/>
      <c r="BD40" s="182"/>
      <c r="BE40" s="182"/>
      <c r="BF40" s="182"/>
      <c r="BG40" s="183" t="s">
        <v>146</v>
      </c>
    </row>
    <row r="41" spans="1:59" ht="30" customHeight="1" x14ac:dyDescent="0.4">
      <c r="A41" s="185"/>
      <c r="B41" s="182"/>
      <c r="C41" s="182"/>
      <c r="D41" s="182"/>
      <c r="E41" s="182"/>
      <c r="F41" s="182"/>
      <c r="G41" s="182"/>
      <c r="H41" s="182"/>
      <c r="I41" s="182"/>
      <c r="J41" s="182"/>
      <c r="K41" s="182"/>
      <c r="L41" s="182"/>
      <c r="M41" s="182"/>
      <c r="N41" s="186"/>
      <c r="P41" s="185"/>
      <c r="Q41" s="182"/>
      <c r="R41" s="182"/>
      <c r="S41" s="182"/>
      <c r="T41" s="182"/>
      <c r="U41" s="182"/>
      <c r="V41" s="182"/>
      <c r="W41" s="182"/>
      <c r="X41" s="182"/>
      <c r="Y41" s="182"/>
      <c r="Z41" s="182"/>
      <c r="AA41" s="182"/>
      <c r="AB41" s="182"/>
      <c r="AC41" s="186"/>
      <c r="AE41" s="185"/>
      <c r="AF41" s="182"/>
      <c r="AG41" s="182"/>
      <c r="AH41" s="182"/>
      <c r="AI41" s="182"/>
      <c r="AJ41" s="182"/>
      <c r="AK41" s="182"/>
      <c r="AL41" s="182"/>
      <c r="AM41" s="182"/>
      <c r="AN41" s="182"/>
      <c r="AO41" s="182"/>
      <c r="AP41" s="182"/>
      <c r="AQ41" s="182"/>
      <c r="AR41" s="186"/>
      <c r="AT41" s="185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6"/>
    </row>
    <row r="42" spans="1:59" ht="24.9" customHeight="1" x14ac:dyDescent="0.5">
      <c r="A42" s="187"/>
      <c r="B42" s="177"/>
      <c r="C42" s="177"/>
      <c r="D42" s="177"/>
      <c r="E42" s="177"/>
      <c r="F42" s="177"/>
      <c r="G42" s="177"/>
      <c r="H42" s="177"/>
      <c r="I42" s="177"/>
      <c r="J42" s="177"/>
      <c r="K42" s="177"/>
      <c r="L42" s="177"/>
      <c r="M42" s="177"/>
      <c r="N42" s="188"/>
      <c r="P42" s="187"/>
      <c r="Q42" s="177"/>
      <c r="R42" s="177"/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88"/>
      <c r="AE42" s="187"/>
      <c r="AF42" s="177"/>
      <c r="AG42" s="177"/>
      <c r="AH42" s="177"/>
      <c r="AI42" s="177"/>
      <c r="AJ42" s="177"/>
      <c r="AK42" s="177"/>
      <c r="AL42" s="177"/>
      <c r="AM42" s="177"/>
      <c r="AN42" s="177"/>
      <c r="AO42" s="177"/>
      <c r="AP42" s="177"/>
      <c r="AQ42" s="177"/>
      <c r="AR42" s="188"/>
      <c r="AT42" s="187"/>
      <c r="AU42" s="177"/>
      <c r="AV42" s="177"/>
      <c r="AW42" s="177"/>
      <c r="AX42" s="177"/>
      <c r="AY42" s="177"/>
      <c r="AZ42" s="177"/>
      <c r="BA42" s="177"/>
      <c r="BB42" s="177"/>
      <c r="BC42" s="177"/>
      <c r="BD42" s="177"/>
      <c r="BE42" s="177"/>
      <c r="BF42" s="177"/>
      <c r="BG42" s="188"/>
    </row>
    <row r="43" spans="1:59" ht="24.9" customHeight="1" thickBot="1" x14ac:dyDescent="0.55000000000000004">
      <c r="A43" s="189"/>
      <c r="B43" s="190"/>
      <c r="C43" s="190"/>
      <c r="D43" s="190"/>
      <c r="E43" s="190"/>
      <c r="F43" s="190"/>
      <c r="G43" s="190"/>
      <c r="H43" s="190"/>
      <c r="I43" s="190"/>
      <c r="J43" s="190"/>
      <c r="K43" s="190"/>
      <c r="L43" s="190"/>
      <c r="M43" s="190"/>
      <c r="N43" s="191"/>
      <c r="P43" s="189"/>
      <c r="Q43" s="190"/>
      <c r="R43" s="190"/>
      <c r="S43" s="190"/>
      <c r="T43" s="190"/>
      <c r="U43" s="190"/>
      <c r="V43" s="190"/>
      <c r="W43" s="190"/>
      <c r="X43" s="190"/>
      <c r="Y43" s="190"/>
      <c r="Z43" s="190"/>
      <c r="AA43" s="190"/>
      <c r="AB43" s="190"/>
      <c r="AC43" s="191"/>
      <c r="AE43" s="189"/>
      <c r="AF43" s="190"/>
      <c r="AG43" s="190"/>
      <c r="AH43" s="190"/>
      <c r="AI43" s="190"/>
      <c r="AJ43" s="190"/>
      <c r="AK43" s="190"/>
      <c r="AL43" s="190"/>
      <c r="AM43" s="190"/>
      <c r="AN43" s="190"/>
      <c r="AO43" s="190"/>
      <c r="AP43" s="190"/>
      <c r="AQ43" s="190"/>
      <c r="AR43" s="191"/>
      <c r="AT43" s="189"/>
      <c r="AU43" s="190"/>
      <c r="AV43" s="190"/>
      <c r="AW43" s="190"/>
      <c r="AX43" s="190"/>
      <c r="AY43" s="190"/>
      <c r="AZ43" s="190"/>
      <c r="BA43" s="190"/>
      <c r="BB43" s="190"/>
      <c r="BC43" s="190"/>
      <c r="BD43" s="190"/>
      <c r="BE43" s="190"/>
      <c r="BF43" s="190"/>
      <c r="BG43" s="191"/>
    </row>
    <row r="44" spans="1:59" ht="15" thickTop="1" thickBot="1" x14ac:dyDescent="0.3"/>
    <row r="45" spans="1:59" s="177" customFormat="1" ht="39.9" customHeight="1" thickTop="1" x14ac:dyDescent="0.5">
      <c r="A45" s="175">
        <f>A23-1</f>
        <v>6</v>
      </c>
      <c r="B45" s="418" t="s">
        <v>39</v>
      </c>
      <c r="C45" s="418"/>
      <c r="D45" s="418"/>
      <c r="E45" s="418"/>
      <c r="F45" s="418"/>
      <c r="G45" s="418"/>
      <c r="H45" s="418"/>
      <c r="I45" s="418"/>
      <c r="J45" s="418"/>
      <c r="K45" s="418"/>
      <c r="L45" s="418"/>
      <c r="M45" s="418"/>
      <c r="N45" s="176"/>
      <c r="P45" s="175">
        <f>A45-5</f>
        <v>1</v>
      </c>
      <c r="Q45" s="418" t="s">
        <v>39</v>
      </c>
      <c r="R45" s="418"/>
      <c r="S45" s="418"/>
      <c r="T45" s="418"/>
      <c r="U45" s="418"/>
      <c r="V45" s="418"/>
      <c r="W45" s="418"/>
      <c r="X45" s="418"/>
      <c r="Y45" s="418"/>
      <c r="Z45" s="418"/>
      <c r="AA45" s="418"/>
      <c r="AB45" s="418"/>
      <c r="AC45" s="176"/>
      <c r="AE45" s="175">
        <f>P45-5</f>
        <v>-4</v>
      </c>
      <c r="AF45" s="418" t="s">
        <v>39</v>
      </c>
      <c r="AG45" s="418"/>
      <c r="AH45" s="418"/>
      <c r="AI45" s="418"/>
      <c r="AJ45" s="418"/>
      <c r="AK45" s="418"/>
      <c r="AL45" s="418"/>
      <c r="AM45" s="418"/>
      <c r="AN45" s="418"/>
      <c r="AO45" s="418"/>
      <c r="AP45" s="418"/>
      <c r="AQ45" s="418"/>
      <c r="AR45" s="176"/>
      <c r="AT45" s="175">
        <f>AE45-5</f>
        <v>-9</v>
      </c>
      <c r="AU45" s="418" t="s">
        <v>39</v>
      </c>
      <c r="AV45" s="418"/>
      <c r="AW45" s="418"/>
      <c r="AX45" s="418"/>
      <c r="AY45" s="418"/>
      <c r="AZ45" s="418"/>
      <c r="BA45" s="418"/>
      <c r="BB45" s="418"/>
      <c r="BC45" s="418"/>
      <c r="BD45" s="418"/>
      <c r="BE45" s="418"/>
      <c r="BF45" s="418"/>
      <c r="BG45" s="176"/>
    </row>
    <row r="46" spans="1:59" s="177" customFormat="1" ht="39.9" customHeight="1" x14ac:dyDescent="0.5">
      <c r="A46" s="412" t="s">
        <v>40</v>
      </c>
      <c r="B46" s="413"/>
      <c r="C46" s="413"/>
      <c r="D46" s="413"/>
      <c r="E46" s="413"/>
      <c r="F46" s="413"/>
      <c r="G46" s="413"/>
      <c r="H46" s="413"/>
      <c r="I46" s="413"/>
      <c r="J46" s="413"/>
      <c r="K46" s="413"/>
      <c r="L46" s="413"/>
      <c r="M46" s="413"/>
      <c r="N46" s="414"/>
      <c r="P46" s="412" t="s">
        <v>40</v>
      </c>
      <c r="Q46" s="413"/>
      <c r="R46" s="413"/>
      <c r="S46" s="413"/>
      <c r="T46" s="413"/>
      <c r="U46" s="413"/>
      <c r="V46" s="413"/>
      <c r="W46" s="413"/>
      <c r="X46" s="413"/>
      <c r="Y46" s="413"/>
      <c r="Z46" s="413"/>
      <c r="AA46" s="413"/>
      <c r="AB46" s="413"/>
      <c r="AC46" s="414"/>
      <c r="AE46" s="412" t="s">
        <v>40</v>
      </c>
      <c r="AF46" s="413"/>
      <c r="AG46" s="413"/>
      <c r="AH46" s="413"/>
      <c r="AI46" s="413"/>
      <c r="AJ46" s="413"/>
      <c r="AK46" s="413"/>
      <c r="AL46" s="413"/>
      <c r="AM46" s="413"/>
      <c r="AN46" s="413"/>
      <c r="AO46" s="413"/>
      <c r="AP46" s="413"/>
      <c r="AQ46" s="413"/>
      <c r="AR46" s="414"/>
      <c r="AT46" s="412" t="s">
        <v>40</v>
      </c>
      <c r="AU46" s="413"/>
      <c r="AV46" s="413"/>
      <c r="AW46" s="413"/>
      <c r="AX46" s="413"/>
      <c r="AY46" s="413"/>
      <c r="AZ46" s="413"/>
      <c r="BA46" s="413"/>
      <c r="BB46" s="413"/>
      <c r="BC46" s="413"/>
      <c r="BD46" s="413"/>
      <c r="BE46" s="413"/>
      <c r="BF46" s="413"/>
      <c r="BG46" s="414"/>
    </row>
    <row r="47" spans="1:59" s="177" customFormat="1" ht="39.9" customHeight="1" x14ac:dyDescent="0.5">
      <c r="A47" s="415" t="s">
        <v>163</v>
      </c>
      <c r="B47" s="416"/>
      <c r="C47" s="416"/>
      <c r="D47" s="416"/>
      <c r="E47" s="416"/>
      <c r="F47" s="416"/>
      <c r="G47" s="416"/>
      <c r="H47" s="416"/>
      <c r="I47" s="416"/>
      <c r="J47" s="416"/>
      <c r="K47" s="416"/>
      <c r="L47" s="416"/>
      <c r="M47" s="416"/>
      <c r="N47" s="417"/>
      <c r="P47" s="415" t="s">
        <v>163</v>
      </c>
      <c r="Q47" s="416"/>
      <c r="R47" s="416"/>
      <c r="S47" s="416"/>
      <c r="T47" s="416"/>
      <c r="U47" s="416"/>
      <c r="V47" s="416"/>
      <c r="W47" s="416"/>
      <c r="X47" s="416"/>
      <c r="Y47" s="416"/>
      <c r="Z47" s="416"/>
      <c r="AA47" s="416"/>
      <c r="AB47" s="416"/>
      <c r="AC47" s="417"/>
      <c r="AE47" s="415" t="s">
        <v>163</v>
      </c>
      <c r="AF47" s="416"/>
      <c r="AG47" s="416"/>
      <c r="AH47" s="416"/>
      <c r="AI47" s="416"/>
      <c r="AJ47" s="416"/>
      <c r="AK47" s="416"/>
      <c r="AL47" s="416"/>
      <c r="AM47" s="416"/>
      <c r="AN47" s="416"/>
      <c r="AO47" s="416"/>
      <c r="AP47" s="416"/>
      <c r="AQ47" s="416"/>
      <c r="AR47" s="417"/>
      <c r="AT47" s="415" t="s">
        <v>163</v>
      </c>
      <c r="AU47" s="416"/>
      <c r="AV47" s="416"/>
      <c r="AW47" s="416"/>
      <c r="AX47" s="416"/>
      <c r="AY47" s="416"/>
      <c r="AZ47" s="416"/>
      <c r="BA47" s="416"/>
      <c r="BB47" s="416"/>
      <c r="BC47" s="416"/>
      <c r="BD47" s="416"/>
      <c r="BE47" s="416"/>
      <c r="BF47" s="416"/>
      <c r="BG47" s="417"/>
    </row>
    <row r="48" spans="1:59" s="177" customFormat="1" ht="39.9" customHeight="1" x14ac:dyDescent="0.5">
      <c r="A48" s="406" t="s">
        <v>125</v>
      </c>
      <c r="B48" s="407"/>
      <c r="C48" s="407"/>
      <c r="D48" s="407"/>
      <c r="E48" s="407"/>
      <c r="F48" s="407"/>
      <c r="G48" s="407"/>
      <c r="H48" s="407"/>
      <c r="I48" s="407"/>
      <c r="J48" s="407"/>
      <c r="K48" s="408" t="str">
        <f>ادخال1!$CG$7</f>
        <v>الاساسي</v>
      </c>
      <c r="L48" s="408"/>
      <c r="M48" s="408"/>
      <c r="N48" s="409"/>
      <c r="P48" s="406" t="s">
        <v>125</v>
      </c>
      <c r="Q48" s="407"/>
      <c r="R48" s="407"/>
      <c r="S48" s="407"/>
      <c r="T48" s="407"/>
      <c r="U48" s="407"/>
      <c r="V48" s="407"/>
      <c r="W48" s="407"/>
      <c r="X48" s="407"/>
      <c r="Y48" s="407"/>
      <c r="Z48" s="408" t="str">
        <f>ادخال1!$CG$7</f>
        <v>الاساسي</v>
      </c>
      <c r="AA48" s="408"/>
      <c r="AB48" s="408"/>
      <c r="AC48" s="409"/>
      <c r="AE48" s="406" t="s">
        <v>125</v>
      </c>
      <c r="AF48" s="407"/>
      <c r="AG48" s="407"/>
      <c r="AH48" s="407"/>
      <c r="AI48" s="407"/>
      <c r="AJ48" s="407"/>
      <c r="AK48" s="407"/>
      <c r="AL48" s="407"/>
      <c r="AM48" s="407"/>
      <c r="AN48" s="407"/>
      <c r="AO48" s="408" t="str">
        <f>ادخال1!$CG$7</f>
        <v>الاساسي</v>
      </c>
      <c r="AP48" s="408"/>
      <c r="AQ48" s="408"/>
      <c r="AR48" s="409"/>
      <c r="AT48" s="406" t="s">
        <v>125</v>
      </c>
      <c r="AU48" s="407"/>
      <c r="AV48" s="407"/>
      <c r="AW48" s="407"/>
      <c r="AX48" s="407"/>
      <c r="AY48" s="407"/>
      <c r="AZ48" s="407"/>
      <c r="BA48" s="407"/>
      <c r="BB48" s="407"/>
      <c r="BC48" s="407"/>
      <c r="BD48" s="408" t="str">
        <f>ادخال1!$CG$7</f>
        <v>الاساسي</v>
      </c>
      <c r="BE48" s="408"/>
      <c r="BF48" s="408"/>
      <c r="BG48" s="409"/>
    </row>
    <row r="49" spans="1:59" s="177" customFormat="1" ht="39.9" customHeight="1" x14ac:dyDescent="0.5">
      <c r="A49" s="406" t="s">
        <v>126</v>
      </c>
      <c r="B49" s="407"/>
      <c r="C49" s="407"/>
      <c r="D49" s="407"/>
      <c r="E49" s="407"/>
      <c r="F49" s="407"/>
      <c r="G49" s="410" t="str">
        <f>ادخال1!$CE$5</f>
        <v>الثالث الابتدائي</v>
      </c>
      <c r="H49" s="410"/>
      <c r="I49" s="410"/>
      <c r="J49" s="410"/>
      <c r="K49" s="410"/>
      <c r="L49" s="410"/>
      <c r="M49" s="410"/>
      <c r="N49" s="411"/>
      <c r="P49" s="406" t="s">
        <v>126</v>
      </c>
      <c r="Q49" s="407"/>
      <c r="R49" s="407"/>
      <c r="S49" s="407"/>
      <c r="T49" s="407"/>
      <c r="U49" s="407"/>
      <c r="V49" s="410" t="str">
        <f>ادخال1!$CE$5</f>
        <v>الثالث الابتدائي</v>
      </c>
      <c r="W49" s="410"/>
      <c r="X49" s="410"/>
      <c r="Y49" s="410"/>
      <c r="Z49" s="410"/>
      <c r="AA49" s="410"/>
      <c r="AB49" s="410"/>
      <c r="AC49" s="411"/>
      <c r="AE49" s="406" t="s">
        <v>126</v>
      </c>
      <c r="AF49" s="407"/>
      <c r="AG49" s="407"/>
      <c r="AH49" s="407"/>
      <c r="AI49" s="407"/>
      <c r="AJ49" s="407"/>
      <c r="AK49" s="410" t="str">
        <f>ادخال1!$CE$5</f>
        <v>الثالث الابتدائي</v>
      </c>
      <c r="AL49" s="410"/>
      <c r="AM49" s="410"/>
      <c r="AN49" s="410"/>
      <c r="AO49" s="410"/>
      <c r="AP49" s="410"/>
      <c r="AQ49" s="410"/>
      <c r="AR49" s="411"/>
      <c r="AT49" s="406" t="s">
        <v>126</v>
      </c>
      <c r="AU49" s="407"/>
      <c r="AV49" s="407"/>
      <c r="AW49" s="407"/>
      <c r="AX49" s="407"/>
      <c r="AY49" s="407"/>
      <c r="AZ49" s="410" t="str">
        <f>ادخال1!$CE$5</f>
        <v>الثالث الابتدائي</v>
      </c>
      <c r="BA49" s="410"/>
      <c r="BB49" s="410"/>
      <c r="BC49" s="410"/>
      <c r="BD49" s="410"/>
      <c r="BE49" s="410"/>
      <c r="BF49" s="410"/>
      <c r="BG49" s="411"/>
    </row>
    <row r="50" spans="1:59" s="177" customFormat="1" ht="39.9" customHeight="1" x14ac:dyDescent="0.5">
      <c r="A50" s="178" t="s">
        <v>115</v>
      </c>
      <c r="B50" s="400" t="str">
        <f>ادخال1!$CD$8</f>
        <v>1448هـ/1447 هـ</v>
      </c>
      <c r="C50" s="400"/>
      <c r="D50" s="400"/>
      <c r="E50" s="400"/>
      <c r="F50" s="401" t="s">
        <v>127</v>
      </c>
      <c r="G50" s="401"/>
      <c r="H50" s="402" t="s">
        <v>128</v>
      </c>
      <c r="I50" s="402"/>
      <c r="J50" s="403" t="str">
        <f>ادخال1!$CE$8</f>
        <v>2025م /2026م</v>
      </c>
      <c r="K50" s="403"/>
      <c r="L50" s="403"/>
      <c r="M50" s="403"/>
      <c r="N50" s="179" t="s">
        <v>129</v>
      </c>
      <c r="P50" s="178" t="s">
        <v>115</v>
      </c>
      <c r="Q50" s="400" t="str">
        <f>ادخال1!$CD$8</f>
        <v>1448هـ/1447 هـ</v>
      </c>
      <c r="R50" s="400"/>
      <c r="S50" s="400"/>
      <c r="T50" s="400"/>
      <c r="U50" s="401" t="s">
        <v>127</v>
      </c>
      <c r="V50" s="401"/>
      <c r="W50" s="402" t="s">
        <v>128</v>
      </c>
      <c r="X50" s="402"/>
      <c r="Y50" s="403" t="str">
        <f>ادخال1!$CE$8</f>
        <v>2025م /2026م</v>
      </c>
      <c r="Z50" s="403"/>
      <c r="AA50" s="403"/>
      <c r="AB50" s="403"/>
      <c r="AC50" s="179" t="s">
        <v>129</v>
      </c>
      <c r="AE50" s="178" t="s">
        <v>115</v>
      </c>
      <c r="AF50" s="400" t="str">
        <f>ادخال1!$CD$8</f>
        <v>1448هـ/1447 هـ</v>
      </c>
      <c r="AG50" s="400"/>
      <c r="AH50" s="400"/>
      <c r="AI50" s="400"/>
      <c r="AJ50" s="401" t="s">
        <v>127</v>
      </c>
      <c r="AK50" s="401"/>
      <c r="AL50" s="402" t="s">
        <v>128</v>
      </c>
      <c r="AM50" s="402"/>
      <c r="AN50" s="403" t="str">
        <f>ادخال1!$CE$8</f>
        <v>2025م /2026م</v>
      </c>
      <c r="AO50" s="403"/>
      <c r="AP50" s="403"/>
      <c r="AQ50" s="403"/>
      <c r="AR50" s="179" t="s">
        <v>129</v>
      </c>
      <c r="AT50" s="178" t="s">
        <v>115</v>
      </c>
      <c r="AU50" s="400" t="str">
        <f>ادخال1!$CD$8</f>
        <v>1448هـ/1447 هـ</v>
      </c>
      <c r="AV50" s="400"/>
      <c r="AW50" s="400"/>
      <c r="AX50" s="400"/>
      <c r="AY50" s="401" t="s">
        <v>127</v>
      </c>
      <c r="AZ50" s="401"/>
      <c r="BA50" s="402" t="s">
        <v>128</v>
      </c>
      <c r="BB50" s="402"/>
      <c r="BC50" s="403" t="str">
        <f>ادخال1!$CE$8</f>
        <v>2025م /2026م</v>
      </c>
      <c r="BD50" s="403"/>
      <c r="BE50" s="403"/>
      <c r="BF50" s="403"/>
      <c r="BG50" s="179" t="s">
        <v>129</v>
      </c>
    </row>
    <row r="51" spans="1:59" ht="45" customHeight="1" x14ac:dyDescent="0.25">
      <c r="A51" s="180" t="s">
        <v>130</v>
      </c>
      <c r="B51" s="404" t="str">
        <f>ادخال1!$CE$4</f>
        <v>تاجوراء</v>
      </c>
      <c r="C51" s="404"/>
      <c r="D51" s="404"/>
      <c r="E51" s="404"/>
      <c r="F51" s="404"/>
      <c r="G51" s="404"/>
      <c r="H51" s="404"/>
      <c r="I51" s="404"/>
      <c r="J51" s="404"/>
      <c r="K51" s="404"/>
      <c r="L51" s="404"/>
      <c r="M51" s="404"/>
      <c r="N51" s="405"/>
      <c r="P51" s="180" t="s">
        <v>130</v>
      </c>
      <c r="Q51" s="404" t="str">
        <f>ادخال1!$CE$4</f>
        <v>تاجوراء</v>
      </c>
      <c r="R51" s="404"/>
      <c r="S51" s="404"/>
      <c r="T51" s="404"/>
      <c r="U51" s="404"/>
      <c r="V51" s="404"/>
      <c r="W51" s="404"/>
      <c r="X51" s="404"/>
      <c r="Y51" s="404"/>
      <c r="Z51" s="404"/>
      <c r="AA51" s="404"/>
      <c r="AB51" s="404"/>
      <c r="AC51" s="405"/>
      <c r="AE51" s="180" t="s">
        <v>130</v>
      </c>
      <c r="AF51" s="404" t="str">
        <f>ادخال1!$CE$4</f>
        <v>تاجوراء</v>
      </c>
      <c r="AG51" s="404"/>
      <c r="AH51" s="404"/>
      <c r="AI51" s="404"/>
      <c r="AJ51" s="404"/>
      <c r="AK51" s="404"/>
      <c r="AL51" s="404"/>
      <c r="AM51" s="404"/>
      <c r="AN51" s="404"/>
      <c r="AO51" s="404"/>
      <c r="AP51" s="404"/>
      <c r="AQ51" s="404"/>
      <c r="AR51" s="405"/>
      <c r="AT51" s="180" t="s">
        <v>130</v>
      </c>
      <c r="AU51" s="404" t="str">
        <f>ادخال1!$CE$4</f>
        <v>تاجوراء</v>
      </c>
      <c r="AV51" s="404"/>
      <c r="AW51" s="404"/>
      <c r="AX51" s="404"/>
      <c r="AY51" s="404"/>
      <c r="AZ51" s="404"/>
      <c r="BA51" s="404"/>
      <c r="BB51" s="404"/>
      <c r="BC51" s="404"/>
      <c r="BD51" s="404"/>
      <c r="BE51" s="404"/>
      <c r="BF51" s="404"/>
      <c r="BG51" s="405"/>
    </row>
    <row r="52" spans="1:59" ht="45" customHeight="1" x14ac:dyDescent="0.25">
      <c r="A52" s="180" t="s">
        <v>131</v>
      </c>
      <c r="B52" s="394" t="str">
        <f>ادخال1!$CC$6</f>
        <v>سهول العلم للتعليم الخاص</v>
      </c>
      <c r="C52" s="394"/>
      <c r="D52" s="394"/>
      <c r="E52" s="394"/>
      <c r="F52" s="394"/>
      <c r="G52" s="394"/>
      <c r="H52" s="394"/>
      <c r="I52" s="394"/>
      <c r="J52" s="399" t="s">
        <v>132</v>
      </c>
      <c r="K52" s="399"/>
      <c r="L52" s="399"/>
      <c r="M52" s="394" t="str">
        <f>ادخال1!$CC$8</f>
        <v>تاجوراء</v>
      </c>
      <c r="N52" s="395"/>
      <c r="P52" s="180" t="s">
        <v>131</v>
      </c>
      <c r="Q52" s="394" t="str">
        <f>ادخال1!$CC$6</f>
        <v>سهول العلم للتعليم الخاص</v>
      </c>
      <c r="R52" s="394"/>
      <c r="S52" s="394"/>
      <c r="T52" s="394"/>
      <c r="U52" s="394"/>
      <c r="V52" s="394"/>
      <c r="W52" s="394"/>
      <c r="X52" s="394"/>
      <c r="Y52" s="399" t="s">
        <v>132</v>
      </c>
      <c r="Z52" s="399"/>
      <c r="AA52" s="399"/>
      <c r="AB52" s="394" t="str">
        <f>ادخال1!$CC$8</f>
        <v>تاجوراء</v>
      </c>
      <c r="AC52" s="395"/>
      <c r="AE52" s="180" t="s">
        <v>131</v>
      </c>
      <c r="AF52" s="394" t="str">
        <f>ادخال1!$CC$6</f>
        <v>سهول العلم للتعليم الخاص</v>
      </c>
      <c r="AG52" s="394"/>
      <c r="AH52" s="394"/>
      <c r="AI52" s="394"/>
      <c r="AJ52" s="394"/>
      <c r="AK52" s="394"/>
      <c r="AL52" s="394"/>
      <c r="AM52" s="394"/>
      <c r="AN52" s="399" t="s">
        <v>132</v>
      </c>
      <c r="AO52" s="399"/>
      <c r="AP52" s="399"/>
      <c r="AQ52" s="394" t="str">
        <f>ادخال1!$CC$8</f>
        <v>تاجوراء</v>
      </c>
      <c r="AR52" s="395"/>
      <c r="AT52" s="180" t="s">
        <v>131</v>
      </c>
      <c r="AU52" s="394" t="str">
        <f>ادخال1!$CC$6</f>
        <v>سهول العلم للتعليم الخاص</v>
      </c>
      <c r="AV52" s="394"/>
      <c r="AW52" s="394"/>
      <c r="AX52" s="394"/>
      <c r="AY52" s="394"/>
      <c r="AZ52" s="394"/>
      <c r="BA52" s="394"/>
      <c r="BB52" s="394"/>
      <c r="BC52" s="399" t="s">
        <v>132</v>
      </c>
      <c r="BD52" s="399"/>
      <c r="BE52" s="399"/>
      <c r="BF52" s="394" t="str">
        <f>ادخال1!$CC$8</f>
        <v>تاجوراء</v>
      </c>
      <c r="BG52" s="395"/>
    </row>
    <row r="53" spans="1:59" ht="45" customHeight="1" x14ac:dyDescent="0.25">
      <c r="A53" s="180" t="s">
        <v>133</v>
      </c>
      <c r="B53" s="398" t="str">
        <f>IFERROR(VLOOKUP(A45,مسلسل,2,0),0)</f>
        <v>عبد العاطى احمد محمود محمد</v>
      </c>
      <c r="C53" s="398">
        <f t="shared" ref="C53" si="56">IFERROR(VLOOKUP(B53,مسلسل,2,0),0)</f>
        <v>0</v>
      </c>
      <c r="D53" s="398">
        <f t="shared" ref="D53" si="57">IFERROR(VLOOKUP(C53,مسلسل,2,0),0)</f>
        <v>0</v>
      </c>
      <c r="E53" s="398">
        <f t="shared" ref="E53" si="58">IFERROR(VLOOKUP(D53,مسلسل,2,0),0)</f>
        <v>0</v>
      </c>
      <c r="F53" s="398">
        <f t="shared" ref="F53" si="59">IFERROR(VLOOKUP(E53,مسلسل,2,0),0)</f>
        <v>0</v>
      </c>
      <c r="G53" s="398">
        <f t="shared" ref="G53" si="60">IFERROR(VLOOKUP(F53,مسلسل,2,0),0)</f>
        <v>0</v>
      </c>
      <c r="H53" s="398">
        <f t="shared" ref="H53" si="61">IFERROR(VLOOKUP(G53,مسلسل,2,0),0)</f>
        <v>0</v>
      </c>
      <c r="I53" s="398">
        <f t="shared" ref="I53" si="62">IFERROR(VLOOKUP(H53,مسلسل,2,0),0)</f>
        <v>0</v>
      </c>
      <c r="J53" s="399" t="s">
        <v>134</v>
      </c>
      <c r="K53" s="399"/>
      <c r="L53" s="399"/>
      <c r="M53" s="394" t="str">
        <f>IFERROR(VLOOKUP(B53,اسماء,66,0),"")</f>
        <v>محمد</v>
      </c>
      <c r="N53" s="395"/>
      <c r="P53" s="180" t="s">
        <v>133</v>
      </c>
      <c r="Q53" s="398" t="str">
        <f>IFERROR(VLOOKUP(P45,مسلسل,2,0),0)</f>
        <v>امجد عمر عبداللطيف سلطان</v>
      </c>
      <c r="R53" s="398">
        <f t="shared" ref="R53" si="63">IFERROR(VLOOKUP(Q53,مسلسل,2,0),0)</f>
        <v>0</v>
      </c>
      <c r="S53" s="398">
        <f t="shared" ref="S53" si="64">IFERROR(VLOOKUP(R53,مسلسل,2,0),0)</f>
        <v>0</v>
      </c>
      <c r="T53" s="398">
        <f t="shared" ref="T53" si="65">IFERROR(VLOOKUP(S53,مسلسل,2,0),0)</f>
        <v>0</v>
      </c>
      <c r="U53" s="398">
        <f t="shared" ref="U53" si="66">IFERROR(VLOOKUP(T53,مسلسل,2,0),0)</f>
        <v>0</v>
      </c>
      <c r="V53" s="398">
        <f t="shared" ref="V53" si="67">IFERROR(VLOOKUP(U53,مسلسل,2,0),0)</f>
        <v>0</v>
      </c>
      <c r="W53" s="398">
        <f t="shared" ref="W53" si="68">IFERROR(VLOOKUP(V53,مسلسل,2,0),0)</f>
        <v>0</v>
      </c>
      <c r="X53" s="398">
        <f t="shared" ref="X53" si="69">IFERROR(VLOOKUP(W53,مسلسل,2,0),0)</f>
        <v>0</v>
      </c>
      <c r="Y53" s="399" t="s">
        <v>134</v>
      </c>
      <c r="Z53" s="399"/>
      <c r="AA53" s="399"/>
      <c r="AB53" s="394" t="str">
        <f>IFERROR(VLOOKUP(Q53,اسماء,66,0),"")</f>
        <v>سلطان</v>
      </c>
      <c r="AC53" s="395"/>
      <c r="AE53" s="180" t="s">
        <v>133</v>
      </c>
      <c r="AF53" s="398">
        <f>IFERROR(VLOOKUP(AE45,مسلسل,2,0),0)</f>
        <v>0</v>
      </c>
      <c r="AG53" s="398">
        <f t="shared" ref="AG53" si="70">IFERROR(VLOOKUP(AF53,مسلسل,2,0),0)</f>
        <v>0</v>
      </c>
      <c r="AH53" s="398">
        <f t="shared" ref="AH53" si="71">IFERROR(VLOOKUP(AG53,مسلسل,2,0),0)</f>
        <v>0</v>
      </c>
      <c r="AI53" s="398">
        <f t="shared" ref="AI53" si="72">IFERROR(VLOOKUP(AH53,مسلسل,2,0),0)</f>
        <v>0</v>
      </c>
      <c r="AJ53" s="398">
        <f t="shared" ref="AJ53" si="73">IFERROR(VLOOKUP(AI53,مسلسل,2,0),0)</f>
        <v>0</v>
      </c>
      <c r="AK53" s="398">
        <f t="shared" ref="AK53" si="74">IFERROR(VLOOKUP(AJ53,مسلسل,2,0),0)</f>
        <v>0</v>
      </c>
      <c r="AL53" s="398">
        <f t="shared" ref="AL53" si="75">IFERROR(VLOOKUP(AK53,مسلسل,2,0),0)</f>
        <v>0</v>
      </c>
      <c r="AM53" s="398">
        <f t="shared" ref="AM53" si="76">IFERROR(VLOOKUP(AL53,مسلسل,2,0),0)</f>
        <v>0</v>
      </c>
      <c r="AN53" s="399" t="s">
        <v>134</v>
      </c>
      <c r="AO53" s="399"/>
      <c r="AP53" s="399"/>
      <c r="AQ53" s="394" t="str">
        <f>IFERROR(VLOOKUP(AF53,اسماء,66,0),"")</f>
        <v/>
      </c>
      <c r="AR53" s="395"/>
      <c r="AT53" s="180" t="s">
        <v>133</v>
      </c>
      <c r="AU53" s="398">
        <f>IFERROR(VLOOKUP(AT45,مسلسل,2,0),0)</f>
        <v>0</v>
      </c>
      <c r="AV53" s="398">
        <f t="shared" ref="AV53" si="77">IFERROR(VLOOKUP(AU53,مسلسل,2,0),0)</f>
        <v>0</v>
      </c>
      <c r="AW53" s="398">
        <f t="shared" ref="AW53" si="78">IFERROR(VLOOKUP(AV53,مسلسل,2,0),0)</f>
        <v>0</v>
      </c>
      <c r="AX53" s="398">
        <f t="shared" ref="AX53" si="79">IFERROR(VLOOKUP(AW53,مسلسل,2,0),0)</f>
        <v>0</v>
      </c>
      <c r="AY53" s="398">
        <f t="shared" ref="AY53" si="80">IFERROR(VLOOKUP(AX53,مسلسل,2,0),0)</f>
        <v>0</v>
      </c>
      <c r="AZ53" s="398">
        <f t="shared" ref="AZ53" si="81">IFERROR(VLOOKUP(AY53,مسلسل,2,0),0)</f>
        <v>0</v>
      </c>
      <c r="BA53" s="398">
        <f t="shared" ref="BA53" si="82">IFERROR(VLOOKUP(AZ53,مسلسل,2,0),0)</f>
        <v>0</v>
      </c>
      <c r="BB53" s="398">
        <f t="shared" ref="BB53" si="83">IFERROR(VLOOKUP(BA53,مسلسل,2,0),0)</f>
        <v>0</v>
      </c>
      <c r="BC53" s="399" t="s">
        <v>134</v>
      </c>
      <c r="BD53" s="399"/>
      <c r="BE53" s="399"/>
      <c r="BF53" s="394" t="str">
        <f>IFERROR(VLOOKUP(AU53,اسماء,66,0),"")</f>
        <v/>
      </c>
      <c r="BG53" s="395"/>
    </row>
    <row r="54" spans="1:59" ht="45" customHeight="1" x14ac:dyDescent="0.25">
      <c r="A54" s="180" t="s">
        <v>135</v>
      </c>
      <c r="B54" s="385" t="str">
        <f>IFERROR(VLOOKUP(B53,اسماء,79,0),"")</f>
        <v>طرابلس</v>
      </c>
      <c r="C54" s="385"/>
      <c r="D54" s="385"/>
      <c r="E54" s="396">
        <f>IFERROR(VLOOKUP(B53,اسماء,2,0),"")</f>
        <v>42784</v>
      </c>
      <c r="F54" s="396"/>
      <c r="G54" s="396"/>
      <c r="H54" s="396"/>
      <c r="I54" s="397" t="s">
        <v>136</v>
      </c>
      <c r="J54" s="397"/>
      <c r="K54" s="397"/>
      <c r="L54" s="397"/>
      <c r="M54" s="394" t="str">
        <f>IFERROR(VLOOKUP(B53,اسماء,3,0),"")</f>
        <v>فاطمة السيد محمد امحمد</v>
      </c>
      <c r="N54" s="395"/>
      <c r="P54" s="180" t="s">
        <v>135</v>
      </c>
      <c r="Q54" s="385" t="str">
        <f>IFERROR(VLOOKUP(Q53,اسماء,79,0),"")</f>
        <v>تاجوراء</v>
      </c>
      <c r="R54" s="385"/>
      <c r="S54" s="385"/>
      <c r="T54" s="396">
        <f>IFERROR(VLOOKUP(Q53,اسماء,2,0),"")</f>
        <v>42849</v>
      </c>
      <c r="U54" s="396"/>
      <c r="V54" s="396"/>
      <c r="W54" s="396"/>
      <c r="X54" s="397" t="s">
        <v>136</v>
      </c>
      <c r="Y54" s="397"/>
      <c r="Z54" s="397"/>
      <c r="AA54" s="397"/>
      <c r="AB54" s="394" t="str">
        <f>IFERROR(VLOOKUP(Q53,اسماء,3,0),"")</f>
        <v>الهام احمد مصباح</v>
      </c>
      <c r="AC54" s="395"/>
      <c r="AE54" s="180" t="s">
        <v>135</v>
      </c>
      <c r="AF54" s="385" t="str">
        <f>IFERROR(VLOOKUP(AF53,اسماء,79,0),"")</f>
        <v/>
      </c>
      <c r="AG54" s="385"/>
      <c r="AH54" s="385"/>
      <c r="AI54" s="396" t="str">
        <f>IFERROR(VLOOKUP(AF53,اسماء,2,0),"")</f>
        <v/>
      </c>
      <c r="AJ54" s="396"/>
      <c r="AK54" s="396"/>
      <c r="AL54" s="396"/>
      <c r="AM54" s="397" t="s">
        <v>136</v>
      </c>
      <c r="AN54" s="397"/>
      <c r="AO54" s="397"/>
      <c r="AP54" s="397"/>
      <c r="AQ54" s="394" t="str">
        <f>IFERROR(VLOOKUP(AF53,اسماء,3,0),"")</f>
        <v/>
      </c>
      <c r="AR54" s="395"/>
      <c r="AT54" s="180" t="s">
        <v>135</v>
      </c>
      <c r="AU54" s="385" t="str">
        <f>IFERROR(VLOOKUP(AU53,اسماء,79,0),"")</f>
        <v/>
      </c>
      <c r="AV54" s="385"/>
      <c r="AW54" s="385"/>
      <c r="AX54" s="396" t="str">
        <f>IFERROR(VLOOKUP(AU53,اسماء,2,0),"")</f>
        <v/>
      </c>
      <c r="AY54" s="396"/>
      <c r="AZ54" s="396"/>
      <c r="BA54" s="396"/>
      <c r="BB54" s="397" t="s">
        <v>136</v>
      </c>
      <c r="BC54" s="397"/>
      <c r="BD54" s="397"/>
      <c r="BE54" s="397"/>
      <c r="BF54" s="394" t="str">
        <f>IFERROR(VLOOKUP(AU53,اسماء,3,0),"")</f>
        <v/>
      </c>
      <c r="BG54" s="395"/>
    </row>
    <row r="55" spans="1:59" ht="35.1" customHeight="1" x14ac:dyDescent="0.25">
      <c r="A55" s="180" t="s">
        <v>137</v>
      </c>
      <c r="B55" s="181" t="str">
        <f>IFERROR(VLOOKUP(B53,اسماء,67,0),"")</f>
        <v>3</v>
      </c>
      <c r="C55" s="181" t="str">
        <f>IFERROR(VLOOKUP(B53,اسماء,68,0),"")</f>
        <v>3</v>
      </c>
      <c r="D55" s="181" t="str">
        <f>IFERROR(VLOOKUP(B53,اسماء,69,0),"")</f>
        <v>4</v>
      </c>
      <c r="E55" s="181" t="str">
        <f>IFERROR(VLOOKUP(B53,اسماء,70,0),"")</f>
        <v>8</v>
      </c>
      <c r="F55" s="181" t="str">
        <f>IFERROR(VLOOKUP(B53,اسماء,71,0),"")</f>
        <v>7</v>
      </c>
      <c r="G55" s="181" t="str">
        <f>IFERROR(VLOOKUP(B53,اسماء,72,0),"")</f>
        <v>1</v>
      </c>
      <c r="H55" s="181" t="str">
        <f>IFERROR(VLOOKUP(B53,اسماء,73,0),"")</f>
        <v>1</v>
      </c>
      <c r="I55" s="181" t="str">
        <f>IFERROR(VLOOKUP(B53,اسماء,74,0),"")</f>
        <v>7</v>
      </c>
      <c r="J55" s="181" t="str">
        <f>IFERROR(VLOOKUP(B53,اسماء,75,0),"")</f>
        <v>1</v>
      </c>
      <c r="K55" s="181" t="str">
        <f>IFERROR(VLOOKUP(B53,اسماء,76,0),"")</f>
        <v>0</v>
      </c>
      <c r="L55" s="181" t="str">
        <f>IFERROR(VLOOKUP(B53,اسماء,77,0),"")</f>
        <v>2</v>
      </c>
      <c r="M55" s="181" t="str">
        <f>IFERROR(VLOOKUP(B53,اسماء,78,0),"")</f>
        <v>1</v>
      </c>
      <c r="N55" s="339"/>
      <c r="P55" s="180" t="s">
        <v>137</v>
      </c>
      <c r="Q55" s="181" t="str">
        <f>IFERROR(VLOOKUP(Q53,اسماء,67,0),"")</f>
        <v>4</v>
      </c>
      <c r="R55" s="181" t="str">
        <f>IFERROR(VLOOKUP(Q53,اسماء,68,0),"")</f>
        <v>5</v>
      </c>
      <c r="S55" s="181" t="str">
        <f>IFERROR(VLOOKUP(Q53,اسماء,69,0),"")</f>
        <v>4</v>
      </c>
      <c r="T55" s="181" t="str">
        <f>IFERROR(VLOOKUP(Q53,اسماء,70,0),"")</f>
        <v>6</v>
      </c>
      <c r="U55" s="181" t="str">
        <f>IFERROR(VLOOKUP(Q53,اسماء,71,0),"")</f>
        <v>6</v>
      </c>
      <c r="V55" s="181" t="str">
        <f>IFERROR(VLOOKUP(Q53,اسماء,72,0),"")</f>
        <v>1</v>
      </c>
      <c r="W55" s="181" t="str">
        <f>IFERROR(VLOOKUP(Q53,اسماء,73,0),"")</f>
        <v>1</v>
      </c>
      <c r="X55" s="181" t="str">
        <f>IFERROR(VLOOKUP(Q53,اسماء,74,0),"")</f>
        <v>7</v>
      </c>
      <c r="Y55" s="181" t="str">
        <f>IFERROR(VLOOKUP(Q53,اسماء,75,0),"")</f>
        <v>1</v>
      </c>
      <c r="Z55" s="181" t="str">
        <f>IFERROR(VLOOKUP(Q53,اسماء,76,0),"")</f>
        <v>0</v>
      </c>
      <c r="AA55" s="181" t="str">
        <f>IFERROR(VLOOKUP(Q53,اسماء,77,0),"")</f>
        <v>2</v>
      </c>
      <c r="AB55" s="181" t="str">
        <f>IFERROR(VLOOKUP(Q53,اسماء,78,0),"")</f>
        <v>1</v>
      </c>
      <c r="AC55" s="339"/>
      <c r="AE55" s="180" t="s">
        <v>137</v>
      </c>
      <c r="AF55" s="181" t="str">
        <f>IFERROR(VLOOKUP(AF53,اسماء,67,0),"")</f>
        <v/>
      </c>
      <c r="AG55" s="181" t="str">
        <f>IFERROR(VLOOKUP(AF53,اسماء,68,0),"")</f>
        <v/>
      </c>
      <c r="AH55" s="181" t="str">
        <f>IFERROR(VLOOKUP(AF53,اسماء,69,0),"")</f>
        <v/>
      </c>
      <c r="AI55" s="181" t="str">
        <f>IFERROR(VLOOKUP(AF53,اسماء,70,0),"")</f>
        <v/>
      </c>
      <c r="AJ55" s="181" t="str">
        <f>IFERROR(VLOOKUP(AF53,اسماء,71,0),"")</f>
        <v/>
      </c>
      <c r="AK55" s="181" t="str">
        <f>IFERROR(VLOOKUP(AF53,اسماء,72,0),"")</f>
        <v/>
      </c>
      <c r="AL55" s="181" t="str">
        <f>IFERROR(VLOOKUP(AF53,اسماء,73,0),"")</f>
        <v/>
      </c>
      <c r="AM55" s="181" t="str">
        <f>IFERROR(VLOOKUP(AF53,اسماء,74,0),"")</f>
        <v/>
      </c>
      <c r="AN55" s="181" t="str">
        <f>IFERROR(VLOOKUP(AF53,اسماء,75,0),"")</f>
        <v/>
      </c>
      <c r="AO55" s="181" t="str">
        <f>IFERROR(VLOOKUP(AF53,اسماء,76,0),"")</f>
        <v/>
      </c>
      <c r="AP55" s="181" t="str">
        <f>IFERROR(VLOOKUP(AF53,اسماء,77,0),"")</f>
        <v/>
      </c>
      <c r="AQ55" s="181" t="str">
        <f>IFERROR(VLOOKUP(AF53,اسماء,78,0),"")</f>
        <v/>
      </c>
      <c r="AR55" s="339"/>
      <c r="AT55" s="180" t="s">
        <v>137</v>
      </c>
      <c r="AU55" s="181" t="str">
        <f>IFERROR(VLOOKUP(AU53,اسماء,67,0),"")</f>
        <v/>
      </c>
      <c r="AV55" s="181" t="str">
        <f>IFERROR(VLOOKUP(AU53,اسماء,68,0),"")</f>
        <v/>
      </c>
      <c r="AW55" s="181" t="str">
        <f>IFERROR(VLOOKUP(AU53,اسماء,69,0),"")</f>
        <v/>
      </c>
      <c r="AX55" s="181" t="str">
        <f>IFERROR(VLOOKUP(AU53,اسماء,70,0),"")</f>
        <v/>
      </c>
      <c r="AY55" s="181" t="str">
        <f>IFERROR(VLOOKUP(AU53,اسماء,71,0),"")</f>
        <v/>
      </c>
      <c r="AZ55" s="181" t="str">
        <f>IFERROR(VLOOKUP(AU53,اسماء,72,0),"")</f>
        <v/>
      </c>
      <c r="BA55" s="181" t="str">
        <f>IFERROR(VLOOKUP(AU53,اسماء,73,0),"")</f>
        <v/>
      </c>
      <c r="BB55" s="181" t="str">
        <f>IFERROR(VLOOKUP(AU53,اسماء,74,0),"")</f>
        <v/>
      </c>
      <c r="BC55" s="181" t="str">
        <f>IFERROR(VLOOKUP(AU53,اسماء,75,0),"")</f>
        <v/>
      </c>
      <c r="BD55" s="181" t="str">
        <f>IFERROR(VLOOKUP(AU53,اسماء,76,0),"")</f>
        <v/>
      </c>
      <c r="BE55" s="181" t="str">
        <f>IFERROR(VLOOKUP(AU53,اسماء,77,0),"")</f>
        <v/>
      </c>
      <c r="BF55" s="181" t="str">
        <f>IFERROR(VLOOKUP(AU53,اسماء,78,0),"")</f>
        <v/>
      </c>
      <c r="BG55" s="339"/>
    </row>
    <row r="56" spans="1:59" ht="45" customHeight="1" x14ac:dyDescent="0.25">
      <c r="A56" s="180" t="s">
        <v>138</v>
      </c>
      <c r="B56" s="394" t="str">
        <f>IFERROR(VLOOKUP(B53,اسماء,80,0),"")</f>
        <v>ليبي</v>
      </c>
      <c r="C56" s="394"/>
      <c r="D56" s="394"/>
      <c r="E56" s="394"/>
      <c r="F56" s="394"/>
      <c r="G56" s="385" t="s">
        <v>139</v>
      </c>
      <c r="H56" s="385"/>
      <c r="I56" s="385" t="s">
        <v>140</v>
      </c>
      <c r="J56" s="385"/>
      <c r="K56" s="394" t="str">
        <f>IFERROR(VLOOKUP(B53,اسماء,81,0),"")</f>
        <v>مستجد</v>
      </c>
      <c r="L56" s="394"/>
      <c r="M56" s="394"/>
      <c r="N56" s="395"/>
      <c r="P56" s="180" t="s">
        <v>138</v>
      </c>
      <c r="Q56" s="394" t="str">
        <f>IFERROR(VLOOKUP(Q53,اسماء,80,0),"")</f>
        <v>ليبي</v>
      </c>
      <c r="R56" s="394"/>
      <c r="S56" s="394"/>
      <c r="T56" s="394"/>
      <c r="U56" s="394"/>
      <c r="V56" s="385" t="s">
        <v>139</v>
      </c>
      <c r="W56" s="385"/>
      <c r="X56" s="385" t="s">
        <v>140</v>
      </c>
      <c r="Y56" s="385"/>
      <c r="Z56" s="394" t="str">
        <f>IFERROR(VLOOKUP(Q53,اسماء,81,0),"")</f>
        <v>مستجد</v>
      </c>
      <c r="AA56" s="394"/>
      <c r="AB56" s="394"/>
      <c r="AC56" s="395"/>
      <c r="AE56" s="180" t="s">
        <v>138</v>
      </c>
      <c r="AF56" s="394" t="str">
        <f>IFERROR(VLOOKUP(AF53,اسماء,80,0),"")</f>
        <v/>
      </c>
      <c r="AG56" s="394"/>
      <c r="AH56" s="394"/>
      <c r="AI56" s="394"/>
      <c r="AJ56" s="394"/>
      <c r="AK56" s="385" t="s">
        <v>139</v>
      </c>
      <c r="AL56" s="385"/>
      <c r="AM56" s="385" t="s">
        <v>140</v>
      </c>
      <c r="AN56" s="385"/>
      <c r="AO56" s="394" t="str">
        <f>IFERROR(VLOOKUP(AF53,اسماء,81,0),"")</f>
        <v/>
      </c>
      <c r="AP56" s="394"/>
      <c r="AQ56" s="394"/>
      <c r="AR56" s="395"/>
      <c r="AT56" s="180" t="s">
        <v>138</v>
      </c>
      <c r="AU56" s="394" t="str">
        <f>IFERROR(VLOOKUP(AU53,اسماء,80,0),"")</f>
        <v/>
      </c>
      <c r="AV56" s="394"/>
      <c r="AW56" s="394"/>
      <c r="AX56" s="394"/>
      <c r="AY56" s="394"/>
      <c r="AZ56" s="385" t="s">
        <v>139</v>
      </c>
      <c r="BA56" s="385"/>
      <c r="BB56" s="385" t="s">
        <v>140</v>
      </c>
      <c r="BC56" s="385"/>
      <c r="BD56" s="394" t="str">
        <f>IFERROR(VLOOKUP(AU53,اسماء,81,0),"")</f>
        <v/>
      </c>
      <c r="BE56" s="394"/>
      <c r="BF56" s="394"/>
      <c r="BG56" s="395"/>
    </row>
    <row r="57" spans="1:59" ht="45" customHeight="1" x14ac:dyDescent="0.25">
      <c r="A57" s="180" t="s">
        <v>141</v>
      </c>
      <c r="B57" s="394" t="str">
        <f>IFERROR(VLOOKUP(B53,اسماء,83,0),"")</f>
        <v>ريمة صالح المختار</v>
      </c>
      <c r="C57" s="394"/>
      <c r="D57" s="394"/>
      <c r="E57" s="394"/>
      <c r="F57" s="394"/>
      <c r="G57" s="385" t="s">
        <v>124</v>
      </c>
      <c r="H57" s="385"/>
      <c r="I57" s="385"/>
      <c r="J57" s="385"/>
      <c r="K57" s="394" t="str">
        <f>IFERROR(VLOOKUP(B53,اسماء,82,0),"")</f>
        <v>نظامي</v>
      </c>
      <c r="L57" s="394"/>
      <c r="M57" s="394"/>
      <c r="N57" s="395"/>
      <c r="P57" s="180" t="s">
        <v>141</v>
      </c>
      <c r="Q57" s="394" t="str">
        <f>IFERROR(VLOOKUP(Q53,اسماء,83,0),"")</f>
        <v>ريمة صالح المختار</v>
      </c>
      <c r="R57" s="394"/>
      <c r="S57" s="394"/>
      <c r="T57" s="394"/>
      <c r="U57" s="394"/>
      <c r="V57" s="385" t="s">
        <v>124</v>
      </c>
      <c r="W57" s="385"/>
      <c r="X57" s="385"/>
      <c r="Y57" s="385"/>
      <c r="Z57" s="394" t="str">
        <f>IFERROR(VLOOKUP(Q53,اسماء,82,0),"")</f>
        <v>نظامي</v>
      </c>
      <c r="AA57" s="394"/>
      <c r="AB57" s="394"/>
      <c r="AC57" s="395"/>
      <c r="AE57" s="180" t="s">
        <v>141</v>
      </c>
      <c r="AF57" s="394" t="str">
        <f>IFERROR(VLOOKUP(AF53,اسماء,83,0),"")</f>
        <v/>
      </c>
      <c r="AG57" s="394"/>
      <c r="AH57" s="394"/>
      <c r="AI57" s="394"/>
      <c r="AJ57" s="394"/>
      <c r="AK57" s="385" t="s">
        <v>124</v>
      </c>
      <c r="AL57" s="385"/>
      <c r="AM57" s="385"/>
      <c r="AN57" s="385"/>
      <c r="AO57" s="394" t="str">
        <f>IFERROR(VLOOKUP(AF53,اسماء,82,0),"")</f>
        <v/>
      </c>
      <c r="AP57" s="394"/>
      <c r="AQ57" s="394"/>
      <c r="AR57" s="395"/>
      <c r="AT57" s="180" t="s">
        <v>141</v>
      </c>
      <c r="AU57" s="394" t="str">
        <f>IFERROR(VLOOKUP(AU53,اسماء,83,0),"")</f>
        <v/>
      </c>
      <c r="AV57" s="394"/>
      <c r="AW57" s="394"/>
      <c r="AX57" s="394"/>
      <c r="AY57" s="394"/>
      <c r="AZ57" s="385" t="s">
        <v>124</v>
      </c>
      <c r="BA57" s="385"/>
      <c r="BB57" s="385"/>
      <c r="BC57" s="385"/>
      <c r="BD57" s="394" t="str">
        <f>IFERROR(VLOOKUP(AU53,اسماء,82,0),"")</f>
        <v/>
      </c>
      <c r="BE57" s="394"/>
      <c r="BF57" s="394"/>
      <c r="BG57" s="395"/>
    </row>
    <row r="58" spans="1:59" ht="45" customHeight="1" thickBot="1" x14ac:dyDescent="0.3">
      <c r="A58" s="388" t="s">
        <v>142</v>
      </c>
      <c r="B58" s="389"/>
      <c r="C58" s="389"/>
      <c r="D58" s="389"/>
      <c r="E58" s="389"/>
      <c r="F58" s="389"/>
      <c r="G58" s="389"/>
      <c r="H58" s="389"/>
      <c r="I58" s="389"/>
      <c r="J58" s="389"/>
      <c r="K58" s="389"/>
      <c r="L58" s="389"/>
      <c r="M58" s="389"/>
      <c r="N58" s="390"/>
      <c r="P58" s="388" t="s">
        <v>142</v>
      </c>
      <c r="Q58" s="389"/>
      <c r="R58" s="389"/>
      <c r="S58" s="389"/>
      <c r="T58" s="389"/>
      <c r="U58" s="389"/>
      <c r="V58" s="389"/>
      <c r="W58" s="389"/>
      <c r="X58" s="389"/>
      <c r="Y58" s="389"/>
      <c r="Z58" s="389"/>
      <c r="AA58" s="389"/>
      <c r="AB58" s="389"/>
      <c r="AC58" s="390"/>
      <c r="AE58" s="388" t="s">
        <v>142</v>
      </c>
      <c r="AF58" s="389"/>
      <c r="AG58" s="389"/>
      <c r="AH58" s="389"/>
      <c r="AI58" s="389"/>
      <c r="AJ58" s="389"/>
      <c r="AK58" s="389"/>
      <c r="AL58" s="389"/>
      <c r="AM58" s="389"/>
      <c r="AN58" s="389"/>
      <c r="AO58" s="389"/>
      <c r="AP58" s="389"/>
      <c r="AQ58" s="389"/>
      <c r="AR58" s="390"/>
      <c r="AT58" s="388" t="s">
        <v>142</v>
      </c>
      <c r="AU58" s="389"/>
      <c r="AV58" s="389"/>
      <c r="AW58" s="389"/>
      <c r="AX58" s="389"/>
      <c r="AY58" s="389"/>
      <c r="AZ58" s="389"/>
      <c r="BA58" s="389"/>
      <c r="BB58" s="389"/>
      <c r="BC58" s="389"/>
      <c r="BD58" s="389"/>
      <c r="BE58" s="389"/>
      <c r="BF58" s="389"/>
      <c r="BG58" s="390"/>
    </row>
    <row r="59" spans="1:59" ht="45" customHeight="1" thickTop="1" x14ac:dyDescent="0.4">
      <c r="A59" s="391" t="s">
        <v>143</v>
      </c>
      <c r="B59" s="392"/>
      <c r="C59" s="392"/>
      <c r="D59" s="392"/>
      <c r="E59" s="392"/>
      <c r="F59" s="392"/>
      <c r="G59" s="392"/>
      <c r="H59" s="392"/>
      <c r="I59" s="392"/>
      <c r="J59" s="392"/>
      <c r="K59" s="392"/>
      <c r="L59" s="392"/>
      <c r="M59" s="392"/>
      <c r="N59" s="393"/>
      <c r="P59" s="391" t="s">
        <v>143</v>
      </c>
      <c r="Q59" s="392"/>
      <c r="R59" s="392"/>
      <c r="S59" s="392"/>
      <c r="T59" s="392"/>
      <c r="U59" s="392"/>
      <c r="V59" s="392"/>
      <c r="W59" s="392"/>
      <c r="X59" s="392"/>
      <c r="Y59" s="392"/>
      <c r="Z59" s="392"/>
      <c r="AA59" s="392"/>
      <c r="AB59" s="392"/>
      <c r="AC59" s="393"/>
      <c r="AE59" s="391" t="s">
        <v>143</v>
      </c>
      <c r="AF59" s="392"/>
      <c r="AG59" s="392"/>
      <c r="AH59" s="392"/>
      <c r="AI59" s="392"/>
      <c r="AJ59" s="392"/>
      <c r="AK59" s="392"/>
      <c r="AL59" s="392"/>
      <c r="AM59" s="392"/>
      <c r="AN59" s="392"/>
      <c r="AO59" s="392"/>
      <c r="AP59" s="392"/>
      <c r="AQ59" s="392"/>
      <c r="AR59" s="393"/>
      <c r="AT59" s="391" t="s">
        <v>143</v>
      </c>
      <c r="AU59" s="392"/>
      <c r="AV59" s="392"/>
      <c r="AW59" s="392"/>
      <c r="AX59" s="392"/>
      <c r="AY59" s="392"/>
      <c r="AZ59" s="392"/>
      <c r="BA59" s="392"/>
      <c r="BB59" s="392"/>
      <c r="BC59" s="392"/>
      <c r="BD59" s="392"/>
      <c r="BE59" s="392"/>
      <c r="BF59" s="392"/>
      <c r="BG59" s="393"/>
    </row>
    <row r="60" spans="1:59" s="63" customFormat="1" ht="33" customHeight="1" x14ac:dyDescent="0.25">
      <c r="A60" s="387" t="s">
        <v>162</v>
      </c>
      <c r="B60" s="385"/>
      <c r="C60" s="385"/>
      <c r="D60" s="385"/>
      <c r="E60" s="385"/>
      <c r="F60" s="385"/>
      <c r="G60" s="385"/>
      <c r="H60" s="385"/>
      <c r="I60" s="385"/>
      <c r="J60" s="385"/>
      <c r="K60" s="385"/>
      <c r="L60" s="385"/>
      <c r="M60" s="385"/>
      <c r="N60" s="386"/>
      <c r="P60" s="387" t="s">
        <v>162</v>
      </c>
      <c r="Q60" s="385"/>
      <c r="R60" s="385"/>
      <c r="S60" s="385"/>
      <c r="T60" s="385"/>
      <c r="U60" s="385"/>
      <c r="V60" s="385"/>
      <c r="W60" s="385"/>
      <c r="X60" s="385"/>
      <c r="Y60" s="385"/>
      <c r="Z60" s="385"/>
      <c r="AA60" s="385"/>
      <c r="AB60" s="385"/>
      <c r="AC60" s="386"/>
      <c r="AE60" s="387" t="s">
        <v>162</v>
      </c>
      <c r="AF60" s="385"/>
      <c r="AG60" s="385"/>
      <c r="AH60" s="385"/>
      <c r="AI60" s="385"/>
      <c r="AJ60" s="385"/>
      <c r="AK60" s="385"/>
      <c r="AL60" s="385"/>
      <c r="AM60" s="385"/>
      <c r="AN60" s="385"/>
      <c r="AO60" s="385"/>
      <c r="AP60" s="385"/>
      <c r="AQ60" s="385"/>
      <c r="AR60" s="386"/>
      <c r="AT60" s="387" t="s">
        <v>162</v>
      </c>
      <c r="AU60" s="385"/>
      <c r="AV60" s="385"/>
      <c r="AW60" s="385"/>
      <c r="AX60" s="385"/>
      <c r="AY60" s="385"/>
      <c r="AZ60" s="385"/>
      <c r="BA60" s="385"/>
      <c r="BB60" s="385"/>
      <c r="BC60" s="385"/>
      <c r="BD60" s="385"/>
      <c r="BE60" s="385"/>
      <c r="BF60" s="385"/>
      <c r="BG60" s="386"/>
    </row>
    <row r="61" spans="1:59" ht="33" customHeight="1" x14ac:dyDescent="0.4">
      <c r="A61" s="383" t="s">
        <v>144</v>
      </c>
      <c r="B61" s="384"/>
      <c r="C61" s="384"/>
      <c r="D61" s="384"/>
      <c r="E61" s="384"/>
      <c r="F61" s="384"/>
      <c r="G61" s="385"/>
      <c r="H61" s="385"/>
      <c r="I61" s="385"/>
      <c r="J61" s="385"/>
      <c r="K61" s="385"/>
      <c r="L61" s="385"/>
      <c r="M61" s="385"/>
      <c r="N61" s="386"/>
      <c r="P61" s="383" t="s">
        <v>144</v>
      </c>
      <c r="Q61" s="384"/>
      <c r="R61" s="384"/>
      <c r="S61" s="384"/>
      <c r="T61" s="384"/>
      <c r="U61" s="384"/>
      <c r="V61" s="385"/>
      <c r="W61" s="385"/>
      <c r="X61" s="385"/>
      <c r="Y61" s="385"/>
      <c r="Z61" s="385"/>
      <c r="AA61" s="385"/>
      <c r="AB61" s="385"/>
      <c r="AC61" s="386"/>
      <c r="AE61" s="383" t="s">
        <v>144</v>
      </c>
      <c r="AF61" s="384"/>
      <c r="AG61" s="384"/>
      <c r="AH61" s="384"/>
      <c r="AI61" s="384"/>
      <c r="AJ61" s="384"/>
      <c r="AK61" s="385"/>
      <c r="AL61" s="385"/>
      <c r="AM61" s="385"/>
      <c r="AN61" s="385"/>
      <c r="AO61" s="385"/>
      <c r="AP61" s="385"/>
      <c r="AQ61" s="385"/>
      <c r="AR61" s="386"/>
      <c r="AT61" s="383" t="s">
        <v>144</v>
      </c>
      <c r="AU61" s="384"/>
      <c r="AV61" s="384"/>
      <c r="AW61" s="384"/>
      <c r="AX61" s="384"/>
      <c r="AY61" s="384"/>
      <c r="AZ61" s="385"/>
      <c r="BA61" s="385"/>
      <c r="BB61" s="385"/>
      <c r="BC61" s="385"/>
      <c r="BD61" s="385"/>
      <c r="BE61" s="385"/>
      <c r="BF61" s="385"/>
      <c r="BG61" s="386"/>
    </row>
    <row r="62" spans="1:59" s="184" customFormat="1" ht="30" customHeight="1" x14ac:dyDescent="0.4">
      <c r="A62" s="180" t="s">
        <v>145</v>
      </c>
      <c r="B62" s="182"/>
      <c r="C62" s="182"/>
      <c r="D62" s="182"/>
      <c r="E62" s="182"/>
      <c r="F62" s="182"/>
      <c r="G62" s="182"/>
      <c r="H62" s="182"/>
      <c r="I62" s="182"/>
      <c r="J62" s="182"/>
      <c r="K62" s="182"/>
      <c r="L62" s="182"/>
      <c r="M62" s="182"/>
      <c r="N62" s="183" t="s">
        <v>146</v>
      </c>
      <c r="P62" s="180" t="s">
        <v>145</v>
      </c>
      <c r="Q62" s="182"/>
      <c r="R62" s="182"/>
      <c r="S62" s="182"/>
      <c r="T62" s="182"/>
      <c r="U62" s="182"/>
      <c r="V62" s="182"/>
      <c r="W62" s="182"/>
      <c r="X62" s="182"/>
      <c r="Y62" s="182"/>
      <c r="Z62" s="182"/>
      <c r="AA62" s="182"/>
      <c r="AB62" s="182"/>
      <c r="AC62" s="183" t="s">
        <v>146</v>
      </c>
      <c r="AE62" s="180" t="s">
        <v>145</v>
      </c>
      <c r="AF62" s="182"/>
      <c r="AG62" s="182"/>
      <c r="AH62" s="182"/>
      <c r="AI62" s="182"/>
      <c r="AJ62" s="182"/>
      <c r="AK62" s="182"/>
      <c r="AL62" s="182"/>
      <c r="AM62" s="182"/>
      <c r="AN62" s="182"/>
      <c r="AO62" s="182"/>
      <c r="AP62" s="182"/>
      <c r="AQ62" s="182"/>
      <c r="AR62" s="183" t="s">
        <v>146</v>
      </c>
      <c r="AT62" s="180" t="s">
        <v>145</v>
      </c>
      <c r="AU62" s="182"/>
      <c r="AV62" s="182"/>
      <c r="AW62" s="182"/>
      <c r="AX62" s="182"/>
      <c r="AY62" s="182"/>
      <c r="AZ62" s="182"/>
      <c r="BA62" s="182"/>
      <c r="BB62" s="182"/>
      <c r="BC62" s="182"/>
      <c r="BD62" s="182"/>
      <c r="BE62" s="182"/>
      <c r="BF62" s="182"/>
      <c r="BG62" s="183" t="s">
        <v>146</v>
      </c>
    </row>
    <row r="63" spans="1:59" ht="30" customHeight="1" x14ac:dyDescent="0.4">
      <c r="A63" s="185"/>
      <c r="B63" s="182"/>
      <c r="C63" s="182"/>
      <c r="D63" s="182"/>
      <c r="E63" s="182"/>
      <c r="F63" s="182"/>
      <c r="G63" s="182"/>
      <c r="H63" s="182"/>
      <c r="I63" s="182"/>
      <c r="J63" s="182"/>
      <c r="K63" s="182"/>
      <c r="L63" s="182"/>
      <c r="M63" s="182"/>
      <c r="N63" s="186"/>
      <c r="P63" s="185"/>
      <c r="Q63" s="182"/>
      <c r="R63" s="182"/>
      <c r="S63" s="182"/>
      <c r="T63" s="182"/>
      <c r="U63" s="182"/>
      <c r="V63" s="182"/>
      <c r="W63" s="182"/>
      <c r="X63" s="182"/>
      <c r="Y63" s="182"/>
      <c r="Z63" s="182"/>
      <c r="AA63" s="182"/>
      <c r="AB63" s="182"/>
      <c r="AC63" s="186"/>
      <c r="AE63" s="185"/>
      <c r="AF63" s="182"/>
      <c r="AG63" s="182"/>
      <c r="AH63" s="182"/>
      <c r="AI63" s="182"/>
      <c r="AJ63" s="182"/>
      <c r="AK63" s="182"/>
      <c r="AL63" s="182"/>
      <c r="AM63" s="182"/>
      <c r="AN63" s="182"/>
      <c r="AO63" s="182"/>
      <c r="AP63" s="182"/>
      <c r="AQ63" s="182"/>
      <c r="AR63" s="186"/>
      <c r="AT63" s="185"/>
      <c r="AU63" s="182"/>
      <c r="AV63" s="182"/>
      <c r="AW63" s="182"/>
      <c r="AX63" s="182"/>
      <c r="AY63" s="182"/>
      <c r="AZ63" s="182"/>
      <c r="BA63" s="182"/>
      <c r="BB63" s="182"/>
      <c r="BC63" s="182"/>
      <c r="BD63" s="182"/>
      <c r="BE63" s="182"/>
      <c r="BF63" s="182"/>
      <c r="BG63" s="186"/>
    </row>
    <row r="64" spans="1:59" ht="24.9" customHeight="1" x14ac:dyDescent="0.5">
      <c r="A64" s="187"/>
      <c r="B64" s="177"/>
      <c r="C64" s="177"/>
      <c r="D64" s="177"/>
      <c r="E64" s="177"/>
      <c r="F64" s="177"/>
      <c r="G64" s="177"/>
      <c r="H64" s="177"/>
      <c r="I64" s="177"/>
      <c r="J64" s="177"/>
      <c r="K64" s="177"/>
      <c r="L64" s="177"/>
      <c r="M64" s="177"/>
      <c r="N64" s="188"/>
      <c r="P64" s="187"/>
      <c r="Q64" s="177"/>
      <c r="R64" s="177"/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88"/>
      <c r="AE64" s="187"/>
      <c r="AF64" s="177"/>
      <c r="AG64" s="177"/>
      <c r="AH64" s="177"/>
      <c r="AI64" s="177"/>
      <c r="AJ64" s="177"/>
      <c r="AK64" s="177"/>
      <c r="AL64" s="177"/>
      <c r="AM64" s="177"/>
      <c r="AN64" s="177"/>
      <c r="AO64" s="177"/>
      <c r="AP64" s="177"/>
      <c r="AQ64" s="177"/>
      <c r="AR64" s="188"/>
      <c r="AT64" s="187"/>
      <c r="AU64" s="177"/>
      <c r="AV64" s="177"/>
      <c r="AW64" s="177"/>
      <c r="AX64" s="177"/>
      <c r="AY64" s="177"/>
      <c r="AZ64" s="177"/>
      <c r="BA64" s="177"/>
      <c r="BB64" s="177"/>
      <c r="BC64" s="177"/>
      <c r="BD64" s="177"/>
      <c r="BE64" s="177"/>
      <c r="BF64" s="177"/>
      <c r="BG64" s="188"/>
    </row>
    <row r="65" spans="1:59" ht="24.9" customHeight="1" thickBot="1" x14ac:dyDescent="0.55000000000000004">
      <c r="A65" s="189"/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1"/>
      <c r="P65" s="189"/>
      <c r="Q65" s="190"/>
      <c r="R65" s="190"/>
      <c r="S65" s="190"/>
      <c r="T65" s="190"/>
      <c r="U65" s="190"/>
      <c r="V65" s="190"/>
      <c r="W65" s="190"/>
      <c r="X65" s="190"/>
      <c r="Y65" s="190"/>
      <c r="Z65" s="190"/>
      <c r="AA65" s="190"/>
      <c r="AB65" s="190"/>
      <c r="AC65" s="191"/>
      <c r="AE65" s="189"/>
      <c r="AF65" s="190"/>
      <c r="AG65" s="190"/>
      <c r="AH65" s="190"/>
      <c r="AI65" s="190"/>
      <c r="AJ65" s="190"/>
      <c r="AK65" s="190"/>
      <c r="AL65" s="190"/>
      <c r="AM65" s="190"/>
      <c r="AN65" s="190"/>
      <c r="AO65" s="190"/>
      <c r="AP65" s="190"/>
      <c r="AQ65" s="190"/>
      <c r="AR65" s="191"/>
      <c r="AT65" s="189"/>
      <c r="AU65" s="190"/>
      <c r="AV65" s="190"/>
      <c r="AW65" s="190"/>
      <c r="AX65" s="190"/>
      <c r="AY65" s="190"/>
      <c r="AZ65" s="190"/>
      <c r="BA65" s="190"/>
      <c r="BB65" s="190"/>
      <c r="BC65" s="190"/>
      <c r="BD65" s="190"/>
      <c r="BE65" s="190"/>
      <c r="BF65" s="190"/>
      <c r="BG65" s="191"/>
    </row>
    <row r="66" spans="1:59" ht="15" thickTop="1" thickBot="1" x14ac:dyDescent="0.3"/>
    <row r="67" spans="1:59" s="177" customFormat="1" ht="39.9" customHeight="1" thickTop="1" x14ac:dyDescent="0.5">
      <c r="A67" s="175">
        <f>A45-1</f>
        <v>5</v>
      </c>
      <c r="B67" s="418" t="s">
        <v>39</v>
      </c>
      <c r="C67" s="418"/>
      <c r="D67" s="418"/>
      <c r="E67" s="418"/>
      <c r="F67" s="418"/>
      <c r="G67" s="418"/>
      <c r="H67" s="418"/>
      <c r="I67" s="418"/>
      <c r="J67" s="418"/>
      <c r="K67" s="418"/>
      <c r="L67" s="418"/>
      <c r="M67" s="418"/>
      <c r="N67" s="176"/>
      <c r="P67" s="175">
        <f>A67-5</f>
        <v>0</v>
      </c>
      <c r="Q67" s="418" t="s">
        <v>39</v>
      </c>
      <c r="R67" s="418"/>
      <c r="S67" s="418"/>
      <c r="T67" s="418"/>
      <c r="U67" s="418"/>
      <c r="V67" s="418"/>
      <c r="W67" s="418"/>
      <c r="X67" s="418"/>
      <c r="Y67" s="418"/>
      <c r="Z67" s="418"/>
      <c r="AA67" s="418"/>
      <c r="AB67" s="418"/>
      <c r="AC67" s="176"/>
      <c r="AE67" s="175">
        <f>P67-5</f>
        <v>-5</v>
      </c>
      <c r="AF67" s="418" t="s">
        <v>39</v>
      </c>
      <c r="AG67" s="418"/>
      <c r="AH67" s="418"/>
      <c r="AI67" s="418"/>
      <c r="AJ67" s="418"/>
      <c r="AK67" s="418"/>
      <c r="AL67" s="418"/>
      <c r="AM67" s="418"/>
      <c r="AN67" s="418"/>
      <c r="AO67" s="418"/>
      <c r="AP67" s="418"/>
      <c r="AQ67" s="418"/>
      <c r="AR67" s="176"/>
      <c r="AT67" s="175">
        <f>AE67-5</f>
        <v>-10</v>
      </c>
      <c r="AU67" s="418" t="s">
        <v>39</v>
      </c>
      <c r="AV67" s="418"/>
      <c r="AW67" s="418"/>
      <c r="AX67" s="418"/>
      <c r="AY67" s="418"/>
      <c r="AZ67" s="418"/>
      <c r="BA67" s="418"/>
      <c r="BB67" s="418"/>
      <c r="BC67" s="418"/>
      <c r="BD67" s="418"/>
      <c r="BE67" s="418"/>
      <c r="BF67" s="418"/>
      <c r="BG67" s="176"/>
    </row>
    <row r="68" spans="1:59" s="177" customFormat="1" ht="39.9" customHeight="1" x14ac:dyDescent="0.5">
      <c r="A68" s="412" t="s">
        <v>40</v>
      </c>
      <c r="B68" s="413"/>
      <c r="C68" s="413"/>
      <c r="D68" s="413"/>
      <c r="E68" s="413"/>
      <c r="F68" s="413"/>
      <c r="G68" s="413"/>
      <c r="H68" s="413"/>
      <c r="I68" s="413"/>
      <c r="J68" s="413"/>
      <c r="K68" s="413"/>
      <c r="L68" s="413"/>
      <c r="M68" s="413"/>
      <c r="N68" s="414"/>
      <c r="P68" s="412" t="s">
        <v>40</v>
      </c>
      <c r="Q68" s="413"/>
      <c r="R68" s="413"/>
      <c r="S68" s="413"/>
      <c r="T68" s="413"/>
      <c r="U68" s="413"/>
      <c r="V68" s="413"/>
      <c r="W68" s="413"/>
      <c r="X68" s="413"/>
      <c r="Y68" s="413"/>
      <c r="Z68" s="413"/>
      <c r="AA68" s="413"/>
      <c r="AB68" s="413"/>
      <c r="AC68" s="414"/>
      <c r="AE68" s="412" t="s">
        <v>40</v>
      </c>
      <c r="AF68" s="413"/>
      <c r="AG68" s="413"/>
      <c r="AH68" s="413"/>
      <c r="AI68" s="413"/>
      <c r="AJ68" s="413"/>
      <c r="AK68" s="413"/>
      <c r="AL68" s="413"/>
      <c r="AM68" s="413"/>
      <c r="AN68" s="413"/>
      <c r="AO68" s="413"/>
      <c r="AP68" s="413"/>
      <c r="AQ68" s="413"/>
      <c r="AR68" s="414"/>
      <c r="AT68" s="412" t="s">
        <v>40</v>
      </c>
      <c r="AU68" s="413"/>
      <c r="AV68" s="413"/>
      <c r="AW68" s="413"/>
      <c r="AX68" s="413"/>
      <c r="AY68" s="413"/>
      <c r="AZ68" s="413"/>
      <c r="BA68" s="413"/>
      <c r="BB68" s="413"/>
      <c r="BC68" s="413"/>
      <c r="BD68" s="413"/>
      <c r="BE68" s="413"/>
      <c r="BF68" s="413"/>
      <c r="BG68" s="414"/>
    </row>
    <row r="69" spans="1:59" s="177" customFormat="1" ht="39.9" customHeight="1" x14ac:dyDescent="0.5">
      <c r="A69" s="415" t="s">
        <v>163</v>
      </c>
      <c r="B69" s="416"/>
      <c r="C69" s="416"/>
      <c r="D69" s="416"/>
      <c r="E69" s="416"/>
      <c r="F69" s="416"/>
      <c r="G69" s="416"/>
      <c r="H69" s="416"/>
      <c r="I69" s="416"/>
      <c r="J69" s="416"/>
      <c r="K69" s="416"/>
      <c r="L69" s="416"/>
      <c r="M69" s="416"/>
      <c r="N69" s="417"/>
      <c r="P69" s="415" t="s">
        <v>163</v>
      </c>
      <c r="Q69" s="416"/>
      <c r="R69" s="416"/>
      <c r="S69" s="416"/>
      <c r="T69" s="416"/>
      <c r="U69" s="416"/>
      <c r="V69" s="416"/>
      <c r="W69" s="416"/>
      <c r="X69" s="416"/>
      <c r="Y69" s="416"/>
      <c r="Z69" s="416"/>
      <c r="AA69" s="416"/>
      <c r="AB69" s="416"/>
      <c r="AC69" s="417"/>
      <c r="AE69" s="415" t="s">
        <v>163</v>
      </c>
      <c r="AF69" s="416"/>
      <c r="AG69" s="416"/>
      <c r="AH69" s="416"/>
      <c r="AI69" s="416"/>
      <c r="AJ69" s="416"/>
      <c r="AK69" s="416"/>
      <c r="AL69" s="416"/>
      <c r="AM69" s="416"/>
      <c r="AN69" s="416"/>
      <c r="AO69" s="416"/>
      <c r="AP69" s="416"/>
      <c r="AQ69" s="416"/>
      <c r="AR69" s="417"/>
      <c r="AT69" s="415" t="s">
        <v>163</v>
      </c>
      <c r="AU69" s="416"/>
      <c r="AV69" s="416"/>
      <c r="AW69" s="416"/>
      <c r="AX69" s="416"/>
      <c r="AY69" s="416"/>
      <c r="AZ69" s="416"/>
      <c r="BA69" s="416"/>
      <c r="BB69" s="416"/>
      <c r="BC69" s="416"/>
      <c r="BD69" s="416"/>
      <c r="BE69" s="416"/>
      <c r="BF69" s="416"/>
      <c r="BG69" s="417"/>
    </row>
    <row r="70" spans="1:59" s="177" customFormat="1" ht="39.9" customHeight="1" x14ac:dyDescent="0.5">
      <c r="A70" s="406" t="s">
        <v>125</v>
      </c>
      <c r="B70" s="407"/>
      <c r="C70" s="407"/>
      <c r="D70" s="407"/>
      <c r="E70" s="407"/>
      <c r="F70" s="407"/>
      <c r="G70" s="407"/>
      <c r="H70" s="407"/>
      <c r="I70" s="407"/>
      <c r="J70" s="407"/>
      <c r="K70" s="408" t="str">
        <f>ادخال1!$CG$7</f>
        <v>الاساسي</v>
      </c>
      <c r="L70" s="408"/>
      <c r="M70" s="408"/>
      <c r="N70" s="409"/>
      <c r="P70" s="406" t="s">
        <v>125</v>
      </c>
      <c r="Q70" s="407"/>
      <c r="R70" s="407"/>
      <c r="S70" s="407"/>
      <c r="T70" s="407"/>
      <c r="U70" s="407"/>
      <c r="V70" s="407"/>
      <c r="W70" s="407"/>
      <c r="X70" s="407"/>
      <c r="Y70" s="407"/>
      <c r="Z70" s="408" t="str">
        <f>ادخال1!$CG$7</f>
        <v>الاساسي</v>
      </c>
      <c r="AA70" s="408"/>
      <c r="AB70" s="408"/>
      <c r="AC70" s="409"/>
      <c r="AE70" s="406" t="s">
        <v>125</v>
      </c>
      <c r="AF70" s="407"/>
      <c r="AG70" s="407"/>
      <c r="AH70" s="407"/>
      <c r="AI70" s="407"/>
      <c r="AJ70" s="407"/>
      <c r="AK70" s="407"/>
      <c r="AL70" s="407"/>
      <c r="AM70" s="407"/>
      <c r="AN70" s="407"/>
      <c r="AO70" s="408" t="str">
        <f>ادخال1!$CG$7</f>
        <v>الاساسي</v>
      </c>
      <c r="AP70" s="408"/>
      <c r="AQ70" s="408"/>
      <c r="AR70" s="409"/>
      <c r="AT70" s="406" t="s">
        <v>125</v>
      </c>
      <c r="AU70" s="407"/>
      <c r="AV70" s="407"/>
      <c r="AW70" s="407"/>
      <c r="AX70" s="407"/>
      <c r="AY70" s="407"/>
      <c r="AZ70" s="407"/>
      <c r="BA70" s="407"/>
      <c r="BB70" s="407"/>
      <c r="BC70" s="407"/>
      <c r="BD70" s="408" t="str">
        <f>ادخال1!$CG$7</f>
        <v>الاساسي</v>
      </c>
      <c r="BE70" s="408"/>
      <c r="BF70" s="408"/>
      <c r="BG70" s="409"/>
    </row>
    <row r="71" spans="1:59" s="177" customFormat="1" ht="39.9" customHeight="1" x14ac:dyDescent="0.5">
      <c r="A71" s="406" t="s">
        <v>126</v>
      </c>
      <c r="B71" s="407"/>
      <c r="C71" s="407"/>
      <c r="D71" s="407"/>
      <c r="E71" s="407"/>
      <c r="F71" s="407"/>
      <c r="G71" s="410" t="str">
        <f>ادخال1!$CE$5</f>
        <v>الثالث الابتدائي</v>
      </c>
      <c r="H71" s="410"/>
      <c r="I71" s="410"/>
      <c r="J71" s="410"/>
      <c r="K71" s="410"/>
      <c r="L71" s="410"/>
      <c r="M71" s="410"/>
      <c r="N71" s="411"/>
      <c r="P71" s="406" t="s">
        <v>126</v>
      </c>
      <c r="Q71" s="407"/>
      <c r="R71" s="407"/>
      <c r="S71" s="407"/>
      <c r="T71" s="407"/>
      <c r="U71" s="407"/>
      <c r="V71" s="410" t="str">
        <f>ادخال1!$CE$5</f>
        <v>الثالث الابتدائي</v>
      </c>
      <c r="W71" s="410"/>
      <c r="X71" s="410"/>
      <c r="Y71" s="410"/>
      <c r="Z71" s="410"/>
      <c r="AA71" s="410"/>
      <c r="AB71" s="410"/>
      <c r="AC71" s="411"/>
      <c r="AE71" s="406" t="s">
        <v>126</v>
      </c>
      <c r="AF71" s="407"/>
      <c r="AG71" s="407"/>
      <c r="AH71" s="407"/>
      <c r="AI71" s="407"/>
      <c r="AJ71" s="407"/>
      <c r="AK71" s="410" t="str">
        <f>ادخال1!$CE$5</f>
        <v>الثالث الابتدائي</v>
      </c>
      <c r="AL71" s="410"/>
      <c r="AM71" s="410"/>
      <c r="AN71" s="410"/>
      <c r="AO71" s="410"/>
      <c r="AP71" s="410"/>
      <c r="AQ71" s="410"/>
      <c r="AR71" s="411"/>
      <c r="AT71" s="406" t="s">
        <v>126</v>
      </c>
      <c r="AU71" s="407"/>
      <c r="AV71" s="407"/>
      <c r="AW71" s="407"/>
      <c r="AX71" s="407"/>
      <c r="AY71" s="407"/>
      <c r="AZ71" s="410" t="str">
        <f>ادخال1!$CE$5</f>
        <v>الثالث الابتدائي</v>
      </c>
      <c r="BA71" s="410"/>
      <c r="BB71" s="410"/>
      <c r="BC71" s="410"/>
      <c r="BD71" s="410"/>
      <c r="BE71" s="410"/>
      <c r="BF71" s="410"/>
      <c r="BG71" s="411"/>
    </row>
    <row r="72" spans="1:59" s="177" customFormat="1" ht="39.9" customHeight="1" x14ac:dyDescent="0.5">
      <c r="A72" s="178" t="s">
        <v>115</v>
      </c>
      <c r="B72" s="400" t="str">
        <f>ادخال1!$CD$8</f>
        <v>1448هـ/1447 هـ</v>
      </c>
      <c r="C72" s="400"/>
      <c r="D72" s="400"/>
      <c r="E72" s="400"/>
      <c r="F72" s="401" t="s">
        <v>127</v>
      </c>
      <c r="G72" s="401"/>
      <c r="H72" s="402" t="s">
        <v>128</v>
      </c>
      <c r="I72" s="402"/>
      <c r="J72" s="403" t="str">
        <f>ادخال1!$CE$8</f>
        <v>2025م /2026م</v>
      </c>
      <c r="K72" s="403"/>
      <c r="L72" s="403"/>
      <c r="M72" s="403"/>
      <c r="N72" s="179" t="s">
        <v>129</v>
      </c>
      <c r="P72" s="178" t="s">
        <v>115</v>
      </c>
      <c r="Q72" s="400" t="str">
        <f>ادخال1!$CD$8</f>
        <v>1448هـ/1447 هـ</v>
      </c>
      <c r="R72" s="400"/>
      <c r="S72" s="400"/>
      <c r="T72" s="400"/>
      <c r="U72" s="401" t="s">
        <v>127</v>
      </c>
      <c r="V72" s="401"/>
      <c r="W72" s="402" t="s">
        <v>128</v>
      </c>
      <c r="X72" s="402"/>
      <c r="Y72" s="403" t="str">
        <f>ادخال1!$CE$8</f>
        <v>2025م /2026م</v>
      </c>
      <c r="Z72" s="403"/>
      <c r="AA72" s="403"/>
      <c r="AB72" s="403"/>
      <c r="AC72" s="179" t="s">
        <v>129</v>
      </c>
      <c r="AE72" s="178" t="s">
        <v>115</v>
      </c>
      <c r="AF72" s="400" t="str">
        <f>ادخال1!$CD$8</f>
        <v>1448هـ/1447 هـ</v>
      </c>
      <c r="AG72" s="400"/>
      <c r="AH72" s="400"/>
      <c r="AI72" s="400"/>
      <c r="AJ72" s="401" t="s">
        <v>127</v>
      </c>
      <c r="AK72" s="401"/>
      <c r="AL72" s="402" t="s">
        <v>128</v>
      </c>
      <c r="AM72" s="402"/>
      <c r="AN72" s="403" t="str">
        <f>ادخال1!$CE$8</f>
        <v>2025م /2026م</v>
      </c>
      <c r="AO72" s="403"/>
      <c r="AP72" s="403"/>
      <c r="AQ72" s="403"/>
      <c r="AR72" s="179" t="s">
        <v>129</v>
      </c>
      <c r="AT72" s="178" t="s">
        <v>115</v>
      </c>
      <c r="AU72" s="400" t="str">
        <f>ادخال1!$CD$8</f>
        <v>1448هـ/1447 هـ</v>
      </c>
      <c r="AV72" s="400"/>
      <c r="AW72" s="400"/>
      <c r="AX72" s="400"/>
      <c r="AY72" s="401" t="s">
        <v>127</v>
      </c>
      <c r="AZ72" s="401"/>
      <c r="BA72" s="402" t="s">
        <v>128</v>
      </c>
      <c r="BB72" s="402"/>
      <c r="BC72" s="403" t="str">
        <f>ادخال1!$CE$8</f>
        <v>2025م /2026م</v>
      </c>
      <c r="BD72" s="403"/>
      <c r="BE72" s="403"/>
      <c r="BF72" s="403"/>
      <c r="BG72" s="179" t="s">
        <v>129</v>
      </c>
    </row>
    <row r="73" spans="1:59" ht="45" customHeight="1" x14ac:dyDescent="0.25">
      <c r="A73" s="180" t="s">
        <v>130</v>
      </c>
      <c r="B73" s="404" t="str">
        <f>ادخال1!$CE$4</f>
        <v>تاجوراء</v>
      </c>
      <c r="C73" s="404"/>
      <c r="D73" s="404"/>
      <c r="E73" s="404"/>
      <c r="F73" s="404"/>
      <c r="G73" s="404"/>
      <c r="H73" s="404"/>
      <c r="I73" s="404"/>
      <c r="J73" s="404"/>
      <c r="K73" s="404"/>
      <c r="L73" s="404"/>
      <c r="M73" s="404"/>
      <c r="N73" s="405"/>
      <c r="P73" s="180" t="s">
        <v>130</v>
      </c>
      <c r="Q73" s="404" t="str">
        <f>ادخال1!$CE$4</f>
        <v>تاجوراء</v>
      </c>
      <c r="R73" s="404"/>
      <c r="S73" s="404"/>
      <c r="T73" s="404"/>
      <c r="U73" s="404"/>
      <c r="V73" s="404"/>
      <c r="W73" s="404"/>
      <c r="X73" s="404"/>
      <c r="Y73" s="404"/>
      <c r="Z73" s="404"/>
      <c r="AA73" s="404"/>
      <c r="AB73" s="404"/>
      <c r="AC73" s="405"/>
      <c r="AE73" s="180" t="s">
        <v>130</v>
      </c>
      <c r="AF73" s="404" t="str">
        <f>ادخال1!$CE$4</f>
        <v>تاجوراء</v>
      </c>
      <c r="AG73" s="404"/>
      <c r="AH73" s="404"/>
      <c r="AI73" s="404"/>
      <c r="AJ73" s="404"/>
      <c r="AK73" s="404"/>
      <c r="AL73" s="404"/>
      <c r="AM73" s="404"/>
      <c r="AN73" s="404"/>
      <c r="AO73" s="404"/>
      <c r="AP73" s="404"/>
      <c r="AQ73" s="404"/>
      <c r="AR73" s="405"/>
      <c r="AT73" s="180" t="s">
        <v>130</v>
      </c>
      <c r="AU73" s="404" t="str">
        <f>ادخال1!$CE$4</f>
        <v>تاجوراء</v>
      </c>
      <c r="AV73" s="404"/>
      <c r="AW73" s="404"/>
      <c r="AX73" s="404"/>
      <c r="AY73" s="404"/>
      <c r="AZ73" s="404"/>
      <c r="BA73" s="404"/>
      <c r="BB73" s="404"/>
      <c r="BC73" s="404"/>
      <c r="BD73" s="404"/>
      <c r="BE73" s="404"/>
      <c r="BF73" s="404"/>
      <c r="BG73" s="405"/>
    </row>
    <row r="74" spans="1:59" ht="45" customHeight="1" x14ac:dyDescent="0.25">
      <c r="A74" s="180" t="s">
        <v>131</v>
      </c>
      <c r="B74" s="394" t="str">
        <f>ادخال1!$CC$6</f>
        <v>سهول العلم للتعليم الخاص</v>
      </c>
      <c r="C74" s="394"/>
      <c r="D74" s="394"/>
      <c r="E74" s="394"/>
      <c r="F74" s="394"/>
      <c r="G74" s="394"/>
      <c r="H74" s="394"/>
      <c r="I74" s="394"/>
      <c r="J74" s="399" t="s">
        <v>132</v>
      </c>
      <c r="K74" s="399"/>
      <c r="L74" s="399"/>
      <c r="M74" s="394" t="str">
        <f>ادخال1!$CC$8</f>
        <v>تاجوراء</v>
      </c>
      <c r="N74" s="395"/>
      <c r="P74" s="180" t="s">
        <v>131</v>
      </c>
      <c r="Q74" s="394" t="str">
        <f>ادخال1!$CC$6</f>
        <v>سهول العلم للتعليم الخاص</v>
      </c>
      <c r="R74" s="394"/>
      <c r="S74" s="394"/>
      <c r="T74" s="394"/>
      <c r="U74" s="394"/>
      <c r="V74" s="394"/>
      <c r="W74" s="394"/>
      <c r="X74" s="394"/>
      <c r="Y74" s="399" t="s">
        <v>132</v>
      </c>
      <c r="Z74" s="399"/>
      <c r="AA74" s="399"/>
      <c r="AB74" s="394" t="str">
        <f>ادخال1!$CC$8</f>
        <v>تاجوراء</v>
      </c>
      <c r="AC74" s="395"/>
      <c r="AE74" s="180" t="s">
        <v>131</v>
      </c>
      <c r="AF74" s="394" t="str">
        <f>ادخال1!$CC$6</f>
        <v>سهول العلم للتعليم الخاص</v>
      </c>
      <c r="AG74" s="394"/>
      <c r="AH74" s="394"/>
      <c r="AI74" s="394"/>
      <c r="AJ74" s="394"/>
      <c r="AK74" s="394"/>
      <c r="AL74" s="394"/>
      <c r="AM74" s="394"/>
      <c r="AN74" s="399" t="s">
        <v>132</v>
      </c>
      <c r="AO74" s="399"/>
      <c r="AP74" s="399"/>
      <c r="AQ74" s="394" t="str">
        <f>ادخال1!$CC$8</f>
        <v>تاجوراء</v>
      </c>
      <c r="AR74" s="395"/>
      <c r="AT74" s="180" t="s">
        <v>131</v>
      </c>
      <c r="AU74" s="394" t="str">
        <f>ادخال1!$CC$6</f>
        <v>سهول العلم للتعليم الخاص</v>
      </c>
      <c r="AV74" s="394"/>
      <c r="AW74" s="394"/>
      <c r="AX74" s="394"/>
      <c r="AY74" s="394"/>
      <c r="AZ74" s="394"/>
      <c r="BA74" s="394"/>
      <c r="BB74" s="394"/>
      <c r="BC74" s="399" t="s">
        <v>132</v>
      </c>
      <c r="BD74" s="399"/>
      <c r="BE74" s="399"/>
      <c r="BF74" s="394" t="str">
        <f>ادخال1!$CC$8</f>
        <v>تاجوراء</v>
      </c>
      <c r="BG74" s="395"/>
    </row>
    <row r="75" spans="1:59" ht="45" customHeight="1" x14ac:dyDescent="0.25">
      <c r="A75" s="180" t="s">
        <v>133</v>
      </c>
      <c r="B75" s="398" t="str">
        <f>IFERROR(VLOOKUP(A67,مسلسل,2,0),0)</f>
        <v>ساجدة عبد السلام شعبان بى</v>
      </c>
      <c r="C75" s="398">
        <f t="shared" ref="C75" si="84">IFERROR(VLOOKUP(B75,مسلسل,2,0),0)</f>
        <v>0</v>
      </c>
      <c r="D75" s="398">
        <f t="shared" ref="D75" si="85">IFERROR(VLOOKUP(C75,مسلسل,2,0),0)</f>
        <v>0</v>
      </c>
      <c r="E75" s="398">
        <f t="shared" ref="E75" si="86">IFERROR(VLOOKUP(D75,مسلسل,2,0),0)</f>
        <v>0</v>
      </c>
      <c r="F75" s="398">
        <f t="shared" ref="F75" si="87">IFERROR(VLOOKUP(E75,مسلسل,2,0),0)</f>
        <v>0</v>
      </c>
      <c r="G75" s="398">
        <f t="shared" ref="G75" si="88">IFERROR(VLOOKUP(F75,مسلسل,2,0),0)</f>
        <v>0</v>
      </c>
      <c r="H75" s="398">
        <f t="shared" ref="H75" si="89">IFERROR(VLOOKUP(G75,مسلسل,2,0),0)</f>
        <v>0</v>
      </c>
      <c r="I75" s="398">
        <f t="shared" ref="I75" si="90">IFERROR(VLOOKUP(H75,مسلسل,2,0),0)</f>
        <v>0</v>
      </c>
      <c r="J75" s="399" t="s">
        <v>134</v>
      </c>
      <c r="K75" s="399"/>
      <c r="L75" s="399"/>
      <c r="M75" s="394" t="str">
        <f>IFERROR(VLOOKUP(B75,اسماء,66,0),"")</f>
        <v>بي</v>
      </c>
      <c r="N75" s="395"/>
      <c r="P75" s="180" t="s">
        <v>133</v>
      </c>
      <c r="Q75" s="398">
        <f>IFERROR(VLOOKUP(P67,مسلسل,2,0),0)</f>
        <v>0</v>
      </c>
      <c r="R75" s="398">
        <f t="shared" ref="R75" si="91">IFERROR(VLOOKUP(Q75,مسلسل,2,0),0)</f>
        <v>0</v>
      </c>
      <c r="S75" s="398">
        <f t="shared" ref="S75" si="92">IFERROR(VLOOKUP(R75,مسلسل,2,0),0)</f>
        <v>0</v>
      </c>
      <c r="T75" s="398">
        <f t="shared" ref="T75" si="93">IFERROR(VLOOKUP(S75,مسلسل,2,0),0)</f>
        <v>0</v>
      </c>
      <c r="U75" s="398">
        <f t="shared" ref="U75" si="94">IFERROR(VLOOKUP(T75,مسلسل,2,0),0)</f>
        <v>0</v>
      </c>
      <c r="V75" s="398">
        <f t="shared" ref="V75" si="95">IFERROR(VLOOKUP(U75,مسلسل,2,0),0)</f>
        <v>0</v>
      </c>
      <c r="W75" s="398">
        <f t="shared" ref="W75" si="96">IFERROR(VLOOKUP(V75,مسلسل,2,0),0)</f>
        <v>0</v>
      </c>
      <c r="X75" s="398">
        <f t="shared" ref="X75" si="97">IFERROR(VLOOKUP(W75,مسلسل,2,0),0)</f>
        <v>0</v>
      </c>
      <c r="Y75" s="399" t="s">
        <v>134</v>
      </c>
      <c r="Z75" s="399"/>
      <c r="AA75" s="399"/>
      <c r="AB75" s="394" t="str">
        <f>IFERROR(VLOOKUP(Q75,اسماء,66,0),"")</f>
        <v/>
      </c>
      <c r="AC75" s="395"/>
      <c r="AE75" s="180" t="s">
        <v>133</v>
      </c>
      <c r="AF75" s="398">
        <f>IFERROR(VLOOKUP(AE67,مسلسل,2,0),0)</f>
        <v>0</v>
      </c>
      <c r="AG75" s="398">
        <f t="shared" ref="AG75" si="98">IFERROR(VLOOKUP(AF75,مسلسل,2,0),0)</f>
        <v>0</v>
      </c>
      <c r="AH75" s="398">
        <f t="shared" ref="AH75" si="99">IFERROR(VLOOKUP(AG75,مسلسل,2,0),0)</f>
        <v>0</v>
      </c>
      <c r="AI75" s="398">
        <f t="shared" ref="AI75" si="100">IFERROR(VLOOKUP(AH75,مسلسل,2,0),0)</f>
        <v>0</v>
      </c>
      <c r="AJ75" s="398">
        <f t="shared" ref="AJ75" si="101">IFERROR(VLOOKUP(AI75,مسلسل,2,0),0)</f>
        <v>0</v>
      </c>
      <c r="AK75" s="398">
        <f t="shared" ref="AK75" si="102">IFERROR(VLOOKUP(AJ75,مسلسل,2,0),0)</f>
        <v>0</v>
      </c>
      <c r="AL75" s="398">
        <f t="shared" ref="AL75" si="103">IFERROR(VLOOKUP(AK75,مسلسل,2,0),0)</f>
        <v>0</v>
      </c>
      <c r="AM75" s="398">
        <f t="shared" ref="AM75" si="104">IFERROR(VLOOKUP(AL75,مسلسل,2,0),0)</f>
        <v>0</v>
      </c>
      <c r="AN75" s="399" t="s">
        <v>134</v>
      </c>
      <c r="AO75" s="399"/>
      <c r="AP75" s="399"/>
      <c r="AQ75" s="394" t="str">
        <f>IFERROR(VLOOKUP(AF75,اسماء,66,0),"")</f>
        <v/>
      </c>
      <c r="AR75" s="395"/>
      <c r="AT75" s="180" t="s">
        <v>133</v>
      </c>
      <c r="AU75" s="398">
        <f>IFERROR(VLOOKUP(AT67,مسلسل,2,0),0)</f>
        <v>0</v>
      </c>
      <c r="AV75" s="398">
        <f t="shared" ref="AV75" si="105">IFERROR(VLOOKUP(AU75,مسلسل,2,0),0)</f>
        <v>0</v>
      </c>
      <c r="AW75" s="398">
        <f t="shared" ref="AW75" si="106">IFERROR(VLOOKUP(AV75,مسلسل,2,0),0)</f>
        <v>0</v>
      </c>
      <c r="AX75" s="398">
        <f t="shared" ref="AX75" si="107">IFERROR(VLOOKUP(AW75,مسلسل,2,0),0)</f>
        <v>0</v>
      </c>
      <c r="AY75" s="398">
        <f t="shared" ref="AY75" si="108">IFERROR(VLOOKUP(AX75,مسلسل,2,0),0)</f>
        <v>0</v>
      </c>
      <c r="AZ75" s="398">
        <f t="shared" ref="AZ75" si="109">IFERROR(VLOOKUP(AY75,مسلسل,2,0),0)</f>
        <v>0</v>
      </c>
      <c r="BA75" s="398">
        <f t="shared" ref="BA75" si="110">IFERROR(VLOOKUP(AZ75,مسلسل,2,0),0)</f>
        <v>0</v>
      </c>
      <c r="BB75" s="398">
        <f t="shared" ref="BB75" si="111">IFERROR(VLOOKUP(BA75,مسلسل,2,0),0)</f>
        <v>0</v>
      </c>
      <c r="BC75" s="399" t="s">
        <v>134</v>
      </c>
      <c r="BD75" s="399"/>
      <c r="BE75" s="399"/>
      <c r="BF75" s="394" t="str">
        <f>IFERROR(VLOOKUP(AU75,اسماء,66,0),"")</f>
        <v/>
      </c>
      <c r="BG75" s="395"/>
    </row>
    <row r="76" spans="1:59" ht="45" customHeight="1" x14ac:dyDescent="0.25">
      <c r="A76" s="180" t="s">
        <v>135</v>
      </c>
      <c r="B76" s="385" t="str">
        <f>IFERROR(VLOOKUP(B75,اسماء,79,0),"")</f>
        <v>طرابلس</v>
      </c>
      <c r="C76" s="385"/>
      <c r="D76" s="385"/>
      <c r="E76" s="396">
        <f>IFERROR(VLOOKUP(B75,اسماء,2,0),"")</f>
        <v>42772</v>
      </c>
      <c r="F76" s="396"/>
      <c r="G76" s="396"/>
      <c r="H76" s="396"/>
      <c r="I76" s="397" t="s">
        <v>136</v>
      </c>
      <c r="J76" s="397"/>
      <c r="K76" s="397"/>
      <c r="L76" s="397"/>
      <c r="M76" s="394" t="str">
        <f>IFERROR(VLOOKUP(B75,اسماء,3,0),"")</f>
        <v>هدى فرحات الجعفري</v>
      </c>
      <c r="N76" s="395"/>
      <c r="P76" s="180" t="s">
        <v>135</v>
      </c>
      <c r="Q76" s="385" t="str">
        <f>IFERROR(VLOOKUP(Q75,اسماء,79,0),"")</f>
        <v/>
      </c>
      <c r="R76" s="385"/>
      <c r="S76" s="385"/>
      <c r="T76" s="396" t="str">
        <f>IFERROR(VLOOKUP(Q75,اسماء,2,0),"")</f>
        <v/>
      </c>
      <c r="U76" s="396"/>
      <c r="V76" s="396"/>
      <c r="W76" s="396"/>
      <c r="X76" s="397" t="s">
        <v>136</v>
      </c>
      <c r="Y76" s="397"/>
      <c r="Z76" s="397"/>
      <c r="AA76" s="397"/>
      <c r="AB76" s="394" t="str">
        <f>IFERROR(VLOOKUP(Q75,اسماء,3,0),"")</f>
        <v/>
      </c>
      <c r="AC76" s="395"/>
      <c r="AE76" s="180" t="s">
        <v>135</v>
      </c>
      <c r="AF76" s="385" t="str">
        <f>IFERROR(VLOOKUP(AF75,اسماء,79,0),"")</f>
        <v/>
      </c>
      <c r="AG76" s="385"/>
      <c r="AH76" s="385"/>
      <c r="AI76" s="396" t="str">
        <f>IFERROR(VLOOKUP(AF75,اسماء,2,0),"")</f>
        <v/>
      </c>
      <c r="AJ76" s="396"/>
      <c r="AK76" s="396"/>
      <c r="AL76" s="396"/>
      <c r="AM76" s="397" t="s">
        <v>136</v>
      </c>
      <c r="AN76" s="397"/>
      <c r="AO76" s="397"/>
      <c r="AP76" s="397"/>
      <c r="AQ76" s="394" t="str">
        <f>IFERROR(VLOOKUP(AF75,اسماء,3,0),"")</f>
        <v/>
      </c>
      <c r="AR76" s="395"/>
      <c r="AT76" s="180" t="s">
        <v>135</v>
      </c>
      <c r="AU76" s="385" t="str">
        <f>IFERROR(VLOOKUP(AU75,اسماء,79,0),"")</f>
        <v/>
      </c>
      <c r="AV76" s="385"/>
      <c r="AW76" s="385"/>
      <c r="AX76" s="396" t="str">
        <f>IFERROR(VLOOKUP(AU75,اسماء,2,0),"")</f>
        <v/>
      </c>
      <c r="AY76" s="396"/>
      <c r="AZ76" s="396"/>
      <c r="BA76" s="396"/>
      <c r="BB76" s="397" t="s">
        <v>136</v>
      </c>
      <c r="BC76" s="397"/>
      <c r="BD76" s="397"/>
      <c r="BE76" s="397"/>
      <c r="BF76" s="394" t="str">
        <f>IFERROR(VLOOKUP(AU75,اسماء,3,0),"")</f>
        <v/>
      </c>
      <c r="BG76" s="395"/>
    </row>
    <row r="77" spans="1:59" ht="35.1" customHeight="1" x14ac:dyDescent="0.25">
      <c r="A77" s="180" t="s">
        <v>137</v>
      </c>
      <c r="B77" s="181" t="str">
        <f>IFERROR(VLOOKUP(B75,اسماء,67,0),"")</f>
        <v>6</v>
      </c>
      <c r="C77" s="181" t="str">
        <f>IFERROR(VLOOKUP(B75,اسماء,68,0),"")</f>
        <v>9</v>
      </c>
      <c r="D77" s="181" t="str">
        <f>IFERROR(VLOOKUP(B75,اسماء,69,0),"")</f>
        <v>3</v>
      </c>
      <c r="E77" s="181" t="str">
        <f>IFERROR(VLOOKUP(B75,اسماء,70,0),"")</f>
        <v>9</v>
      </c>
      <c r="F77" s="181" t="str">
        <f>IFERROR(VLOOKUP(B75,اسماء,71,0),"")</f>
        <v>7</v>
      </c>
      <c r="G77" s="181" t="str">
        <f>IFERROR(VLOOKUP(B75,اسماء,72,0),"")</f>
        <v>0</v>
      </c>
      <c r="H77" s="181" t="str">
        <f>IFERROR(VLOOKUP(B75,اسماء,73,0),"")</f>
        <v>0</v>
      </c>
      <c r="I77" s="181" t="str">
        <f>IFERROR(VLOOKUP(B75,اسماء,74,0),"")</f>
        <v>7</v>
      </c>
      <c r="J77" s="181" t="str">
        <f>IFERROR(VLOOKUP(B75,اسماء,75,0),"")</f>
        <v>1</v>
      </c>
      <c r="K77" s="181" t="str">
        <f>IFERROR(VLOOKUP(B75,اسماء,76,0),"")</f>
        <v>0</v>
      </c>
      <c r="L77" s="181" t="str">
        <f>IFERROR(VLOOKUP(B75,اسماء,77,0),"")</f>
        <v>2</v>
      </c>
      <c r="M77" s="181" t="str">
        <f>IFERROR(VLOOKUP(B75,اسماء,78,0),"")</f>
        <v>2</v>
      </c>
      <c r="N77" s="339"/>
      <c r="P77" s="180" t="s">
        <v>137</v>
      </c>
      <c r="Q77" s="181" t="str">
        <f>IFERROR(VLOOKUP(Q75,اسماء,67,0),"")</f>
        <v/>
      </c>
      <c r="R77" s="181" t="str">
        <f>IFERROR(VLOOKUP(Q75,اسماء,68,0),"")</f>
        <v/>
      </c>
      <c r="S77" s="181" t="str">
        <f>IFERROR(VLOOKUP(Q75,اسماء,69,0),"")</f>
        <v/>
      </c>
      <c r="T77" s="181" t="str">
        <f>IFERROR(VLOOKUP(Q75,اسماء,70,0),"")</f>
        <v/>
      </c>
      <c r="U77" s="181" t="str">
        <f>IFERROR(VLOOKUP(Q75,اسماء,71,0),"")</f>
        <v/>
      </c>
      <c r="V77" s="181" t="str">
        <f>IFERROR(VLOOKUP(Q75,اسماء,72,0),"")</f>
        <v/>
      </c>
      <c r="W77" s="181" t="str">
        <f>IFERROR(VLOOKUP(Q75,اسماء,73,0),"")</f>
        <v/>
      </c>
      <c r="X77" s="181" t="str">
        <f>IFERROR(VLOOKUP(Q75,اسماء,74,0),"")</f>
        <v/>
      </c>
      <c r="Y77" s="181" t="str">
        <f>IFERROR(VLOOKUP(Q75,اسماء,75,0),"")</f>
        <v/>
      </c>
      <c r="Z77" s="181" t="str">
        <f>IFERROR(VLOOKUP(Q75,اسماء,76,0),"")</f>
        <v/>
      </c>
      <c r="AA77" s="181" t="str">
        <f>IFERROR(VLOOKUP(Q75,اسماء,77,0),"")</f>
        <v/>
      </c>
      <c r="AB77" s="181" t="str">
        <f>IFERROR(VLOOKUP(Q75,اسماء,78,0),"")</f>
        <v/>
      </c>
      <c r="AC77" s="339"/>
      <c r="AE77" s="180" t="s">
        <v>137</v>
      </c>
      <c r="AF77" s="181" t="str">
        <f>IFERROR(VLOOKUP(AF75,اسماء,67,0),"")</f>
        <v/>
      </c>
      <c r="AG77" s="181" t="str">
        <f>IFERROR(VLOOKUP(AF75,اسماء,68,0),"")</f>
        <v/>
      </c>
      <c r="AH77" s="181" t="str">
        <f>IFERROR(VLOOKUP(AF75,اسماء,69,0),"")</f>
        <v/>
      </c>
      <c r="AI77" s="181" t="str">
        <f>IFERROR(VLOOKUP(AF75,اسماء,70,0),"")</f>
        <v/>
      </c>
      <c r="AJ77" s="181" t="str">
        <f>IFERROR(VLOOKUP(AF75,اسماء,71,0),"")</f>
        <v/>
      </c>
      <c r="AK77" s="181" t="str">
        <f>IFERROR(VLOOKUP(AF75,اسماء,72,0),"")</f>
        <v/>
      </c>
      <c r="AL77" s="181" t="str">
        <f>IFERROR(VLOOKUP(AF75,اسماء,73,0),"")</f>
        <v/>
      </c>
      <c r="AM77" s="181" t="str">
        <f>IFERROR(VLOOKUP(AF75,اسماء,74,0),"")</f>
        <v/>
      </c>
      <c r="AN77" s="181" t="str">
        <f>IFERROR(VLOOKUP(AF75,اسماء,75,0),"")</f>
        <v/>
      </c>
      <c r="AO77" s="181" t="str">
        <f>IFERROR(VLOOKUP(AF75,اسماء,76,0),"")</f>
        <v/>
      </c>
      <c r="AP77" s="181" t="str">
        <f>IFERROR(VLOOKUP(AF75,اسماء,77,0),"")</f>
        <v/>
      </c>
      <c r="AQ77" s="181" t="str">
        <f>IFERROR(VLOOKUP(AF75,اسماء,78,0),"")</f>
        <v/>
      </c>
      <c r="AR77" s="339"/>
      <c r="AT77" s="180" t="s">
        <v>137</v>
      </c>
      <c r="AU77" s="181" t="str">
        <f>IFERROR(VLOOKUP(AU75,اسماء,67,0),"")</f>
        <v/>
      </c>
      <c r="AV77" s="181" t="str">
        <f>IFERROR(VLOOKUP(AU75,اسماء,68,0),"")</f>
        <v/>
      </c>
      <c r="AW77" s="181" t="str">
        <f>IFERROR(VLOOKUP(AU75,اسماء,69,0),"")</f>
        <v/>
      </c>
      <c r="AX77" s="181" t="str">
        <f>IFERROR(VLOOKUP(AU75,اسماء,70,0),"")</f>
        <v/>
      </c>
      <c r="AY77" s="181" t="str">
        <f>IFERROR(VLOOKUP(AU75,اسماء,71,0),"")</f>
        <v/>
      </c>
      <c r="AZ77" s="181" t="str">
        <f>IFERROR(VLOOKUP(AU75,اسماء,72,0),"")</f>
        <v/>
      </c>
      <c r="BA77" s="181" t="str">
        <f>IFERROR(VLOOKUP(AU75,اسماء,73,0),"")</f>
        <v/>
      </c>
      <c r="BB77" s="181" t="str">
        <f>IFERROR(VLOOKUP(AU75,اسماء,74,0),"")</f>
        <v/>
      </c>
      <c r="BC77" s="181" t="str">
        <f>IFERROR(VLOOKUP(AU75,اسماء,75,0),"")</f>
        <v/>
      </c>
      <c r="BD77" s="181" t="str">
        <f>IFERROR(VLOOKUP(AU75,اسماء,76,0),"")</f>
        <v/>
      </c>
      <c r="BE77" s="181" t="str">
        <f>IFERROR(VLOOKUP(AU75,اسماء,77,0),"")</f>
        <v/>
      </c>
      <c r="BF77" s="181" t="str">
        <f>IFERROR(VLOOKUP(AU75,اسماء,78,0),"")</f>
        <v/>
      </c>
      <c r="BG77" s="339"/>
    </row>
    <row r="78" spans="1:59" ht="45" customHeight="1" x14ac:dyDescent="0.25">
      <c r="A78" s="180" t="s">
        <v>138</v>
      </c>
      <c r="B78" s="394" t="str">
        <f>IFERROR(VLOOKUP(B75,اسماء,80,0),"")</f>
        <v>ليبية</v>
      </c>
      <c r="C78" s="394"/>
      <c r="D78" s="394"/>
      <c r="E78" s="394"/>
      <c r="F78" s="394"/>
      <c r="G78" s="385" t="s">
        <v>139</v>
      </c>
      <c r="H78" s="385"/>
      <c r="I78" s="385" t="s">
        <v>140</v>
      </c>
      <c r="J78" s="385"/>
      <c r="K78" s="394" t="str">
        <f>IFERROR(VLOOKUP(B75,اسماء,81,0),"")</f>
        <v>مستجد</v>
      </c>
      <c r="L78" s="394"/>
      <c r="M78" s="394"/>
      <c r="N78" s="395"/>
      <c r="P78" s="180" t="s">
        <v>138</v>
      </c>
      <c r="Q78" s="394" t="str">
        <f>IFERROR(VLOOKUP(Q75,اسماء,80,0),"")</f>
        <v/>
      </c>
      <c r="R78" s="394"/>
      <c r="S78" s="394"/>
      <c r="T78" s="394"/>
      <c r="U78" s="394"/>
      <c r="V78" s="385" t="s">
        <v>139</v>
      </c>
      <c r="W78" s="385"/>
      <c r="X78" s="385" t="s">
        <v>140</v>
      </c>
      <c r="Y78" s="385"/>
      <c r="Z78" s="394" t="str">
        <f>IFERROR(VLOOKUP(Q75,اسماء,81,0),"")</f>
        <v/>
      </c>
      <c r="AA78" s="394"/>
      <c r="AB78" s="394"/>
      <c r="AC78" s="395"/>
      <c r="AE78" s="180" t="s">
        <v>138</v>
      </c>
      <c r="AF78" s="394" t="str">
        <f>IFERROR(VLOOKUP(AF75,اسماء,80,0),"")</f>
        <v/>
      </c>
      <c r="AG78" s="394"/>
      <c r="AH78" s="394"/>
      <c r="AI78" s="394"/>
      <c r="AJ78" s="394"/>
      <c r="AK78" s="385" t="s">
        <v>139</v>
      </c>
      <c r="AL78" s="385"/>
      <c r="AM78" s="385" t="s">
        <v>140</v>
      </c>
      <c r="AN78" s="385"/>
      <c r="AO78" s="394" t="str">
        <f>IFERROR(VLOOKUP(AF75,اسماء,81,0),"")</f>
        <v/>
      </c>
      <c r="AP78" s="394"/>
      <c r="AQ78" s="394"/>
      <c r="AR78" s="395"/>
      <c r="AT78" s="180" t="s">
        <v>138</v>
      </c>
      <c r="AU78" s="394" t="str">
        <f>IFERROR(VLOOKUP(AU75,اسماء,80,0),"")</f>
        <v/>
      </c>
      <c r="AV78" s="394"/>
      <c r="AW78" s="394"/>
      <c r="AX78" s="394"/>
      <c r="AY78" s="394"/>
      <c r="AZ78" s="385" t="s">
        <v>139</v>
      </c>
      <c r="BA78" s="385"/>
      <c r="BB78" s="385" t="s">
        <v>140</v>
      </c>
      <c r="BC78" s="385"/>
      <c r="BD78" s="394" t="str">
        <f>IFERROR(VLOOKUP(AU75,اسماء,81,0),"")</f>
        <v/>
      </c>
      <c r="BE78" s="394"/>
      <c r="BF78" s="394"/>
      <c r="BG78" s="395"/>
    </row>
    <row r="79" spans="1:59" ht="45" customHeight="1" x14ac:dyDescent="0.25">
      <c r="A79" s="180" t="s">
        <v>141</v>
      </c>
      <c r="B79" s="394" t="str">
        <f>IFERROR(VLOOKUP(B75,اسماء,83,0),"")</f>
        <v>ريمة صالح المختار</v>
      </c>
      <c r="C79" s="394"/>
      <c r="D79" s="394"/>
      <c r="E79" s="394"/>
      <c r="F79" s="394"/>
      <c r="G79" s="385" t="s">
        <v>124</v>
      </c>
      <c r="H79" s="385"/>
      <c r="I79" s="385"/>
      <c r="J79" s="385"/>
      <c r="K79" s="394" t="str">
        <f>IFERROR(VLOOKUP(B75,اسماء,82,0),"")</f>
        <v>نظامي</v>
      </c>
      <c r="L79" s="394"/>
      <c r="M79" s="394"/>
      <c r="N79" s="395"/>
      <c r="P79" s="180" t="s">
        <v>141</v>
      </c>
      <c r="Q79" s="394" t="str">
        <f>IFERROR(VLOOKUP(Q75,اسماء,83,0),"")</f>
        <v/>
      </c>
      <c r="R79" s="394"/>
      <c r="S79" s="394"/>
      <c r="T79" s="394"/>
      <c r="U79" s="394"/>
      <c r="V79" s="385" t="s">
        <v>124</v>
      </c>
      <c r="W79" s="385"/>
      <c r="X79" s="385"/>
      <c r="Y79" s="385"/>
      <c r="Z79" s="394" t="str">
        <f>IFERROR(VLOOKUP(Q75,اسماء,82,0),"")</f>
        <v/>
      </c>
      <c r="AA79" s="394"/>
      <c r="AB79" s="394"/>
      <c r="AC79" s="395"/>
      <c r="AE79" s="180" t="s">
        <v>141</v>
      </c>
      <c r="AF79" s="394" t="str">
        <f>IFERROR(VLOOKUP(AF75,اسماء,83,0),"")</f>
        <v/>
      </c>
      <c r="AG79" s="394"/>
      <c r="AH79" s="394"/>
      <c r="AI79" s="394"/>
      <c r="AJ79" s="394"/>
      <c r="AK79" s="385" t="s">
        <v>124</v>
      </c>
      <c r="AL79" s="385"/>
      <c r="AM79" s="385"/>
      <c r="AN79" s="385"/>
      <c r="AO79" s="394" t="str">
        <f>IFERROR(VLOOKUP(AF75,اسماء,82,0),"")</f>
        <v/>
      </c>
      <c r="AP79" s="394"/>
      <c r="AQ79" s="394"/>
      <c r="AR79" s="395"/>
      <c r="AT79" s="180" t="s">
        <v>141</v>
      </c>
      <c r="AU79" s="394" t="str">
        <f>IFERROR(VLOOKUP(AU75,اسماء,83,0),"")</f>
        <v/>
      </c>
      <c r="AV79" s="394"/>
      <c r="AW79" s="394"/>
      <c r="AX79" s="394"/>
      <c r="AY79" s="394"/>
      <c r="AZ79" s="385" t="s">
        <v>124</v>
      </c>
      <c r="BA79" s="385"/>
      <c r="BB79" s="385"/>
      <c r="BC79" s="385"/>
      <c r="BD79" s="394" t="str">
        <f>IFERROR(VLOOKUP(AU75,اسماء,82,0),"")</f>
        <v/>
      </c>
      <c r="BE79" s="394"/>
      <c r="BF79" s="394"/>
      <c r="BG79" s="395"/>
    </row>
    <row r="80" spans="1:59" ht="45" customHeight="1" thickBot="1" x14ac:dyDescent="0.3">
      <c r="A80" s="388" t="s">
        <v>142</v>
      </c>
      <c r="B80" s="389"/>
      <c r="C80" s="389"/>
      <c r="D80" s="389"/>
      <c r="E80" s="389"/>
      <c r="F80" s="389"/>
      <c r="G80" s="389"/>
      <c r="H80" s="389"/>
      <c r="I80" s="389"/>
      <c r="J80" s="389"/>
      <c r="K80" s="389"/>
      <c r="L80" s="389"/>
      <c r="M80" s="389"/>
      <c r="N80" s="390"/>
      <c r="P80" s="388" t="s">
        <v>142</v>
      </c>
      <c r="Q80" s="389"/>
      <c r="R80" s="389"/>
      <c r="S80" s="389"/>
      <c r="T80" s="389"/>
      <c r="U80" s="389"/>
      <c r="V80" s="389"/>
      <c r="W80" s="389"/>
      <c r="X80" s="389"/>
      <c r="Y80" s="389"/>
      <c r="Z80" s="389"/>
      <c r="AA80" s="389"/>
      <c r="AB80" s="389"/>
      <c r="AC80" s="390"/>
      <c r="AE80" s="388" t="s">
        <v>142</v>
      </c>
      <c r="AF80" s="389"/>
      <c r="AG80" s="389"/>
      <c r="AH80" s="389"/>
      <c r="AI80" s="389"/>
      <c r="AJ80" s="389"/>
      <c r="AK80" s="389"/>
      <c r="AL80" s="389"/>
      <c r="AM80" s="389"/>
      <c r="AN80" s="389"/>
      <c r="AO80" s="389"/>
      <c r="AP80" s="389"/>
      <c r="AQ80" s="389"/>
      <c r="AR80" s="390"/>
      <c r="AT80" s="388" t="s">
        <v>142</v>
      </c>
      <c r="AU80" s="389"/>
      <c r="AV80" s="389"/>
      <c r="AW80" s="389"/>
      <c r="AX80" s="389"/>
      <c r="AY80" s="389"/>
      <c r="AZ80" s="389"/>
      <c r="BA80" s="389"/>
      <c r="BB80" s="389"/>
      <c r="BC80" s="389"/>
      <c r="BD80" s="389"/>
      <c r="BE80" s="389"/>
      <c r="BF80" s="389"/>
      <c r="BG80" s="390"/>
    </row>
    <row r="81" spans="1:59" ht="45" customHeight="1" thickTop="1" x14ac:dyDescent="0.4">
      <c r="A81" s="391" t="s">
        <v>143</v>
      </c>
      <c r="B81" s="392"/>
      <c r="C81" s="392"/>
      <c r="D81" s="392"/>
      <c r="E81" s="392"/>
      <c r="F81" s="392"/>
      <c r="G81" s="392"/>
      <c r="H81" s="392"/>
      <c r="I81" s="392"/>
      <c r="J81" s="392"/>
      <c r="K81" s="392"/>
      <c r="L81" s="392"/>
      <c r="M81" s="392"/>
      <c r="N81" s="393"/>
      <c r="P81" s="391" t="s">
        <v>143</v>
      </c>
      <c r="Q81" s="392"/>
      <c r="R81" s="392"/>
      <c r="S81" s="392"/>
      <c r="T81" s="392"/>
      <c r="U81" s="392"/>
      <c r="V81" s="392"/>
      <c r="W81" s="392"/>
      <c r="X81" s="392"/>
      <c r="Y81" s="392"/>
      <c r="Z81" s="392"/>
      <c r="AA81" s="392"/>
      <c r="AB81" s="392"/>
      <c r="AC81" s="393"/>
      <c r="AE81" s="391" t="s">
        <v>143</v>
      </c>
      <c r="AF81" s="392"/>
      <c r="AG81" s="392"/>
      <c r="AH81" s="392"/>
      <c r="AI81" s="392"/>
      <c r="AJ81" s="392"/>
      <c r="AK81" s="392"/>
      <c r="AL81" s="392"/>
      <c r="AM81" s="392"/>
      <c r="AN81" s="392"/>
      <c r="AO81" s="392"/>
      <c r="AP81" s="392"/>
      <c r="AQ81" s="392"/>
      <c r="AR81" s="393"/>
      <c r="AT81" s="391" t="s">
        <v>143</v>
      </c>
      <c r="AU81" s="392"/>
      <c r="AV81" s="392"/>
      <c r="AW81" s="392"/>
      <c r="AX81" s="392"/>
      <c r="AY81" s="392"/>
      <c r="AZ81" s="392"/>
      <c r="BA81" s="392"/>
      <c r="BB81" s="392"/>
      <c r="BC81" s="392"/>
      <c r="BD81" s="392"/>
      <c r="BE81" s="392"/>
      <c r="BF81" s="392"/>
      <c r="BG81" s="393"/>
    </row>
    <row r="82" spans="1:59" s="63" customFormat="1" ht="33" customHeight="1" x14ac:dyDescent="0.25">
      <c r="A82" s="387" t="s">
        <v>162</v>
      </c>
      <c r="B82" s="385"/>
      <c r="C82" s="385"/>
      <c r="D82" s="385"/>
      <c r="E82" s="385"/>
      <c r="F82" s="385"/>
      <c r="G82" s="385"/>
      <c r="H82" s="385"/>
      <c r="I82" s="385"/>
      <c r="J82" s="385"/>
      <c r="K82" s="385"/>
      <c r="L82" s="385"/>
      <c r="M82" s="385"/>
      <c r="N82" s="386"/>
      <c r="P82" s="387" t="s">
        <v>162</v>
      </c>
      <c r="Q82" s="385"/>
      <c r="R82" s="385"/>
      <c r="S82" s="385"/>
      <c r="T82" s="385"/>
      <c r="U82" s="385"/>
      <c r="V82" s="385"/>
      <c r="W82" s="385"/>
      <c r="X82" s="385"/>
      <c r="Y82" s="385"/>
      <c r="Z82" s="385"/>
      <c r="AA82" s="385"/>
      <c r="AB82" s="385"/>
      <c r="AC82" s="386"/>
      <c r="AE82" s="387" t="s">
        <v>162</v>
      </c>
      <c r="AF82" s="385"/>
      <c r="AG82" s="385"/>
      <c r="AH82" s="385"/>
      <c r="AI82" s="385"/>
      <c r="AJ82" s="385"/>
      <c r="AK82" s="385"/>
      <c r="AL82" s="385"/>
      <c r="AM82" s="385"/>
      <c r="AN82" s="385"/>
      <c r="AO82" s="385"/>
      <c r="AP82" s="385"/>
      <c r="AQ82" s="385"/>
      <c r="AR82" s="386"/>
      <c r="AT82" s="387" t="s">
        <v>162</v>
      </c>
      <c r="AU82" s="385"/>
      <c r="AV82" s="385"/>
      <c r="AW82" s="385"/>
      <c r="AX82" s="385"/>
      <c r="AY82" s="385"/>
      <c r="AZ82" s="385"/>
      <c r="BA82" s="385"/>
      <c r="BB82" s="385"/>
      <c r="BC82" s="385"/>
      <c r="BD82" s="385"/>
      <c r="BE82" s="385"/>
      <c r="BF82" s="385"/>
      <c r="BG82" s="386"/>
    </row>
    <row r="83" spans="1:59" ht="33" customHeight="1" x14ac:dyDescent="0.4">
      <c r="A83" s="383" t="s">
        <v>144</v>
      </c>
      <c r="B83" s="384"/>
      <c r="C83" s="384"/>
      <c r="D83" s="384"/>
      <c r="E83" s="384"/>
      <c r="F83" s="384"/>
      <c r="G83" s="385"/>
      <c r="H83" s="385"/>
      <c r="I83" s="385"/>
      <c r="J83" s="385"/>
      <c r="K83" s="385"/>
      <c r="L83" s="385"/>
      <c r="M83" s="385"/>
      <c r="N83" s="386"/>
      <c r="P83" s="383" t="s">
        <v>144</v>
      </c>
      <c r="Q83" s="384"/>
      <c r="R83" s="384"/>
      <c r="S83" s="384"/>
      <c r="T83" s="384"/>
      <c r="U83" s="384"/>
      <c r="V83" s="385"/>
      <c r="W83" s="385"/>
      <c r="X83" s="385"/>
      <c r="Y83" s="385"/>
      <c r="Z83" s="385"/>
      <c r="AA83" s="385"/>
      <c r="AB83" s="385"/>
      <c r="AC83" s="386"/>
      <c r="AE83" s="383" t="s">
        <v>144</v>
      </c>
      <c r="AF83" s="384"/>
      <c r="AG83" s="384"/>
      <c r="AH83" s="384"/>
      <c r="AI83" s="384"/>
      <c r="AJ83" s="384"/>
      <c r="AK83" s="385"/>
      <c r="AL83" s="385"/>
      <c r="AM83" s="385"/>
      <c r="AN83" s="385"/>
      <c r="AO83" s="385"/>
      <c r="AP83" s="385"/>
      <c r="AQ83" s="385"/>
      <c r="AR83" s="386"/>
      <c r="AT83" s="383" t="s">
        <v>144</v>
      </c>
      <c r="AU83" s="384"/>
      <c r="AV83" s="384"/>
      <c r="AW83" s="384"/>
      <c r="AX83" s="384"/>
      <c r="AY83" s="384"/>
      <c r="AZ83" s="385"/>
      <c r="BA83" s="385"/>
      <c r="BB83" s="385"/>
      <c r="BC83" s="385"/>
      <c r="BD83" s="385"/>
      <c r="BE83" s="385"/>
      <c r="BF83" s="385"/>
      <c r="BG83" s="386"/>
    </row>
    <row r="84" spans="1:59" s="184" customFormat="1" ht="30" customHeight="1" x14ac:dyDescent="0.4">
      <c r="A84" s="180" t="s">
        <v>145</v>
      </c>
      <c r="B84" s="182"/>
      <c r="C84" s="182"/>
      <c r="D84" s="182"/>
      <c r="E84" s="182"/>
      <c r="F84" s="182"/>
      <c r="G84" s="182"/>
      <c r="H84" s="182"/>
      <c r="I84" s="182"/>
      <c r="J84" s="182"/>
      <c r="K84" s="182"/>
      <c r="L84" s="182"/>
      <c r="M84" s="182"/>
      <c r="N84" s="183" t="s">
        <v>146</v>
      </c>
      <c r="P84" s="180" t="s">
        <v>145</v>
      </c>
      <c r="Q84" s="182"/>
      <c r="R84" s="182"/>
      <c r="S84" s="182"/>
      <c r="T84" s="182"/>
      <c r="U84" s="182"/>
      <c r="V84" s="182"/>
      <c r="W84" s="182"/>
      <c r="X84" s="182"/>
      <c r="Y84" s="182"/>
      <c r="Z84" s="182"/>
      <c r="AA84" s="182"/>
      <c r="AB84" s="182"/>
      <c r="AC84" s="183" t="s">
        <v>146</v>
      </c>
      <c r="AE84" s="180" t="s">
        <v>145</v>
      </c>
      <c r="AF84" s="182"/>
      <c r="AG84" s="182"/>
      <c r="AH84" s="182"/>
      <c r="AI84" s="182"/>
      <c r="AJ84" s="182"/>
      <c r="AK84" s="182"/>
      <c r="AL84" s="182"/>
      <c r="AM84" s="182"/>
      <c r="AN84" s="182"/>
      <c r="AO84" s="182"/>
      <c r="AP84" s="182"/>
      <c r="AQ84" s="182"/>
      <c r="AR84" s="183" t="s">
        <v>146</v>
      </c>
      <c r="AT84" s="180" t="s">
        <v>145</v>
      </c>
      <c r="AU84" s="182"/>
      <c r="AV84" s="182"/>
      <c r="AW84" s="182"/>
      <c r="AX84" s="182"/>
      <c r="AY84" s="182"/>
      <c r="AZ84" s="182"/>
      <c r="BA84" s="182"/>
      <c r="BB84" s="182"/>
      <c r="BC84" s="182"/>
      <c r="BD84" s="182"/>
      <c r="BE84" s="182"/>
      <c r="BF84" s="182"/>
      <c r="BG84" s="183" t="s">
        <v>146</v>
      </c>
    </row>
    <row r="85" spans="1:59" ht="30" customHeight="1" x14ac:dyDescent="0.4">
      <c r="A85" s="185"/>
      <c r="B85" s="182"/>
      <c r="C85" s="182"/>
      <c r="D85" s="182"/>
      <c r="E85" s="182"/>
      <c r="F85" s="182"/>
      <c r="G85" s="182"/>
      <c r="H85" s="182"/>
      <c r="I85" s="182"/>
      <c r="J85" s="182"/>
      <c r="K85" s="182"/>
      <c r="L85" s="182"/>
      <c r="M85" s="182"/>
      <c r="N85" s="186"/>
      <c r="P85" s="185"/>
      <c r="Q85" s="182"/>
      <c r="R85" s="182"/>
      <c r="S85" s="182"/>
      <c r="T85" s="182"/>
      <c r="U85" s="182"/>
      <c r="V85" s="182"/>
      <c r="W85" s="182"/>
      <c r="X85" s="182"/>
      <c r="Y85" s="182"/>
      <c r="Z85" s="182"/>
      <c r="AA85" s="182"/>
      <c r="AB85" s="182"/>
      <c r="AC85" s="186"/>
      <c r="AE85" s="185"/>
      <c r="AF85" s="182"/>
      <c r="AG85" s="182"/>
      <c r="AH85" s="182"/>
      <c r="AI85" s="182"/>
      <c r="AJ85" s="182"/>
      <c r="AK85" s="182"/>
      <c r="AL85" s="182"/>
      <c r="AM85" s="182"/>
      <c r="AN85" s="182"/>
      <c r="AO85" s="182"/>
      <c r="AP85" s="182"/>
      <c r="AQ85" s="182"/>
      <c r="AR85" s="186"/>
      <c r="AT85" s="185"/>
      <c r="AU85" s="182"/>
      <c r="AV85" s="182"/>
      <c r="AW85" s="182"/>
      <c r="AX85" s="182"/>
      <c r="AY85" s="182"/>
      <c r="AZ85" s="182"/>
      <c r="BA85" s="182"/>
      <c r="BB85" s="182"/>
      <c r="BC85" s="182"/>
      <c r="BD85" s="182"/>
      <c r="BE85" s="182"/>
      <c r="BF85" s="182"/>
      <c r="BG85" s="186"/>
    </row>
    <row r="86" spans="1:59" ht="24.9" customHeight="1" x14ac:dyDescent="0.5">
      <c r="A86" s="187"/>
      <c r="B86" s="177"/>
      <c r="C86" s="177"/>
      <c r="D86" s="177"/>
      <c r="E86" s="177"/>
      <c r="F86" s="177"/>
      <c r="G86" s="177"/>
      <c r="H86" s="177"/>
      <c r="I86" s="177"/>
      <c r="J86" s="177"/>
      <c r="K86" s="177"/>
      <c r="L86" s="177"/>
      <c r="M86" s="177"/>
      <c r="N86" s="188"/>
      <c r="P86" s="187"/>
      <c r="Q86" s="177"/>
      <c r="R86" s="177"/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88"/>
      <c r="AE86" s="187"/>
      <c r="AF86" s="177"/>
      <c r="AG86" s="177"/>
      <c r="AH86" s="177"/>
      <c r="AI86" s="177"/>
      <c r="AJ86" s="177"/>
      <c r="AK86" s="177"/>
      <c r="AL86" s="177"/>
      <c r="AM86" s="177"/>
      <c r="AN86" s="177"/>
      <c r="AO86" s="177"/>
      <c r="AP86" s="177"/>
      <c r="AQ86" s="177"/>
      <c r="AR86" s="188"/>
      <c r="AT86" s="187"/>
      <c r="AU86" s="177"/>
      <c r="AV86" s="177"/>
      <c r="AW86" s="177"/>
      <c r="AX86" s="177"/>
      <c r="AY86" s="177"/>
      <c r="AZ86" s="177"/>
      <c r="BA86" s="177"/>
      <c r="BB86" s="177"/>
      <c r="BC86" s="177"/>
      <c r="BD86" s="177"/>
      <c r="BE86" s="177"/>
      <c r="BF86" s="177"/>
      <c r="BG86" s="188"/>
    </row>
    <row r="87" spans="1:59" ht="24.9" customHeight="1" thickBot="1" x14ac:dyDescent="0.55000000000000004">
      <c r="A87" s="189"/>
      <c r="B87" s="190"/>
      <c r="C87" s="190"/>
      <c r="D87" s="190"/>
      <c r="E87" s="190"/>
      <c r="F87" s="190"/>
      <c r="G87" s="190"/>
      <c r="H87" s="190"/>
      <c r="I87" s="190"/>
      <c r="J87" s="190"/>
      <c r="K87" s="190"/>
      <c r="L87" s="190"/>
      <c r="M87" s="190"/>
      <c r="N87" s="191"/>
      <c r="P87" s="189"/>
      <c r="Q87" s="190"/>
      <c r="R87" s="190"/>
      <c r="S87" s="190"/>
      <c r="T87" s="190"/>
      <c r="U87" s="190"/>
      <c r="V87" s="190"/>
      <c r="W87" s="190"/>
      <c r="X87" s="190"/>
      <c r="Y87" s="190"/>
      <c r="Z87" s="190"/>
      <c r="AA87" s="190"/>
      <c r="AB87" s="190"/>
      <c r="AC87" s="191"/>
      <c r="AE87" s="189"/>
      <c r="AF87" s="190"/>
      <c r="AG87" s="190"/>
      <c r="AH87" s="190"/>
      <c r="AI87" s="190"/>
      <c r="AJ87" s="190"/>
      <c r="AK87" s="190"/>
      <c r="AL87" s="190"/>
      <c r="AM87" s="190"/>
      <c r="AN87" s="190"/>
      <c r="AO87" s="190"/>
      <c r="AP87" s="190"/>
      <c r="AQ87" s="190"/>
      <c r="AR87" s="191"/>
      <c r="AT87" s="189"/>
      <c r="AU87" s="190"/>
      <c r="AV87" s="190"/>
      <c r="AW87" s="190"/>
      <c r="AX87" s="190"/>
      <c r="AY87" s="190"/>
      <c r="AZ87" s="190"/>
      <c r="BA87" s="190"/>
      <c r="BB87" s="190"/>
      <c r="BC87" s="190"/>
      <c r="BD87" s="190"/>
      <c r="BE87" s="190"/>
      <c r="BF87" s="190"/>
      <c r="BG87" s="191"/>
    </row>
    <row r="88" spans="1:59" ht="15" thickTop="1" thickBot="1" x14ac:dyDescent="0.3"/>
    <row r="89" spans="1:59" s="177" customFormat="1" ht="39.9" customHeight="1" thickTop="1" x14ac:dyDescent="0.5">
      <c r="A89" s="175">
        <f>A67-1</f>
        <v>4</v>
      </c>
      <c r="B89" s="418" t="s">
        <v>39</v>
      </c>
      <c r="C89" s="418"/>
      <c r="D89" s="418"/>
      <c r="E89" s="418"/>
      <c r="F89" s="418"/>
      <c r="G89" s="418"/>
      <c r="H89" s="418"/>
      <c r="I89" s="418"/>
      <c r="J89" s="418"/>
      <c r="K89" s="418"/>
      <c r="L89" s="418"/>
      <c r="M89" s="418"/>
      <c r="N89" s="176"/>
      <c r="P89" s="175">
        <f>A89-5</f>
        <v>-1</v>
      </c>
      <c r="Q89" s="418" t="s">
        <v>39</v>
      </c>
      <c r="R89" s="418"/>
      <c r="S89" s="418"/>
      <c r="T89" s="418"/>
      <c r="U89" s="418"/>
      <c r="V89" s="418"/>
      <c r="W89" s="418"/>
      <c r="X89" s="418"/>
      <c r="Y89" s="418"/>
      <c r="Z89" s="418"/>
      <c r="AA89" s="418"/>
      <c r="AB89" s="418"/>
      <c r="AC89" s="176"/>
      <c r="AE89" s="175">
        <f>P89-5</f>
        <v>-6</v>
      </c>
      <c r="AF89" s="418" t="s">
        <v>39</v>
      </c>
      <c r="AG89" s="418"/>
      <c r="AH89" s="418"/>
      <c r="AI89" s="418"/>
      <c r="AJ89" s="418"/>
      <c r="AK89" s="418"/>
      <c r="AL89" s="418"/>
      <c r="AM89" s="418"/>
      <c r="AN89" s="418"/>
      <c r="AO89" s="418"/>
      <c r="AP89" s="418"/>
      <c r="AQ89" s="418"/>
      <c r="AR89" s="176"/>
      <c r="AT89" s="175">
        <f>AE89-5</f>
        <v>-11</v>
      </c>
      <c r="AU89" s="418" t="s">
        <v>39</v>
      </c>
      <c r="AV89" s="418"/>
      <c r="AW89" s="418"/>
      <c r="AX89" s="418"/>
      <c r="AY89" s="418"/>
      <c r="AZ89" s="418"/>
      <c r="BA89" s="418"/>
      <c r="BB89" s="418"/>
      <c r="BC89" s="418"/>
      <c r="BD89" s="418"/>
      <c r="BE89" s="418"/>
      <c r="BF89" s="418"/>
      <c r="BG89" s="176"/>
    </row>
    <row r="90" spans="1:59" s="177" customFormat="1" ht="39.9" customHeight="1" x14ac:dyDescent="0.5">
      <c r="A90" s="412" t="s">
        <v>40</v>
      </c>
      <c r="B90" s="413"/>
      <c r="C90" s="413"/>
      <c r="D90" s="413"/>
      <c r="E90" s="413"/>
      <c r="F90" s="413"/>
      <c r="G90" s="413"/>
      <c r="H90" s="413"/>
      <c r="I90" s="413"/>
      <c r="J90" s="413"/>
      <c r="K90" s="413"/>
      <c r="L90" s="413"/>
      <c r="M90" s="413"/>
      <c r="N90" s="414"/>
      <c r="P90" s="412" t="s">
        <v>40</v>
      </c>
      <c r="Q90" s="413"/>
      <c r="R90" s="413"/>
      <c r="S90" s="413"/>
      <c r="T90" s="413"/>
      <c r="U90" s="413"/>
      <c r="V90" s="413"/>
      <c r="W90" s="413"/>
      <c r="X90" s="413"/>
      <c r="Y90" s="413"/>
      <c r="Z90" s="413"/>
      <c r="AA90" s="413"/>
      <c r="AB90" s="413"/>
      <c r="AC90" s="414"/>
      <c r="AE90" s="412" t="s">
        <v>40</v>
      </c>
      <c r="AF90" s="413"/>
      <c r="AG90" s="413"/>
      <c r="AH90" s="413"/>
      <c r="AI90" s="413"/>
      <c r="AJ90" s="413"/>
      <c r="AK90" s="413"/>
      <c r="AL90" s="413"/>
      <c r="AM90" s="413"/>
      <c r="AN90" s="413"/>
      <c r="AO90" s="413"/>
      <c r="AP90" s="413"/>
      <c r="AQ90" s="413"/>
      <c r="AR90" s="414"/>
      <c r="AT90" s="412" t="s">
        <v>40</v>
      </c>
      <c r="AU90" s="413"/>
      <c r="AV90" s="413"/>
      <c r="AW90" s="413"/>
      <c r="AX90" s="413"/>
      <c r="AY90" s="413"/>
      <c r="AZ90" s="413"/>
      <c r="BA90" s="413"/>
      <c r="BB90" s="413"/>
      <c r="BC90" s="413"/>
      <c r="BD90" s="413"/>
      <c r="BE90" s="413"/>
      <c r="BF90" s="413"/>
      <c r="BG90" s="414"/>
    </row>
    <row r="91" spans="1:59" s="177" customFormat="1" ht="39.9" customHeight="1" x14ac:dyDescent="0.5">
      <c r="A91" s="415" t="s">
        <v>163</v>
      </c>
      <c r="B91" s="416"/>
      <c r="C91" s="416"/>
      <c r="D91" s="416"/>
      <c r="E91" s="416"/>
      <c r="F91" s="416"/>
      <c r="G91" s="416"/>
      <c r="H91" s="416"/>
      <c r="I91" s="416"/>
      <c r="J91" s="416"/>
      <c r="K91" s="416"/>
      <c r="L91" s="416"/>
      <c r="M91" s="416"/>
      <c r="N91" s="417"/>
      <c r="P91" s="415" t="s">
        <v>163</v>
      </c>
      <c r="Q91" s="416"/>
      <c r="R91" s="416"/>
      <c r="S91" s="416"/>
      <c r="T91" s="416"/>
      <c r="U91" s="416"/>
      <c r="V91" s="416"/>
      <c r="W91" s="416"/>
      <c r="X91" s="416"/>
      <c r="Y91" s="416"/>
      <c r="Z91" s="416"/>
      <c r="AA91" s="416"/>
      <c r="AB91" s="416"/>
      <c r="AC91" s="417"/>
      <c r="AE91" s="415" t="s">
        <v>163</v>
      </c>
      <c r="AF91" s="416"/>
      <c r="AG91" s="416"/>
      <c r="AH91" s="416"/>
      <c r="AI91" s="416"/>
      <c r="AJ91" s="416"/>
      <c r="AK91" s="416"/>
      <c r="AL91" s="416"/>
      <c r="AM91" s="416"/>
      <c r="AN91" s="416"/>
      <c r="AO91" s="416"/>
      <c r="AP91" s="416"/>
      <c r="AQ91" s="416"/>
      <c r="AR91" s="417"/>
      <c r="AT91" s="415" t="s">
        <v>163</v>
      </c>
      <c r="AU91" s="416"/>
      <c r="AV91" s="416"/>
      <c r="AW91" s="416"/>
      <c r="AX91" s="416"/>
      <c r="AY91" s="416"/>
      <c r="AZ91" s="416"/>
      <c r="BA91" s="416"/>
      <c r="BB91" s="416"/>
      <c r="BC91" s="416"/>
      <c r="BD91" s="416"/>
      <c r="BE91" s="416"/>
      <c r="BF91" s="416"/>
      <c r="BG91" s="417"/>
    </row>
    <row r="92" spans="1:59" s="177" customFormat="1" ht="39.9" customHeight="1" x14ac:dyDescent="0.5">
      <c r="A92" s="406" t="s">
        <v>125</v>
      </c>
      <c r="B92" s="407"/>
      <c r="C92" s="407"/>
      <c r="D92" s="407"/>
      <c r="E92" s="407"/>
      <c r="F92" s="407"/>
      <c r="G92" s="407"/>
      <c r="H92" s="407"/>
      <c r="I92" s="407"/>
      <c r="J92" s="407"/>
      <c r="K92" s="408" t="str">
        <f>ادخال1!$CG$7</f>
        <v>الاساسي</v>
      </c>
      <c r="L92" s="408"/>
      <c r="M92" s="408"/>
      <c r="N92" s="409"/>
      <c r="P92" s="406" t="s">
        <v>125</v>
      </c>
      <c r="Q92" s="407"/>
      <c r="R92" s="407"/>
      <c r="S92" s="407"/>
      <c r="T92" s="407"/>
      <c r="U92" s="407"/>
      <c r="V92" s="407"/>
      <c r="W92" s="407"/>
      <c r="X92" s="407"/>
      <c r="Y92" s="407"/>
      <c r="Z92" s="408" t="str">
        <f>ادخال1!$CG$7</f>
        <v>الاساسي</v>
      </c>
      <c r="AA92" s="408"/>
      <c r="AB92" s="408"/>
      <c r="AC92" s="409"/>
      <c r="AE92" s="406" t="s">
        <v>125</v>
      </c>
      <c r="AF92" s="407"/>
      <c r="AG92" s="407"/>
      <c r="AH92" s="407"/>
      <c r="AI92" s="407"/>
      <c r="AJ92" s="407"/>
      <c r="AK92" s="407"/>
      <c r="AL92" s="407"/>
      <c r="AM92" s="407"/>
      <c r="AN92" s="407"/>
      <c r="AO92" s="408" t="str">
        <f>ادخال1!$CG$7</f>
        <v>الاساسي</v>
      </c>
      <c r="AP92" s="408"/>
      <c r="AQ92" s="408"/>
      <c r="AR92" s="409"/>
      <c r="AT92" s="406" t="s">
        <v>125</v>
      </c>
      <c r="AU92" s="407"/>
      <c r="AV92" s="407"/>
      <c r="AW92" s="407"/>
      <c r="AX92" s="407"/>
      <c r="AY92" s="407"/>
      <c r="AZ92" s="407"/>
      <c r="BA92" s="407"/>
      <c r="BB92" s="407"/>
      <c r="BC92" s="407"/>
      <c r="BD92" s="408" t="str">
        <f>ادخال1!$CG$7</f>
        <v>الاساسي</v>
      </c>
      <c r="BE92" s="408"/>
      <c r="BF92" s="408"/>
      <c r="BG92" s="409"/>
    </row>
    <row r="93" spans="1:59" s="177" customFormat="1" ht="39.9" customHeight="1" x14ac:dyDescent="0.5">
      <c r="A93" s="406" t="s">
        <v>126</v>
      </c>
      <c r="B93" s="407"/>
      <c r="C93" s="407"/>
      <c r="D93" s="407"/>
      <c r="E93" s="407"/>
      <c r="F93" s="407"/>
      <c r="G93" s="410" t="str">
        <f>ادخال1!$CE$5</f>
        <v>الثالث الابتدائي</v>
      </c>
      <c r="H93" s="410"/>
      <c r="I93" s="410"/>
      <c r="J93" s="410"/>
      <c r="K93" s="410"/>
      <c r="L93" s="410"/>
      <c r="M93" s="410"/>
      <c r="N93" s="411"/>
      <c r="P93" s="406" t="s">
        <v>126</v>
      </c>
      <c r="Q93" s="407"/>
      <c r="R93" s="407"/>
      <c r="S93" s="407"/>
      <c r="T93" s="407"/>
      <c r="U93" s="407"/>
      <c r="V93" s="410" t="str">
        <f>ادخال1!$CE$5</f>
        <v>الثالث الابتدائي</v>
      </c>
      <c r="W93" s="410"/>
      <c r="X93" s="410"/>
      <c r="Y93" s="410"/>
      <c r="Z93" s="410"/>
      <c r="AA93" s="410"/>
      <c r="AB93" s="410"/>
      <c r="AC93" s="411"/>
      <c r="AE93" s="406" t="s">
        <v>126</v>
      </c>
      <c r="AF93" s="407"/>
      <c r="AG93" s="407"/>
      <c r="AH93" s="407"/>
      <c r="AI93" s="407"/>
      <c r="AJ93" s="407"/>
      <c r="AK93" s="410" t="str">
        <f>ادخال1!$CE$5</f>
        <v>الثالث الابتدائي</v>
      </c>
      <c r="AL93" s="410"/>
      <c r="AM93" s="410"/>
      <c r="AN93" s="410"/>
      <c r="AO93" s="410"/>
      <c r="AP93" s="410"/>
      <c r="AQ93" s="410"/>
      <c r="AR93" s="411"/>
      <c r="AT93" s="406" t="s">
        <v>126</v>
      </c>
      <c r="AU93" s="407"/>
      <c r="AV93" s="407"/>
      <c r="AW93" s="407"/>
      <c r="AX93" s="407"/>
      <c r="AY93" s="407"/>
      <c r="AZ93" s="410" t="str">
        <f>ادخال1!$CE$5</f>
        <v>الثالث الابتدائي</v>
      </c>
      <c r="BA93" s="410"/>
      <c r="BB93" s="410"/>
      <c r="BC93" s="410"/>
      <c r="BD93" s="410"/>
      <c r="BE93" s="410"/>
      <c r="BF93" s="410"/>
      <c r="BG93" s="411"/>
    </row>
    <row r="94" spans="1:59" s="177" customFormat="1" ht="39.9" customHeight="1" x14ac:dyDescent="0.5">
      <c r="A94" s="178" t="s">
        <v>115</v>
      </c>
      <c r="B94" s="400" t="str">
        <f>ادخال1!$CD$8</f>
        <v>1448هـ/1447 هـ</v>
      </c>
      <c r="C94" s="400"/>
      <c r="D94" s="400"/>
      <c r="E94" s="400"/>
      <c r="F94" s="401" t="s">
        <v>127</v>
      </c>
      <c r="G94" s="401"/>
      <c r="H94" s="402" t="s">
        <v>128</v>
      </c>
      <c r="I94" s="402"/>
      <c r="J94" s="403" t="str">
        <f>ادخال1!$CE$8</f>
        <v>2025م /2026م</v>
      </c>
      <c r="K94" s="403"/>
      <c r="L94" s="403"/>
      <c r="M94" s="403"/>
      <c r="N94" s="179" t="s">
        <v>129</v>
      </c>
      <c r="P94" s="178" t="s">
        <v>115</v>
      </c>
      <c r="Q94" s="400" t="str">
        <f>ادخال1!$CD$8</f>
        <v>1448هـ/1447 هـ</v>
      </c>
      <c r="R94" s="400"/>
      <c r="S94" s="400"/>
      <c r="T94" s="400"/>
      <c r="U94" s="401" t="s">
        <v>127</v>
      </c>
      <c r="V94" s="401"/>
      <c r="W94" s="402" t="s">
        <v>128</v>
      </c>
      <c r="X94" s="402"/>
      <c r="Y94" s="403" t="str">
        <f>ادخال1!$CE$8</f>
        <v>2025م /2026م</v>
      </c>
      <c r="Z94" s="403"/>
      <c r="AA94" s="403"/>
      <c r="AB94" s="403"/>
      <c r="AC94" s="179" t="s">
        <v>129</v>
      </c>
      <c r="AE94" s="178" t="s">
        <v>115</v>
      </c>
      <c r="AF94" s="400" t="str">
        <f>ادخال1!$CD$8</f>
        <v>1448هـ/1447 هـ</v>
      </c>
      <c r="AG94" s="400"/>
      <c r="AH94" s="400"/>
      <c r="AI94" s="400"/>
      <c r="AJ94" s="401" t="s">
        <v>127</v>
      </c>
      <c r="AK94" s="401"/>
      <c r="AL94" s="402" t="s">
        <v>128</v>
      </c>
      <c r="AM94" s="402"/>
      <c r="AN94" s="403" t="str">
        <f>ادخال1!$CE$8</f>
        <v>2025م /2026م</v>
      </c>
      <c r="AO94" s="403"/>
      <c r="AP94" s="403"/>
      <c r="AQ94" s="403"/>
      <c r="AR94" s="179" t="s">
        <v>129</v>
      </c>
      <c r="AT94" s="178" t="s">
        <v>115</v>
      </c>
      <c r="AU94" s="400" t="str">
        <f>ادخال1!$CD$8</f>
        <v>1448هـ/1447 هـ</v>
      </c>
      <c r="AV94" s="400"/>
      <c r="AW94" s="400"/>
      <c r="AX94" s="400"/>
      <c r="AY94" s="401" t="s">
        <v>127</v>
      </c>
      <c r="AZ94" s="401"/>
      <c r="BA94" s="402" t="s">
        <v>128</v>
      </c>
      <c r="BB94" s="402"/>
      <c r="BC94" s="403" t="str">
        <f>ادخال1!$CE$8</f>
        <v>2025م /2026م</v>
      </c>
      <c r="BD94" s="403"/>
      <c r="BE94" s="403"/>
      <c r="BF94" s="403"/>
      <c r="BG94" s="179" t="s">
        <v>129</v>
      </c>
    </row>
    <row r="95" spans="1:59" ht="45" customHeight="1" x14ac:dyDescent="0.25">
      <c r="A95" s="180" t="s">
        <v>130</v>
      </c>
      <c r="B95" s="404" t="str">
        <f>ادخال1!$CE$4</f>
        <v>تاجوراء</v>
      </c>
      <c r="C95" s="404"/>
      <c r="D95" s="404"/>
      <c r="E95" s="404"/>
      <c r="F95" s="404"/>
      <c r="G95" s="404"/>
      <c r="H95" s="404"/>
      <c r="I95" s="404"/>
      <c r="J95" s="404"/>
      <c r="K95" s="404"/>
      <c r="L95" s="404"/>
      <c r="M95" s="404"/>
      <c r="N95" s="405"/>
      <c r="P95" s="180" t="s">
        <v>130</v>
      </c>
      <c r="Q95" s="404" t="str">
        <f>ادخال1!$CE$4</f>
        <v>تاجوراء</v>
      </c>
      <c r="R95" s="404"/>
      <c r="S95" s="404"/>
      <c r="T95" s="404"/>
      <c r="U95" s="404"/>
      <c r="V95" s="404"/>
      <c r="W95" s="404"/>
      <c r="X95" s="404"/>
      <c r="Y95" s="404"/>
      <c r="Z95" s="404"/>
      <c r="AA95" s="404"/>
      <c r="AB95" s="404"/>
      <c r="AC95" s="405"/>
      <c r="AE95" s="180" t="s">
        <v>130</v>
      </c>
      <c r="AF95" s="404" t="str">
        <f>ادخال1!$CE$4</f>
        <v>تاجوراء</v>
      </c>
      <c r="AG95" s="404"/>
      <c r="AH95" s="404"/>
      <c r="AI95" s="404"/>
      <c r="AJ95" s="404"/>
      <c r="AK95" s="404"/>
      <c r="AL95" s="404"/>
      <c r="AM95" s="404"/>
      <c r="AN95" s="404"/>
      <c r="AO95" s="404"/>
      <c r="AP95" s="404"/>
      <c r="AQ95" s="404"/>
      <c r="AR95" s="405"/>
      <c r="AT95" s="180" t="s">
        <v>130</v>
      </c>
      <c r="AU95" s="404" t="str">
        <f>ادخال1!$CE$4</f>
        <v>تاجوراء</v>
      </c>
      <c r="AV95" s="404"/>
      <c r="AW95" s="404"/>
      <c r="AX95" s="404"/>
      <c r="AY95" s="404"/>
      <c r="AZ95" s="404"/>
      <c r="BA95" s="404"/>
      <c r="BB95" s="404"/>
      <c r="BC95" s="404"/>
      <c r="BD95" s="404"/>
      <c r="BE95" s="404"/>
      <c r="BF95" s="404"/>
      <c r="BG95" s="405"/>
    </row>
    <row r="96" spans="1:59" ht="45" customHeight="1" x14ac:dyDescent="0.25">
      <c r="A96" s="180" t="s">
        <v>131</v>
      </c>
      <c r="B96" s="394" t="str">
        <f>ادخال1!$CC$6</f>
        <v>سهول العلم للتعليم الخاص</v>
      </c>
      <c r="C96" s="394"/>
      <c r="D96" s="394"/>
      <c r="E96" s="394"/>
      <c r="F96" s="394"/>
      <c r="G96" s="394"/>
      <c r="H96" s="394"/>
      <c r="I96" s="394"/>
      <c r="J96" s="399" t="s">
        <v>132</v>
      </c>
      <c r="K96" s="399"/>
      <c r="L96" s="399"/>
      <c r="M96" s="394" t="str">
        <f>ادخال1!$CC$8</f>
        <v>تاجوراء</v>
      </c>
      <c r="N96" s="395"/>
      <c r="P96" s="180" t="s">
        <v>131</v>
      </c>
      <c r="Q96" s="394" t="str">
        <f>ادخال1!$CC$6</f>
        <v>سهول العلم للتعليم الخاص</v>
      </c>
      <c r="R96" s="394"/>
      <c r="S96" s="394"/>
      <c r="T96" s="394"/>
      <c r="U96" s="394"/>
      <c r="V96" s="394"/>
      <c r="W96" s="394"/>
      <c r="X96" s="394"/>
      <c r="Y96" s="399" t="s">
        <v>132</v>
      </c>
      <c r="Z96" s="399"/>
      <c r="AA96" s="399"/>
      <c r="AB96" s="394" t="str">
        <f>ادخال1!$CC$8</f>
        <v>تاجوراء</v>
      </c>
      <c r="AC96" s="395"/>
      <c r="AE96" s="180" t="s">
        <v>131</v>
      </c>
      <c r="AF96" s="394" t="str">
        <f>ادخال1!$CC$6</f>
        <v>سهول العلم للتعليم الخاص</v>
      </c>
      <c r="AG96" s="394"/>
      <c r="AH96" s="394"/>
      <c r="AI96" s="394"/>
      <c r="AJ96" s="394"/>
      <c r="AK96" s="394"/>
      <c r="AL96" s="394"/>
      <c r="AM96" s="394"/>
      <c r="AN96" s="399" t="s">
        <v>132</v>
      </c>
      <c r="AO96" s="399"/>
      <c r="AP96" s="399"/>
      <c r="AQ96" s="394" t="str">
        <f>ادخال1!$CC$8</f>
        <v>تاجوراء</v>
      </c>
      <c r="AR96" s="395"/>
      <c r="AT96" s="180" t="s">
        <v>131</v>
      </c>
      <c r="AU96" s="394" t="str">
        <f>ادخال1!$CC$6</f>
        <v>سهول العلم للتعليم الخاص</v>
      </c>
      <c r="AV96" s="394"/>
      <c r="AW96" s="394"/>
      <c r="AX96" s="394"/>
      <c r="AY96" s="394"/>
      <c r="AZ96" s="394"/>
      <c r="BA96" s="394"/>
      <c r="BB96" s="394"/>
      <c r="BC96" s="399" t="s">
        <v>132</v>
      </c>
      <c r="BD96" s="399"/>
      <c r="BE96" s="399"/>
      <c r="BF96" s="394" t="str">
        <f>ادخال1!$CC$8</f>
        <v>تاجوراء</v>
      </c>
      <c r="BG96" s="395"/>
    </row>
    <row r="97" spans="1:59" ht="45" customHeight="1" x14ac:dyDescent="0.25">
      <c r="A97" s="180" t="s">
        <v>133</v>
      </c>
      <c r="B97" s="398" t="str">
        <f>IFERROR(VLOOKUP(A89,مسلسل,2,0),0)</f>
        <v>دانية حسن مفتاح المقوب</v>
      </c>
      <c r="C97" s="398">
        <f t="shared" ref="C97" si="112">IFERROR(VLOOKUP(B97,مسلسل,2,0),0)</f>
        <v>0</v>
      </c>
      <c r="D97" s="398">
        <f t="shared" ref="D97" si="113">IFERROR(VLOOKUP(C97,مسلسل,2,0),0)</f>
        <v>0</v>
      </c>
      <c r="E97" s="398">
        <f t="shared" ref="E97" si="114">IFERROR(VLOOKUP(D97,مسلسل,2,0),0)</f>
        <v>0</v>
      </c>
      <c r="F97" s="398">
        <f t="shared" ref="F97" si="115">IFERROR(VLOOKUP(E97,مسلسل,2,0),0)</f>
        <v>0</v>
      </c>
      <c r="G97" s="398">
        <f t="shared" ref="G97" si="116">IFERROR(VLOOKUP(F97,مسلسل,2,0),0)</f>
        <v>0</v>
      </c>
      <c r="H97" s="398">
        <f t="shared" ref="H97" si="117">IFERROR(VLOOKUP(G97,مسلسل,2,0),0)</f>
        <v>0</v>
      </c>
      <c r="I97" s="398">
        <f t="shared" ref="I97" si="118">IFERROR(VLOOKUP(H97,مسلسل,2,0),0)</f>
        <v>0</v>
      </c>
      <c r="J97" s="399" t="s">
        <v>134</v>
      </c>
      <c r="K97" s="399"/>
      <c r="L97" s="399"/>
      <c r="M97" s="394" t="str">
        <f>IFERROR(VLOOKUP(B97,اسماء,66,0),"")</f>
        <v>المقوب</v>
      </c>
      <c r="N97" s="395"/>
      <c r="P97" s="180" t="s">
        <v>133</v>
      </c>
      <c r="Q97" s="398">
        <f>IFERROR(VLOOKUP(P89,مسلسل,2,0),0)</f>
        <v>0</v>
      </c>
      <c r="R97" s="398">
        <f t="shared" ref="R97" si="119">IFERROR(VLOOKUP(Q97,مسلسل,2,0),0)</f>
        <v>0</v>
      </c>
      <c r="S97" s="398">
        <f t="shared" ref="S97" si="120">IFERROR(VLOOKUP(R97,مسلسل,2,0),0)</f>
        <v>0</v>
      </c>
      <c r="T97" s="398">
        <f t="shared" ref="T97" si="121">IFERROR(VLOOKUP(S97,مسلسل,2,0),0)</f>
        <v>0</v>
      </c>
      <c r="U97" s="398">
        <f t="shared" ref="U97" si="122">IFERROR(VLOOKUP(T97,مسلسل,2,0),0)</f>
        <v>0</v>
      </c>
      <c r="V97" s="398">
        <f t="shared" ref="V97" si="123">IFERROR(VLOOKUP(U97,مسلسل,2,0),0)</f>
        <v>0</v>
      </c>
      <c r="W97" s="398">
        <f t="shared" ref="W97" si="124">IFERROR(VLOOKUP(V97,مسلسل,2,0),0)</f>
        <v>0</v>
      </c>
      <c r="X97" s="398">
        <f t="shared" ref="X97" si="125">IFERROR(VLOOKUP(W97,مسلسل,2,0),0)</f>
        <v>0</v>
      </c>
      <c r="Y97" s="399" t="s">
        <v>134</v>
      </c>
      <c r="Z97" s="399"/>
      <c r="AA97" s="399"/>
      <c r="AB97" s="394" t="str">
        <f>IFERROR(VLOOKUP(Q97,اسماء,66,0),"")</f>
        <v/>
      </c>
      <c r="AC97" s="395"/>
      <c r="AE97" s="180" t="s">
        <v>133</v>
      </c>
      <c r="AF97" s="398">
        <f>IFERROR(VLOOKUP(AE89,مسلسل,2,0),0)</f>
        <v>0</v>
      </c>
      <c r="AG97" s="398">
        <f t="shared" ref="AG97" si="126">IFERROR(VLOOKUP(AF97,مسلسل,2,0),0)</f>
        <v>0</v>
      </c>
      <c r="AH97" s="398">
        <f t="shared" ref="AH97" si="127">IFERROR(VLOOKUP(AG97,مسلسل,2,0),0)</f>
        <v>0</v>
      </c>
      <c r="AI97" s="398">
        <f t="shared" ref="AI97" si="128">IFERROR(VLOOKUP(AH97,مسلسل,2,0),0)</f>
        <v>0</v>
      </c>
      <c r="AJ97" s="398">
        <f t="shared" ref="AJ97" si="129">IFERROR(VLOOKUP(AI97,مسلسل,2,0),0)</f>
        <v>0</v>
      </c>
      <c r="AK97" s="398">
        <f t="shared" ref="AK97" si="130">IFERROR(VLOOKUP(AJ97,مسلسل,2,0),0)</f>
        <v>0</v>
      </c>
      <c r="AL97" s="398">
        <f t="shared" ref="AL97" si="131">IFERROR(VLOOKUP(AK97,مسلسل,2,0),0)</f>
        <v>0</v>
      </c>
      <c r="AM97" s="398">
        <f t="shared" ref="AM97" si="132">IFERROR(VLOOKUP(AL97,مسلسل,2,0),0)</f>
        <v>0</v>
      </c>
      <c r="AN97" s="399" t="s">
        <v>134</v>
      </c>
      <c r="AO97" s="399"/>
      <c r="AP97" s="399"/>
      <c r="AQ97" s="394" t="str">
        <f>IFERROR(VLOOKUP(AF97,اسماء,66,0),"")</f>
        <v/>
      </c>
      <c r="AR97" s="395"/>
      <c r="AT97" s="180" t="s">
        <v>133</v>
      </c>
      <c r="AU97" s="398">
        <f>IFERROR(VLOOKUP(AT89,مسلسل,2,0),0)</f>
        <v>0</v>
      </c>
      <c r="AV97" s="398">
        <f t="shared" ref="AV97" si="133">IFERROR(VLOOKUP(AU97,مسلسل,2,0),0)</f>
        <v>0</v>
      </c>
      <c r="AW97" s="398">
        <f t="shared" ref="AW97" si="134">IFERROR(VLOOKUP(AV97,مسلسل,2,0),0)</f>
        <v>0</v>
      </c>
      <c r="AX97" s="398">
        <f t="shared" ref="AX97" si="135">IFERROR(VLOOKUP(AW97,مسلسل,2,0),0)</f>
        <v>0</v>
      </c>
      <c r="AY97" s="398">
        <f t="shared" ref="AY97" si="136">IFERROR(VLOOKUP(AX97,مسلسل,2,0),0)</f>
        <v>0</v>
      </c>
      <c r="AZ97" s="398">
        <f t="shared" ref="AZ97" si="137">IFERROR(VLOOKUP(AY97,مسلسل,2,0),0)</f>
        <v>0</v>
      </c>
      <c r="BA97" s="398">
        <f t="shared" ref="BA97" si="138">IFERROR(VLOOKUP(AZ97,مسلسل,2,0),0)</f>
        <v>0</v>
      </c>
      <c r="BB97" s="398">
        <f t="shared" ref="BB97" si="139">IFERROR(VLOOKUP(BA97,مسلسل,2,0),0)</f>
        <v>0</v>
      </c>
      <c r="BC97" s="399" t="s">
        <v>134</v>
      </c>
      <c r="BD97" s="399"/>
      <c r="BE97" s="399"/>
      <c r="BF97" s="394" t="str">
        <f>IFERROR(VLOOKUP(AU97,اسماء,66,0),"")</f>
        <v/>
      </c>
      <c r="BG97" s="395"/>
    </row>
    <row r="98" spans="1:59" ht="45" customHeight="1" x14ac:dyDescent="0.25">
      <c r="A98" s="180" t="s">
        <v>135</v>
      </c>
      <c r="B98" s="385" t="str">
        <f>IFERROR(VLOOKUP(B97,اسماء,79,0),"")</f>
        <v>تاجوراء</v>
      </c>
      <c r="C98" s="385"/>
      <c r="D98" s="385"/>
      <c r="E98" s="396">
        <f>IFERROR(VLOOKUP(B97,اسماء,2,0),"")</f>
        <v>42787</v>
      </c>
      <c r="F98" s="396"/>
      <c r="G98" s="396"/>
      <c r="H98" s="396"/>
      <c r="I98" s="397" t="s">
        <v>136</v>
      </c>
      <c r="J98" s="397"/>
      <c r="K98" s="397"/>
      <c r="L98" s="397"/>
      <c r="M98" s="394" t="str">
        <f>IFERROR(VLOOKUP(B97,اسماء,3,0),"")</f>
        <v>مروة الدرعي علي البكوش</v>
      </c>
      <c r="N98" s="395"/>
      <c r="P98" s="180" t="s">
        <v>135</v>
      </c>
      <c r="Q98" s="385" t="str">
        <f>IFERROR(VLOOKUP(Q97,اسماء,79,0),"")</f>
        <v/>
      </c>
      <c r="R98" s="385"/>
      <c r="S98" s="385"/>
      <c r="T98" s="396" t="str">
        <f>IFERROR(VLOOKUP(Q97,اسماء,2,0),"")</f>
        <v/>
      </c>
      <c r="U98" s="396"/>
      <c r="V98" s="396"/>
      <c r="W98" s="396"/>
      <c r="X98" s="397" t="s">
        <v>136</v>
      </c>
      <c r="Y98" s="397"/>
      <c r="Z98" s="397"/>
      <c r="AA98" s="397"/>
      <c r="AB98" s="394" t="str">
        <f>IFERROR(VLOOKUP(Q97,اسماء,3,0),"")</f>
        <v/>
      </c>
      <c r="AC98" s="395"/>
      <c r="AE98" s="180" t="s">
        <v>135</v>
      </c>
      <c r="AF98" s="385" t="str">
        <f>IFERROR(VLOOKUP(AF97,اسماء,79,0),"")</f>
        <v/>
      </c>
      <c r="AG98" s="385"/>
      <c r="AH98" s="385"/>
      <c r="AI98" s="396" t="str">
        <f>IFERROR(VLOOKUP(AF97,اسماء,2,0),"")</f>
        <v/>
      </c>
      <c r="AJ98" s="396"/>
      <c r="AK98" s="396"/>
      <c r="AL98" s="396"/>
      <c r="AM98" s="397" t="s">
        <v>136</v>
      </c>
      <c r="AN98" s="397"/>
      <c r="AO98" s="397"/>
      <c r="AP98" s="397"/>
      <c r="AQ98" s="394" t="str">
        <f>IFERROR(VLOOKUP(AF97,اسماء,3,0),"")</f>
        <v/>
      </c>
      <c r="AR98" s="395"/>
      <c r="AT98" s="180" t="s">
        <v>135</v>
      </c>
      <c r="AU98" s="385" t="str">
        <f>IFERROR(VLOOKUP(AU97,اسماء,79,0),"")</f>
        <v/>
      </c>
      <c r="AV98" s="385"/>
      <c r="AW98" s="385"/>
      <c r="AX98" s="396" t="str">
        <f>IFERROR(VLOOKUP(AU97,اسماء,2,0),"")</f>
        <v/>
      </c>
      <c r="AY98" s="396"/>
      <c r="AZ98" s="396"/>
      <c r="BA98" s="396"/>
      <c r="BB98" s="397" t="s">
        <v>136</v>
      </c>
      <c r="BC98" s="397"/>
      <c r="BD98" s="397"/>
      <c r="BE98" s="397"/>
      <c r="BF98" s="394" t="str">
        <f>IFERROR(VLOOKUP(AU97,اسماء,3,0),"")</f>
        <v/>
      </c>
      <c r="BG98" s="395"/>
    </row>
    <row r="99" spans="1:59" ht="35.1" customHeight="1" x14ac:dyDescent="0.25">
      <c r="A99" s="180" t="s">
        <v>137</v>
      </c>
      <c r="B99" s="181" t="str">
        <f>IFERROR(VLOOKUP(B97,اسماء,67,0),"")</f>
        <v>8</v>
      </c>
      <c r="C99" s="181" t="str">
        <f>IFERROR(VLOOKUP(B97,اسماء,68,0),"")</f>
        <v>9</v>
      </c>
      <c r="D99" s="181" t="str">
        <f>IFERROR(VLOOKUP(B97,اسماء,69,0),"")</f>
        <v>3</v>
      </c>
      <c r="E99" s="181" t="str">
        <f>IFERROR(VLOOKUP(B97,اسماء,70,0),"")</f>
        <v>4</v>
      </c>
      <c r="F99" s="181" t="str">
        <f>IFERROR(VLOOKUP(B97,اسماء,71,0),"")</f>
        <v>6</v>
      </c>
      <c r="G99" s="181" t="str">
        <f>IFERROR(VLOOKUP(B97,اسماء,72,0),"")</f>
        <v>6</v>
      </c>
      <c r="H99" s="181" t="str">
        <f>IFERROR(VLOOKUP(B97,اسماء,73,0),"")</f>
        <v>0</v>
      </c>
      <c r="I99" s="181" t="str">
        <f>IFERROR(VLOOKUP(B97,اسماء,74,0),"")</f>
        <v>7</v>
      </c>
      <c r="J99" s="181" t="str">
        <f>IFERROR(VLOOKUP(B97,اسماء,75,0),"")</f>
        <v>1</v>
      </c>
      <c r="K99" s="181" t="str">
        <f>IFERROR(VLOOKUP(B97,اسماء,76,0),"")</f>
        <v>0</v>
      </c>
      <c r="L99" s="181" t="str">
        <f>IFERROR(VLOOKUP(B97,اسماء,77,0),"")</f>
        <v>2</v>
      </c>
      <c r="M99" s="181" t="str">
        <f>IFERROR(VLOOKUP(B97,اسماء,78,0),"")</f>
        <v>2</v>
      </c>
      <c r="N99" s="339"/>
      <c r="P99" s="180" t="s">
        <v>137</v>
      </c>
      <c r="Q99" s="181" t="str">
        <f>IFERROR(VLOOKUP(Q97,اسماء,67,0),"")</f>
        <v/>
      </c>
      <c r="R99" s="181" t="str">
        <f>IFERROR(VLOOKUP(Q97,اسماء,68,0),"")</f>
        <v/>
      </c>
      <c r="S99" s="181" t="str">
        <f>IFERROR(VLOOKUP(Q97,اسماء,69,0),"")</f>
        <v/>
      </c>
      <c r="T99" s="181" t="str">
        <f>IFERROR(VLOOKUP(Q97,اسماء,70,0),"")</f>
        <v/>
      </c>
      <c r="U99" s="181" t="str">
        <f>IFERROR(VLOOKUP(Q97,اسماء,71,0),"")</f>
        <v/>
      </c>
      <c r="V99" s="181" t="str">
        <f>IFERROR(VLOOKUP(Q97,اسماء,72,0),"")</f>
        <v/>
      </c>
      <c r="W99" s="181" t="str">
        <f>IFERROR(VLOOKUP(Q97,اسماء,73,0),"")</f>
        <v/>
      </c>
      <c r="X99" s="181" t="str">
        <f>IFERROR(VLOOKUP(Q97,اسماء,74,0),"")</f>
        <v/>
      </c>
      <c r="Y99" s="181" t="str">
        <f>IFERROR(VLOOKUP(Q97,اسماء,75,0),"")</f>
        <v/>
      </c>
      <c r="Z99" s="181" t="str">
        <f>IFERROR(VLOOKUP(Q97,اسماء,76,0),"")</f>
        <v/>
      </c>
      <c r="AA99" s="181" t="str">
        <f>IFERROR(VLOOKUP(Q97,اسماء,77,0),"")</f>
        <v/>
      </c>
      <c r="AB99" s="181" t="str">
        <f>IFERROR(VLOOKUP(Q97,اسماء,78,0),"")</f>
        <v/>
      </c>
      <c r="AC99" s="339"/>
      <c r="AE99" s="180" t="s">
        <v>137</v>
      </c>
      <c r="AF99" s="181" t="str">
        <f>IFERROR(VLOOKUP(AF97,اسماء,67,0),"")</f>
        <v/>
      </c>
      <c r="AG99" s="181" t="str">
        <f>IFERROR(VLOOKUP(AF97,اسماء,68,0),"")</f>
        <v/>
      </c>
      <c r="AH99" s="181" t="str">
        <f>IFERROR(VLOOKUP(AF97,اسماء,69,0),"")</f>
        <v/>
      </c>
      <c r="AI99" s="181" t="str">
        <f>IFERROR(VLOOKUP(AF97,اسماء,70,0),"")</f>
        <v/>
      </c>
      <c r="AJ99" s="181" t="str">
        <f>IFERROR(VLOOKUP(AF97,اسماء,71,0),"")</f>
        <v/>
      </c>
      <c r="AK99" s="181" t="str">
        <f>IFERROR(VLOOKUP(AF97,اسماء,72,0),"")</f>
        <v/>
      </c>
      <c r="AL99" s="181" t="str">
        <f>IFERROR(VLOOKUP(AF97,اسماء,73,0),"")</f>
        <v/>
      </c>
      <c r="AM99" s="181" t="str">
        <f>IFERROR(VLOOKUP(AF97,اسماء,74,0),"")</f>
        <v/>
      </c>
      <c r="AN99" s="181" t="str">
        <f>IFERROR(VLOOKUP(AF97,اسماء,75,0),"")</f>
        <v/>
      </c>
      <c r="AO99" s="181" t="str">
        <f>IFERROR(VLOOKUP(AF97,اسماء,76,0),"")</f>
        <v/>
      </c>
      <c r="AP99" s="181" t="str">
        <f>IFERROR(VLOOKUP(AF97,اسماء,77,0),"")</f>
        <v/>
      </c>
      <c r="AQ99" s="181" t="str">
        <f>IFERROR(VLOOKUP(AF97,اسماء,78,0),"")</f>
        <v/>
      </c>
      <c r="AR99" s="339"/>
      <c r="AT99" s="180" t="s">
        <v>137</v>
      </c>
      <c r="AU99" s="181" t="str">
        <f>IFERROR(VLOOKUP(AU97,اسماء,67,0),"")</f>
        <v/>
      </c>
      <c r="AV99" s="181" t="str">
        <f>IFERROR(VLOOKUP(AU97,اسماء,68,0),"")</f>
        <v/>
      </c>
      <c r="AW99" s="181" t="str">
        <f>IFERROR(VLOOKUP(AU97,اسماء,69,0),"")</f>
        <v/>
      </c>
      <c r="AX99" s="181" t="str">
        <f>IFERROR(VLOOKUP(AU97,اسماء,70,0),"")</f>
        <v/>
      </c>
      <c r="AY99" s="181" t="str">
        <f>IFERROR(VLOOKUP(AU97,اسماء,71,0),"")</f>
        <v/>
      </c>
      <c r="AZ99" s="181" t="str">
        <f>IFERROR(VLOOKUP(AU97,اسماء,72,0),"")</f>
        <v/>
      </c>
      <c r="BA99" s="181" t="str">
        <f>IFERROR(VLOOKUP(AU97,اسماء,73,0),"")</f>
        <v/>
      </c>
      <c r="BB99" s="181" t="str">
        <f>IFERROR(VLOOKUP(AU97,اسماء,74,0),"")</f>
        <v/>
      </c>
      <c r="BC99" s="181" t="str">
        <f>IFERROR(VLOOKUP(AU97,اسماء,75,0),"")</f>
        <v/>
      </c>
      <c r="BD99" s="181" t="str">
        <f>IFERROR(VLOOKUP(AU97,اسماء,76,0),"")</f>
        <v/>
      </c>
      <c r="BE99" s="181" t="str">
        <f>IFERROR(VLOOKUP(AU97,اسماء,77,0),"")</f>
        <v/>
      </c>
      <c r="BF99" s="181" t="str">
        <f>IFERROR(VLOOKUP(AU97,اسماء,78,0),"")</f>
        <v/>
      </c>
      <c r="BG99" s="339"/>
    </row>
    <row r="100" spans="1:59" ht="45" customHeight="1" x14ac:dyDescent="0.25">
      <c r="A100" s="180" t="s">
        <v>138</v>
      </c>
      <c r="B100" s="394" t="str">
        <f>IFERROR(VLOOKUP(B97,اسماء,80,0),"")</f>
        <v>ليبية</v>
      </c>
      <c r="C100" s="394"/>
      <c r="D100" s="394"/>
      <c r="E100" s="394"/>
      <c r="F100" s="394"/>
      <c r="G100" s="385" t="s">
        <v>139</v>
      </c>
      <c r="H100" s="385"/>
      <c r="I100" s="385" t="s">
        <v>140</v>
      </c>
      <c r="J100" s="385"/>
      <c r="K100" s="394" t="str">
        <f>IFERROR(VLOOKUP(B97,اسماء,81,0),"")</f>
        <v>مستجد</v>
      </c>
      <c r="L100" s="394"/>
      <c r="M100" s="394"/>
      <c r="N100" s="395"/>
      <c r="P100" s="180" t="s">
        <v>138</v>
      </c>
      <c r="Q100" s="394" t="str">
        <f>IFERROR(VLOOKUP(Q97,اسماء,80,0),"")</f>
        <v/>
      </c>
      <c r="R100" s="394"/>
      <c r="S100" s="394"/>
      <c r="T100" s="394"/>
      <c r="U100" s="394"/>
      <c r="V100" s="385" t="s">
        <v>139</v>
      </c>
      <c r="W100" s="385"/>
      <c r="X100" s="385" t="s">
        <v>140</v>
      </c>
      <c r="Y100" s="385"/>
      <c r="Z100" s="394" t="str">
        <f>IFERROR(VLOOKUP(Q97,اسماء,81,0),"")</f>
        <v/>
      </c>
      <c r="AA100" s="394"/>
      <c r="AB100" s="394"/>
      <c r="AC100" s="395"/>
      <c r="AE100" s="180" t="s">
        <v>138</v>
      </c>
      <c r="AF100" s="394" t="str">
        <f>IFERROR(VLOOKUP(AF97,اسماء,80,0),"")</f>
        <v/>
      </c>
      <c r="AG100" s="394"/>
      <c r="AH100" s="394"/>
      <c r="AI100" s="394"/>
      <c r="AJ100" s="394"/>
      <c r="AK100" s="385" t="s">
        <v>139</v>
      </c>
      <c r="AL100" s="385"/>
      <c r="AM100" s="385" t="s">
        <v>140</v>
      </c>
      <c r="AN100" s="385"/>
      <c r="AO100" s="394" t="str">
        <f>IFERROR(VLOOKUP(AF97,اسماء,81,0),"")</f>
        <v/>
      </c>
      <c r="AP100" s="394"/>
      <c r="AQ100" s="394"/>
      <c r="AR100" s="395"/>
      <c r="AT100" s="180" t="s">
        <v>138</v>
      </c>
      <c r="AU100" s="394" t="str">
        <f>IFERROR(VLOOKUP(AU97,اسماء,80,0),"")</f>
        <v/>
      </c>
      <c r="AV100" s="394"/>
      <c r="AW100" s="394"/>
      <c r="AX100" s="394"/>
      <c r="AY100" s="394"/>
      <c r="AZ100" s="385" t="s">
        <v>139</v>
      </c>
      <c r="BA100" s="385"/>
      <c r="BB100" s="385" t="s">
        <v>140</v>
      </c>
      <c r="BC100" s="385"/>
      <c r="BD100" s="394" t="str">
        <f>IFERROR(VLOOKUP(AU97,اسماء,81,0),"")</f>
        <v/>
      </c>
      <c r="BE100" s="394"/>
      <c r="BF100" s="394"/>
      <c r="BG100" s="395"/>
    </row>
    <row r="101" spans="1:59" ht="45" customHeight="1" x14ac:dyDescent="0.25">
      <c r="A101" s="180" t="s">
        <v>141</v>
      </c>
      <c r="B101" s="394" t="str">
        <f>IFERROR(VLOOKUP(B97,اسماء,83,0),"")</f>
        <v>ريمة صالح المختار</v>
      </c>
      <c r="C101" s="394"/>
      <c r="D101" s="394"/>
      <c r="E101" s="394"/>
      <c r="F101" s="394"/>
      <c r="G101" s="385" t="s">
        <v>124</v>
      </c>
      <c r="H101" s="385"/>
      <c r="I101" s="385"/>
      <c r="J101" s="385"/>
      <c r="K101" s="394" t="str">
        <f>IFERROR(VLOOKUP(B97,اسماء,82,0),"")</f>
        <v>نظامي</v>
      </c>
      <c r="L101" s="394"/>
      <c r="M101" s="394"/>
      <c r="N101" s="395"/>
      <c r="P101" s="180" t="s">
        <v>141</v>
      </c>
      <c r="Q101" s="394" t="str">
        <f>IFERROR(VLOOKUP(Q97,اسماء,83,0),"")</f>
        <v/>
      </c>
      <c r="R101" s="394"/>
      <c r="S101" s="394"/>
      <c r="T101" s="394"/>
      <c r="U101" s="394"/>
      <c r="V101" s="385" t="s">
        <v>124</v>
      </c>
      <c r="W101" s="385"/>
      <c r="X101" s="385"/>
      <c r="Y101" s="385"/>
      <c r="Z101" s="394" t="str">
        <f>IFERROR(VLOOKUP(Q97,اسماء,82,0),"")</f>
        <v/>
      </c>
      <c r="AA101" s="394"/>
      <c r="AB101" s="394"/>
      <c r="AC101" s="395"/>
      <c r="AE101" s="180" t="s">
        <v>141</v>
      </c>
      <c r="AF101" s="394" t="str">
        <f>IFERROR(VLOOKUP(AF97,اسماء,83,0),"")</f>
        <v/>
      </c>
      <c r="AG101" s="394"/>
      <c r="AH101" s="394"/>
      <c r="AI101" s="394"/>
      <c r="AJ101" s="394"/>
      <c r="AK101" s="385" t="s">
        <v>124</v>
      </c>
      <c r="AL101" s="385"/>
      <c r="AM101" s="385"/>
      <c r="AN101" s="385"/>
      <c r="AO101" s="394" t="str">
        <f>IFERROR(VLOOKUP(AF97,اسماء,82,0),"")</f>
        <v/>
      </c>
      <c r="AP101" s="394"/>
      <c r="AQ101" s="394"/>
      <c r="AR101" s="395"/>
      <c r="AT101" s="180" t="s">
        <v>141</v>
      </c>
      <c r="AU101" s="394" t="str">
        <f>IFERROR(VLOOKUP(AU97,اسماء,83,0),"")</f>
        <v/>
      </c>
      <c r="AV101" s="394"/>
      <c r="AW101" s="394"/>
      <c r="AX101" s="394"/>
      <c r="AY101" s="394"/>
      <c r="AZ101" s="385" t="s">
        <v>124</v>
      </c>
      <c r="BA101" s="385"/>
      <c r="BB101" s="385"/>
      <c r="BC101" s="385"/>
      <c r="BD101" s="394" t="str">
        <f>IFERROR(VLOOKUP(AU97,اسماء,82,0),"")</f>
        <v/>
      </c>
      <c r="BE101" s="394"/>
      <c r="BF101" s="394"/>
      <c r="BG101" s="395"/>
    </row>
    <row r="102" spans="1:59" ht="45" customHeight="1" thickBot="1" x14ac:dyDescent="0.3">
      <c r="A102" s="388" t="s">
        <v>142</v>
      </c>
      <c r="B102" s="389"/>
      <c r="C102" s="389"/>
      <c r="D102" s="389"/>
      <c r="E102" s="389"/>
      <c r="F102" s="389"/>
      <c r="G102" s="389"/>
      <c r="H102" s="389"/>
      <c r="I102" s="389"/>
      <c r="J102" s="389"/>
      <c r="K102" s="389"/>
      <c r="L102" s="389"/>
      <c r="M102" s="389"/>
      <c r="N102" s="390"/>
      <c r="P102" s="388" t="s">
        <v>142</v>
      </c>
      <c r="Q102" s="389"/>
      <c r="R102" s="389"/>
      <c r="S102" s="389"/>
      <c r="T102" s="389"/>
      <c r="U102" s="389"/>
      <c r="V102" s="389"/>
      <c r="W102" s="389"/>
      <c r="X102" s="389"/>
      <c r="Y102" s="389"/>
      <c r="Z102" s="389"/>
      <c r="AA102" s="389"/>
      <c r="AB102" s="389"/>
      <c r="AC102" s="390"/>
      <c r="AE102" s="388" t="s">
        <v>142</v>
      </c>
      <c r="AF102" s="389"/>
      <c r="AG102" s="389"/>
      <c r="AH102" s="389"/>
      <c r="AI102" s="389"/>
      <c r="AJ102" s="389"/>
      <c r="AK102" s="389"/>
      <c r="AL102" s="389"/>
      <c r="AM102" s="389"/>
      <c r="AN102" s="389"/>
      <c r="AO102" s="389"/>
      <c r="AP102" s="389"/>
      <c r="AQ102" s="389"/>
      <c r="AR102" s="390"/>
      <c r="AT102" s="388" t="s">
        <v>142</v>
      </c>
      <c r="AU102" s="389"/>
      <c r="AV102" s="389"/>
      <c r="AW102" s="389"/>
      <c r="AX102" s="389"/>
      <c r="AY102" s="389"/>
      <c r="AZ102" s="389"/>
      <c r="BA102" s="389"/>
      <c r="BB102" s="389"/>
      <c r="BC102" s="389"/>
      <c r="BD102" s="389"/>
      <c r="BE102" s="389"/>
      <c r="BF102" s="389"/>
      <c r="BG102" s="390"/>
    </row>
    <row r="103" spans="1:59" ht="45" customHeight="1" thickTop="1" x14ac:dyDescent="0.4">
      <c r="A103" s="391" t="s">
        <v>143</v>
      </c>
      <c r="B103" s="392"/>
      <c r="C103" s="392"/>
      <c r="D103" s="392"/>
      <c r="E103" s="392"/>
      <c r="F103" s="392"/>
      <c r="G103" s="392"/>
      <c r="H103" s="392"/>
      <c r="I103" s="392"/>
      <c r="J103" s="392"/>
      <c r="K103" s="392"/>
      <c r="L103" s="392"/>
      <c r="M103" s="392"/>
      <c r="N103" s="393"/>
      <c r="P103" s="391" t="s">
        <v>143</v>
      </c>
      <c r="Q103" s="392"/>
      <c r="R103" s="392"/>
      <c r="S103" s="392"/>
      <c r="T103" s="392"/>
      <c r="U103" s="392"/>
      <c r="V103" s="392"/>
      <c r="W103" s="392"/>
      <c r="X103" s="392"/>
      <c r="Y103" s="392"/>
      <c r="Z103" s="392"/>
      <c r="AA103" s="392"/>
      <c r="AB103" s="392"/>
      <c r="AC103" s="393"/>
      <c r="AE103" s="391" t="s">
        <v>143</v>
      </c>
      <c r="AF103" s="392"/>
      <c r="AG103" s="392"/>
      <c r="AH103" s="392"/>
      <c r="AI103" s="392"/>
      <c r="AJ103" s="392"/>
      <c r="AK103" s="392"/>
      <c r="AL103" s="392"/>
      <c r="AM103" s="392"/>
      <c r="AN103" s="392"/>
      <c r="AO103" s="392"/>
      <c r="AP103" s="392"/>
      <c r="AQ103" s="392"/>
      <c r="AR103" s="393"/>
      <c r="AT103" s="391" t="s">
        <v>143</v>
      </c>
      <c r="AU103" s="392"/>
      <c r="AV103" s="392"/>
      <c r="AW103" s="392"/>
      <c r="AX103" s="392"/>
      <c r="AY103" s="392"/>
      <c r="AZ103" s="392"/>
      <c r="BA103" s="392"/>
      <c r="BB103" s="392"/>
      <c r="BC103" s="392"/>
      <c r="BD103" s="392"/>
      <c r="BE103" s="392"/>
      <c r="BF103" s="392"/>
      <c r="BG103" s="393"/>
    </row>
    <row r="104" spans="1:59" s="63" customFormat="1" ht="33" customHeight="1" x14ac:dyDescent="0.25">
      <c r="A104" s="387" t="s">
        <v>162</v>
      </c>
      <c r="B104" s="385"/>
      <c r="C104" s="385"/>
      <c r="D104" s="385"/>
      <c r="E104" s="385"/>
      <c r="F104" s="385"/>
      <c r="G104" s="385"/>
      <c r="H104" s="385"/>
      <c r="I104" s="385"/>
      <c r="J104" s="385"/>
      <c r="K104" s="385"/>
      <c r="L104" s="385"/>
      <c r="M104" s="385"/>
      <c r="N104" s="386"/>
      <c r="P104" s="387" t="s">
        <v>162</v>
      </c>
      <c r="Q104" s="385"/>
      <c r="R104" s="385"/>
      <c r="S104" s="385"/>
      <c r="T104" s="385"/>
      <c r="U104" s="385"/>
      <c r="V104" s="385"/>
      <c r="W104" s="385"/>
      <c r="X104" s="385"/>
      <c r="Y104" s="385"/>
      <c r="Z104" s="385"/>
      <c r="AA104" s="385"/>
      <c r="AB104" s="385"/>
      <c r="AC104" s="386"/>
      <c r="AE104" s="387" t="s">
        <v>162</v>
      </c>
      <c r="AF104" s="385"/>
      <c r="AG104" s="385"/>
      <c r="AH104" s="385"/>
      <c r="AI104" s="385"/>
      <c r="AJ104" s="385"/>
      <c r="AK104" s="385"/>
      <c r="AL104" s="385"/>
      <c r="AM104" s="385"/>
      <c r="AN104" s="385"/>
      <c r="AO104" s="385"/>
      <c r="AP104" s="385"/>
      <c r="AQ104" s="385"/>
      <c r="AR104" s="386"/>
      <c r="AT104" s="387" t="s">
        <v>162</v>
      </c>
      <c r="AU104" s="385"/>
      <c r="AV104" s="385"/>
      <c r="AW104" s="385"/>
      <c r="AX104" s="385"/>
      <c r="AY104" s="385"/>
      <c r="AZ104" s="385"/>
      <c r="BA104" s="385"/>
      <c r="BB104" s="385"/>
      <c r="BC104" s="385"/>
      <c r="BD104" s="385"/>
      <c r="BE104" s="385"/>
      <c r="BF104" s="385"/>
      <c r="BG104" s="386"/>
    </row>
    <row r="105" spans="1:59" ht="33" customHeight="1" x14ac:dyDescent="0.4">
      <c r="A105" s="383" t="s">
        <v>144</v>
      </c>
      <c r="B105" s="384"/>
      <c r="C105" s="384"/>
      <c r="D105" s="384"/>
      <c r="E105" s="384"/>
      <c r="F105" s="384"/>
      <c r="G105" s="385"/>
      <c r="H105" s="385"/>
      <c r="I105" s="385"/>
      <c r="J105" s="385"/>
      <c r="K105" s="385"/>
      <c r="L105" s="385"/>
      <c r="M105" s="385"/>
      <c r="N105" s="386"/>
      <c r="P105" s="383" t="s">
        <v>144</v>
      </c>
      <c r="Q105" s="384"/>
      <c r="R105" s="384"/>
      <c r="S105" s="384"/>
      <c r="T105" s="384"/>
      <c r="U105" s="384"/>
      <c r="V105" s="385"/>
      <c r="W105" s="385"/>
      <c r="X105" s="385"/>
      <c r="Y105" s="385"/>
      <c r="Z105" s="385"/>
      <c r="AA105" s="385"/>
      <c r="AB105" s="385"/>
      <c r="AC105" s="386"/>
      <c r="AE105" s="383" t="s">
        <v>144</v>
      </c>
      <c r="AF105" s="384"/>
      <c r="AG105" s="384"/>
      <c r="AH105" s="384"/>
      <c r="AI105" s="384"/>
      <c r="AJ105" s="384"/>
      <c r="AK105" s="385"/>
      <c r="AL105" s="385"/>
      <c r="AM105" s="385"/>
      <c r="AN105" s="385"/>
      <c r="AO105" s="385"/>
      <c r="AP105" s="385"/>
      <c r="AQ105" s="385"/>
      <c r="AR105" s="386"/>
      <c r="AT105" s="383" t="s">
        <v>144</v>
      </c>
      <c r="AU105" s="384"/>
      <c r="AV105" s="384"/>
      <c r="AW105" s="384"/>
      <c r="AX105" s="384"/>
      <c r="AY105" s="384"/>
      <c r="AZ105" s="385"/>
      <c r="BA105" s="385"/>
      <c r="BB105" s="385"/>
      <c r="BC105" s="385"/>
      <c r="BD105" s="385"/>
      <c r="BE105" s="385"/>
      <c r="BF105" s="385"/>
      <c r="BG105" s="386"/>
    </row>
    <row r="106" spans="1:59" s="184" customFormat="1" ht="30" customHeight="1" x14ac:dyDescent="0.4">
      <c r="A106" s="180" t="s">
        <v>145</v>
      </c>
      <c r="B106" s="182"/>
      <c r="C106" s="182"/>
      <c r="D106" s="182"/>
      <c r="E106" s="182"/>
      <c r="F106" s="182"/>
      <c r="G106" s="182"/>
      <c r="H106" s="182"/>
      <c r="I106" s="182"/>
      <c r="J106" s="182"/>
      <c r="K106" s="182"/>
      <c r="L106" s="182"/>
      <c r="M106" s="182"/>
      <c r="N106" s="183" t="s">
        <v>146</v>
      </c>
      <c r="P106" s="180" t="s">
        <v>145</v>
      </c>
      <c r="Q106" s="182"/>
      <c r="R106" s="182"/>
      <c r="S106" s="182"/>
      <c r="T106" s="182"/>
      <c r="U106" s="182"/>
      <c r="V106" s="182"/>
      <c r="W106" s="182"/>
      <c r="X106" s="182"/>
      <c r="Y106" s="182"/>
      <c r="Z106" s="182"/>
      <c r="AA106" s="182"/>
      <c r="AB106" s="182"/>
      <c r="AC106" s="183" t="s">
        <v>146</v>
      </c>
      <c r="AE106" s="180" t="s">
        <v>145</v>
      </c>
      <c r="AF106" s="182"/>
      <c r="AG106" s="182"/>
      <c r="AH106" s="182"/>
      <c r="AI106" s="182"/>
      <c r="AJ106" s="182"/>
      <c r="AK106" s="182"/>
      <c r="AL106" s="182"/>
      <c r="AM106" s="182"/>
      <c r="AN106" s="182"/>
      <c r="AO106" s="182"/>
      <c r="AP106" s="182"/>
      <c r="AQ106" s="182"/>
      <c r="AR106" s="183" t="s">
        <v>146</v>
      </c>
      <c r="AT106" s="180" t="s">
        <v>145</v>
      </c>
      <c r="AU106" s="182"/>
      <c r="AV106" s="182"/>
      <c r="AW106" s="182"/>
      <c r="AX106" s="182"/>
      <c r="AY106" s="182"/>
      <c r="AZ106" s="182"/>
      <c r="BA106" s="182"/>
      <c r="BB106" s="182"/>
      <c r="BC106" s="182"/>
      <c r="BD106" s="182"/>
      <c r="BE106" s="182"/>
      <c r="BF106" s="182"/>
      <c r="BG106" s="183" t="s">
        <v>146</v>
      </c>
    </row>
    <row r="107" spans="1:59" ht="30" customHeight="1" x14ac:dyDescent="0.4">
      <c r="A107" s="185"/>
      <c r="B107" s="182"/>
      <c r="C107" s="182"/>
      <c r="D107" s="182"/>
      <c r="E107" s="182"/>
      <c r="F107" s="182"/>
      <c r="G107" s="182"/>
      <c r="H107" s="182"/>
      <c r="I107" s="182"/>
      <c r="J107" s="182"/>
      <c r="K107" s="182"/>
      <c r="L107" s="182"/>
      <c r="M107" s="182"/>
      <c r="N107" s="186"/>
      <c r="P107" s="185"/>
      <c r="Q107" s="182"/>
      <c r="R107" s="182"/>
      <c r="S107" s="182"/>
      <c r="T107" s="182"/>
      <c r="U107" s="182"/>
      <c r="V107" s="182"/>
      <c r="W107" s="182"/>
      <c r="X107" s="182"/>
      <c r="Y107" s="182"/>
      <c r="Z107" s="182"/>
      <c r="AA107" s="182"/>
      <c r="AB107" s="182"/>
      <c r="AC107" s="186"/>
      <c r="AE107" s="185"/>
      <c r="AF107" s="182"/>
      <c r="AG107" s="182"/>
      <c r="AH107" s="182"/>
      <c r="AI107" s="182"/>
      <c r="AJ107" s="182"/>
      <c r="AK107" s="182"/>
      <c r="AL107" s="182"/>
      <c r="AM107" s="182"/>
      <c r="AN107" s="182"/>
      <c r="AO107" s="182"/>
      <c r="AP107" s="182"/>
      <c r="AQ107" s="182"/>
      <c r="AR107" s="186"/>
      <c r="AT107" s="185"/>
      <c r="AU107" s="182"/>
      <c r="AV107" s="182"/>
      <c r="AW107" s="182"/>
      <c r="AX107" s="182"/>
      <c r="AY107" s="182"/>
      <c r="AZ107" s="182"/>
      <c r="BA107" s="182"/>
      <c r="BB107" s="182"/>
      <c r="BC107" s="182"/>
      <c r="BD107" s="182"/>
      <c r="BE107" s="182"/>
      <c r="BF107" s="182"/>
      <c r="BG107" s="186"/>
    </row>
    <row r="108" spans="1:59" ht="24.9" customHeight="1" x14ac:dyDescent="0.5">
      <c r="A108" s="187"/>
      <c r="B108" s="177"/>
      <c r="C108" s="177"/>
      <c r="D108" s="177"/>
      <c r="E108" s="177"/>
      <c r="F108" s="177"/>
      <c r="G108" s="177"/>
      <c r="H108" s="177"/>
      <c r="I108" s="177"/>
      <c r="J108" s="177"/>
      <c r="K108" s="177"/>
      <c r="L108" s="177"/>
      <c r="M108" s="177"/>
      <c r="N108" s="188"/>
      <c r="P108" s="187"/>
      <c r="Q108" s="177"/>
      <c r="R108" s="177"/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88"/>
      <c r="AE108" s="187"/>
      <c r="AF108" s="177"/>
      <c r="AG108" s="177"/>
      <c r="AH108" s="177"/>
      <c r="AI108" s="177"/>
      <c r="AJ108" s="177"/>
      <c r="AK108" s="177"/>
      <c r="AL108" s="177"/>
      <c r="AM108" s="177"/>
      <c r="AN108" s="177"/>
      <c r="AO108" s="177"/>
      <c r="AP108" s="177"/>
      <c r="AQ108" s="177"/>
      <c r="AR108" s="188"/>
      <c r="AT108" s="187"/>
      <c r="AU108" s="177"/>
      <c r="AV108" s="177"/>
      <c r="AW108" s="177"/>
      <c r="AX108" s="177"/>
      <c r="AY108" s="177"/>
      <c r="AZ108" s="177"/>
      <c r="BA108" s="177"/>
      <c r="BB108" s="177"/>
      <c r="BC108" s="177"/>
      <c r="BD108" s="177"/>
      <c r="BE108" s="177"/>
      <c r="BF108" s="177"/>
      <c r="BG108" s="188"/>
    </row>
    <row r="109" spans="1:59" ht="24.9" customHeight="1" thickBot="1" x14ac:dyDescent="0.55000000000000004">
      <c r="A109" s="189"/>
      <c r="B109" s="190"/>
      <c r="C109" s="190"/>
      <c r="D109" s="190"/>
      <c r="E109" s="190"/>
      <c r="F109" s="190"/>
      <c r="G109" s="190"/>
      <c r="H109" s="190"/>
      <c r="I109" s="190"/>
      <c r="J109" s="190"/>
      <c r="K109" s="190"/>
      <c r="L109" s="190"/>
      <c r="M109" s="190"/>
      <c r="N109" s="191"/>
      <c r="P109" s="189"/>
      <c r="Q109" s="190"/>
      <c r="R109" s="190"/>
      <c r="S109" s="190"/>
      <c r="T109" s="190"/>
      <c r="U109" s="190"/>
      <c r="V109" s="190"/>
      <c r="W109" s="190"/>
      <c r="X109" s="190"/>
      <c r="Y109" s="190"/>
      <c r="Z109" s="190"/>
      <c r="AA109" s="190"/>
      <c r="AB109" s="190"/>
      <c r="AC109" s="191"/>
      <c r="AE109" s="189"/>
      <c r="AF109" s="190"/>
      <c r="AG109" s="190"/>
      <c r="AH109" s="190"/>
      <c r="AI109" s="190"/>
      <c r="AJ109" s="190"/>
      <c r="AK109" s="190"/>
      <c r="AL109" s="190"/>
      <c r="AM109" s="190"/>
      <c r="AN109" s="190"/>
      <c r="AO109" s="190"/>
      <c r="AP109" s="190"/>
      <c r="AQ109" s="190"/>
      <c r="AR109" s="191"/>
      <c r="AT109" s="189"/>
      <c r="AU109" s="190"/>
      <c r="AV109" s="190"/>
      <c r="AW109" s="190"/>
      <c r="AX109" s="190"/>
      <c r="AY109" s="190"/>
      <c r="AZ109" s="190"/>
      <c r="BA109" s="190"/>
      <c r="BB109" s="190"/>
      <c r="BC109" s="190"/>
      <c r="BD109" s="190"/>
      <c r="BE109" s="190"/>
      <c r="BF109" s="190"/>
      <c r="BG109" s="191"/>
    </row>
    <row r="110" spans="1:59" ht="14.4" thickTop="1" x14ac:dyDescent="0.25"/>
  </sheetData>
  <mergeCells count="680">
    <mergeCell ref="B1:M1"/>
    <mergeCell ref="Q1:AB1"/>
    <mergeCell ref="AF1:AQ1"/>
    <mergeCell ref="AU1:BF1"/>
    <mergeCell ref="A2:N2"/>
    <mergeCell ref="P2:AC2"/>
    <mergeCell ref="AE2:AR2"/>
    <mergeCell ref="AT2:BG2"/>
    <mergeCell ref="A3:N3"/>
    <mergeCell ref="P3:AC3"/>
    <mergeCell ref="AE3:AR3"/>
    <mergeCell ref="AT3:BG3"/>
    <mergeCell ref="A4:J4"/>
    <mergeCell ref="K4:N4"/>
    <mergeCell ref="P4:Y4"/>
    <mergeCell ref="Z4:AC4"/>
    <mergeCell ref="AE4:AN4"/>
    <mergeCell ref="AO4:AR4"/>
    <mergeCell ref="AT4:BC4"/>
    <mergeCell ref="BD4:BG4"/>
    <mergeCell ref="A5:F5"/>
    <mergeCell ref="G5:N5"/>
    <mergeCell ref="P5:U5"/>
    <mergeCell ref="V5:AC5"/>
    <mergeCell ref="AE5:AJ5"/>
    <mergeCell ref="AK5:AR5"/>
    <mergeCell ref="AT5:AY5"/>
    <mergeCell ref="AZ5:BG5"/>
    <mergeCell ref="AU6:AX6"/>
    <mergeCell ref="AY6:AZ6"/>
    <mergeCell ref="BA6:BB6"/>
    <mergeCell ref="BC6:BF6"/>
    <mergeCell ref="B7:N7"/>
    <mergeCell ref="Q7:AC7"/>
    <mergeCell ref="AF7:AR7"/>
    <mergeCell ref="AU7:BG7"/>
    <mergeCell ref="W6:X6"/>
    <mergeCell ref="Y6:AB6"/>
    <mergeCell ref="AF6:AI6"/>
    <mergeCell ref="AJ6:AK6"/>
    <mergeCell ref="AL6:AM6"/>
    <mergeCell ref="AN6:AQ6"/>
    <mergeCell ref="B6:E6"/>
    <mergeCell ref="F6:G6"/>
    <mergeCell ref="H6:I6"/>
    <mergeCell ref="J6:M6"/>
    <mergeCell ref="Q6:T6"/>
    <mergeCell ref="U6:V6"/>
    <mergeCell ref="AF8:AM8"/>
    <mergeCell ref="AN8:AP8"/>
    <mergeCell ref="AQ8:AR8"/>
    <mergeCell ref="AU8:BB8"/>
    <mergeCell ref="BC8:BE8"/>
    <mergeCell ref="BF8:BG8"/>
    <mergeCell ref="B8:I8"/>
    <mergeCell ref="J8:L8"/>
    <mergeCell ref="M8:N8"/>
    <mergeCell ref="Q8:X8"/>
    <mergeCell ref="Y8:AA8"/>
    <mergeCell ref="AB8:AC8"/>
    <mergeCell ref="AF9:AM9"/>
    <mergeCell ref="AN9:AP9"/>
    <mergeCell ref="AQ9:AR9"/>
    <mergeCell ref="AU9:BB9"/>
    <mergeCell ref="BC9:BE9"/>
    <mergeCell ref="BF9:BG9"/>
    <mergeCell ref="B9:I9"/>
    <mergeCell ref="J9:L9"/>
    <mergeCell ref="M9:N9"/>
    <mergeCell ref="Q9:X9"/>
    <mergeCell ref="Y9:AA9"/>
    <mergeCell ref="AB9:AC9"/>
    <mergeCell ref="AU10:AW10"/>
    <mergeCell ref="AX10:BA10"/>
    <mergeCell ref="BB10:BE10"/>
    <mergeCell ref="BF10:BG10"/>
    <mergeCell ref="B12:F12"/>
    <mergeCell ref="G12:H12"/>
    <mergeCell ref="I12:J12"/>
    <mergeCell ref="K12:N12"/>
    <mergeCell ref="Q12:U12"/>
    <mergeCell ref="V12:W12"/>
    <mergeCell ref="X10:AA10"/>
    <mergeCell ref="AB10:AC10"/>
    <mergeCell ref="AF10:AH10"/>
    <mergeCell ref="AI10:AL10"/>
    <mergeCell ref="AM10:AP10"/>
    <mergeCell ref="AQ10:AR10"/>
    <mergeCell ref="B10:D10"/>
    <mergeCell ref="E10:H10"/>
    <mergeCell ref="I10:L10"/>
    <mergeCell ref="M10:N10"/>
    <mergeCell ref="Q10:S10"/>
    <mergeCell ref="T10:W10"/>
    <mergeCell ref="AU12:AY12"/>
    <mergeCell ref="AZ12:BA12"/>
    <mergeCell ref="BB12:BC12"/>
    <mergeCell ref="BD12:BG12"/>
    <mergeCell ref="B13:F13"/>
    <mergeCell ref="G13:J13"/>
    <mergeCell ref="K13:N13"/>
    <mergeCell ref="Q13:U13"/>
    <mergeCell ref="V13:Y13"/>
    <mergeCell ref="Z13:AC13"/>
    <mergeCell ref="X12:Y12"/>
    <mergeCell ref="Z12:AC12"/>
    <mergeCell ref="AF12:AJ12"/>
    <mergeCell ref="AK12:AL12"/>
    <mergeCell ref="AM12:AN12"/>
    <mergeCell ref="AO12:AR12"/>
    <mergeCell ref="A14:N14"/>
    <mergeCell ref="P14:AC14"/>
    <mergeCell ref="AE14:AR14"/>
    <mergeCell ref="AT14:BG14"/>
    <mergeCell ref="A15:N15"/>
    <mergeCell ref="P15:AC15"/>
    <mergeCell ref="AE15:AR15"/>
    <mergeCell ref="AT15:BG15"/>
    <mergeCell ref="AF13:AJ13"/>
    <mergeCell ref="AK13:AN13"/>
    <mergeCell ref="AO13:AR13"/>
    <mergeCell ref="AU13:AY13"/>
    <mergeCell ref="AZ13:BC13"/>
    <mergeCell ref="BD13:BG13"/>
    <mergeCell ref="A16:N16"/>
    <mergeCell ref="P16:AC16"/>
    <mergeCell ref="AE16:AR16"/>
    <mergeCell ref="AT16:BG16"/>
    <mergeCell ref="A17:F17"/>
    <mergeCell ref="G17:N17"/>
    <mergeCell ref="P17:U17"/>
    <mergeCell ref="V17:AC17"/>
    <mergeCell ref="AE17:AJ17"/>
    <mergeCell ref="AK17:AR17"/>
    <mergeCell ref="A24:N24"/>
    <mergeCell ref="P24:AC24"/>
    <mergeCell ref="AE24:AR24"/>
    <mergeCell ref="AT24:BG24"/>
    <mergeCell ref="A25:N25"/>
    <mergeCell ref="P25:AC25"/>
    <mergeCell ref="AE25:AR25"/>
    <mergeCell ref="AT25:BG25"/>
    <mergeCell ref="AT17:AY17"/>
    <mergeCell ref="AZ17:BG17"/>
    <mergeCell ref="B23:M23"/>
    <mergeCell ref="Q23:AB23"/>
    <mergeCell ref="AF23:AQ23"/>
    <mergeCell ref="AU23:BF23"/>
    <mergeCell ref="AT26:BC26"/>
    <mergeCell ref="BD26:BG26"/>
    <mergeCell ref="A27:F27"/>
    <mergeCell ref="G27:N27"/>
    <mergeCell ref="P27:U27"/>
    <mergeCell ref="V27:AC27"/>
    <mergeCell ref="AE27:AJ27"/>
    <mergeCell ref="AK27:AR27"/>
    <mergeCell ref="AT27:AY27"/>
    <mergeCell ref="AZ27:BG27"/>
    <mergeCell ref="A26:J26"/>
    <mergeCell ref="K26:N26"/>
    <mergeCell ref="P26:Y26"/>
    <mergeCell ref="Z26:AC26"/>
    <mergeCell ref="AE26:AN26"/>
    <mergeCell ref="AO26:AR26"/>
    <mergeCell ref="AU28:AX28"/>
    <mergeCell ref="AY28:AZ28"/>
    <mergeCell ref="BA28:BB28"/>
    <mergeCell ref="BC28:BF28"/>
    <mergeCell ref="B29:N29"/>
    <mergeCell ref="Q29:AC29"/>
    <mergeCell ref="AF29:AR29"/>
    <mergeCell ref="AU29:BG29"/>
    <mergeCell ref="W28:X28"/>
    <mergeCell ref="Y28:AB28"/>
    <mergeCell ref="AF28:AI28"/>
    <mergeCell ref="AJ28:AK28"/>
    <mergeCell ref="AL28:AM28"/>
    <mergeCell ref="AN28:AQ28"/>
    <mergeCell ref="B28:E28"/>
    <mergeCell ref="F28:G28"/>
    <mergeCell ref="H28:I28"/>
    <mergeCell ref="J28:M28"/>
    <mergeCell ref="Q28:T28"/>
    <mergeCell ref="U28:V28"/>
    <mergeCell ref="AF30:AM30"/>
    <mergeCell ref="AN30:AP30"/>
    <mergeCell ref="AQ30:AR30"/>
    <mergeCell ref="AU30:BB30"/>
    <mergeCell ref="BC30:BE30"/>
    <mergeCell ref="BF30:BG30"/>
    <mergeCell ref="B30:I30"/>
    <mergeCell ref="J30:L30"/>
    <mergeCell ref="M30:N30"/>
    <mergeCell ref="Q30:X30"/>
    <mergeCell ref="Y30:AA30"/>
    <mergeCell ref="AB30:AC30"/>
    <mergeCell ref="AF31:AM31"/>
    <mergeCell ref="AN31:AP31"/>
    <mergeCell ref="AQ31:AR31"/>
    <mergeCell ref="AU31:BB31"/>
    <mergeCell ref="BC31:BE31"/>
    <mergeCell ref="BF31:BG31"/>
    <mergeCell ref="B31:I31"/>
    <mergeCell ref="J31:L31"/>
    <mergeCell ref="M31:N31"/>
    <mergeCell ref="Q31:X31"/>
    <mergeCell ref="Y31:AA31"/>
    <mergeCell ref="AB31:AC31"/>
    <mergeCell ref="AU32:AW32"/>
    <mergeCell ref="AX32:BA32"/>
    <mergeCell ref="BB32:BE32"/>
    <mergeCell ref="BF32:BG32"/>
    <mergeCell ref="B34:F34"/>
    <mergeCell ref="G34:H34"/>
    <mergeCell ref="I34:J34"/>
    <mergeCell ref="K34:N34"/>
    <mergeCell ref="Q34:U34"/>
    <mergeCell ref="V34:W34"/>
    <mergeCell ref="X32:AA32"/>
    <mergeCell ref="AB32:AC32"/>
    <mergeCell ref="AF32:AH32"/>
    <mergeCell ref="AI32:AL32"/>
    <mergeCell ref="AM32:AP32"/>
    <mergeCell ref="AQ32:AR32"/>
    <mergeCell ref="B32:D32"/>
    <mergeCell ref="E32:H32"/>
    <mergeCell ref="I32:L32"/>
    <mergeCell ref="M32:N32"/>
    <mergeCell ref="Q32:S32"/>
    <mergeCell ref="T32:W32"/>
    <mergeCell ref="AU34:AY34"/>
    <mergeCell ref="AZ34:BA34"/>
    <mergeCell ref="BB34:BC34"/>
    <mergeCell ref="BD34:BG34"/>
    <mergeCell ref="B35:F35"/>
    <mergeCell ref="G35:J35"/>
    <mergeCell ref="K35:N35"/>
    <mergeCell ref="Q35:U35"/>
    <mergeCell ref="V35:Y35"/>
    <mergeCell ref="Z35:AC35"/>
    <mergeCell ref="X34:Y34"/>
    <mergeCell ref="Z34:AC34"/>
    <mergeCell ref="AF34:AJ34"/>
    <mergeCell ref="AK34:AL34"/>
    <mergeCell ref="AM34:AN34"/>
    <mergeCell ref="AO34:AR34"/>
    <mergeCell ref="A36:N36"/>
    <mergeCell ref="P36:AC36"/>
    <mergeCell ref="AE36:AR36"/>
    <mergeCell ref="AT36:BG36"/>
    <mergeCell ref="A37:N37"/>
    <mergeCell ref="P37:AC37"/>
    <mergeCell ref="AE37:AR37"/>
    <mergeCell ref="AT37:BG37"/>
    <mergeCell ref="AF35:AJ35"/>
    <mergeCell ref="AK35:AN35"/>
    <mergeCell ref="AO35:AR35"/>
    <mergeCell ref="AU35:AY35"/>
    <mergeCell ref="AZ35:BC35"/>
    <mergeCell ref="BD35:BG35"/>
    <mergeCell ref="A38:N38"/>
    <mergeCell ref="P38:AC38"/>
    <mergeCell ref="AE38:AR38"/>
    <mergeCell ref="AT38:BG38"/>
    <mergeCell ref="A39:F39"/>
    <mergeCell ref="G39:N39"/>
    <mergeCell ref="P39:U39"/>
    <mergeCell ref="V39:AC39"/>
    <mergeCell ref="AE39:AJ39"/>
    <mergeCell ref="AK39:AR39"/>
    <mergeCell ref="A46:N46"/>
    <mergeCell ref="P46:AC46"/>
    <mergeCell ref="AE46:AR46"/>
    <mergeCell ref="AT46:BG46"/>
    <mergeCell ref="A47:N47"/>
    <mergeCell ref="P47:AC47"/>
    <mergeCell ref="AE47:AR47"/>
    <mergeCell ref="AT47:BG47"/>
    <mergeCell ref="AT39:AY39"/>
    <mergeCell ref="AZ39:BG39"/>
    <mergeCell ref="B45:M45"/>
    <mergeCell ref="Q45:AB45"/>
    <mergeCell ref="AF45:AQ45"/>
    <mergeCell ref="AU45:BF45"/>
    <mergeCell ref="AT48:BC48"/>
    <mergeCell ref="BD48:BG48"/>
    <mergeCell ref="A49:F49"/>
    <mergeCell ref="G49:N49"/>
    <mergeCell ref="P49:U49"/>
    <mergeCell ref="V49:AC49"/>
    <mergeCell ref="AE49:AJ49"/>
    <mergeCell ref="AK49:AR49"/>
    <mergeCell ref="AT49:AY49"/>
    <mergeCell ref="AZ49:BG49"/>
    <mergeCell ref="A48:J48"/>
    <mergeCell ref="K48:N48"/>
    <mergeCell ref="P48:Y48"/>
    <mergeCell ref="Z48:AC48"/>
    <mergeCell ref="AE48:AN48"/>
    <mergeCell ref="AO48:AR48"/>
    <mergeCell ref="AU50:AX50"/>
    <mergeCell ref="AY50:AZ50"/>
    <mergeCell ref="BA50:BB50"/>
    <mergeCell ref="BC50:BF50"/>
    <mergeCell ref="B51:N51"/>
    <mergeCell ref="Q51:AC51"/>
    <mergeCell ref="AF51:AR51"/>
    <mergeCell ref="AU51:BG51"/>
    <mergeCell ref="W50:X50"/>
    <mergeCell ref="Y50:AB50"/>
    <mergeCell ref="AF50:AI50"/>
    <mergeCell ref="AJ50:AK50"/>
    <mergeCell ref="AL50:AM50"/>
    <mergeCell ref="AN50:AQ50"/>
    <mergeCell ref="B50:E50"/>
    <mergeCell ref="F50:G50"/>
    <mergeCell ref="H50:I50"/>
    <mergeCell ref="J50:M50"/>
    <mergeCell ref="Q50:T50"/>
    <mergeCell ref="U50:V50"/>
    <mergeCell ref="AF52:AM52"/>
    <mergeCell ref="AN52:AP52"/>
    <mergeCell ref="AQ52:AR52"/>
    <mergeCell ref="AU52:BB52"/>
    <mergeCell ref="BC52:BE52"/>
    <mergeCell ref="BF52:BG52"/>
    <mergeCell ref="B52:I52"/>
    <mergeCell ref="J52:L52"/>
    <mergeCell ref="M52:N52"/>
    <mergeCell ref="Q52:X52"/>
    <mergeCell ref="Y52:AA52"/>
    <mergeCell ref="AB52:AC52"/>
    <mergeCell ref="AF53:AM53"/>
    <mergeCell ref="AN53:AP53"/>
    <mergeCell ref="AQ53:AR53"/>
    <mergeCell ref="AU53:BB53"/>
    <mergeCell ref="BC53:BE53"/>
    <mergeCell ref="BF53:BG53"/>
    <mergeCell ref="B53:I53"/>
    <mergeCell ref="J53:L53"/>
    <mergeCell ref="M53:N53"/>
    <mergeCell ref="Q53:X53"/>
    <mergeCell ref="Y53:AA53"/>
    <mergeCell ref="AB53:AC53"/>
    <mergeCell ref="AU54:AW54"/>
    <mergeCell ref="AX54:BA54"/>
    <mergeCell ref="BB54:BE54"/>
    <mergeCell ref="BF54:BG54"/>
    <mergeCell ref="B56:F56"/>
    <mergeCell ref="G56:H56"/>
    <mergeCell ref="I56:J56"/>
    <mergeCell ref="K56:N56"/>
    <mergeCell ref="Q56:U56"/>
    <mergeCell ref="V56:W56"/>
    <mergeCell ref="X54:AA54"/>
    <mergeCell ref="AB54:AC54"/>
    <mergeCell ref="AF54:AH54"/>
    <mergeCell ref="AI54:AL54"/>
    <mergeCell ref="AM54:AP54"/>
    <mergeCell ref="AQ54:AR54"/>
    <mergeCell ref="B54:D54"/>
    <mergeCell ref="E54:H54"/>
    <mergeCell ref="I54:L54"/>
    <mergeCell ref="M54:N54"/>
    <mergeCell ref="Q54:S54"/>
    <mergeCell ref="T54:W54"/>
    <mergeCell ref="AU56:AY56"/>
    <mergeCell ref="AZ56:BA56"/>
    <mergeCell ref="BB56:BC56"/>
    <mergeCell ref="BD56:BG56"/>
    <mergeCell ref="B57:F57"/>
    <mergeCell ref="G57:J57"/>
    <mergeCell ref="K57:N57"/>
    <mergeCell ref="Q57:U57"/>
    <mergeCell ref="V57:Y57"/>
    <mergeCell ref="Z57:AC57"/>
    <mergeCell ref="X56:Y56"/>
    <mergeCell ref="Z56:AC56"/>
    <mergeCell ref="AF56:AJ56"/>
    <mergeCell ref="AK56:AL56"/>
    <mergeCell ref="AM56:AN56"/>
    <mergeCell ref="AO56:AR56"/>
    <mergeCell ref="A58:N58"/>
    <mergeCell ref="P58:AC58"/>
    <mergeCell ref="AE58:AR58"/>
    <mergeCell ref="AT58:BG58"/>
    <mergeCell ref="A59:N59"/>
    <mergeCell ref="P59:AC59"/>
    <mergeCell ref="AE59:AR59"/>
    <mergeCell ref="AT59:BG59"/>
    <mergeCell ref="AF57:AJ57"/>
    <mergeCell ref="AK57:AN57"/>
    <mergeCell ref="AO57:AR57"/>
    <mergeCell ref="AU57:AY57"/>
    <mergeCell ref="AZ57:BC57"/>
    <mergeCell ref="BD57:BG57"/>
    <mergeCell ref="A60:N60"/>
    <mergeCell ref="P60:AC60"/>
    <mergeCell ref="AE60:AR60"/>
    <mergeCell ref="AT60:BG60"/>
    <mergeCell ref="A61:F61"/>
    <mergeCell ref="G61:N61"/>
    <mergeCell ref="P61:U61"/>
    <mergeCell ref="V61:AC61"/>
    <mergeCell ref="AE61:AJ61"/>
    <mergeCell ref="AK61:AR61"/>
    <mergeCell ref="A68:N68"/>
    <mergeCell ref="P68:AC68"/>
    <mergeCell ref="AE68:AR68"/>
    <mergeCell ref="AT68:BG68"/>
    <mergeCell ref="A69:N69"/>
    <mergeCell ref="P69:AC69"/>
    <mergeCell ref="AE69:AR69"/>
    <mergeCell ref="AT69:BG69"/>
    <mergeCell ref="AT61:AY61"/>
    <mergeCell ref="AZ61:BG61"/>
    <mergeCell ref="B67:M67"/>
    <mergeCell ref="Q67:AB67"/>
    <mergeCell ref="AF67:AQ67"/>
    <mergeCell ref="AU67:BF67"/>
    <mergeCell ref="AT70:BC70"/>
    <mergeCell ref="BD70:BG70"/>
    <mergeCell ref="A71:F71"/>
    <mergeCell ref="G71:N71"/>
    <mergeCell ref="P71:U71"/>
    <mergeCell ref="V71:AC71"/>
    <mergeCell ref="AE71:AJ71"/>
    <mergeCell ref="AK71:AR71"/>
    <mergeCell ref="AT71:AY71"/>
    <mergeCell ref="AZ71:BG71"/>
    <mergeCell ref="A70:J70"/>
    <mergeCell ref="K70:N70"/>
    <mergeCell ref="P70:Y70"/>
    <mergeCell ref="Z70:AC70"/>
    <mergeCell ref="AE70:AN70"/>
    <mergeCell ref="AO70:AR70"/>
    <mergeCell ref="AU72:AX72"/>
    <mergeCell ref="AY72:AZ72"/>
    <mergeCell ref="BA72:BB72"/>
    <mergeCell ref="BC72:BF72"/>
    <mergeCell ref="B73:N73"/>
    <mergeCell ref="Q73:AC73"/>
    <mergeCell ref="AF73:AR73"/>
    <mergeCell ref="AU73:BG73"/>
    <mergeCell ref="W72:X72"/>
    <mergeCell ref="Y72:AB72"/>
    <mergeCell ref="AF72:AI72"/>
    <mergeCell ref="AJ72:AK72"/>
    <mergeCell ref="AL72:AM72"/>
    <mergeCell ref="AN72:AQ72"/>
    <mergeCell ref="B72:E72"/>
    <mergeCell ref="F72:G72"/>
    <mergeCell ref="H72:I72"/>
    <mergeCell ref="J72:M72"/>
    <mergeCell ref="Q72:T72"/>
    <mergeCell ref="U72:V72"/>
    <mergeCell ref="AF74:AM74"/>
    <mergeCell ref="AN74:AP74"/>
    <mergeCell ref="AQ74:AR74"/>
    <mergeCell ref="AU74:BB74"/>
    <mergeCell ref="BC74:BE74"/>
    <mergeCell ref="BF74:BG74"/>
    <mergeCell ref="B74:I74"/>
    <mergeCell ref="J74:L74"/>
    <mergeCell ref="M74:N74"/>
    <mergeCell ref="Q74:X74"/>
    <mergeCell ref="Y74:AA74"/>
    <mergeCell ref="AB74:AC74"/>
    <mergeCell ref="AF75:AM75"/>
    <mergeCell ref="AN75:AP75"/>
    <mergeCell ref="AQ75:AR75"/>
    <mergeCell ref="AU75:BB75"/>
    <mergeCell ref="BC75:BE75"/>
    <mergeCell ref="BF75:BG75"/>
    <mergeCell ref="B75:I75"/>
    <mergeCell ref="J75:L75"/>
    <mergeCell ref="M75:N75"/>
    <mergeCell ref="Q75:X75"/>
    <mergeCell ref="Y75:AA75"/>
    <mergeCell ref="AB75:AC75"/>
    <mergeCell ref="AU76:AW76"/>
    <mergeCell ref="AX76:BA76"/>
    <mergeCell ref="BB76:BE76"/>
    <mergeCell ref="BF76:BG76"/>
    <mergeCell ref="B78:F78"/>
    <mergeCell ref="G78:H78"/>
    <mergeCell ref="I78:J78"/>
    <mergeCell ref="K78:N78"/>
    <mergeCell ref="Q78:U78"/>
    <mergeCell ref="V78:W78"/>
    <mergeCell ref="X76:AA76"/>
    <mergeCell ref="AB76:AC76"/>
    <mergeCell ref="AF76:AH76"/>
    <mergeCell ref="AI76:AL76"/>
    <mergeCell ref="AM76:AP76"/>
    <mergeCell ref="AQ76:AR76"/>
    <mergeCell ref="B76:D76"/>
    <mergeCell ref="E76:H76"/>
    <mergeCell ref="I76:L76"/>
    <mergeCell ref="M76:N76"/>
    <mergeCell ref="Q76:S76"/>
    <mergeCell ref="T76:W76"/>
    <mergeCell ref="AU78:AY78"/>
    <mergeCell ref="AZ78:BA78"/>
    <mergeCell ref="BB78:BC78"/>
    <mergeCell ref="BD78:BG78"/>
    <mergeCell ref="B79:F79"/>
    <mergeCell ref="G79:J79"/>
    <mergeCell ref="K79:N79"/>
    <mergeCell ref="Q79:U79"/>
    <mergeCell ref="V79:Y79"/>
    <mergeCell ref="Z79:AC79"/>
    <mergeCell ref="X78:Y78"/>
    <mergeCell ref="Z78:AC78"/>
    <mergeCell ref="AF78:AJ78"/>
    <mergeCell ref="AK78:AL78"/>
    <mergeCell ref="AM78:AN78"/>
    <mergeCell ref="AO78:AR78"/>
    <mergeCell ref="A80:N80"/>
    <mergeCell ref="P80:AC80"/>
    <mergeCell ref="AE80:AR80"/>
    <mergeCell ref="AT80:BG80"/>
    <mergeCell ref="A81:N81"/>
    <mergeCell ref="P81:AC81"/>
    <mergeCell ref="AE81:AR81"/>
    <mergeCell ref="AT81:BG81"/>
    <mergeCell ref="AF79:AJ79"/>
    <mergeCell ref="AK79:AN79"/>
    <mergeCell ref="AO79:AR79"/>
    <mergeCell ref="AU79:AY79"/>
    <mergeCell ref="AZ79:BC79"/>
    <mergeCell ref="BD79:BG79"/>
    <mergeCell ref="A82:N82"/>
    <mergeCell ref="P82:AC82"/>
    <mergeCell ref="AE82:AR82"/>
    <mergeCell ref="AT82:BG82"/>
    <mergeCell ref="A83:F83"/>
    <mergeCell ref="G83:N83"/>
    <mergeCell ref="P83:U83"/>
    <mergeCell ref="V83:AC83"/>
    <mergeCell ref="AE83:AJ83"/>
    <mergeCell ref="AK83:AR83"/>
    <mergeCell ref="A90:N90"/>
    <mergeCell ref="P90:AC90"/>
    <mergeCell ref="AE90:AR90"/>
    <mergeCell ref="AT90:BG90"/>
    <mergeCell ref="A91:N91"/>
    <mergeCell ref="P91:AC91"/>
    <mergeCell ref="AE91:AR91"/>
    <mergeCell ref="AT91:BG91"/>
    <mergeCell ref="AT83:AY83"/>
    <mergeCell ref="AZ83:BG83"/>
    <mergeCell ref="B89:M89"/>
    <mergeCell ref="Q89:AB89"/>
    <mergeCell ref="AF89:AQ89"/>
    <mergeCell ref="AU89:BF89"/>
    <mergeCell ref="AT92:BC92"/>
    <mergeCell ref="BD92:BG92"/>
    <mergeCell ref="A93:F93"/>
    <mergeCell ref="G93:N93"/>
    <mergeCell ref="P93:U93"/>
    <mergeCell ref="V93:AC93"/>
    <mergeCell ref="AE93:AJ93"/>
    <mergeCell ref="AK93:AR93"/>
    <mergeCell ref="AT93:AY93"/>
    <mergeCell ref="AZ93:BG93"/>
    <mergeCell ref="A92:J92"/>
    <mergeCell ref="K92:N92"/>
    <mergeCell ref="P92:Y92"/>
    <mergeCell ref="Z92:AC92"/>
    <mergeCell ref="AE92:AN92"/>
    <mergeCell ref="AO92:AR92"/>
    <mergeCell ref="AU94:AX94"/>
    <mergeCell ref="AY94:AZ94"/>
    <mergeCell ref="BA94:BB94"/>
    <mergeCell ref="BC94:BF94"/>
    <mergeCell ref="B95:N95"/>
    <mergeCell ref="Q95:AC95"/>
    <mergeCell ref="AF95:AR95"/>
    <mergeCell ref="AU95:BG95"/>
    <mergeCell ref="W94:X94"/>
    <mergeCell ref="Y94:AB94"/>
    <mergeCell ref="AF94:AI94"/>
    <mergeCell ref="AJ94:AK94"/>
    <mergeCell ref="AL94:AM94"/>
    <mergeCell ref="AN94:AQ94"/>
    <mergeCell ref="B94:E94"/>
    <mergeCell ref="F94:G94"/>
    <mergeCell ref="H94:I94"/>
    <mergeCell ref="J94:M94"/>
    <mergeCell ref="Q94:T94"/>
    <mergeCell ref="U94:V94"/>
    <mergeCell ref="AF96:AM96"/>
    <mergeCell ref="AN96:AP96"/>
    <mergeCell ref="AQ96:AR96"/>
    <mergeCell ref="AU96:BB96"/>
    <mergeCell ref="BC96:BE96"/>
    <mergeCell ref="BF96:BG96"/>
    <mergeCell ref="B96:I96"/>
    <mergeCell ref="J96:L96"/>
    <mergeCell ref="M96:N96"/>
    <mergeCell ref="Q96:X96"/>
    <mergeCell ref="Y96:AA96"/>
    <mergeCell ref="AB96:AC96"/>
    <mergeCell ref="AF97:AM97"/>
    <mergeCell ref="AN97:AP97"/>
    <mergeCell ref="AQ97:AR97"/>
    <mergeCell ref="AU97:BB97"/>
    <mergeCell ref="BC97:BE97"/>
    <mergeCell ref="BF97:BG97"/>
    <mergeCell ref="B97:I97"/>
    <mergeCell ref="J97:L97"/>
    <mergeCell ref="M97:N97"/>
    <mergeCell ref="Q97:X97"/>
    <mergeCell ref="Y97:AA97"/>
    <mergeCell ref="AB97:AC97"/>
    <mergeCell ref="AU98:AW98"/>
    <mergeCell ref="AX98:BA98"/>
    <mergeCell ref="BB98:BE98"/>
    <mergeCell ref="BF98:BG98"/>
    <mergeCell ref="B100:F100"/>
    <mergeCell ref="G100:H100"/>
    <mergeCell ref="I100:J100"/>
    <mergeCell ref="K100:N100"/>
    <mergeCell ref="Q100:U100"/>
    <mergeCell ref="V100:W100"/>
    <mergeCell ref="X98:AA98"/>
    <mergeCell ref="AB98:AC98"/>
    <mergeCell ref="AF98:AH98"/>
    <mergeCell ref="AI98:AL98"/>
    <mergeCell ref="AM98:AP98"/>
    <mergeCell ref="AQ98:AR98"/>
    <mergeCell ref="B98:D98"/>
    <mergeCell ref="E98:H98"/>
    <mergeCell ref="I98:L98"/>
    <mergeCell ref="M98:N98"/>
    <mergeCell ref="Q98:S98"/>
    <mergeCell ref="T98:W98"/>
    <mergeCell ref="AU100:AY100"/>
    <mergeCell ref="AZ100:BA100"/>
    <mergeCell ref="BB100:BC100"/>
    <mergeCell ref="BD100:BG100"/>
    <mergeCell ref="B101:F101"/>
    <mergeCell ref="G101:J101"/>
    <mergeCell ref="K101:N101"/>
    <mergeCell ref="Q101:U101"/>
    <mergeCell ref="V101:Y101"/>
    <mergeCell ref="Z101:AC101"/>
    <mergeCell ref="X100:Y100"/>
    <mergeCell ref="Z100:AC100"/>
    <mergeCell ref="AF100:AJ100"/>
    <mergeCell ref="AK100:AL100"/>
    <mergeCell ref="AM100:AN100"/>
    <mergeCell ref="AO100:AR100"/>
    <mergeCell ref="A102:N102"/>
    <mergeCell ref="P102:AC102"/>
    <mergeCell ref="AE102:AR102"/>
    <mergeCell ref="AT102:BG102"/>
    <mergeCell ref="A103:N103"/>
    <mergeCell ref="P103:AC103"/>
    <mergeCell ref="AE103:AR103"/>
    <mergeCell ref="AT103:BG103"/>
    <mergeCell ref="AF101:AJ101"/>
    <mergeCell ref="AK101:AN101"/>
    <mergeCell ref="AO101:AR101"/>
    <mergeCell ref="AU101:AY101"/>
    <mergeCell ref="AZ101:BC101"/>
    <mergeCell ref="BD101:BG101"/>
    <mergeCell ref="AT105:AY105"/>
    <mergeCell ref="AZ105:BG105"/>
    <mergeCell ref="A104:N104"/>
    <mergeCell ref="P104:AC104"/>
    <mergeCell ref="AE104:AR104"/>
    <mergeCell ref="AT104:BG104"/>
    <mergeCell ref="A105:F105"/>
    <mergeCell ref="G105:N105"/>
    <mergeCell ref="P105:U105"/>
    <mergeCell ref="V105:AC105"/>
    <mergeCell ref="AE105:AJ105"/>
    <mergeCell ref="AK105:AR105"/>
  </mergeCells>
  <dataValidations count="1">
    <dataValidation type="list" showDropDown="1" showInputMessage="1" showErrorMessage="1" sqref="A2:A6 AF102:AR1048576 B1:N6 A7:N7 O1:P1048576 B102:N1048576 Q1:AC7 AD1:AE1048576 Q102:AC1048576 AF1:AR7 AS1:AT1048576 BH1:BH1048576 AU1:BG7 A14:A1048576 B14:N29 Q14:AC29 AF14:AR29 AU14:BG29 B36:N51 Q36:AC51 AF36:AR51 AU36:BG51 B58:N73 Q58:AC73 AF58:AR73 AU58:BG73 B80:N95 Q80:AC95 AF80:AR95 AU80:BG95 AU102:BG1048576" xr:uid="{00000000-0002-0000-0000-000000000000}">
      <formula1>"ُ$$$$$$$$$$$$$$$$$$@@@!ّ!!!!!!!!!%&amp;&amp;&amp;&amp;&amp;&amp;&amp;&amp;&amp;&amp;*"</formula1>
    </dataValidation>
  </dataValidations>
  <printOptions horizontalCentered="1" verticalCentered="1"/>
  <pageMargins left="0" right="0" top="0" bottom="0" header="0" footer="0"/>
  <pageSetup paperSize="9" scale="88" orientation="portrait" r:id="rId1"/>
  <rowBreaks count="4" manualBreakCount="4">
    <brk id="21" max="58" man="1"/>
    <brk id="44" max="58" man="1"/>
    <brk id="66" max="58" man="1"/>
    <brk id="87" max="58" man="1"/>
  </rowBreaks>
  <colBreaks count="2" manualBreakCount="2">
    <brk id="15" max="109" man="1"/>
    <brk id="29" max="109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"/>
  <sheetViews>
    <sheetView rightToLeft="1" zoomScale="70" zoomScaleNormal="70" workbookViewId="0"/>
  </sheetViews>
  <sheetFormatPr defaultColWidth="0" defaultRowHeight="13.95" customHeight="1" zeroHeight="1" x14ac:dyDescent="0.25"/>
  <cols>
    <col min="1" max="16" width="8.8984375" customWidth="1"/>
    <col min="17" max="16384" width="8.8984375" hidden="1"/>
  </cols>
  <sheetData>
    <row r="1" spans="1:1" ht="13.8" x14ac:dyDescent="0.25">
      <c r="A1" t="s">
        <v>68</v>
      </c>
    </row>
    <row r="2" spans="1:1" ht="13.8" x14ac:dyDescent="0.25"/>
    <row r="3" spans="1:1" ht="13.8" x14ac:dyDescent="0.25"/>
    <row r="4" spans="1:1" ht="13.8" x14ac:dyDescent="0.25"/>
    <row r="5" spans="1:1" ht="13.8" x14ac:dyDescent="0.25"/>
    <row r="6" spans="1:1" ht="13.8" x14ac:dyDescent="0.25"/>
    <row r="7" spans="1:1" ht="13.8" x14ac:dyDescent="0.25"/>
    <row r="8" spans="1:1" ht="13.8" x14ac:dyDescent="0.25"/>
    <row r="9" spans="1:1" ht="13.8" x14ac:dyDescent="0.25"/>
    <row r="10" spans="1:1" ht="13.8" x14ac:dyDescent="0.25"/>
    <row r="11" spans="1:1" ht="13.8" x14ac:dyDescent="0.25"/>
    <row r="12" spans="1:1" ht="13.8" x14ac:dyDescent="0.25"/>
    <row r="13" spans="1:1" ht="13.8" x14ac:dyDescent="0.25"/>
    <row r="14" spans="1:1" ht="13.8" x14ac:dyDescent="0.25"/>
    <row r="15" spans="1:1" ht="13.8" x14ac:dyDescent="0.25"/>
    <row r="16" spans="1:1" ht="13.8" x14ac:dyDescent="0.25"/>
    <row r="17" ht="13.8" x14ac:dyDescent="0.25"/>
    <row r="18" ht="13.8" x14ac:dyDescent="0.25"/>
    <row r="19" ht="13.8" x14ac:dyDescent="0.25"/>
    <row r="20" ht="13.8" x14ac:dyDescent="0.25"/>
    <row r="21" ht="13.8" x14ac:dyDescent="0.25"/>
    <row r="22" ht="13.8" x14ac:dyDescent="0.25"/>
    <row r="23" ht="13.8" x14ac:dyDescent="0.25"/>
    <row r="24" ht="13.8" x14ac:dyDescent="0.25"/>
    <row r="25" ht="13.8" x14ac:dyDescent="0.25"/>
    <row r="26" ht="13.8" x14ac:dyDescent="0.25"/>
    <row r="27" ht="13.8" x14ac:dyDescent="0.25"/>
    <row r="28" ht="13.8" x14ac:dyDescent="0.25"/>
    <row r="29" ht="13.8" x14ac:dyDescent="0.25"/>
    <row r="30" ht="13.8" x14ac:dyDescent="0.25"/>
    <row r="31" ht="13.8" x14ac:dyDescent="0.25"/>
    <row r="32" ht="13.8" x14ac:dyDescent="0.25"/>
    <row r="33" ht="13.8" x14ac:dyDescent="0.25"/>
    <row r="34" ht="13.8" x14ac:dyDescent="0.25"/>
    <row r="35" ht="13.8" x14ac:dyDescent="0.25"/>
    <row r="36" ht="13.8" x14ac:dyDescent="0.25"/>
    <row r="37" ht="13.8" x14ac:dyDescent="0.25"/>
    <row r="38" ht="13.8" x14ac:dyDescent="0.25"/>
    <row r="39" ht="13.8" x14ac:dyDescent="0.25"/>
    <row r="40" ht="13.8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499984740745262"/>
  </sheetPr>
  <dimension ref="A1:AQ107"/>
  <sheetViews>
    <sheetView showZeros="0" rightToLeft="1" view="pageBreakPreview" zoomScale="98" zoomScaleNormal="40" zoomScaleSheetLayoutView="98" workbookViewId="0">
      <selection sqref="A1:C1"/>
    </sheetView>
  </sheetViews>
  <sheetFormatPr defaultRowHeight="13.8" x14ac:dyDescent="0.25"/>
  <cols>
    <col min="1" max="1" width="11.09765625" style="1" customWidth="1"/>
    <col min="2" max="2" width="6" style="1" customWidth="1"/>
    <col min="3" max="3" width="5.59765625" style="1" customWidth="1"/>
    <col min="4" max="4" width="8.09765625" style="1" customWidth="1"/>
    <col min="5" max="5" width="5.59765625" style="1" customWidth="1"/>
    <col min="6" max="6" width="8.19921875" style="1" customWidth="1"/>
    <col min="7" max="7" width="0.3984375" style="1" customWidth="1"/>
    <col min="8" max="9" width="7.59765625" style="1" customWidth="1"/>
    <col min="10" max="10" width="9.59765625" style="1" customWidth="1"/>
    <col min="11" max="11" width="2.19921875" style="1" customWidth="1"/>
    <col min="12" max="12" width="10.69921875" style="229" customWidth="1"/>
    <col min="13" max="13" width="5.8984375" style="1" customWidth="1"/>
    <col min="14" max="17" width="5.59765625" style="1" customWidth="1"/>
    <col min="18" max="18" width="0.3984375" style="1" customWidth="1"/>
    <col min="19" max="21" width="7.59765625" style="1" customWidth="1"/>
    <col min="22" max="22" width="1.09765625" style="1" customWidth="1"/>
    <col min="23" max="23" width="12" style="229" customWidth="1"/>
    <col min="24" max="24" width="4.69921875" style="1" customWidth="1"/>
    <col min="25" max="28" width="5.59765625" style="1" customWidth="1"/>
    <col min="29" max="29" width="0.3984375" style="1" customWidth="1"/>
    <col min="30" max="32" width="7.59765625" style="1" customWidth="1"/>
    <col min="33" max="33" width="1.09765625" style="1" customWidth="1"/>
    <col min="34" max="34" width="14.19921875" style="229" customWidth="1"/>
    <col min="35" max="35" width="5.8984375" style="1" customWidth="1"/>
    <col min="36" max="39" width="5.59765625" style="1" customWidth="1"/>
    <col min="40" max="40" width="0.3984375" style="1" customWidth="1"/>
    <col min="41" max="43" width="7.59765625" style="1" customWidth="1"/>
  </cols>
  <sheetData>
    <row r="1" spans="1:43" s="80" customFormat="1" ht="29.1" customHeight="1" thickTop="1" x14ac:dyDescent="0.25">
      <c r="A1" s="484" t="s">
        <v>80</v>
      </c>
      <c r="B1" s="485"/>
      <c r="C1" s="485"/>
      <c r="D1" s="466" t="str">
        <f>ادخال1!$L$4</f>
        <v>الثالث</v>
      </c>
      <c r="E1" s="466"/>
      <c r="F1" s="487" t="s">
        <v>81</v>
      </c>
      <c r="G1" s="487"/>
      <c r="H1" s="487"/>
      <c r="I1" s="273"/>
      <c r="J1" s="79">
        <v>4</v>
      </c>
      <c r="L1" s="484" t="s">
        <v>80</v>
      </c>
      <c r="M1" s="485"/>
      <c r="N1" s="485"/>
      <c r="O1" s="466" t="str">
        <f>ادخال1!$L$4</f>
        <v>الثالث</v>
      </c>
      <c r="P1" s="466"/>
      <c r="Q1" s="273" t="s">
        <v>81</v>
      </c>
      <c r="R1" s="273"/>
      <c r="S1" s="273"/>
      <c r="T1" s="273"/>
      <c r="U1" s="79">
        <f>J1+5</f>
        <v>9</v>
      </c>
      <c r="W1" s="484" t="s">
        <v>80</v>
      </c>
      <c r="X1" s="485"/>
      <c r="Y1" s="485"/>
      <c r="Z1" s="466" t="str">
        <f>ادخال1!$L$4</f>
        <v>الثالث</v>
      </c>
      <c r="AA1" s="466"/>
      <c r="AB1" s="273" t="s">
        <v>81</v>
      </c>
      <c r="AC1" s="273"/>
      <c r="AD1" s="273"/>
      <c r="AE1" s="273"/>
      <c r="AF1" s="79">
        <f>U1+5</f>
        <v>14</v>
      </c>
      <c r="AH1" s="484" t="s">
        <v>80</v>
      </c>
      <c r="AI1" s="485"/>
      <c r="AJ1" s="485"/>
      <c r="AK1" s="466" t="str">
        <f>ادخال1!$L$4</f>
        <v>الثالث</v>
      </c>
      <c r="AL1" s="466"/>
      <c r="AM1" s="273" t="s">
        <v>81</v>
      </c>
      <c r="AN1" s="273"/>
      <c r="AO1" s="273"/>
      <c r="AP1" s="273"/>
      <c r="AQ1" s="79">
        <f>AF1+5</f>
        <v>19</v>
      </c>
    </row>
    <row r="2" spans="1:43" ht="29.1" customHeight="1" thickBot="1" x14ac:dyDescent="0.3">
      <c r="A2" s="1" t="s">
        <v>153</v>
      </c>
      <c r="B2" s="455" t="str">
        <f>ادخال1!$B$5</f>
        <v>سهول العلم للتعليم الخاص</v>
      </c>
      <c r="C2" s="455"/>
      <c r="D2" s="455"/>
      <c r="E2" s="455"/>
      <c r="F2" s="274" t="s">
        <v>9</v>
      </c>
      <c r="G2" s="453" t="str">
        <f>H15</f>
        <v>دانية حسن مفتاح المقوب</v>
      </c>
      <c r="H2" s="453"/>
      <c r="I2" s="453"/>
      <c r="J2" s="454"/>
      <c r="L2" s="1" t="s">
        <v>68</v>
      </c>
      <c r="M2" s="455" t="str">
        <f>ادخال1!$B$5</f>
        <v>سهول العلم للتعليم الخاص</v>
      </c>
      <c r="N2" s="455"/>
      <c r="O2" s="455"/>
      <c r="P2" s="455"/>
      <c r="Q2" s="274" t="s">
        <v>9</v>
      </c>
      <c r="R2" s="453" t="str">
        <f>S15</f>
        <v>فاطمة سالم سالم الورفلى</v>
      </c>
      <c r="S2" s="453"/>
      <c r="T2" s="453"/>
      <c r="U2" s="454"/>
      <c r="W2" s="1" t="s">
        <v>153</v>
      </c>
      <c r="X2" s="455" t="str">
        <f>ادخال1!$B$5</f>
        <v>سهول العلم للتعليم الخاص</v>
      </c>
      <c r="Y2" s="455"/>
      <c r="Z2" s="455"/>
      <c r="AA2" s="455"/>
      <c r="AB2" s="274" t="s">
        <v>9</v>
      </c>
      <c r="AC2" s="453" t="str">
        <f>AD15</f>
        <v>ايلياء محمد عوض الحداد</v>
      </c>
      <c r="AD2" s="453"/>
      <c r="AE2" s="453"/>
      <c r="AF2" s="454"/>
      <c r="AH2" s="1" t="s">
        <v>153</v>
      </c>
      <c r="AI2" s="455" t="str">
        <f>ادخال1!$B$5</f>
        <v>سهول العلم للتعليم الخاص</v>
      </c>
      <c r="AJ2" s="455"/>
      <c r="AK2" s="455"/>
      <c r="AL2" s="455"/>
      <c r="AM2" s="274" t="s">
        <v>9</v>
      </c>
      <c r="AN2" s="453">
        <f>AO15</f>
        <v>0</v>
      </c>
      <c r="AO2" s="453"/>
      <c r="AP2" s="453"/>
      <c r="AQ2" s="454"/>
    </row>
    <row r="3" spans="1:43" ht="29.1" customHeight="1" thickBot="1" x14ac:dyDescent="0.3">
      <c r="A3" s="262" t="s">
        <v>45</v>
      </c>
      <c r="B3" s="457" t="s">
        <v>12</v>
      </c>
      <c r="C3" s="459" t="s">
        <v>46</v>
      </c>
      <c r="D3" s="460"/>
      <c r="E3" s="461" t="s">
        <v>47</v>
      </c>
      <c r="F3" s="460"/>
      <c r="G3" s="26"/>
      <c r="H3" s="462" t="s">
        <v>50</v>
      </c>
      <c r="I3" s="463"/>
      <c r="J3" s="464"/>
      <c r="L3" s="262" t="s">
        <v>45</v>
      </c>
      <c r="M3" s="457" t="s">
        <v>12</v>
      </c>
      <c r="N3" s="459" t="s">
        <v>46</v>
      </c>
      <c r="O3" s="460"/>
      <c r="P3" s="461" t="s">
        <v>47</v>
      </c>
      <c r="Q3" s="460"/>
      <c r="R3" s="26"/>
      <c r="S3" s="462" t="s">
        <v>50</v>
      </c>
      <c r="T3" s="463"/>
      <c r="U3" s="464"/>
      <c r="W3" s="262" t="s">
        <v>45</v>
      </c>
      <c r="X3" s="457" t="s">
        <v>12</v>
      </c>
      <c r="Y3" s="459" t="s">
        <v>46</v>
      </c>
      <c r="Z3" s="460"/>
      <c r="AA3" s="461" t="s">
        <v>47</v>
      </c>
      <c r="AB3" s="460"/>
      <c r="AC3" s="26"/>
      <c r="AD3" s="462" t="s">
        <v>50</v>
      </c>
      <c r="AE3" s="463"/>
      <c r="AF3" s="464"/>
      <c r="AH3" s="262" t="s">
        <v>45</v>
      </c>
      <c r="AI3" s="457" t="s">
        <v>12</v>
      </c>
      <c r="AJ3" s="459" t="s">
        <v>46</v>
      </c>
      <c r="AK3" s="460"/>
      <c r="AL3" s="461" t="s">
        <v>47</v>
      </c>
      <c r="AM3" s="460"/>
      <c r="AN3" s="26"/>
      <c r="AO3" s="462" t="s">
        <v>50</v>
      </c>
      <c r="AP3" s="463"/>
      <c r="AQ3" s="464"/>
    </row>
    <row r="4" spans="1:43" ht="29.1" customHeight="1" thickBot="1" x14ac:dyDescent="0.3">
      <c r="A4" s="263" t="s">
        <v>2</v>
      </c>
      <c r="B4" s="458"/>
      <c r="C4" s="39" t="s">
        <v>51</v>
      </c>
      <c r="D4" s="28" t="s">
        <v>52</v>
      </c>
      <c r="E4" s="40" t="s">
        <v>51</v>
      </c>
      <c r="F4" s="28" t="s">
        <v>52</v>
      </c>
      <c r="G4" s="10"/>
      <c r="H4" s="283" t="s">
        <v>55</v>
      </c>
      <c r="I4" s="450" t="str">
        <f>IF(D11=0,"",IF(AND(D5&gt;=C5*0.4,D6&gt;=C6*0.4,D7&gt;=C7*0.4,D9&gt;=C9*0.4,D10&gt;=C10*0.4),LOOKUP(D11,'النتيجة النهائية'!$AC$6:$AD$10),"ضعيف ويحتاج الى اهتمام في المواد"))</f>
        <v>ممتاز</v>
      </c>
      <c r="J4" s="451"/>
      <c r="L4" s="263" t="s">
        <v>2</v>
      </c>
      <c r="M4" s="458"/>
      <c r="N4" s="39" t="s">
        <v>51</v>
      </c>
      <c r="O4" s="28" t="s">
        <v>52</v>
      </c>
      <c r="P4" s="40" t="s">
        <v>51</v>
      </c>
      <c r="Q4" s="28" t="s">
        <v>52</v>
      </c>
      <c r="R4" s="10"/>
      <c r="S4" s="283" t="s">
        <v>55</v>
      </c>
      <c r="T4" s="450" t="str">
        <f>IF(O11=0,"",IF(AND(O5&gt;=N5*0.4,O6&gt;=N6*0.4,O7&gt;=N7*0.4,O9&gt;=N9*0.4,O10&gt;=N10*0.4),LOOKUP(O11,'النتيجة النهائية'!$AC$6:$AD$10),"ضعيف ويحتاج الى اهتمام في المواد"))</f>
        <v>ممتاز</v>
      </c>
      <c r="U4" s="451"/>
      <c r="W4" s="263" t="s">
        <v>2</v>
      </c>
      <c r="X4" s="458"/>
      <c r="Y4" s="39" t="s">
        <v>51</v>
      </c>
      <c r="Z4" s="28" t="s">
        <v>52</v>
      </c>
      <c r="AA4" s="40" t="s">
        <v>51</v>
      </c>
      <c r="AB4" s="28" t="s">
        <v>52</v>
      </c>
      <c r="AC4" s="10"/>
      <c r="AD4" s="283" t="s">
        <v>55</v>
      </c>
      <c r="AE4" s="450" t="str">
        <f>IF(Z11=0,"",IF(AND(Z5&gt;=Y5*0.4,Z6&gt;=Y6*0.4,Z7&gt;=Y7*0.4,Z9&gt;=Y9*0.4,Z10&gt;=Y10*0.4),LOOKUP(Z11,'النتيجة النهائية'!$AC$6:$AD$10),"ضعيف ويحتاج الى اهتمام في المواد"))</f>
        <v>ممتاز</v>
      </c>
      <c r="AF4" s="451"/>
      <c r="AH4" s="263" t="s">
        <v>2</v>
      </c>
      <c r="AI4" s="458"/>
      <c r="AJ4" s="39" t="s">
        <v>51</v>
      </c>
      <c r="AK4" s="28" t="s">
        <v>52</v>
      </c>
      <c r="AL4" s="40" t="s">
        <v>51</v>
      </c>
      <c r="AM4" s="28" t="s">
        <v>52</v>
      </c>
      <c r="AN4" s="10"/>
      <c r="AO4" s="283" t="s">
        <v>55</v>
      </c>
      <c r="AP4" s="450" t="str">
        <f>IF(AK11=0,"",IF(AND(AK5&gt;=AJ5*0.4,AK6&gt;=AJ6*0.4,AK7&gt;=AJ7*0.4,AK9&gt;=AJ9*0.4,AK10&gt;=AJ10*0.4),LOOKUP(AK11,'النتيجة النهائية'!$AC$6:$AD$10),"ضعيف ويحتاج الى اهتمام في المواد"))</f>
        <v/>
      </c>
      <c r="AQ4" s="451"/>
    </row>
    <row r="5" spans="1:43" ht="29.1" customHeight="1" x14ac:dyDescent="0.25">
      <c r="A5" s="261" t="str">
        <f>ادخال1!$F$9</f>
        <v>التربية الإسلامية</v>
      </c>
      <c r="B5" s="46">
        <f>ادخال1!$F$7</f>
        <v>3</v>
      </c>
      <c r="C5" s="41">
        <f t="shared" ref="C5:C6" si="0">40*B5*0.3</f>
        <v>36</v>
      </c>
      <c r="D5" s="2">
        <f xml:space="preserve"> IFERROR(VLOOKUP(H15,اسماء,5,0),"")</f>
        <v>31</v>
      </c>
      <c r="E5" s="43">
        <f t="shared" ref="E5:E6" si="1">40*B5*0.3</f>
        <v>36</v>
      </c>
      <c r="F5" s="2">
        <f>IFERROR(VLOOKUP(H15,اسماء,16,0),"")</f>
        <v>0</v>
      </c>
      <c r="G5" s="18"/>
      <c r="H5" s="27" t="str">
        <f>IF(D5=0,"",IF(D5&lt;C5*0.4,A5,""))</f>
        <v/>
      </c>
      <c r="I5" s="29" t="str">
        <f>IF(D6=0,"",IF(D6&lt;C6*0.4,A6,""))</f>
        <v/>
      </c>
      <c r="J5" s="28" t="str">
        <f>IF(D7=0,"",IF(D7&lt;C7*0.4,A7,""))</f>
        <v/>
      </c>
      <c r="L5" s="261" t="str">
        <f>ادخال1!$F$9</f>
        <v>التربية الإسلامية</v>
      </c>
      <c r="M5" s="46">
        <f>ادخال1!$F$7</f>
        <v>3</v>
      </c>
      <c r="N5" s="41">
        <f t="shared" ref="N5:N6" si="2">40*M5*0.3</f>
        <v>36</v>
      </c>
      <c r="O5" s="2">
        <f xml:space="preserve"> IFERROR(VLOOKUP(S15,اسماء,5,0),"")</f>
        <v>36</v>
      </c>
      <c r="P5" s="43">
        <f t="shared" ref="P5:P6" si="3">40*M5*0.3</f>
        <v>36</v>
      </c>
      <c r="Q5" s="2">
        <f>IFERROR(VLOOKUP(S15,اسماء,16,0),"")</f>
        <v>0</v>
      </c>
      <c r="R5" s="18"/>
      <c r="S5" s="27" t="str">
        <f>IF(O5=0,"",IF(O5&lt;N5*0.4,L5,""))</f>
        <v/>
      </c>
      <c r="T5" s="29" t="str">
        <f>IF(O6=0,"",IF(O6&lt;N6*0.4,L6,""))</f>
        <v/>
      </c>
      <c r="U5" s="28" t="str">
        <f>IF(O7=0,"",IF(O7&lt;N7*0.4,L7,""))</f>
        <v/>
      </c>
      <c r="W5" s="261" t="str">
        <f>ادخال1!$F$9</f>
        <v>التربية الإسلامية</v>
      </c>
      <c r="X5" s="46">
        <f>ادخال1!$F$7</f>
        <v>3</v>
      </c>
      <c r="Y5" s="41">
        <f t="shared" ref="Y5:Y6" si="4">40*X5*0.3</f>
        <v>36</v>
      </c>
      <c r="Z5" s="2">
        <f xml:space="preserve"> IFERROR(VLOOKUP(AD15,اسماء,5,0),"")</f>
        <v>36</v>
      </c>
      <c r="AA5" s="43">
        <f t="shared" ref="AA5:AA6" si="5">40*X5*0.3</f>
        <v>36</v>
      </c>
      <c r="AB5" s="2">
        <f>IFERROR(VLOOKUP(AD15,اسماء,16,0),"")</f>
        <v>0</v>
      </c>
      <c r="AC5" s="18"/>
      <c r="AD5" s="27" t="str">
        <f>IF(Z5=0,"",IF(Z5&lt;Y5*0.4,W5,""))</f>
        <v/>
      </c>
      <c r="AE5" s="29" t="str">
        <f>IF(Z6=0,"",IF(Z6&lt;Y6*0.4,W6,""))</f>
        <v/>
      </c>
      <c r="AF5" s="28" t="str">
        <f>IF(Z7=0,"",IF(Z7&lt;Y7*0.4,W7,""))</f>
        <v/>
      </c>
      <c r="AH5" s="261" t="str">
        <f>ادخال1!$F$9</f>
        <v>التربية الإسلامية</v>
      </c>
      <c r="AI5" s="46">
        <f>ادخال1!$F$7</f>
        <v>3</v>
      </c>
      <c r="AJ5" s="41">
        <f t="shared" ref="AJ5:AJ6" si="6">40*AI5*0.3</f>
        <v>36</v>
      </c>
      <c r="AK5" s="2" t="str">
        <f xml:space="preserve"> IFERROR(VLOOKUP(AO15,اسماء,5,0),"")</f>
        <v/>
      </c>
      <c r="AL5" s="43">
        <f t="shared" ref="AL5:AL6" si="7">40*AI5*0.3</f>
        <v>36</v>
      </c>
      <c r="AM5" s="2" t="str">
        <f>IFERROR(VLOOKUP(AO15,اسماء,16,0),"")</f>
        <v/>
      </c>
      <c r="AN5" s="18"/>
      <c r="AO5" s="27" t="str">
        <f>IF(AK5=0,"",IF(AK5&lt;AJ5*0.4,AH5,""))</f>
        <v/>
      </c>
      <c r="AP5" s="29" t="str">
        <f>IF(AK6=0,"",IF(AK6&lt;AJ6*0.4,AH6,""))</f>
        <v/>
      </c>
      <c r="AQ5" s="28" t="str">
        <f>IF(AK7=0,"",IF(AK7&lt;AJ7*0.4,AH7,""))</f>
        <v/>
      </c>
    </row>
    <row r="6" spans="1:43" ht="29.1" customHeight="1" thickBot="1" x14ac:dyDescent="0.3">
      <c r="A6" s="56" t="str">
        <f>ادخال1!$G$9</f>
        <v>اللغة العربية</v>
      </c>
      <c r="B6" s="47">
        <f>ادخال1!$G$7</f>
        <v>6</v>
      </c>
      <c r="C6" s="41">
        <f t="shared" si="0"/>
        <v>72</v>
      </c>
      <c r="D6" s="2">
        <f>IFERROR(VLOOKUP(H15,اسماء,6,0),"")</f>
        <v>64</v>
      </c>
      <c r="E6" s="43">
        <f t="shared" si="1"/>
        <v>72</v>
      </c>
      <c r="F6" s="2">
        <f>IFERROR(VLOOKUP(H15,اسماء,17,0),"")</f>
        <v>0</v>
      </c>
      <c r="G6" s="18"/>
      <c r="H6" s="118" t="str">
        <f>IF(D9=0,"",IF(D9&lt;C9*0.4,A9,""))</f>
        <v/>
      </c>
      <c r="I6" s="282" t="str">
        <f>IF(D10=0,"",IF(D10&lt;C10*0.4,A10,""))</f>
        <v/>
      </c>
      <c r="J6" s="282" t="str">
        <f>IF(D8=0,"",IF(D8&lt;C8*0.4,A8,""))</f>
        <v/>
      </c>
      <c r="L6" s="56" t="str">
        <f>ادخال1!$G$9</f>
        <v>اللغة العربية</v>
      </c>
      <c r="M6" s="47">
        <f>ادخال1!$G$7</f>
        <v>6</v>
      </c>
      <c r="N6" s="41">
        <f t="shared" si="2"/>
        <v>72</v>
      </c>
      <c r="O6" s="2">
        <f>IFERROR(VLOOKUP(S15,اسماء,6,0),"")</f>
        <v>71</v>
      </c>
      <c r="P6" s="43">
        <f t="shared" si="3"/>
        <v>72</v>
      </c>
      <c r="Q6" s="2">
        <f>IFERROR(VLOOKUP(S15,اسماء,17,0),"")</f>
        <v>0</v>
      </c>
      <c r="R6" s="18"/>
      <c r="S6" s="118" t="str">
        <f>IF(O9=0,"",IF(O9&lt;N9*0.4,L9,""))</f>
        <v/>
      </c>
      <c r="T6" s="282" t="str">
        <f>IF(O10=0,"",IF(O10&lt;N10*0.4,L10,""))</f>
        <v/>
      </c>
      <c r="U6" s="282" t="str">
        <f>IF(O8=0,"",IF(O8&lt;N8*0.4,L8,""))</f>
        <v/>
      </c>
      <c r="W6" s="56" t="str">
        <f>ادخال1!$G$9</f>
        <v>اللغة العربية</v>
      </c>
      <c r="X6" s="47">
        <f>ادخال1!$G$7</f>
        <v>6</v>
      </c>
      <c r="Y6" s="41">
        <f t="shared" si="4"/>
        <v>72</v>
      </c>
      <c r="Z6" s="2">
        <f>IFERROR(VLOOKUP(AD15,اسماء,6,0),"")</f>
        <v>71</v>
      </c>
      <c r="AA6" s="43">
        <f t="shared" si="5"/>
        <v>72</v>
      </c>
      <c r="AB6" s="2">
        <f>IFERROR(VLOOKUP(AD15,اسماء,17,0),"")</f>
        <v>0</v>
      </c>
      <c r="AC6" s="18"/>
      <c r="AD6" s="118" t="str">
        <f>IF(Z9=0,"",IF(Z9&lt;Y9*0.4,W9,""))</f>
        <v/>
      </c>
      <c r="AE6" s="282" t="str">
        <f>IF(Z10=0,"",IF(Z10&lt;Y10*0.4,W10,""))</f>
        <v/>
      </c>
      <c r="AF6" s="282" t="str">
        <f>IF(Z8=0,"",IF(Z8&lt;Y8*0.4,W8,""))</f>
        <v/>
      </c>
      <c r="AH6" s="56" t="str">
        <f>ادخال1!$G$9</f>
        <v>اللغة العربية</v>
      </c>
      <c r="AI6" s="47">
        <f>ادخال1!$G$7</f>
        <v>6</v>
      </c>
      <c r="AJ6" s="41">
        <f t="shared" si="6"/>
        <v>72</v>
      </c>
      <c r="AK6" s="2" t="str">
        <f>IFERROR(VLOOKUP(AO15,اسماء,6,0),"")</f>
        <v/>
      </c>
      <c r="AL6" s="43">
        <f t="shared" si="7"/>
        <v>72</v>
      </c>
      <c r="AM6" s="2" t="str">
        <f>IFERROR(VLOOKUP(AO15,اسماء,17,0),"")</f>
        <v/>
      </c>
      <c r="AN6" s="18"/>
      <c r="AO6" s="118" t="str">
        <f>IF(AK9=0,"",IF(AK9&lt;AJ9*0.4,AH9,""))</f>
        <v/>
      </c>
      <c r="AP6" s="282" t="str">
        <f>IF(AK10=0,"",IF(AK10&lt;AJ10*0.4,AH10,""))</f>
        <v/>
      </c>
      <c r="AQ6" s="282" t="str">
        <f>IF(AK8=0,"",IF(AK8&lt;AJ8*0.4,AH8,""))</f>
        <v/>
      </c>
    </row>
    <row r="7" spans="1:43" ht="29.1" customHeight="1" x14ac:dyDescent="0.25">
      <c r="A7" s="133" t="str">
        <f>ادخال1!$H$9</f>
        <v>اللغة الإنجليزية</v>
      </c>
      <c r="B7" s="47">
        <f>ادخال1!$H$7</f>
        <v>3</v>
      </c>
      <c r="C7" s="41">
        <f>40*B7*0.3</f>
        <v>36</v>
      </c>
      <c r="D7" s="2">
        <f>IFERROR(VLOOKUP(H15,اسماء,7,0),"")</f>
        <v>33</v>
      </c>
      <c r="E7" s="43">
        <f>40*B7*0.3</f>
        <v>36</v>
      </c>
      <c r="F7" s="2">
        <f>IFERROR(VLOOKUP(H15,اسماء,18,0),"")</f>
        <v>0</v>
      </c>
      <c r="G7" s="18"/>
      <c r="H7" s="467" t="s">
        <v>158</v>
      </c>
      <c r="I7" s="423" t="str">
        <f>IF(F11=0,"",IF(AND(F5&gt;=E5*0.4,F6&gt;=E6*0.4,F7&gt;=E7*0.4,F9&gt;=E9*0.4,F10&gt;=E10*0.4),LOOKUP(F11,'النتيجة النهائية'!$AC$6:$AD$10),"ضعيف ويحتاج الى اهتمام في المواد"))</f>
        <v/>
      </c>
      <c r="J7" s="424"/>
      <c r="L7" s="133" t="str">
        <f>ادخال1!$H$9</f>
        <v>اللغة الإنجليزية</v>
      </c>
      <c r="M7" s="47">
        <f>ادخال1!$H$7</f>
        <v>3</v>
      </c>
      <c r="N7" s="41">
        <f>40*M7*0.3</f>
        <v>36</v>
      </c>
      <c r="O7" s="2">
        <f>IFERROR(VLOOKUP(S15,اسماء,7,0),"")</f>
        <v>33</v>
      </c>
      <c r="P7" s="43">
        <f>40*M7*0.3</f>
        <v>36</v>
      </c>
      <c r="Q7" s="2">
        <f>IFERROR(VLOOKUP(S15,اسماء,18,0),"")</f>
        <v>0</v>
      </c>
      <c r="R7" s="18"/>
      <c r="S7" s="467" t="s">
        <v>158</v>
      </c>
      <c r="T7" s="423" t="str">
        <f>IF(Q11=0,"",IF(AND(Q5&gt;=P5*0.4,Q6&gt;=P6*0.4,Q7&gt;=P7*0.4,Q9&gt;=P9*0.4,Q10&gt;=P10*0.4),LOOKUP(Q11,'النتيجة النهائية'!$AC$6:$AD$10),"ضعيف ويحتاج الى اهتمام في المواد"))</f>
        <v/>
      </c>
      <c r="U7" s="424"/>
      <c r="W7" s="133" t="str">
        <f>ادخال1!$H$9</f>
        <v>اللغة الإنجليزية</v>
      </c>
      <c r="X7" s="47">
        <f>ادخال1!$H$7</f>
        <v>3</v>
      </c>
      <c r="Y7" s="41">
        <f>40*X7*0.3</f>
        <v>36</v>
      </c>
      <c r="Z7" s="2">
        <f>IFERROR(VLOOKUP(AD15,اسماء,7,0),"")</f>
        <v>34</v>
      </c>
      <c r="AA7" s="43">
        <f>40*X7*0.3</f>
        <v>36</v>
      </c>
      <c r="AB7" s="2">
        <f>IFERROR(VLOOKUP(AD15,اسماء,18,0),"")</f>
        <v>0</v>
      </c>
      <c r="AC7" s="18"/>
      <c r="AD7" s="467" t="s">
        <v>158</v>
      </c>
      <c r="AE7" s="423" t="str">
        <f>IF(AB11=0,"",IF(AND(AB5&gt;=AA5*0.4,AB6&gt;=AA6*0.4,AB7&gt;=AA7*0.4,AB9&gt;=AA9*0.4,AB10&gt;=AA10*0.4),LOOKUP(AB11,'النتيجة النهائية'!$AC$6:$AD$10),"ضعيف ويحتاج الى اهتمام في المواد"))</f>
        <v/>
      </c>
      <c r="AF7" s="424"/>
      <c r="AH7" s="133" t="str">
        <f>ادخال1!$H$9</f>
        <v>اللغة الإنجليزية</v>
      </c>
      <c r="AI7" s="47">
        <f>ادخال1!$H$7</f>
        <v>3</v>
      </c>
      <c r="AJ7" s="41">
        <f>40*AI7*0.3</f>
        <v>36</v>
      </c>
      <c r="AK7" s="2" t="str">
        <f>IFERROR(VLOOKUP(AO15,اسماء,7,0),"")</f>
        <v/>
      </c>
      <c r="AL7" s="43">
        <f>40*AI7*0.3</f>
        <v>36</v>
      </c>
      <c r="AM7" s="2" t="str">
        <f>IFERROR(VLOOKUP(AO15,اسماء,18,0),"")</f>
        <v/>
      </c>
      <c r="AN7" s="18"/>
      <c r="AO7" s="467" t="s">
        <v>158</v>
      </c>
      <c r="AP7" s="423" t="str">
        <f>IF(AM11=0,"",IF(AND(AM5&gt;=AL5*0.4,AM6&gt;=AL6*0.4,AM7&gt;=AL7*0.4,AM9&gt;=AL9*0.4,AM10&gt;=AL10*0.4),LOOKUP(AM11,'النتيجة النهائية'!$AC$6:$AD$10),"ضعيف ويحتاج الى اهتمام في المواد"))</f>
        <v/>
      </c>
      <c r="AQ7" s="424"/>
    </row>
    <row r="8" spans="1:43" ht="29.1" customHeight="1" x14ac:dyDescent="0.25">
      <c r="A8" s="133" t="str">
        <f>ادخال1!$I$9</f>
        <v>الحاسوب</v>
      </c>
      <c r="B8" s="47">
        <f>ادخال1!$I$7</f>
        <v>1</v>
      </c>
      <c r="C8" s="41">
        <f>40*B8*0.3</f>
        <v>12</v>
      </c>
      <c r="D8" s="2">
        <f>IFERROR(VLOOKUP(H15,اسماء,8,0),"")</f>
        <v>11</v>
      </c>
      <c r="E8" s="43">
        <f>40*B8*0.3</f>
        <v>12</v>
      </c>
      <c r="F8" s="2">
        <f>IFERROR(VLOOKUP(H15,اسماء,19,0),"")</f>
        <v>0</v>
      </c>
      <c r="G8" s="18"/>
      <c r="H8" s="468"/>
      <c r="I8" s="425"/>
      <c r="J8" s="426"/>
      <c r="L8" s="133" t="str">
        <f>ادخال1!$I$9</f>
        <v>الحاسوب</v>
      </c>
      <c r="M8" s="47">
        <f>ادخال1!$I$7</f>
        <v>1</v>
      </c>
      <c r="N8" s="41">
        <f>40*M8*0.3</f>
        <v>12</v>
      </c>
      <c r="O8" s="2">
        <f>IFERROR(VLOOKUP(S15,اسماء,8,0),"")</f>
        <v>12</v>
      </c>
      <c r="P8" s="43">
        <f>40*M8*0.3</f>
        <v>12</v>
      </c>
      <c r="Q8" s="2">
        <f>IFERROR(VLOOKUP(S15,اسماء,19,0),"")</f>
        <v>0</v>
      </c>
      <c r="R8" s="18"/>
      <c r="S8" s="468"/>
      <c r="T8" s="425"/>
      <c r="U8" s="426"/>
      <c r="W8" s="133" t="str">
        <f>ادخال1!$I$9</f>
        <v>الحاسوب</v>
      </c>
      <c r="X8" s="47">
        <f>ادخال1!$I$7</f>
        <v>1</v>
      </c>
      <c r="Y8" s="41">
        <f>40*X8*0.3</f>
        <v>12</v>
      </c>
      <c r="Z8" s="2">
        <f>IFERROR(VLOOKUP(AD15,اسماء,8,0),"")</f>
        <v>12</v>
      </c>
      <c r="AA8" s="43">
        <f>40*X8*0.3</f>
        <v>12</v>
      </c>
      <c r="AB8" s="2">
        <f>IFERROR(VLOOKUP(AD15,اسماء,19,0),"")</f>
        <v>0</v>
      </c>
      <c r="AC8" s="18"/>
      <c r="AD8" s="468"/>
      <c r="AE8" s="425"/>
      <c r="AF8" s="426"/>
      <c r="AH8" s="133" t="str">
        <f>ادخال1!$I$9</f>
        <v>الحاسوب</v>
      </c>
      <c r="AI8" s="47">
        <f>ادخال1!$I$7</f>
        <v>1</v>
      </c>
      <c r="AJ8" s="41">
        <f>40*AI8*0.3</f>
        <v>12</v>
      </c>
      <c r="AK8" s="2" t="str">
        <f>IFERROR(VLOOKUP(AO15,اسماء,8,0),"")</f>
        <v/>
      </c>
      <c r="AL8" s="43">
        <f>40*AI8*0.3</f>
        <v>12</v>
      </c>
      <c r="AM8" s="2" t="str">
        <f>IFERROR(VLOOKUP(AO15,اسماء,19,0),"")</f>
        <v/>
      </c>
      <c r="AN8" s="18"/>
      <c r="AO8" s="468"/>
      <c r="AP8" s="425"/>
      <c r="AQ8" s="426"/>
    </row>
    <row r="9" spans="1:43" ht="29.1" customHeight="1" x14ac:dyDescent="0.25">
      <c r="A9" s="56" t="str">
        <f>ادخال1!$J$9</f>
        <v>الرياضيات</v>
      </c>
      <c r="B9" s="47">
        <f>ادخال1!$J$7</f>
        <v>5</v>
      </c>
      <c r="C9" s="41">
        <f>40*B9*0.3</f>
        <v>60</v>
      </c>
      <c r="D9" s="2">
        <f>IFERROR(VLOOKUP(H15,اسماء,9,0),"")</f>
        <v>49</v>
      </c>
      <c r="E9" s="43">
        <f>40*B9*0.3</f>
        <v>60</v>
      </c>
      <c r="F9" s="2">
        <f>IFERROR(VLOOKUP(H15,اسماء,20,0),"")</f>
        <v>0</v>
      </c>
      <c r="G9" s="18"/>
      <c r="H9" s="27" t="str">
        <f>IF(F5=0,"",IF(F5&lt;E5*0.4,A5,""))</f>
        <v/>
      </c>
      <c r="I9" s="29" t="str">
        <f>IF(F6=0,"",IF(F6&lt;E6*0.4,A6,""))</f>
        <v/>
      </c>
      <c r="J9" s="28" t="str">
        <f>IF(F7=0,"",IF(F7&lt;E7*0.4,A7,""))</f>
        <v/>
      </c>
      <c r="L9" s="56" t="str">
        <f>ادخال1!$J$9</f>
        <v>الرياضيات</v>
      </c>
      <c r="M9" s="47">
        <f>ادخال1!$J$7</f>
        <v>5</v>
      </c>
      <c r="N9" s="41">
        <f>40*M9*0.3</f>
        <v>60</v>
      </c>
      <c r="O9" s="2">
        <f>IFERROR(VLOOKUP(S15,اسماء,9,0),"")</f>
        <v>55</v>
      </c>
      <c r="P9" s="43">
        <f>40*M9*0.3</f>
        <v>60</v>
      </c>
      <c r="Q9" s="2">
        <f>IFERROR(VLOOKUP(S15,اسماء,20,0),"")</f>
        <v>0</v>
      </c>
      <c r="R9" s="18"/>
      <c r="S9" s="27" t="str">
        <f>IF(Q5=0,"",IF(Q5&lt;P5*0.4,L5,""))</f>
        <v/>
      </c>
      <c r="T9" s="29" t="str">
        <f>IF(Q6=0,"",IF(Q6&lt;P6*0.4,L6,""))</f>
        <v/>
      </c>
      <c r="U9" s="28" t="str">
        <f>IF(Q7=0,"",IF(Q7&lt;P7*0.4,L7,""))</f>
        <v/>
      </c>
      <c r="W9" s="56" t="str">
        <f>ادخال1!$J$9</f>
        <v>الرياضيات</v>
      </c>
      <c r="X9" s="47">
        <f>ادخال1!$J$7</f>
        <v>5</v>
      </c>
      <c r="Y9" s="41">
        <f>40*X9*0.3</f>
        <v>60</v>
      </c>
      <c r="Z9" s="2">
        <f>IFERROR(VLOOKUP(AD15,اسماء,9,0),"")</f>
        <v>56</v>
      </c>
      <c r="AA9" s="43">
        <f>40*X9*0.3</f>
        <v>60</v>
      </c>
      <c r="AB9" s="2">
        <f>IFERROR(VLOOKUP(AD15,اسماء,20,0),"")</f>
        <v>0</v>
      </c>
      <c r="AC9" s="18"/>
      <c r="AD9" s="27" t="str">
        <f>IF(AB5=0,"",IF(AB5&lt;AA5*0.4,W5,""))</f>
        <v/>
      </c>
      <c r="AE9" s="29" t="str">
        <f>IF(AB6=0,"",IF(AB6&lt;AA6*0.4,W6,""))</f>
        <v/>
      </c>
      <c r="AF9" s="28" t="str">
        <f>IF(AB7=0,"",IF(AB7&lt;AA7*0.4,W7,""))</f>
        <v/>
      </c>
      <c r="AH9" s="56" t="str">
        <f>ادخال1!$J$9</f>
        <v>الرياضيات</v>
      </c>
      <c r="AI9" s="47">
        <f>ادخال1!$J$7</f>
        <v>5</v>
      </c>
      <c r="AJ9" s="41">
        <f>40*AI9*0.3</f>
        <v>60</v>
      </c>
      <c r="AK9" s="2" t="str">
        <f>IFERROR(VLOOKUP(AO15,اسماء,9,0),"")</f>
        <v/>
      </c>
      <c r="AL9" s="43">
        <f>40*AI9*0.3</f>
        <v>60</v>
      </c>
      <c r="AM9" s="2" t="str">
        <f>IFERROR(VLOOKUP(AO15,اسماء,20,0),"")</f>
        <v/>
      </c>
      <c r="AN9" s="18"/>
      <c r="AO9" s="27" t="str">
        <f>IF(AM5=0,"",IF(AM5&lt;AL5*0.4,AH5,""))</f>
        <v/>
      </c>
      <c r="AP9" s="29" t="str">
        <f>IF(AM6=0,"",IF(AM6&lt;AL6*0.4,AH6,""))</f>
        <v/>
      </c>
      <c r="AQ9" s="28" t="str">
        <f>IF(AM7=0,"",IF(AM7&lt;AL7*0.4,AH7,""))</f>
        <v/>
      </c>
    </row>
    <row r="10" spans="1:43" ht="29.1" customHeight="1" thickBot="1" x14ac:dyDescent="0.3">
      <c r="A10" s="113" t="str">
        <f>ادخال1!$K$9</f>
        <v>العلوم</v>
      </c>
      <c r="B10" s="48">
        <f>ادخال1!$K$7</f>
        <v>3</v>
      </c>
      <c r="C10" s="41">
        <f>40*B10*0.3</f>
        <v>36</v>
      </c>
      <c r="D10" s="2">
        <f>IFERROR(VLOOKUP(H15,اسماء,10,0),"")</f>
        <v>36</v>
      </c>
      <c r="E10" s="43">
        <f>40*B10*0.3</f>
        <v>36</v>
      </c>
      <c r="F10" s="2">
        <f>IFERROR(VLOOKUP(H15,اسماء,21,0),"")</f>
        <v>0</v>
      </c>
      <c r="G10" s="18"/>
      <c r="H10" s="118" t="str">
        <f>IF(F9=0,"",IF(F9&lt;E9*0.4,A9,""))</f>
        <v/>
      </c>
      <c r="I10" s="282" t="str">
        <f>IF(F10=0,"",IF(F10&lt;E10*0.4,A10,""))</f>
        <v/>
      </c>
      <c r="J10" s="282" t="str">
        <f>IF(F8=0,"",IF(F8&lt;E8*0.4,A8,""))</f>
        <v/>
      </c>
      <c r="L10" s="113" t="str">
        <f>ادخال1!$K$9</f>
        <v>العلوم</v>
      </c>
      <c r="M10" s="48">
        <f>ادخال1!$K$7</f>
        <v>3</v>
      </c>
      <c r="N10" s="41">
        <f>40*M10*0.3</f>
        <v>36</v>
      </c>
      <c r="O10" s="2">
        <f>IFERROR(VLOOKUP(S15,اسماء,10,0),"")</f>
        <v>35</v>
      </c>
      <c r="P10" s="43">
        <f>40*M10*0.3</f>
        <v>36</v>
      </c>
      <c r="Q10" s="2">
        <f>IFERROR(VLOOKUP(S15,اسماء,21,0),"")</f>
        <v>0</v>
      </c>
      <c r="R10" s="18"/>
      <c r="S10" s="118" t="str">
        <f>IF(Q9=0,"",IF(Q9&lt;P9*0.4,L9,""))</f>
        <v/>
      </c>
      <c r="T10" s="282" t="str">
        <f>IF(Q10=0,"",IF(Q10&lt;P10*0.4,L10,""))</f>
        <v/>
      </c>
      <c r="U10" s="282" t="str">
        <f>IF(Q8=0,"",IF(Q8&lt;P8*0.4,L8,""))</f>
        <v/>
      </c>
      <c r="W10" s="113" t="str">
        <f>ادخال1!$K$9</f>
        <v>العلوم</v>
      </c>
      <c r="X10" s="48">
        <f>ادخال1!$K$7</f>
        <v>3</v>
      </c>
      <c r="Y10" s="41">
        <f>40*X10*0.3</f>
        <v>36</v>
      </c>
      <c r="Z10" s="2">
        <f>IFERROR(VLOOKUP(AD15,اسماء,10,0),"")</f>
        <v>35</v>
      </c>
      <c r="AA10" s="43">
        <f>40*X10*0.3</f>
        <v>36</v>
      </c>
      <c r="AB10" s="2">
        <f>IFERROR(VLOOKUP(AD15,اسماء,21,0),"")</f>
        <v>0</v>
      </c>
      <c r="AC10" s="18"/>
      <c r="AD10" s="118" t="str">
        <f>IF(AB9=0,"",IF(AB9&lt;AA9*0.4,W9,""))</f>
        <v/>
      </c>
      <c r="AE10" s="282" t="str">
        <f>IF(AB10=0,"",IF(AB10&lt;AA10*0.4,W10,""))</f>
        <v/>
      </c>
      <c r="AF10" s="282" t="str">
        <f>IF(AB8=0,"",IF(AB8&lt;AA8*0.4,W8,""))</f>
        <v/>
      </c>
      <c r="AH10" s="113" t="str">
        <f>ادخال1!$K$9</f>
        <v>العلوم</v>
      </c>
      <c r="AI10" s="48">
        <f>ادخال1!$K$7</f>
        <v>3</v>
      </c>
      <c r="AJ10" s="41">
        <f>40*AI10*0.3</f>
        <v>36</v>
      </c>
      <c r="AK10" s="2" t="str">
        <f>IFERROR(VLOOKUP(AO15,اسماء,10,0),"")</f>
        <v/>
      </c>
      <c r="AL10" s="43">
        <f>40*AI10*0.3</f>
        <v>36</v>
      </c>
      <c r="AM10" s="2" t="str">
        <f>IFERROR(VLOOKUP(AO15,اسماء,21,0),"")</f>
        <v/>
      </c>
      <c r="AN10" s="18"/>
      <c r="AO10" s="118" t="str">
        <f>IF(AM9=0,"",IF(AM9&lt;AL9*0.4,AH9,""))</f>
        <v/>
      </c>
      <c r="AP10" s="282" t="str">
        <f>IF(AM10=0,"",IF(AM10&lt;AL10*0.4,AH10,""))</f>
        <v/>
      </c>
      <c r="AQ10" s="282" t="str">
        <f>IF(AM8=0,"",IF(AM8&lt;AL8*0.4,AH8,""))</f>
        <v/>
      </c>
    </row>
    <row r="11" spans="1:43" ht="29.1" customHeight="1" thickBot="1" x14ac:dyDescent="0.3">
      <c r="A11" s="58" t="s">
        <v>56</v>
      </c>
      <c r="B11" s="30"/>
      <c r="C11" s="42">
        <f>SUM(C5:C10)</f>
        <v>252</v>
      </c>
      <c r="D11" s="114">
        <f>SUM(D5:D10)</f>
        <v>224</v>
      </c>
      <c r="E11" s="42">
        <f>SUM(E5:E10)</f>
        <v>252</v>
      </c>
      <c r="F11" s="114">
        <f>SUM(F5:F10)</f>
        <v>0</v>
      </c>
      <c r="G11" s="18"/>
      <c r="H11" s="196" t="s">
        <v>65</v>
      </c>
      <c r="I11" s="421" t="str">
        <f>ادخال1!$BJ$5</f>
        <v>د. عبدالرحمن خليفة العريبي</v>
      </c>
      <c r="J11" s="422"/>
      <c r="L11" s="58" t="s">
        <v>56</v>
      </c>
      <c r="M11" s="30"/>
      <c r="N11" s="42">
        <f>SUM(N5:N10)</f>
        <v>252</v>
      </c>
      <c r="O11" s="114">
        <f>SUM(O5:O10)</f>
        <v>242</v>
      </c>
      <c r="P11" s="42">
        <f>SUM(P5:P10)</f>
        <v>252</v>
      </c>
      <c r="Q11" s="114">
        <f>SUM(Q5:Q10)</f>
        <v>0</v>
      </c>
      <c r="R11" s="18"/>
      <c r="S11" s="196" t="s">
        <v>65</v>
      </c>
      <c r="T11" s="421" t="str">
        <f>ادخال1!$BJ$5</f>
        <v>د. عبدالرحمن خليفة العريبي</v>
      </c>
      <c r="U11" s="422"/>
      <c r="W11" s="58" t="s">
        <v>56</v>
      </c>
      <c r="X11" s="30"/>
      <c r="Y11" s="42">
        <f>SUM(Y5:Y10)</f>
        <v>252</v>
      </c>
      <c r="Z11" s="114">
        <f>SUM(Z5:Z10)</f>
        <v>244</v>
      </c>
      <c r="AA11" s="42">
        <f>SUM(AA5:AA10)</f>
        <v>252</v>
      </c>
      <c r="AB11" s="114">
        <f>SUM(AB5:AB10)</f>
        <v>0</v>
      </c>
      <c r="AC11" s="18"/>
      <c r="AD11" s="196" t="s">
        <v>65</v>
      </c>
      <c r="AE11" s="421" t="str">
        <f>ادخال1!$BJ$5</f>
        <v>د. عبدالرحمن خليفة العريبي</v>
      </c>
      <c r="AF11" s="422"/>
      <c r="AH11" s="58" t="s">
        <v>56</v>
      </c>
      <c r="AI11" s="30"/>
      <c r="AJ11" s="42">
        <f>SUM(AJ5:AJ10)</f>
        <v>252</v>
      </c>
      <c r="AK11" s="114">
        <f>SUM(AK5:AK10)</f>
        <v>0</v>
      </c>
      <c r="AL11" s="42">
        <f>SUM(AL5:AL10)</f>
        <v>252</v>
      </c>
      <c r="AM11" s="114">
        <f>SUM(AM5:AM10)</f>
        <v>0</v>
      </c>
      <c r="AN11" s="18"/>
      <c r="AO11" s="196" t="s">
        <v>65</v>
      </c>
      <c r="AP11" s="421" t="str">
        <f>ادخال1!$BJ$5</f>
        <v>د. عبدالرحمن خليفة العريبي</v>
      </c>
      <c r="AQ11" s="422"/>
    </row>
    <row r="12" spans="1:43" ht="29.1" customHeight="1" thickBot="1" x14ac:dyDescent="0.3">
      <c r="A12" s="331" t="str">
        <f>ادخال1!$M$8</f>
        <v>التربية الفنية</v>
      </c>
      <c r="B12" s="49">
        <f>ادخال1!$M$7</f>
        <v>1</v>
      </c>
      <c r="C12" s="446" t="str">
        <f>IFERROR(VLOOKUP(H15,اسماء,12,0),"")</f>
        <v>جيد جداً</v>
      </c>
      <c r="D12" s="447"/>
      <c r="E12" s="446">
        <f>IFERROR(VLOOKUP(H15,اسماء,23,0),"")</f>
        <v>0</v>
      </c>
      <c r="F12" s="447"/>
      <c r="G12" s="18"/>
      <c r="H12" s="15" t="s">
        <v>67</v>
      </c>
      <c r="I12" s="448">
        <f ca="1">TODAY()</f>
        <v>46009</v>
      </c>
      <c r="J12" s="449"/>
      <c r="L12" s="331" t="str">
        <f>ادخال1!$M$8</f>
        <v>التربية الفنية</v>
      </c>
      <c r="M12" s="49">
        <f>ادخال1!$M$7</f>
        <v>1</v>
      </c>
      <c r="N12" s="446" t="str">
        <f>IFERROR(VLOOKUP(S15,اسماء,12,0),"")</f>
        <v>جيد جداً</v>
      </c>
      <c r="O12" s="447"/>
      <c r="P12" s="446">
        <f>IFERROR(VLOOKUP(S15,اسماء,23,0),"")</f>
        <v>0</v>
      </c>
      <c r="Q12" s="447"/>
      <c r="R12" s="18"/>
      <c r="S12" s="15" t="s">
        <v>67</v>
      </c>
      <c r="T12" s="448">
        <f ca="1">TODAY()</f>
        <v>46009</v>
      </c>
      <c r="U12" s="449"/>
      <c r="W12" s="331" t="str">
        <f>ادخال1!$M$8</f>
        <v>التربية الفنية</v>
      </c>
      <c r="X12" s="49">
        <f>ادخال1!$M$7</f>
        <v>1</v>
      </c>
      <c r="Y12" s="446" t="str">
        <f>IFERROR(VLOOKUP(AD15,اسماء,12,0),"")</f>
        <v>جيد جداً</v>
      </c>
      <c r="Z12" s="447"/>
      <c r="AA12" s="446">
        <f>IFERROR(VLOOKUP(AD15,اسماء,23,0),"")</f>
        <v>0</v>
      </c>
      <c r="AB12" s="447"/>
      <c r="AC12" s="18"/>
      <c r="AD12" s="15" t="s">
        <v>67</v>
      </c>
      <c r="AE12" s="448">
        <f ca="1">TODAY()</f>
        <v>46009</v>
      </c>
      <c r="AF12" s="449"/>
      <c r="AH12" s="331" t="str">
        <f>ادخال1!$M$8</f>
        <v>التربية الفنية</v>
      </c>
      <c r="AI12" s="49">
        <f>ادخال1!$M$7</f>
        <v>1</v>
      </c>
      <c r="AJ12" s="446" t="str">
        <f>IFERROR(VLOOKUP(AO15,اسماء,12,0),"")</f>
        <v/>
      </c>
      <c r="AK12" s="447"/>
      <c r="AL12" s="446" t="str">
        <f>IFERROR(VLOOKUP(AO15,اسماء,23,0),"")</f>
        <v/>
      </c>
      <c r="AM12" s="447"/>
      <c r="AN12" s="18"/>
      <c r="AO12" s="15" t="s">
        <v>67</v>
      </c>
      <c r="AP12" s="448">
        <f ca="1">TODAY()</f>
        <v>46009</v>
      </c>
      <c r="AQ12" s="449"/>
    </row>
    <row r="13" spans="1:43" ht="29.1" customHeight="1" thickBot="1" x14ac:dyDescent="0.3">
      <c r="A13" s="332" t="str">
        <f>ادخال1!$N$8</f>
        <v>التربية البدنية</v>
      </c>
      <c r="B13" s="50">
        <f>ادخال1!$N$7</f>
        <v>2</v>
      </c>
      <c r="C13" s="432" t="str">
        <f>IFERROR(VLOOKUP(H15,اسماء,13,0),"")</f>
        <v>جيد جداً</v>
      </c>
      <c r="D13" s="433"/>
      <c r="E13" s="432">
        <f>IFERROR(VLOOKUP(H15,اسماء,24,0),"")</f>
        <v>0</v>
      </c>
      <c r="F13" s="433"/>
      <c r="G13" s="18"/>
      <c r="H13" s="68"/>
      <c r="I13" s="448"/>
      <c r="J13" s="449"/>
      <c r="L13" s="332" t="str">
        <f>ادخال1!$N$8</f>
        <v>التربية البدنية</v>
      </c>
      <c r="M13" s="50">
        <f>ادخال1!$N$7</f>
        <v>2</v>
      </c>
      <c r="N13" s="432" t="str">
        <f>IFERROR(VLOOKUP(S15,اسماء,13,0),"")</f>
        <v>جيد جداً</v>
      </c>
      <c r="O13" s="433"/>
      <c r="P13" s="432">
        <f>IFERROR(VLOOKUP(S15,اسماء,24,0),"")</f>
        <v>0</v>
      </c>
      <c r="Q13" s="433"/>
      <c r="R13" s="18"/>
      <c r="S13" s="68"/>
      <c r="T13" s="448"/>
      <c r="U13" s="449"/>
      <c r="W13" s="332" t="str">
        <f>ادخال1!$N$8</f>
        <v>التربية البدنية</v>
      </c>
      <c r="X13" s="50">
        <f>ادخال1!$N$7</f>
        <v>2</v>
      </c>
      <c r="Y13" s="432" t="str">
        <f>IFERROR(VLOOKUP(AD15,اسماء,13,0),"")</f>
        <v>جيد جداً</v>
      </c>
      <c r="Z13" s="433"/>
      <c r="AA13" s="432">
        <f>IFERROR(VLOOKUP(AD15,اسماء,24,0),"")</f>
        <v>0</v>
      </c>
      <c r="AB13" s="433"/>
      <c r="AC13" s="18"/>
      <c r="AD13" s="68"/>
      <c r="AE13" s="448"/>
      <c r="AF13" s="449"/>
      <c r="AH13" s="332" t="str">
        <f>ادخال1!$N$8</f>
        <v>التربية البدنية</v>
      </c>
      <c r="AI13" s="50">
        <f>ادخال1!$N$7</f>
        <v>2</v>
      </c>
      <c r="AJ13" s="432" t="str">
        <f>IFERROR(VLOOKUP(AO15,اسماء,13,0),"")</f>
        <v/>
      </c>
      <c r="AK13" s="433"/>
      <c r="AL13" s="432" t="str">
        <f>IFERROR(VLOOKUP(AO15,اسماء,24,0),"")</f>
        <v/>
      </c>
      <c r="AM13" s="433"/>
      <c r="AN13" s="18"/>
      <c r="AO13" s="68"/>
      <c r="AP13" s="448"/>
      <c r="AQ13" s="449"/>
    </row>
    <row r="14" spans="1:43" ht="29.1" customHeight="1" x14ac:dyDescent="0.25">
      <c r="A14" s="362" t="str">
        <f>ادخال1!$O$8</f>
        <v>مكتبة</v>
      </c>
      <c r="B14" s="363">
        <f>ادخال1!$O$7</f>
        <v>1</v>
      </c>
      <c r="C14" s="436"/>
      <c r="D14" s="437"/>
      <c r="E14" s="475"/>
      <c r="F14" s="476"/>
      <c r="G14" s="18"/>
      <c r="H14" s="68"/>
      <c r="I14" s="333"/>
      <c r="J14" s="334"/>
      <c r="L14" s="362" t="str">
        <f>ادخال1!$O$8</f>
        <v>مكتبة</v>
      </c>
      <c r="M14" s="363">
        <f>ادخال1!$O$7</f>
        <v>1</v>
      </c>
      <c r="N14" s="436"/>
      <c r="O14" s="437"/>
      <c r="P14" s="475"/>
      <c r="Q14" s="476"/>
      <c r="R14" s="18"/>
      <c r="S14" s="68"/>
      <c r="T14" s="333"/>
      <c r="U14" s="334"/>
      <c r="W14" s="362" t="str">
        <f>ادخال1!$O$8</f>
        <v>مكتبة</v>
      </c>
      <c r="X14" s="363">
        <f>ادخال1!$O$7</f>
        <v>1</v>
      </c>
      <c r="Y14" s="436"/>
      <c r="Z14" s="437"/>
      <c r="AA14" s="475"/>
      <c r="AB14" s="476"/>
      <c r="AC14" s="18"/>
      <c r="AD14" s="68"/>
      <c r="AE14" s="333"/>
      <c r="AF14" s="334"/>
      <c r="AH14" s="362" t="str">
        <f>ادخال1!$O$8</f>
        <v>مكتبة</v>
      </c>
      <c r="AI14" s="363">
        <f>ادخال1!$O$7</f>
        <v>1</v>
      </c>
      <c r="AJ14" s="436"/>
      <c r="AK14" s="437"/>
      <c r="AL14" s="475"/>
      <c r="AM14" s="476"/>
      <c r="AN14" s="18"/>
      <c r="AO14" s="68"/>
      <c r="AP14" s="333"/>
      <c r="AQ14" s="334"/>
    </row>
    <row r="15" spans="1:43" ht="29.1" customHeight="1" thickBot="1" x14ac:dyDescent="0.3">
      <c r="A15" s="192" t="s">
        <v>120</v>
      </c>
      <c r="B15" s="420">
        <f>IFERROR(VLOOKUP(H15,اسماء,65,0),"")</f>
        <v>220170664398</v>
      </c>
      <c r="C15" s="420" t="str">
        <f>IFERROR(VLOOKUP(G20,اسماء,8,0),"")</f>
        <v/>
      </c>
      <c r="D15" s="420" t="str">
        <f>IFERROR(VLOOKUP(H20,اسماء,8,0),"")</f>
        <v/>
      </c>
      <c r="E15" s="420" t="str">
        <f>IFERROR(VLOOKUP(I20,اسماء,8,0),"")</f>
        <v/>
      </c>
      <c r="F15" s="18"/>
      <c r="G15" s="18"/>
      <c r="H15" s="421" t="str">
        <f>INDEX(عمود2,MATCH(J1,عمود1))</f>
        <v>دانية حسن مفتاح المقوب</v>
      </c>
      <c r="I15" s="421"/>
      <c r="J15" s="422"/>
      <c r="L15" s="192" t="s">
        <v>120</v>
      </c>
      <c r="M15" s="420">
        <f>IFERROR(VLOOKUP(S15,اسماء,65,0),"")</f>
        <v>220170951696</v>
      </c>
      <c r="N15" s="420" t="str">
        <f>IFERROR(VLOOKUP(R20,اسماء,8,0),"")</f>
        <v/>
      </c>
      <c r="O15" s="420" t="str">
        <f>IFERROR(VLOOKUP(S20,اسماء,8,0),"")</f>
        <v/>
      </c>
      <c r="P15" s="420" t="str">
        <f>IFERROR(VLOOKUP(T20,اسماء,8,0),"")</f>
        <v/>
      </c>
      <c r="Q15" s="18"/>
      <c r="R15" s="18"/>
      <c r="S15" s="421" t="str">
        <f>INDEX(عمود2,MATCH(U1,عمود1))</f>
        <v>فاطمة سالم سالم الورفلى</v>
      </c>
      <c r="T15" s="421"/>
      <c r="U15" s="422"/>
      <c r="W15" s="192" t="s">
        <v>120</v>
      </c>
      <c r="X15" s="420">
        <f>IFERROR(VLOOKUP(AD15,اسماء,65,0),"")</f>
        <v>220170240914</v>
      </c>
      <c r="Y15" s="420" t="str">
        <f>IFERROR(VLOOKUP(AC20,اسماء,8,0),"")</f>
        <v/>
      </c>
      <c r="Z15" s="420" t="str">
        <f>IFERROR(VLOOKUP(AD20,اسماء,8,0),"")</f>
        <v/>
      </c>
      <c r="AA15" s="420" t="str">
        <f>IFERROR(VLOOKUP(AE20,اسماء,8,0),"")</f>
        <v/>
      </c>
      <c r="AB15" s="18"/>
      <c r="AC15" s="18"/>
      <c r="AD15" s="421" t="str">
        <f>INDEX(عمود2,MATCH(AF1,عمود1))</f>
        <v>ايلياء محمد عوض الحداد</v>
      </c>
      <c r="AE15" s="421"/>
      <c r="AF15" s="422"/>
      <c r="AH15" s="192" t="s">
        <v>120</v>
      </c>
      <c r="AI15" s="420" t="str">
        <f>IFERROR(VLOOKUP(AO15,اسماء,65,0),"")</f>
        <v/>
      </c>
      <c r="AJ15" s="420" t="str">
        <f>IFERROR(VLOOKUP(AN20,اسماء,8,0),"")</f>
        <v/>
      </c>
      <c r="AK15" s="420" t="str">
        <f>IFERROR(VLOOKUP(AO20,اسماء,8,0),"")</f>
        <v/>
      </c>
      <c r="AL15" s="420" t="str">
        <f>IFERROR(VLOOKUP(AP20,اسماء,8,0),"")</f>
        <v/>
      </c>
      <c r="AM15" s="18"/>
      <c r="AN15" s="18"/>
      <c r="AO15" s="421">
        <f>INDEX(عمود2,MATCH(AQ1,عمود1))</f>
        <v>0</v>
      </c>
      <c r="AP15" s="421"/>
      <c r="AQ15" s="422"/>
    </row>
    <row r="16" spans="1:43" ht="29.1" customHeight="1" x14ac:dyDescent="0.25">
      <c r="A16" s="444" t="s">
        <v>58</v>
      </c>
      <c r="B16" s="445"/>
      <c r="C16" s="432">
        <f>IFERROR(VLOOKUP(H15,اسماء,37,0),"")</f>
        <v>0</v>
      </c>
      <c r="D16" s="433"/>
      <c r="E16" s="432">
        <f>IFERROR(VLOOKUP(H15,اسماء,38,0),"")</f>
        <v>0</v>
      </c>
      <c r="F16" s="433"/>
      <c r="G16" s="18"/>
      <c r="H16" s="471" t="s">
        <v>90</v>
      </c>
      <c r="I16" s="471"/>
      <c r="J16" s="472"/>
      <c r="L16" s="444" t="s">
        <v>58</v>
      </c>
      <c r="M16" s="445"/>
      <c r="N16" s="432">
        <f>IFERROR(VLOOKUP(S15,اسماء,37,0),"")</f>
        <v>0</v>
      </c>
      <c r="O16" s="433"/>
      <c r="P16" s="432">
        <f>IFERROR(VLOOKUP(S15,اسماء,38,0),"")</f>
        <v>0</v>
      </c>
      <c r="Q16" s="433"/>
      <c r="R16" s="18"/>
      <c r="S16" s="471" t="s">
        <v>90</v>
      </c>
      <c r="T16" s="471"/>
      <c r="U16" s="472"/>
      <c r="W16" s="444" t="s">
        <v>58</v>
      </c>
      <c r="X16" s="445"/>
      <c r="Y16" s="432">
        <f>IFERROR(VLOOKUP(AD15,اسماء,37,0),"")</f>
        <v>0</v>
      </c>
      <c r="Z16" s="433"/>
      <c r="AA16" s="432">
        <f>IFERROR(VLOOKUP(AD15,اسماء,38,0),"")</f>
        <v>0</v>
      </c>
      <c r="AB16" s="433"/>
      <c r="AC16" s="18"/>
      <c r="AD16" s="471" t="s">
        <v>90</v>
      </c>
      <c r="AE16" s="471"/>
      <c r="AF16" s="472"/>
      <c r="AH16" s="444" t="s">
        <v>58</v>
      </c>
      <c r="AI16" s="445"/>
      <c r="AJ16" s="432" t="str">
        <f>IFERROR(VLOOKUP(AO15,اسماء,37,0),"")</f>
        <v/>
      </c>
      <c r="AK16" s="433"/>
      <c r="AL16" s="432" t="str">
        <f>IFERROR(VLOOKUP(AO15,اسماء,38,0),"")</f>
        <v/>
      </c>
      <c r="AM16" s="433"/>
      <c r="AN16" s="18"/>
      <c r="AO16" s="471" t="s">
        <v>90</v>
      </c>
      <c r="AP16" s="471"/>
      <c r="AQ16" s="472"/>
    </row>
    <row r="17" spans="1:43" ht="29.1" customHeight="1" x14ac:dyDescent="0.25">
      <c r="A17" s="434" t="s">
        <v>59</v>
      </c>
      <c r="B17" s="435"/>
      <c r="C17" s="436">
        <f>IFERROR(VLOOKUP(H15,اسماء,40,0),"")</f>
        <v>0</v>
      </c>
      <c r="D17" s="437"/>
      <c r="E17" s="436">
        <f>IFERROR(VLOOKUP(H15,اسماء,42,0),"")</f>
        <v>0</v>
      </c>
      <c r="F17" s="437"/>
      <c r="G17" s="18"/>
      <c r="H17" s="471"/>
      <c r="I17" s="471"/>
      <c r="J17" s="472"/>
      <c r="L17" s="434" t="s">
        <v>59</v>
      </c>
      <c r="M17" s="435"/>
      <c r="N17" s="436">
        <f>IFERROR(VLOOKUP(S15,اسماء,40,0),"")</f>
        <v>0</v>
      </c>
      <c r="O17" s="437"/>
      <c r="P17" s="436">
        <f>IFERROR(VLOOKUP(S15,اسماء,42,0),"")</f>
        <v>0</v>
      </c>
      <c r="Q17" s="437"/>
      <c r="R17" s="18"/>
      <c r="S17" s="471"/>
      <c r="T17" s="471"/>
      <c r="U17" s="472"/>
      <c r="W17" s="434" t="s">
        <v>59</v>
      </c>
      <c r="X17" s="435"/>
      <c r="Y17" s="436">
        <f>IFERROR(VLOOKUP(AD15,اسماء,40,0),"")</f>
        <v>0</v>
      </c>
      <c r="Z17" s="437"/>
      <c r="AA17" s="436">
        <f>IFERROR(VLOOKUP(AD15,اسماء,42,0),"")</f>
        <v>0</v>
      </c>
      <c r="AB17" s="437"/>
      <c r="AC17" s="18"/>
      <c r="AD17" s="471"/>
      <c r="AE17" s="471"/>
      <c r="AF17" s="472"/>
      <c r="AH17" s="434" t="s">
        <v>59</v>
      </c>
      <c r="AI17" s="435"/>
      <c r="AJ17" s="436" t="str">
        <f>IFERROR(VLOOKUP(AO15,اسماء,40,0),"")</f>
        <v/>
      </c>
      <c r="AK17" s="437"/>
      <c r="AL17" s="436" t="str">
        <f>IFERROR(VLOOKUP(AO15,اسماء,42,0),"")</f>
        <v/>
      </c>
      <c r="AM17" s="437"/>
      <c r="AN17" s="18"/>
      <c r="AO17" s="471"/>
      <c r="AP17" s="471"/>
      <c r="AQ17" s="472"/>
    </row>
    <row r="18" spans="1:43" ht="29.1" customHeight="1" thickBot="1" x14ac:dyDescent="0.3">
      <c r="A18" s="438" t="s">
        <v>60</v>
      </c>
      <c r="B18" s="439"/>
      <c r="C18" s="440">
        <f>IFERROR(VLOOKUP(H15,اسماء,41,0),"")</f>
        <v>0</v>
      </c>
      <c r="D18" s="441"/>
      <c r="E18" s="440">
        <f>IFERROR(VLOOKUP(H15,اسماء,43,0),"")</f>
        <v>0</v>
      </c>
      <c r="F18" s="441"/>
      <c r="G18" s="18"/>
      <c r="H18" s="473"/>
      <c r="I18" s="473"/>
      <c r="J18" s="474"/>
      <c r="L18" s="438" t="s">
        <v>60</v>
      </c>
      <c r="M18" s="439"/>
      <c r="N18" s="440">
        <f>IFERROR(VLOOKUP(S15,اسماء,41,0),"")</f>
        <v>0</v>
      </c>
      <c r="O18" s="441"/>
      <c r="P18" s="440">
        <f>IFERROR(VLOOKUP(S15,اسماء,43,0),"")</f>
        <v>0</v>
      </c>
      <c r="Q18" s="441"/>
      <c r="R18" s="18"/>
      <c r="S18" s="473"/>
      <c r="T18" s="473"/>
      <c r="U18" s="474"/>
      <c r="W18" s="438" t="s">
        <v>60</v>
      </c>
      <c r="X18" s="439"/>
      <c r="Y18" s="440">
        <f>IFERROR(VLOOKUP(AD15,اسماء,41,0),"")</f>
        <v>0</v>
      </c>
      <c r="Z18" s="441"/>
      <c r="AA18" s="440">
        <f>IFERROR(VLOOKUP(AD15,اسماء,43,0),"")</f>
        <v>0</v>
      </c>
      <c r="AB18" s="441"/>
      <c r="AC18" s="18"/>
      <c r="AD18" s="473"/>
      <c r="AE18" s="473"/>
      <c r="AF18" s="474"/>
      <c r="AH18" s="438" t="s">
        <v>60</v>
      </c>
      <c r="AI18" s="439"/>
      <c r="AJ18" s="440" t="str">
        <f>IFERROR(VLOOKUP(AO15,اسماء,41,0),"")</f>
        <v/>
      </c>
      <c r="AK18" s="441"/>
      <c r="AL18" s="440" t="str">
        <f>IFERROR(VLOOKUP(AO15,اسماء,43,0),"")</f>
        <v/>
      </c>
      <c r="AM18" s="441"/>
      <c r="AN18" s="18"/>
      <c r="AO18" s="473"/>
      <c r="AP18" s="473"/>
      <c r="AQ18" s="474"/>
    </row>
    <row r="19" spans="1:43" ht="29.1" customHeight="1" thickBot="1" x14ac:dyDescent="0.3">
      <c r="A19" s="287"/>
      <c r="B19" s="18"/>
      <c r="C19" s="18"/>
      <c r="D19" s="18"/>
      <c r="E19" s="18"/>
      <c r="F19" s="18"/>
      <c r="G19" s="18"/>
      <c r="H19" s="18"/>
      <c r="I19" s="18"/>
      <c r="J19" s="288"/>
      <c r="L19" s="289"/>
      <c r="M19" s="18"/>
      <c r="N19" s="18"/>
      <c r="O19" s="18"/>
      <c r="P19" s="18"/>
      <c r="Q19" s="18"/>
      <c r="R19" s="18"/>
      <c r="S19" s="18"/>
      <c r="T19" s="18"/>
      <c r="U19" s="288"/>
      <c r="W19" s="289"/>
      <c r="X19" s="18"/>
      <c r="Y19" s="18"/>
      <c r="Z19" s="18"/>
      <c r="AA19" s="18"/>
      <c r="AB19" s="18"/>
      <c r="AC19" s="18"/>
      <c r="AD19" s="18"/>
      <c r="AE19" s="18"/>
      <c r="AF19" s="288"/>
      <c r="AH19" s="289"/>
      <c r="AI19" s="18"/>
      <c r="AJ19" s="18"/>
      <c r="AK19" s="18"/>
      <c r="AL19" s="18"/>
      <c r="AM19" s="18"/>
      <c r="AN19" s="18"/>
      <c r="AO19" s="18"/>
      <c r="AP19" s="18"/>
      <c r="AQ19" s="288"/>
    </row>
    <row r="20" spans="1:43" ht="29.1" customHeight="1" x14ac:dyDescent="0.25">
      <c r="A20" s="32" t="s">
        <v>14</v>
      </c>
      <c r="B20" s="480" t="s">
        <v>61</v>
      </c>
      <c r="C20" s="480"/>
      <c r="D20" s="481" t="s">
        <v>62</v>
      </c>
      <c r="E20" s="482"/>
      <c r="F20" s="482"/>
      <c r="G20" s="483"/>
      <c r="H20" s="432" t="s">
        <v>85</v>
      </c>
      <c r="I20" s="479"/>
      <c r="J20" s="290"/>
      <c r="L20" s="116" t="s">
        <v>14</v>
      </c>
      <c r="M20" s="480" t="s">
        <v>61</v>
      </c>
      <c r="N20" s="480"/>
      <c r="O20" s="481" t="s">
        <v>62</v>
      </c>
      <c r="P20" s="482"/>
      <c r="Q20" s="482"/>
      <c r="R20" s="483"/>
      <c r="S20" s="432" t="s">
        <v>85</v>
      </c>
      <c r="T20" s="479"/>
      <c r="U20" s="290"/>
      <c r="W20" s="116" t="s">
        <v>14</v>
      </c>
      <c r="X20" s="480" t="s">
        <v>61</v>
      </c>
      <c r="Y20" s="480"/>
      <c r="Z20" s="481" t="s">
        <v>62</v>
      </c>
      <c r="AA20" s="482"/>
      <c r="AB20" s="482"/>
      <c r="AC20" s="483"/>
      <c r="AD20" s="432" t="s">
        <v>85</v>
      </c>
      <c r="AE20" s="479"/>
      <c r="AF20" s="290"/>
      <c r="AH20" s="116" t="s">
        <v>14</v>
      </c>
      <c r="AI20" s="480" t="s">
        <v>61</v>
      </c>
      <c r="AJ20" s="480"/>
      <c r="AK20" s="481" t="s">
        <v>62</v>
      </c>
      <c r="AL20" s="482"/>
      <c r="AM20" s="482"/>
      <c r="AN20" s="483"/>
      <c r="AO20" s="432" t="s">
        <v>85</v>
      </c>
      <c r="AP20" s="479"/>
      <c r="AQ20" s="290"/>
    </row>
    <row r="21" spans="1:43" ht="29.1" customHeight="1" x14ac:dyDescent="0.25">
      <c r="A21" s="59" t="s">
        <v>64</v>
      </c>
      <c r="B21" s="435"/>
      <c r="C21" s="435"/>
      <c r="D21" s="436"/>
      <c r="E21" s="442"/>
      <c r="F21" s="442"/>
      <c r="G21" s="437"/>
      <c r="H21" s="436"/>
      <c r="I21" s="443"/>
      <c r="J21" s="284"/>
      <c r="L21" s="115" t="s">
        <v>64</v>
      </c>
      <c r="M21" s="435"/>
      <c r="N21" s="435"/>
      <c r="O21" s="436"/>
      <c r="P21" s="442"/>
      <c r="Q21" s="442"/>
      <c r="R21" s="437"/>
      <c r="S21" s="436"/>
      <c r="T21" s="443"/>
      <c r="U21" s="284"/>
      <c r="W21" s="115" t="s">
        <v>64</v>
      </c>
      <c r="X21" s="435"/>
      <c r="Y21" s="435"/>
      <c r="Z21" s="436"/>
      <c r="AA21" s="442"/>
      <c r="AB21" s="442"/>
      <c r="AC21" s="437"/>
      <c r="AD21" s="436"/>
      <c r="AE21" s="443"/>
      <c r="AF21" s="284"/>
      <c r="AH21" s="115" t="s">
        <v>64</v>
      </c>
      <c r="AI21" s="435"/>
      <c r="AJ21" s="435"/>
      <c r="AK21" s="436"/>
      <c r="AL21" s="442"/>
      <c r="AM21" s="442"/>
      <c r="AN21" s="437"/>
      <c r="AO21" s="436"/>
      <c r="AP21" s="443"/>
      <c r="AQ21" s="284"/>
    </row>
    <row r="22" spans="1:43" ht="29.1" customHeight="1" thickBot="1" x14ac:dyDescent="0.3">
      <c r="A22" s="60" t="s">
        <v>66</v>
      </c>
      <c r="B22" s="427"/>
      <c r="C22" s="427"/>
      <c r="D22" s="428"/>
      <c r="E22" s="429"/>
      <c r="F22" s="429"/>
      <c r="G22" s="430"/>
      <c r="H22" s="428"/>
      <c r="I22" s="431"/>
      <c r="J22" s="291"/>
      <c r="L22" s="117" t="s">
        <v>66</v>
      </c>
      <c r="M22" s="427"/>
      <c r="N22" s="427"/>
      <c r="O22" s="428"/>
      <c r="P22" s="429"/>
      <c r="Q22" s="429"/>
      <c r="R22" s="430"/>
      <c r="S22" s="428"/>
      <c r="T22" s="431"/>
      <c r="U22" s="291"/>
      <c r="W22" s="117" t="s">
        <v>66</v>
      </c>
      <c r="X22" s="427"/>
      <c r="Y22" s="427"/>
      <c r="Z22" s="428"/>
      <c r="AA22" s="429"/>
      <c r="AB22" s="429"/>
      <c r="AC22" s="430"/>
      <c r="AD22" s="428"/>
      <c r="AE22" s="431"/>
      <c r="AF22" s="291"/>
      <c r="AH22" s="117" t="s">
        <v>66</v>
      </c>
      <c r="AI22" s="427"/>
      <c r="AJ22" s="427"/>
      <c r="AK22" s="428"/>
      <c r="AL22" s="429"/>
      <c r="AM22" s="429"/>
      <c r="AN22" s="430"/>
      <c r="AO22" s="428"/>
      <c r="AP22" s="431"/>
      <c r="AQ22" s="291"/>
    </row>
    <row r="23" spans="1:43" ht="16.5" customHeight="1" thickTop="1" thickBot="1" x14ac:dyDescent="0.3"/>
    <row r="24" spans="1:43" s="82" customFormat="1" ht="29.1" customHeight="1" thickTop="1" x14ac:dyDescent="0.25">
      <c r="A24" s="477" t="s">
        <v>80</v>
      </c>
      <c r="B24" s="478"/>
      <c r="C24" s="478"/>
      <c r="D24" s="466" t="str">
        <f>ادخال1!$L$4</f>
        <v>الثالث</v>
      </c>
      <c r="E24" s="466"/>
      <c r="F24" s="272" t="s">
        <v>81</v>
      </c>
      <c r="G24" s="272"/>
      <c r="H24" s="272"/>
      <c r="I24" s="272"/>
      <c r="J24" s="81">
        <f>J1+1</f>
        <v>5</v>
      </c>
      <c r="L24" s="477" t="s">
        <v>80</v>
      </c>
      <c r="M24" s="478"/>
      <c r="N24" s="478"/>
      <c r="O24" s="466" t="str">
        <f>ادخال1!$L$4</f>
        <v>الثالث</v>
      </c>
      <c r="P24" s="466"/>
      <c r="Q24" s="272" t="s">
        <v>81</v>
      </c>
      <c r="R24" s="272"/>
      <c r="S24" s="272"/>
      <c r="T24" s="272"/>
      <c r="U24" s="81">
        <f>U1+1</f>
        <v>10</v>
      </c>
      <c r="W24" s="477" t="s">
        <v>80</v>
      </c>
      <c r="X24" s="478"/>
      <c r="Y24" s="478"/>
      <c r="Z24" s="466" t="str">
        <f>ادخال1!$L$4</f>
        <v>الثالث</v>
      </c>
      <c r="AA24" s="466"/>
      <c r="AB24" s="272" t="s">
        <v>81</v>
      </c>
      <c r="AC24" s="272"/>
      <c r="AD24" s="272"/>
      <c r="AE24" s="272"/>
      <c r="AF24" s="81">
        <f>AF1+1</f>
        <v>15</v>
      </c>
      <c r="AH24" s="477" t="s">
        <v>80</v>
      </c>
      <c r="AI24" s="478"/>
      <c r="AJ24" s="478"/>
      <c r="AK24" s="466" t="str">
        <f>ادخال1!$L$4</f>
        <v>الثالث</v>
      </c>
      <c r="AL24" s="466"/>
      <c r="AM24" s="272" t="s">
        <v>81</v>
      </c>
      <c r="AN24" s="272"/>
      <c r="AO24" s="272"/>
      <c r="AP24" s="272"/>
      <c r="AQ24" s="81">
        <f>AQ1+1</f>
        <v>20</v>
      </c>
    </row>
    <row r="25" spans="1:43" ht="29.1" customHeight="1" thickBot="1" x14ac:dyDescent="0.3">
      <c r="A25" s="1" t="s">
        <v>153</v>
      </c>
      <c r="B25" s="455" t="str">
        <f>ادخال1!$B$5</f>
        <v>سهول العلم للتعليم الخاص</v>
      </c>
      <c r="C25" s="455"/>
      <c r="D25" s="455"/>
      <c r="E25" s="455"/>
      <c r="F25" s="274" t="s">
        <v>9</v>
      </c>
      <c r="G25" s="453">
        <f>H36</f>
        <v>0</v>
      </c>
      <c r="H25" s="453"/>
      <c r="I25" s="453"/>
      <c r="J25" s="454"/>
      <c r="L25" s="1" t="s">
        <v>153</v>
      </c>
      <c r="M25" s="455" t="str">
        <f>ادخال1!$B$5</f>
        <v>سهول العلم للتعليم الخاص</v>
      </c>
      <c r="N25" s="455"/>
      <c r="O25" s="455"/>
      <c r="P25" s="455"/>
      <c r="Q25" s="274" t="s">
        <v>9</v>
      </c>
      <c r="R25" s="453">
        <f>S36</f>
        <v>0</v>
      </c>
      <c r="S25" s="453"/>
      <c r="T25" s="453"/>
      <c r="U25" s="454"/>
      <c r="W25" s="1" t="s">
        <v>153</v>
      </c>
      <c r="X25" s="455" t="str">
        <f>ادخال1!$B$5</f>
        <v>سهول العلم للتعليم الخاص</v>
      </c>
      <c r="Y25" s="455"/>
      <c r="Z25" s="455"/>
      <c r="AA25" s="455"/>
      <c r="AB25" s="274" t="s">
        <v>9</v>
      </c>
      <c r="AC25" s="453">
        <f>AD36</f>
        <v>0</v>
      </c>
      <c r="AD25" s="453"/>
      <c r="AE25" s="453"/>
      <c r="AF25" s="454"/>
      <c r="AH25" s="1" t="s">
        <v>153</v>
      </c>
      <c r="AI25" s="455" t="str">
        <f>ادخال1!$B$5</f>
        <v>سهول العلم للتعليم الخاص</v>
      </c>
      <c r="AJ25" s="455"/>
      <c r="AK25" s="455"/>
      <c r="AL25" s="455"/>
      <c r="AM25" s="274" t="s">
        <v>9</v>
      </c>
      <c r="AN25" s="453">
        <f>AO36</f>
        <v>0</v>
      </c>
      <c r="AO25" s="453"/>
      <c r="AP25" s="453"/>
      <c r="AQ25" s="454"/>
    </row>
    <row r="26" spans="1:43" ht="29.1" customHeight="1" thickBot="1" x14ac:dyDescent="0.3">
      <c r="A26" s="262" t="s">
        <v>45</v>
      </c>
      <c r="B26" s="457" t="s">
        <v>12</v>
      </c>
      <c r="C26" s="459" t="s">
        <v>46</v>
      </c>
      <c r="D26" s="460"/>
      <c r="E26" s="461" t="s">
        <v>47</v>
      </c>
      <c r="F26" s="460"/>
      <c r="G26" s="26"/>
      <c r="H26" s="462" t="s">
        <v>50</v>
      </c>
      <c r="I26" s="463"/>
      <c r="J26" s="464"/>
      <c r="L26" s="262" t="s">
        <v>45</v>
      </c>
      <c r="M26" s="457" t="s">
        <v>12</v>
      </c>
      <c r="N26" s="459" t="s">
        <v>46</v>
      </c>
      <c r="O26" s="460"/>
      <c r="P26" s="461" t="s">
        <v>47</v>
      </c>
      <c r="Q26" s="460"/>
      <c r="R26" s="26"/>
      <c r="S26" s="462" t="s">
        <v>50</v>
      </c>
      <c r="T26" s="463"/>
      <c r="U26" s="464"/>
      <c r="W26" s="262" t="s">
        <v>45</v>
      </c>
      <c r="X26" s="457" t="s">
        <v>12</v>
      </c>
      <c r="Y26" s="459" t="s">
        <v>46</v>
      </c>
      <c r="Z26" s="460"/>
      <c r="AA26" s="461" t="s">
        <v>47</v>
      </c>
      <c r="AB26" s="460"/>
      <c r="AC26" s="26"/>
      <c r="AD26" s="462" t="s">
        <v>50</v>
      </c>
      <c r="AE26" s="463"/>
      <c r="AF26" s="464"/>
      <c r="AH26" s="262" t="s">
        <v>45</v>
      </c>
      <c r="AI26" s="457" t="s">
        <v>12</v>
      </c>
      <c r="AJ26" s="459" t="s">
        <v>46</v>
      </c>
      <c r="AK26" s="460"/>
      <c r="AL26" s="461" t="s">
        <v>47</v>
      </c>
      <c r="AM26" s="460"/>
      <c r="AN26" s="26"/>
      <c r="AO26" s="462" t="s">
        <v>50</v>
      </c>
      <c r="AP26" s="463"/>
      <c r="AQ26" s="464"/>
    </row>
    <row r="27" spans="1:43" ht="29.1" customHeight="1" thickBot="1" x14ac:dyDescent="0.3">
      <c r="A27" s="263" t="s">
        <v>2</v>
      </c>
      <c r="B27" s="458"/>
      <c r="C27" s="39" t="s">
        <v>51</v>
      </c>
      <c r="D27" s="28" t="s">
        <v>52</v>
      </c>
      <c r="E27" s="40" t="s">
        <v>51</v>
      </c>
      <c r="F27" s="28" t="s">
        <v>52</v>
      </c>
      <c r="G27" s="10"/>
      <c r="H27" s="283" t="s">
        <v>55</v>
      </c>
      <c r="I27" s="450" t="str">
        <f>IF(D33=0,"",IF(AND(D28&gt;=C28*0.4,D29&gt;=C29*0.4,D30&gt;=C30*0.4,D31&gt;=C31*0.4,D32&gt;=C32*0.4),LOOKUP(D33,'النتيجة النهائية'!$AC$6:$AD$10),"ضعيف ويحتاج الى اهتمام في المواد"))</f>
        <v>ضعيف</v>
      </c>
      <c r="J27" s="451"/>
      <c r="L27" s="263" t="s">
        <v>2</v>
      </c>
      <c r="M27" s="458"/>
      <c r="N27" s="39" t="s">
        <v>51</v>
      </c>
      <c r="O27" s="28" t="s">
        <v>52</v>
      </c>
      <c r="P27" s="40" t="s">
        <v>51</v>
      </c>
      <c r="Q27" s="28" t="s">
        <v>52</v>
      </c>
      <c r="R27" s="10"/>
      <c r="S27" s="283" t="s">
        <v>55</v>
      </c>
      <c r="T27" s="450" t="str">
        <f>IF(O33=0,"",IF(AND(O28&gt;=N28*0.4,O29&gt;=N29*0.4,O30&gt;=N30*0.4,O31&gt;=N31*0.4,O32&gt;=N32*0.4),LOOKUP(O33,'النتيجة النهائية'!$AC$6:$AD$10),"ضعيف ويحتاج الى اهتمام في المواد"))</f>
        <v>ضعيف</v>
      </c>
      <c r="U27" s="451"/>
      <c r="W27" s="263" t="s">
        <v>2</v>
      </c>
      <c r="X27" s="458"/>
      <c r="Y27" s="39" t="s">
        <v>51</v>
      </c>
      <c r="Z27" s="28" t="s">
        <v>52</v>
      </c>
      <c r="AA27" s="40" t="s">
        <v>51</v>
      </c>
      <c r="AB27" s="28" t="s">
        <v>52</v>
      </c>
      <c r="AC27" s="10"/>
      <c r="AD27" s="283" t="s">
        <v>55</v>
      </c>
      <c r="AE27" s="450" t="str">
        <f>IF(Z33=0,"",IF(AND(Z28&gt;=Y28*0.4,Z29&gt;=Y29*0.4,Z30&gt;=Y30*0.4,Z31&gt;=Y31*0.4,Z32&gt;=Y32*0.4),LOOKUP(Z33,'النتيجة النهائية'!$AC$6:$AD$10),"ضعيف ويحتاج الى اهتمام في المواد"))</f>
        <v>ضعيف</v>
      </c>
      <c r="AF27" s="451"/>
      <c r="AH27" s="263" t="s">
        <v>2</v>
      </c>
      <c r="AI27" s="458"/>
      <c r="AJ27" s="39" t="s">
        <v>51</v>
      </c>
      <c r="AK27" s="28" t="s">
        <v>52</v>
      </c>
      <c r="AL27" s="40" t="s">
        <v>51</v>
      </c>
      <c r="AM27" s="28" t="s">
        <v>52</v>
      </c>
      <c r="AN27" s="10"/>
      <c r="AO27" s="283" t="s">
        <v>55</v>
      </c>
      <c r="AP27" s="450" t="e">
        <f>IF(AK33=0,"",IF(AND(AK28&gt;=AJ28*0.4,AK29&gt;=AJ29*0.4,AK30&gt;=AJ30*0.4,AK31&gt;=AJ31*0.4,AK32&gt;=AJ32*0.4),LOOKUP(AK33,'النتيجة النهائية'!$AC$6:$AD$10),"ضعيف ويحتاج الى اهتمام في المواد"))</f>
        <v>#N/A</v>
      </c>
      <c r="AQ27" s="451"/>
    </row>
    <row r="28" spans="1:43" ht="29.1" customHeight="1" x14ac:dyDescent="0.25">
      <c r="A28" s="261" t="str">
        <f>ادخال1!$F$9</f>
        <v>التربية الإسلامية</v>
      </c>
      <c r="B28" s="46">
        <f>ادخال1!$F$7</f>
        <v>3</v>
      </c>
      <c r="C28" s="41">
        <f t="shared" ref="C28:C29" si="8">40*B28*0.3</f>
        <v>36</v>
      </c>
      <c r="D28" s="2">
        <f xml:space="preserve"> IFERROR(VLOOKUP(H38,اسماء,5,0),"")</f>
        <v>35</v>
      </c>
      <c r="E28" s="43">
        <f t="shared" ref="E28:E29" si="9">40*B28*0.3</f>
        <v>36</v>
      </c>
      <c r="F28" s="2">
        <f>IFERROR(VLOOKUP(H38,اسماء,16,0),"")</f>
        <v>0</v>
      </c>
      <c r="G28" s="18"/>
      <c r="H28" s="27" t="str">
        <f>IF(D28=0,"",IF(D28&lt;C28*0.4,A28,""))</f>
        <v/>
      </c>
      <c r="I28" s="29" t="str">
        <f>IF(D29=0,"",IF(D29&lt;C29*0.4,A29,""))</f>
        <v/>
      </c>
      <c r="J28" s="28" t="str">
        <f>IF(D30=0,"",IF(D30&lt;C30*0.4,A30,""))</f>
        <v/>
      </c>
      <c r="L28" s="261" t="str">
        <f>ادخال1!$F$9</f>
        <v>التربية الإسلامية</v>
      </c>
      <c r="M28" s="46">
        <f>ادخال1!$F$7</f>
        <v>3</v>
      </c>
      <c r="N28" s="41">
        <f t="shared" ref="N28:N29" si="10">40*M28*0.3</f>
        <v>36</v>
      </c>
      <c r="O28" s="2">
        <f xml:space="preserve"> IFERROR(VLOOKUP(S38,اسماء,5,0),"")</f>
        <v>36</v>
      </c>
      <c r="P28" s="43">
        <f t="shared" ref="P28:P29" si="11">40*M28*0.3</f>
        <v>36</v>
      </c>
      <c r="Q28" s="2">
        <f>IFERROR(VLOOKUP(S38,اسماء,16,0),"")</f>
        <v>0</v>
      </c>
      <c r="R28" s="18"/>
      <c r="S28" s="27" t="str">
        <f>IF(O28=0,"",IF(O28&lt;N28*0.4,L28,""))</f>
        <v/>
      </c>
      <c r="T28" s="29" t="str">
        <f>IF(O29=0,"",IF(O29&lt;N29*0.4,L29,""))</f>
        <v/>
      </c>
      <c r="U28" s="28" t="str">
        <f>IF(O30=0,"",IF(O30&lt;N30*0.4,L30,""))</f>
        <v/>
      </c>
      <c r="W28" s="261" t="str">
        <f>ادخال1!$F$9</f>
        <v>التربية الإسلامية</v>
      </c>
      <c r="X28" s="46">
        <f>ادخال1!$F$7</f>
        <v>3</v>
      </c>
      <c r="Y28" s="41">
        <f t="shared" ref="Y28:Y29" si="12">40*X28*0.3</f>
        <v>36</v>
      </c>
      <c r="Z28" s="2">
        <f xml:space="preserve"> IFERROR(VLOOKUP(AD38,اسماء,5,0),"")</f>
        <v>36</v>
      </c>
      <c r="AA28" s="43">
        <f t="shared" ref="AA28:AA29" si="13">40*X28*0.3</f>
        <v>36</v>
      </c>
      <c r="AB28" s="2">
        <f>IFERROR(VLOOKUP(AD38,اسماء,16,0),"")</f>
        <v>0</v>
      </c>
      <c r="AC28" s="18"/>
      <c r="AD28" s="27" t="str">
        <f>IF(Z28=0,"",IF(Z28&lt;Y28*0.4,W28,""))</f>
        <v/>
      </c>
      <c r="AE28" s="29" t="str">
        <f>IF(Z29=0,"",IF(Z29&lt;Y29*0.4,W29,""))</f>
        <v/>
      </c>
      <c r="AF28" s="28" t="str">
        <f>IF(Z30=0,"",IF(Z30&lt;Y30*0.4,W30,""))</f>
        <v/>
      </c>
      <c r="AH28" s="261" t="str">
        <f>ادخال1!$F$9</f>
        <v>التربية الإسلامية</v>
      </c>
      <c r="AI28" s="46">
        <f>ادخال1!$F$7</f>
        <v>3</v>
      </c>
      <c r="AJ28" s="41">
        <f t="shared" ref="AJ28:AJ29" si="14">40*AI28*0.3</f>
        <v>36</v>
      </c>
      <c r="AK28" s="2" t="str">
        <f xml:space="preserve"> IFERROR(VLOOKUP(AO38,اسماء,5,0),"")</f>
        <v/>
      </c>
      <c r="AL28" s="43">
        <f t="shared" ref="AL28:AL29" si="15">40*AI28*0.3</f>
        <v>36</v>
      </c>
      <c r="AM28" s="2" t="str">
        <f>IFERROR(VLOOKUP(AO38,اسماء,16,0),"")</f>
        <v/>
      </c>
      <c r="AN28" s="18"/>
      <c r="AO28" s="27" t="str">
        <f>IF(AK28=0,"",IF(AK28&lt;AJ28*0.4,AH28,""))</f>
        <v/>
      </c>
      <c r="AP28" s="29" t="str">
        <f>IF(AK29=0,"",IF(AK29&lt;AJ29*0.4,AH29,""))</f>
        <v/>
      </c>
      <c r="AQ28" s="28" t="str">
        <f>IF(AK30=0,"",IF(AK30&lt;AJ30*0.4,AH30,""))</f>
        <v/>
      </c>
    </row>
    <row r="29" spans="1:43" ht="29.1" customHeight="1" thickBot="1" x14ac:dyDescent="0.3">
      <c r="A29" s="56" t="str">
        <f>ادخال1!$G$9</f>
        <v>اللغة العربية</v>
      </c>
      <c r="B29" s="47">
        <f>ادخال1!$G$7</f>
        <v>6</v>
      </c>
      <c r="C29" s="41">
        <f t="shared" si="8"/>
        <v>72</v>
      </c>
      <c r="D29" s="2">
        <f>IFERROR(VLOOKUP(H38,اسماء,6,0),"")</f>
        <v>64</v>
      </c>
      <c r="E29" s="43">
        <f t="shared" si="9"/>
        <v>72</v>
      </c>
      <c r="F29" s="2">
        <f>IFERROR(VLOOKUP(H38,اسماء,17,0),"")</f>
        <v>0</v>
      </c>
      <c r="G29" s="18"/>
      <c r="H29" s="118" t="str">
        <f>IF(D32=0,"",IF(D32&lt;C32*0.4,A32,""))</f>
        <v/>
      </c>
      <c r="I29" s="282" t="str">
        <f>IF(D33=0,"",IF(D33&lt;C33*0.4,A33,""))</f>
        <v/>
      </c>
      <c r="J29" s="282" t="str">
        <f>IF(D31=0,"",IF(D31&lt;C31*0.4,A31,""))</f>
        <v/>
      </c>
      <c r="L29" s="56" t="str">
        <f>ادخال1!$G$9</f>
        <v>اللغة العربية</v>
      </c>
      <c r="M29" s="47">
        <f>ادخال1!$G$7</f>
        <v>6</v>
      </c>
      <c r="N29" s="41">
        <f t="shared" si="10"/>
        <v>72</v>
      </c>
      <c r="O29" s="2">
        <f>IFERROR(VLOOKUP(S38,اسماء,6,0),"")</f>
        <v>71</v>
      </c>
      <c r="P29" s="43">
        <f t="shared" si="11"/>
        <v>72</v>
      </c>
      <c r="Q29" s="2">
        <f>IFERROR(VLOOKUP(S38,اسماء,17,0),"")</f>
        <v>0</v>
      </c>
      <c r="R29" s="18"/>
      <c r="S29" s="118" t="str">
        <f>IF(O32=0,"",IF(O32&lt;N32*0.4,L32,""))</f>
        <v/>
      </c>
      <c r="T29" s="282" t="str">
        <f>IF(O33=0,"",IF(O33&lt;N33*0.4,L33,""))</f>
        <v/>
      </c>
      <c r="U29" s="282" t="str">
        <f>IF(O31=0,"",IF(O31&lt;N31*0.4,L31,""))</f>
        <v/>
      </c>
      <c r="W29" s="56" t="str">
        <f>ادخال1!$G$9</f>
        <v>اللغة العربية</v>
      </c>
      <c r="X29" s="47">
        <f>ادخال1!$G$7</f>
        <v>6</v>
      </c>
      <c r="Y29" s="41">
        <f t="shared" si="12"/>
        <v>72</v>
      </c>
      <c r="Z29" s="2">
        <f>IFERROR(VLOOKUP(AD38,اسماء,6,0),"")</f>
        <v>68</v>
      </c>
      <c r="AA29" s="43">
        <f t="shared" si="13"/>
        <v>72</v>
      </c>
      <c r="AB29" s="2">
        <f>IFERROR(VLOOKUP(AD38,اسماء,17,0),"")</f>
        <v>0</v>
      </c>
      <c r="AC29" s="18"/>
      <c r="AD29" s="118" t="str">
        <f>IF(Z32=0,"",IF(Z32&lt;Y32*0.4,W32,""))</f>
        <v/>
      </c>
      <c r="AE29" s="282" t="str">
        <f>IF(Z33=0,"",IF(Z33&lt;Y33*0.4,W33,""))</f>
        <v/>
      </c>
      <c r="AF29" s="282" t="str">
        <f>IF(Z31=0,"",IF(Z31&lt;Y31*0.4,W31,""))</f>
        <v/>
      </c>
      <c r="AH29" s="56" t="str">
        <f>ادخال1!$G$9</f>
        <v>اللغة العربية</v>
      </c>
      <c r="AI29" s="47">
        <f>ادخال1!$G$7</f>
        <v>6</v>
      </c>
      <c r="AJ29" s="41">
        <f t="shared" si="14"/>
        <v>72</v>
      </c>
      <c r="AK29" s="2" t="str">
        <f>IFERROR(VLOOKUP(AO38,اسماء,6,0),"")</f>
        <v/>
      </c>
      <c r="AL29" s="43">
        <f t="shared" si="15"/>
        <v>72</v>
      </c>
      <c r="AM29" s="2" t="str">
        <f>IFERROR(VLOOKUP(AO38,اسماء,17,0),"")</f>
        <v/>
      </c>
      <c r="AN29" s="18"/>
      <c r="AO29" s="118" t="str">
        <f>IF(AK32=0,"",IF(AK32&lt;AJ32*0.4,AH32,""))</f>
        <v/>
      </c>
      <c r="AP29" s="282" t="str">
        <f>IF(AK33=0,"",IF(AK33&lt;AJ33*0.4,AH33,""))</f>
        <v/>
      </c>
      <c r="AQ29" s="282" t="str">
        <f>IF(AK31=0,"",IF(AK31&lt;AJ31*0.4,AH31,""))</f>
        <v/>
      </c>
    </row>
    <row r="30" spans="1:43" ht="29.1" customHeight="1" x14ac:dyDescent="0.25">
      <c r="A30" s="133" t="str">
        <f>ادخال1!$H$9</f>
        <v>اللغة الإنجليزية</v>
      </c>
      <c r="B30" s="47">
        <f>ادخال1!$H$7</f>
        <v>3</v>
      </c>
      <c r="C30" s="41">
        <f>40*B30*0.3</f>
        <v>36</v>
      </c>
      <c r="D30" s="2">
        <f>IFERROR(VLOOKUP(H38,اسماء,7,0),"")</f>
        <v>31</v>
      </c>
      <c r="E30" s="43">
        <f>40*B30*0.3</f>
        <v>36</v>
      </c>
      <c r="F30" s="2">
        <f>IFERROR(VLOOKUP(H38,اسماء,18,0),"")</f>
        <v>0</v>
      </c>
      <c r="G30" s="18"/>
      <c r="H30" s="467" t="s">
        <v>158</v>
      </c>
      <c r="I30" s="423" t="str">
        <f>IF(F34=0,"",IF(AND(F28&gt;=E28*0.4,F29&gt;=E29*0.4,F30&gt;=E30*0.4,F32&gt;=E32*0.4,F33&gt;=E33*0.4),LOOKUP(F34,'النتيجة النهائية'!$AC$6:$AD$10),"ضعيف ويحتاج الى اهتمام في المواد"))</f>
        <v/>
      </c>
      <c r="J30" s="424"/>
      <c r="L30" s="133" t="str">
        <f>ادخال1!$H$9</f>
        <v>اللغة الإنجليزية</v>
      </c>
      <c r="M30" s="47">
        <f>ادخال1!$H$7</f>
        <v>3</v>
      </c>
      <c r="N30" s="41">
        <f>40*M30*0.3</f>
        <v>36</v>
      </c>
      <c r="O30" s="2">
        <f>IFERROR(VLOOKUP(S38,اسماء,7,0),"")</f>
        <v>36</v>
      </c>
      <c r="P30" s="43">
        <f>40*M30*0.3</f>
        <v>36</v>
      </c>
      <c r="Q30" s="2">
        <f>IFERROR(VLOOKUP(S38,اسماء,18,0),"")</f>
        <v>0</v>
      </c>
      <c r="R30" s="18"/>
      <c r="S30" s="467" t="s">
        <v>158</v>
      </c>
      <c r="T30" s="423" t="str">
        <f>IF(Q34=0,"",IF(AND(Q28&gt;=P28*0.4,Q29&gt;=P29*0.4,Q30&gt;=P30*0.4,Q32&gt;=P32*0.4,Q33&gt;=P33*0.4),LOOKUP(Q34,'النتيجة النهائية'!$AC$6:$AD$10),"ضعيف ويحتاج الى اهتمام في المواد"))</f>
        <v/>
      </c>
      <c r="U30" s="424"/>
      <c r="W30" s="133" t="str">
        <f>ادخال1!$H$9</f>
        <v>اللغة الإنجليزية</v>
      </c>
      <c r="X30" s="47">
        <f>ادخال1!$H$7</f>
        <v>3</v>
      </c>
      <c r="Y30" s="41">
        <f>40*X30*0.3</f>
        <v>36</v>
      </c>
      <c r="Z30" s="2">
        <f>IFERROR(VLOOKUP(AD38,اسماء,7,0),"")</f>
        <v>31</v>
      </c>
      <c r="AA30" s="43">
        <f>40*X30*0.3</f>
        <v>36</v>
      </c>
      <c r="AB30" s="2">
        <f>IFERROR(VLOOKUP(AD38,اسماء,18,0),"")</f>
        <v>0</v>
      </c>
      <c r="AC30" s="18"/>
      <c r="AD30" s="467" t="s">
        <v>158</v>
      </c>
      <c r="AE30" s="423" t="str">
        <f>IF(AB34=0,"",IF(AND(AB28&gt;=AA28*0.4,AB29&gt;=AA29*0.4,AB30&gt;=AA30*0.4,AB32&gt;=AA32*0.4,AB33&gt;=AA33*0.4),LOOKUP(AB34,'النتيجة النهائية'!$AC$6:$AD$10),"ضعيف ويحتاج الى اهتمام في المواد"))</f>
        <v/>
      </c>
      <c r="AF30" s="424"/>
      <c r="AH30" s="133" t="str">
        <f>ادخال1!$H$9</f>
        <v>اللغة الإنجليزية</v>
      </c>
      <c r="AI30" s="47">
        <f>ادخال1!$H$7</f>
        <v>3</v>
      </c>
      <c r="AJ30" s="41">
        <f>40*AI30*0.3</f>
        <v>36</v>
      </c>
      <c r="AK30" s="2" t="str">
        <f>IFERROR(VLOOKUP(AO38,اسماء,7,0),"")</f>
        <v/>
      </c>
      <c r="AL30" s="43">
        <f>40*AI30*0.3</f>
        <v>36</v>
      </c>
      <c r="AM30" s="2" t="str">
        <f>IFERROR(VLOOKUP(AO38,اسماء,18,0),"")</f>
        <v/>
      </c>
      <c r="AN30" s="18"/>
      <c r="AO30" s="467" t="s">
        <v>158</v>
      </c>
      <c r="AP30" s="423" t="str">
        <f>IF(AM34=0,"",IF(AND(AM28&gt;=AL28*0.4,AM29&gt;=AL29*0.4,AM30&gt;=AL30*0.4,AM32&gt;=AL32*0.4,AM33&gt;=AL33*0.4),LOOKUP(AM34,'النتيجة النهائية'!$AC$6:$AD$10),"ضعيف ويحتاج الى اهتمام في المواد"))</f>
        <v/>
      </c>
      <c r="AQ30" s="424"/>
    </row>
    <row r="31" spans="1:43" ht="29.1" customHeight="1" x14ac:dyDescent="0.25">
      <c r="A31" s="133" t="str">
        <f>ادخال1!$I$9</f>
        <v>الحاسوب</v>
      </c>
      <c r="B31" s="47">
        <f>ادخال1!$I$7</f>
        <v>1</v>
      </c>
      <c r="C31" s="41">
        <f>40*B31*0.3</f>
        <v>12</v>
      </c>
      <c r="D31" s="2">
        <f>IFERROR(VLOOKUP(H38,اسماء,8,0),"")</f>
        <v>10</v>
      </c>
      <c r="E31" s="43">
        <f>40*B31*0.3</f>
        <v>12</v>
      </c>
      <c r="F31" s="2">
        <f>IFERROR(VLOOKUP(H38,اسماء,19,0),"")</f>
        <v>0</v>
      </c>
      <c r="G31" s="18"/>
      <c r="H31" s="468"/>
      <c r="I31" s="425"/>
      <c r="J31" s="426"/>
      <c r="L31" s="133" t="str">
        <f>ادخال1!$I$9</f>
        <v>الحاسوب</v>
      </c>
      <c r="M31" s="47">
        <f>ادخال1!$I$7</f>
        <v>1</v>
      </c>
      <c r="N31" s="41">
        <f>40*M31*0.3</f>
        <v>12</v>
      </c>
      <c r="O31" s="2">
        <f>IFERROR(VLOOKUP(S38,اسماء,8,0),"")</f>
        <v>12</v>
      </c>
      <c r="P31" s="43">
        <f>40*M31*0.3</f>
        <v>12</v>
      </c>
      <c r="Q31" s="2">
        <f>IFERROR(VLOOKUP(S38,اسماء,19,0),"")</f>
        <v>0</v>
      </c>
      <c r="R31" s="18"/>
      <c r="S31" s="468"/>
      <c r="T31" s="425"/>
      <c r="U31" s="426"/>
      <c r="W31" s="133" t="str">
        <f>ادخال1!$I$9</f>
        <v>الحاسوب</v>
      </c>
      <c r="X31" s="47">
        <f>ادخال1!$I$7</f>
        <v>1</v>
      </c>
      <c r="Y31" s="41">
        <f>40*X31*0.3</f>
        <v>12</v>
      </c>
      <c r="Z31" s="2">
        <f>IFERROR(VLOOKUP(AD38,اسماء,8,0),"")</f>
        <v>12</v>
      </c>
      <c r="AA31" s="43">
        <f>40*X31*0.3</f>
        <v>12</v>
      </c>
      <c r="AB31" s="2">
        <f>IFERROR(VLOOKUP(AD38,اسماء,19,0),"")</f>
        <v>0</v>
      </c>
      <c r="AC31" s="18"/>
      <c r="AD31" s="468"/>
      <c r="AE31" s="425"/>
      <c r="AF31" s="426"/>
      <c r="AH31" s="133" t="str">
        <f>ادخال1!$I$9</f>
        <v>الحاسوب</v>
      </c>
      <c r="AI31" s="47">
        <f>ادخال1!$I$7</f>
        <v>1</v>
      </c>
      <c r="AJ31" s="41">
        <f>40*AI31*0.3</f>
        <v>12</v>
      </c>
      <c r="AK31" s="2" t="str">
        <f>IFERROR(VLOOKUP(AO38,اسماء,8,0),"")</f>
        <v/>
      </c>
      <c r="AL31" s="43">
        <f>40*AI31*0.3</f>
        <v>12</v>
      </c>
      <c r="AM31" s="2" t="str">
        <f>IFERROR(VLOOKUP(AO38,اسماء,19,0),"")</f>
        <v/>
      </c>
      <c r="AN31" s="18"/>
      <c r="AO31" s="468"/>
      <c r="AP31" s="425"/>
      <c r="AQ31" s="426"/>
    </row>
    <row r="32" spans="1:43" ht="29.1" customHeight="1" x14ac:dyDescent="0.25">
      <c r="A32" s="56" t="str">
        <f>ادخال1!$J$9</f>
        <v>الرياضيات</v>
      </c>
      <c r="B32" s="47">
        <f>ادخال1!$J$7</f>
        <v>5</v>
      </c>
      <c r="C32" s="41">
        <f>40*B32*0.3</f>
        <v>60</v>
      </c>
      <c r="D32" s="2">
        <f>IFERROR(VLOOKUP(H38,اسماء,9,0),"")</f>
        <v>41</v>
      </c>
      <c r="E32" s="43">
        <f>40*B32*0.3</f>
        <v>60</v>
      </c>
      <c r="F32" s="2">
        <f>IFERROR(VLOOKUP(H38,اسماء,20,0),"")</f>
        <v>0</v>
      </c>
      <c r="G32" s="18"/>
      <c r="H32" s="27" t="str">
        <f>IF(F28=0,"",IF(F28&lt;E28*0.4,A28,""))</f>
        <v/>
      </c>
      <c r="I32" s="29" t="str">
        <f>IF(F29=0,"",IF(F29&lt;E29*0.4,A29,""))</f>
        <v/>
      </c>
      <c r="J32" s="28" t="str">
        <f>IF(F30=0,"",IF(F30&lt;E30*0.4,A30,""))</f>
        <v/>
      </c>
      <c r="L32" s="56" t="str">
        <f>ادخال1!$J$9</f>
        <v>الرياضيات</v>
      </c>
      <c r="M32" s="47">
        <f>ادخال1!$J$7</f>
        <v>5</v>
      </c>
      <c r="N32" s="41">
        <f>40*M32*0.3</f>
        <v>60</v>
      </c>
      <c r="O32" s="2">
        <f>IFERROR(VLOOKUP(S38,اسماء,9,0),"")</f>
        <v>60</v>
      </c>
      <c r="P32" s="43">
        <f>40*M32*0.3</f>
        <v>60</v>
      </c>
      <c r="Q32" s="2">
        <f>IFERROR(VLOOKUP(S38,اسماء,20,0),"")</f>
        <v>0</v>
      </c>
      <c r="R32" s="18"/>
      <c r="S32" s="27" t="str">
        <f>IF(Q28=0,"",IF(Q28&lt;P28*0.4,L28,""))</f>
        <v/>
      </c>
      <c r="T32" s="29" t="str">
        <f>IF(Q29=0,"",IF(Q29&lt;P29*0.4,L29,""))</f>
        <v/>
      </c>
      <c r="U32" s="28" t="str">
        <f>IF(Q30=0,"",IF(Q30&lt;P30*0.4,L30,""))</f>
        <v/>
      </c>
      <c r="W32" s="56" t="str">
        <f>ادخال1!$J$9</f>
        <v>الرياضيات</v>
      </c>
      <c r="X32" s="47">
        <f>ادخال1!$J$7</f>
        <v>5</v>
      </c>
      <c r="Y32" s="41">
        <f>40*X32*0.3</f>
        <v>60</v>
      </c>
      <c r="Z32" s="2">
        <f>IFERROR(VLOOKUP(AD38,اسماء,9,0),"")</f>
        <v>56</v>
      </c>
      <c r="AA32" s="43">
        <f>40*X32*0.3</f>
        <v>60</v>
      </c>
      <c r="AB32" s="2">
        <f>IFERROR(VLOOKUP(AD38,اسماء,20,0),"")</f>
        <v>0</v>
      </c>
      <c r="AC32" s="18"/>
      <c r="AD32" s="27" t="str">
        <f>IF(AB28=0,"",IF(AB28&lt;AA28*0.4,W28,""))</f>
        <v/>
      </c>
      <c r="AE32" s="29" t="str">
        <f>IF(AB29=0,"",IF(AB29&lt;AA29*0.4,W29,""))</f>
        <v/>
      </c>
      <c r="AF32" s="28" t="str">
        <f>IF(AB30=0,"",IF(AB30&lt;AA30*0.4,W30,""))</f>
        <v/>
      </c>
      <c r="AH32" s="56" t="str">
        <f>ادخال1!$J$9</f>
        <v>الرياضيات</v>
      </c>
      <c r="AI32" s="47">
        <f>ادخال1!$J$7</f>
        <v>5</v>
      </c>
      <c r="AJ32" s="41">
        <f>40*AI32*0.3</f>
        <v>60</v>
      </c>
      <c r="AK32" s="2" t="str">
        <f>IFERROR(VLOOKUP(AO38,اسماء,9,0),"")</f>
        <v/>
      </c>
      <c r="AL32" s="43">
        <f>40*AI32*0.3</f>
        <v>60</v>
      </c>
      <c r="AM32" s="2" t="str">
        <f>IFERROR(VLOOKUP(AO38,اسماء,20,0),"")</f>
        <v/>
      </c>
      <c r="AN32" s="18"/>
      <c r="AO32" s="27" t="str">
        <f>IF(AM28=0,"",IF(AM28&lt;AL28*0.4,AH28,""))</f>
        <v/>
      </c>
      <c r="AP32" s="29" t="str">
        <f>IF(AM29=0,"",IF(AM29&lt;AL29*0.4,AH29,""))</f>
        <v/>
      </c>
      <c r="AQ32" s="28" t="str">
        <f>IF(AM30=0,"",IF(AM30&lt;AL30*0.4,AH30,""))</f>
        <v/>
      </c>
    </row>
    <row r="33" spans="1:43" ht="29.1" customHeight="1" thickBot="1" x14ac:dyDescent="0.3">
      <c r="A33" s="113" t="str">
        <f>ادخال1!$K$9</f>
        <v>العلوم</v>
      </c>
      <c r="B33" s="48">
        <f>ادخال1!$K$7</f>
        <v>3</v>
      </c>
      <c r="C33" s="41">
        <f>40*B33*0.3</f>
        <v>36</v>
      </c>
      <c r="D33" s="2">
        <f>IFERROR(VLOOKUP(H38,اسماء,10,0),"")</f>
        <v>30</v>
      </c>
      <c r="E33" s="43">
        <f>40*B33*0.3</f>
        <v>36</v>
      </c>
      <c r="F33" s="2">
        <f>IFERROR(VLOOKUP(H38,اسماء,21,0),"")</f>
        <v>0</v>
      </c>
      <c r="G33" s="18"/>
      <c r="H33" s="118" t="str">
        <f>IF(F32=0,"",IF(F32&lt;E32*0.4,A32,""))</f>
        <v/>
      </c>
      <c r="I33" s="282" t="str">
        <f>IF(F33=0,"",IF(F33&lt;E33*0.4,A33,""))</f>
        <v/>
      </c>
      <c r="J33" s="282" t="str">
        <f>IF(F31=0,"",IF(F31&lt;E31*0.4,A31,""))</f>
        <v/>
      </c>
      <c r="L33" s="113" t="str">
        <f>ادخال1!$K$9</f>
        <v>العلوم</v>
      </c>
      <c r="M33" s="48">
        <f>ادخال1!$K$7</f>
        <v>3</v>
      </c>
      <c r="N33" s="41">
        <f>40*M33*0.3</f>
        <v>36</v>
      </c>
      <c r="O33" s="2">
        <f>IFERROR(VLOOKUP(S38,اسماء,10,0),"")</f>
        <v>36</v>
      </c>
      <c r="P33" s="43">
        <f>40*M33*0.3</f>
        <v>36</v>
      </c>
      <c r="Q33" s="2">
        <f>IFERROR(VLOOKUP(S38,اسماء,21,0),"")</f>
        <v>0</v>
      </c>
      <c r="R33" s="18"/>
      <c r="S33" s="118" t="str">
        <f>IF(Q32=0,"",IF(Q32&lt;P32*0.4,L32,""))</f>
        <v/>
      </c>
      <c r="T33" s="282" t="str">
        <f>IF(Q33=0,"",IF(Q33&lt;P33*0.4,L33,""))</f>
        <v/>
      </c>
      <c r="U33" s="282" t="str">
        <f>IF(Q31=0,"",IF(Q31&lt;P31*0.4,L31,""))</f>
        <v/>
      </c>
      <c r="W33" s="113" t="str">
        <f>ادخال1!$K$9</f>
        <v>العلوم</v>
      </c>
      <c r="X33" s="48">
        <f>ادخال1!$K$7</f>
        <v>3</v>
      </c>
      <c r="Y33" s="41">
        <f>40*X33*0.3</f>
        <v>36</v>
      </c>
      <c r="Z33" s="2">
        <f>IFERROR(VLOOKUP(AD38,اسماء,10,0),"")</f>
        <v>36</v>
      </c>
      <c r="AA33" s="43">
        <f>40*X33*0.3</f>
        <v>36</v>
      </c>
      <c r="AB33" s="2">
        <f>IFERROR(VLOOKUP(AD38,اسماء,21,0),"")</f>
        <v>0</v>
      </c>
      <c r="AC33" s="18"/>
      <c r="AD33" s="118" t="str">
        <f>IF(AB32=0,"",IF(AB32&lt;AA32*0.4,W32,""))</f>
        <v/>
      </c>
      <c r="AE33" s="282" t="str">
        <f>IF(AB33=0,"",IF(AB33&lt;AA33*0.4,W33,""))</f>
        <v/>
      </c>
      <c r="AF33" s="282" t="str">
        <f>IF(AB31=0,"",IF(AB31&lt;AA31*0.4,W31,""))</f>
        <v/>
      </c>
      <c r="AH33" s="113" t="str">
        <f>ادخال1!$K$9</f>
        <v>العلوم</v>
      </c>
      <c r="AI33" s="48">
        <f>ادخال1!$K$7</f>
        <v>3</v>
      </c>
      <c r="AJ33" s="41">
        <f>40*AI33*0.3</f>
        <v>36</v>
      </c>
      <c r="AK33" s="2" t="str">
        <f>IFERROR(VLOOKUP(AO38,اسماء,10,0),"")</f>
        <v/>
      </c>
      <c r="AL33" s="43">
        <f>40*AI33*0.3</f>
        <v>36</v>
      </c>
      <c r="AM33" s="2" t="str">
        <f>IFERROR(VLOOKUP(AO38,اسماء,21,0),"")</f>
        <v/>
      </c>
      <c r="AN33" s="18"/>
      <c r="AO33" s="118" t="str">
        <f>IF(AM32=0,"",IF(AM32&lt;AL32*0.4,AH32,""))</f>
        <v/>
      </c>
      <c r="AP33" s="282" t="str">
        <f>IF(AM33=0,"",IF(AM33&lt;AL33*0.4,AH33,""))</f>
        <v/>
      </c>
      <c r="AQ33" s="282" t="str">
        <f>IF(AM31=0,"",IF(AM31&lt;AL31*0.4,AH31,""))</f>
        <v/>
      </c>
    </row>
    <row r="34" spans="1:43" ht="29.1" customHeight="1" thickBot="1" x14ac:dyDescent="0.3">
      <c r="A34" s="58" t="s">
        <v>56</v>
      </c>
      <c r="B34" s="30"/>
      <c r="C34" s="42">
        <f>SUM(C28:C33)</f>
        <v>252</v>
      </c>
      <c r="D34" s="114">
        <f>SUM(D28:D33)</f>
        <v>211</v>
      </c>
      <c r="E34" s="42">
        <f>SUM(E28:E33)</f>
        <v>252</v>
      </c>
      <c r="F34" s="114">
        <f>SUM(F28:F33)</f>
        <v>0</v>
      </c>
      <c r="G34" s="18"/>
      <c r="H34" s="196" t="s">
        <v>65</v>
      </c>
      <c r="I34" s="421" t="str">
        <f>ادخال1!$BJ$5</f>
        <v>د. عبدالرحمن خليفة العريبي</v>
      </c>
      <c r="J34" s="422"/>
      <c r="L34" s="58" t="s">
        <v>56</v>
      </c>
      <c r="M34" s="30"/>
      <c r="N34" s="42">
        <f>SUM(N28:N33)</f>
        <v>252</v>
      </c>
      <c r="O34" s="114">
        <f>SUM(O28:O33)</f>
        <v>251</v>
      </c>
      <c r="P34" s="42">
        <f>SUM(P28:P33)</f>
        <v>252</v>
      </c>
      <c r="Q34" s="114">
        <f>SUM(Q28:Q33)</f>
        <v>0</v>
      </c>
      <c r="R34" s="18"/>
      <c r="S34" s="196" t="s">
        <v>65</v>
      </c>
      <c r="T34" s="421" t="str">
        <f>ادخال1!$BJ$5</f>
        <v>د. عبدالرحمن خليفة العريبي</v>
      </c>
      <c r="U34" s="422"/>
      <c r="W34" s="58" t="s">
        <v>56</v>
      </c>
      <c r="X34" s="30"/>
      <c r="Y34" s="42">
        <f>SUM(Y28:Y33)</f>
        <v>252</v>
      </c>
      <c r="Z34" s="114">
        <f>SUM(Z28:Z33)</f>
        <v>239</v>
      </c>
      <c r="AA34" s="42">
        <f>SUM(AA28:AA33)</f>
        <v>252</v>
      </c>
      <c r="AB34" s="114">
        <f>SUM(AB28:AB33)</f>
        <v>0</v>
      </c>
      <c r="AC34" s="18"/>
      <c r="AD34" s="196" t="s">
        <v>65</v>
      </c>
      <c r="AE34" s="421" t="str">
        <f>ادخال1!$BJ$5</f>
        <v>د. عبدالرحمن خليفة العريبي</v>
      </c>
      <c r="AF34" s="422"/>
      <c r="AH34" s="58" t="s">
        <v>56</v>
      </c>
      <c r="AI34" s="30"/>
      <c r="AJ34" s="42">
        <f>SUM(AJ28:AJ33)</f>
        <v>252</v>
      </c>
      <c r="AK34" s="114">
        <f>SUM(AK28:AK33)</f>
        <v>0</v>
      </c>
      <c r="AL34" s="42">
        <f>SUM(AL28:AL33)</f>
        <v>252</v>
      </c>
      <c r="AM34" s="114">
        <f>SUM(AM28:AM33)</f>
        <v>0</v>
      </c>
      <c r="AN34" s="18"/>
      <c r="AO34" s="196" t="s">
        <v>65</v>
      </c>
      <c r="AP34" s="421" t="str">
        <f>ادخال1!$BJ$5</f>
        <v>د. عبدالرحمن خليفة العريبي</v>
      </c>
      <c r="AQ34" s="422"/>
    </row>
    <row r="35" spans="1:43" ht="29.1" customHeight="1" thickBot="1" x14ac:dyDescent="0.3">
      <c r="A35" s="331" t="str">
        <f>ادخال1!$M$8</f>
        <v>التربية الفنية</v>
      </c>
      <c r="B35" s="49">
        <f>ادخال1!$M$7</f>
        <v>1</v>
      </c>
      <c r="C35" s="446" t="str">
        <f>IFERROR(VLOOKUP(H38,اسماء,12,0),"")</f>
        <v>جيد جداً</v>
      </c>
      <c r="D35" s="447"/>
      <c r="E35" s="446">
        <f>IFERROR(VLOOKUP(H38,اسماء,23,0),"")</f>
        <v>0</v>
      </c>
      <c r="F35" s="447"/>
      <c r="G35" s="18"/>
      <c r="H35" s="15" t="s">
        <v>67</v>
      </c>
      <c r="I35" s="448">
        <f ca="1">TODAY()</f>
        <v>46009</v>
      </c>
      <c r="J35" s="449"/>
      <c r="L35" s="331" t="str">
        <f>ادخال1!$M$8</f>
        <v>التربية الفنية</v>
      </c>
      <c r="M35" s="49">
        <f>ادخال1!$M$7</f>
        <v>1</v>
      </c>
      <c r="N35" s="446" t="str">
        <f>IFERROR(VLOOKUP(S38,اسماء,12,0),"")</f>
        <v>جيد جداً</v>
      </c>
      <c r="O35" s="447"/>
      <c r="P35" s="446">
        <f>IFERROR(VLOOKUP(S38,اسماء,23,0),"")</f>
        <v>0</v>
      </c>
      <c r="Q35" s="447"/>
      <c r="R35" s="18"/>
      <c r="S35" s="15" t="s">
        <v>67</v>
      </c>
      <c r="T35" s="448">
        <f ca="1">TODAY()</f>
        <v>46009</v>
      </c>
      <c r="U35" s="449"/>
      <c r="W35" s="331" t="str">
        <f>ادخال1!$M$8</f>
        <v>التربية الفنية</v>
      </c>
      <c r="X35" s="49">
        <f>ادخال1!$M$7</f>
        <v>1</v>
      </c>
      <c r="Y35" s="446" t="str">
        <f>IFERROR(VLOOKUP(AD38,اسماء,12,0),"")</f>
        <v>جيد جداً</v>
      </c>
      <c r="Z35" s="447"/>
      <c r="AA35" s="446">
        <f>IFERROR(VLOOKUP(AD38,اسماء,23,0),"")</f>
        <v>0</v>
      </c>
      <c r="AB35" s="447"/>
      <c r="AC35" s="18"/>
      <c r="AD35" s="15" t="s">
        <v>67</v>
      </c>
      <c r="AE35" s="448">
        <f ca="1">TODAY()</f>
        <v>46009</v>
      </c>
      <c r="AF35" s="449"/>
      <c r="AH35" s="331" t="str">
        <f>ادخال1!$M$8</f>
        <v>التربية الفنية</v>
      </c>
      <c r="AI35" s="49">
        <f>ادخال1!$M$7</f>
        <v>1</v>
      </c>
      <c r="AJ35" s="446" t="str">
        <f>IFERROR(VLOOKUP(AO38,اسماء,12,0),"")</f>
        <v/>
      </c>
      <c r="AK35" s="447"/>
      <c r="AL35" s="446" t="str">
        <f>IFERROR(VLOOKUP(AO38,اسماء,23,0),"")</f>
        <v/>
      </c>
      <c r="AM35" s="447"/>
      <c r="AN35" s="18"/>
      <c r="AO35" s="15" t="s">
        <v>67</v>
      </c>
      <c r="AP35" s="448">
        <f ca="1">TODAY()</f>
        <v>46009</v>
      </c>
      <c r="AQ35" s="449"/>
    </row>
    <row r="36" spans="1:43" ht="29.1" customHeight="1" thickBot="1" x14ac:dyDescent="0.3">
      <c r="A36" s="332" t="str">
        <f>ادخال1!$N$8</f>
        <v>التربية البدنية</v>
      </c>
      <c r="B36" s="50">
        <f>ادخال1!$N$7</f>
        <v>2</v>
      </c>
      <c r="C36" s="432" t="str">
        <f>IFERROR(VLOOKUP(H38,اسماء,13,0),"")</f>
        <v>جيد جداً</v>
      </c>
      <c r="D36" s="433"/>
      <c r="E36" s="432">
        <f>IFERROR(VLOOKUP(H38,اسماء,24,0),"")</f>
        <v>0</v>
      </c>
      <c r="F36" s="433"/>
      <c r="G36" s="18"/>
      <c r="H36" s="68"/>
      <c r="I36" s="448"/>
      <c r="J36" s="449"/>
      <c r="L36" s="332" t="str">
        <f>ادخال1!$N$8</f>
        <v>التربية البدنية</v>
      </c>
      <c r="M36" s="50">
        <f>ادخال1!$N$7</f>
        <v>2</v>
      </c>
      <c r="N36" s="432" t="str">
        <f>IFERROR(VLOOKUP(S38,اسماء,13,0),"")</f>
        <v>جيد جداً</v>
      </c>
      <c r="O36" s="433"/>
      <c r="P36" s="432">
        <f>IFERROR(VLOOKUP(S38,اسماء,24,0),"")</f>
        <v>0</v>
      </c>
      <c r="Q36" s="433"/>
      <c r="R36" s="18"/>
      <c r="S36" s="68"/>
      <c r="T36" s="448"/>
      <c r="U36" s="449"/>
      <c r="W36" s="332" t="str">
        <f>ادخال1!$N$8</f>
        <v>التربية البدنية</v>
      </c>
      <c r="X36" s="50">
        <f>ادخال1!$N$7</f>
        <v>2</v>
      </c>
      <c r="Y36" s="432" t="str">
        <f>IFERROR(VLOOKUP(AD38,اسماء,13,0),"")</f>
        <v>جيد جداً</v>
      </c>
      <c r="Z36" s="433"/>
      <c r="AA36" s="432">
        <f>IFERROR(VLOOKUP(AD38,اسماء,24,0),"")</f>
        <v>0</v>
      </c>
      <c r="AB36" s="433"/>
      <c r="AC36" s="18"/>
      <c r="AD36" s="68"/>
      <c r="AE36" s="448"/>
      <c r="AF36" s="449"/>
      <c r="AH36" s="332" t="str">
        <f>ادخال1!$N$8</f>
        <v>التربية البدنية</v>
      </c>
      <c r="AI36" s="50">
        <f>ادخال1!$N$7</f>
        <v>2</v>
      </c>
      <c r="AJ36" s="432" t="str">
        <f>IFERROR(VLOOKUP(AO38,اسماء,13,0),"")</f>
        <v/>
      </c>
      <c r="AK36" s="433"/>
      <c r="AL36" s="432" t="str">
        <f>IFERROR(VLOOKUP(AO38,اسماء,24,0),"")</f>
        <v/>
      </c>
      <c r="AM36" s="433"/>
      <c r="AN36" s="18"/>
      <c r="AO36" s="68"/>
      <c r="AP36" s="448"/>
      <c r="AQ36" s="449"/>
    </row>
    <row r="37" spans="1:43" ht="29.1" customHeight="1" x14ac:dyDescent="0.25">
      <c r="A37" s="362" t="str">
        <f>ادخال1!$O$8</f>
        <v>مكتبة</v>
      </c>
      <c r="B37" s="363">
        <f>ادخال1!$O$7</f>
        <v>1</v>
      </c>
      <c r="C37" s="436"/>
      <c r="D37" s="437"/>
      <c r="E37" s="475"/>
      <c r="F37" s="476"/>
      <c r="G37" s="18"/>
      <c r="H37" s="68"/>
      <c r="I37" s="333"/>
      <c r="J37" s="334"/>
      <c r="L37" s="362" t="str">
        <f>ادخال1!$O$8</f>
        <v>مكتبة</v>
      </c>
      <c r="M37" s="363">
        <f>ادخال1!$O$7</f>
        <v>1</v>
      </c>
      <c r="N37" s="436"/>
      <c r="O37" s="437"/>
      <c r="P37" s="475"/>
      <c r="Q37" s="476"/>
      <c r="R37" s="18"/>
      <c r="S37" s="68"/>
      <c r="T37" s="333"/>
      <c r="U37" s="334"/>
      <c r="W37" s="362" t="str">
        <f>ادخال1!$O$8</f>
        <v>مكتبة</v>
      </c>
      <c r="X37" s="363">
        <f>ادخال1!$O$7</f>
        <v>1</v>
      </c>
      <c r="Y37" s="436"/>
      <c r="Z37" s="437"/>
      <c r="AA37" s="475"/>
      <c r="AB37" s="476"/>
      <c r="AC37" s="18"/>
      <c r="AD37" s="68"/>
      <c r="AE37" s="333"/>
      <c r="AF37" s="334"/>
      <c r="AH37" s="362" t="str">
        <f>ادخال1!$O$8</f>
        <v>مكتبة</v>
      </c>
      <c r="AI37" s="363">
        <f>ادخال1!$O$7</f>
        <v>1</v>
      </c>
      <c r="AJ37" s="436"/>
      <c r="AK37" s="437"/>
      <c r="AL37" s="475"/>
      <c r="AM37" s="476"/>
      <c r="AN37" s="18"/>
      <c r="AO37" s="68"/>
      <c r="AP37" s="333"/>
      <c r="AQ37" s="334"/>
    </row>
    <row r="38" spans="1:43" ht="29.1" customHeight="1" thickBot="1" x14ac:dyDescent="0.3">
      <c r="A38" s="192" t="s">
        <v>120</v>
      </c>
      <c r="B38" s="420">
        <f>IFERROR(VLOOKUP(H38,اسماء,65,0),"")</f>
        <v>220170079396</v>
      </c>
      <c r="C38" s="420" t="str">
        <f>IFERROR(VLOOKUP(G43,اسماء,8,0),"")</f>
        <v/>
      </c>
      <c r="D38" s="420" t="str">
        <f>IFERROR(VLOOKUP(H43,اسماء,8,0),"")</f>
        <v/>
      </c>
      <c r="E38" s="420" t="str">
        <f>IFERROR(VLOOKUP(I43,اسماء,8,0),"")</f>
        <v/>
      </c>
      <c r="F38" s="18"/>
      <c r="G38" s="18"/>
      <c r="H38" s="421" t="str">
        <f>INDEX(عمود2,MATCH(J24,عمود1))</f>
        <v>ساجدة عبد السلام شعبان بى</v>
      </c>
      <c r="I38" s="421"/>
      <c r="J38" s="422"/>
      <c r="L38" s="192" t="s">
        <v>120</v>
      </c>
      <c r="M38" s="420">
        <f>IFERROR(VLOOKUP(S38,اسماء,65,0),"")</f>
        <v>120171103057</v>
      </c>
      <c r="N38" s="420" t="str">
        <f>IFERROR(VLOOKUP(R43,اسماء,8,0),"")</f>
        <v/>
      </c>
      <c r="O38" s="420" t="str">
        <f>IFERROR(VLOOKUP(S43,اسماء,8,0),"")</f>
        <v/>
      </c>
      <c r="P38" s="420" t="str">
        <f>IFERROR(VLOOKUP(T43,اسماء,8,0),"")</f>
        <v/>
      </c>
      <c r="Q38" s="18"/>
      <c r="R38" s="18"/>
      <c r="S38" s="421" t="str">
        <f>INDEX(عمود2,MATCH(U24,عمود1))</f>
        <v>كنان سالم عبد الكريم النفاتى</v>
      </c>
      <c r="T38" s="421"/>
      <c r="U38" s="422"/>
      <c r="W38" s="192" t="s">
        <v>120</v>
      </c>
      <c r="X38" s="420">
        <f>IFERROR(VLOOKUP(AD38,اسماء,65,0),"")</f>
        <v>120170096866</v>
      </c>
      <c r="Y38" s="420" t="str">
        <f>IFERROR(VLOOKUP(AC43,اسماء,8,0),"")</f>
        <v/>
      </c>
      <c r="Z38" s="420" t="str">
        <f>IFERROR(VLOOKUP(AD43,اسماء,8,0),"")</f>
        <v/>
      </c>
      <c r="AA38" s="420" t="str">
        <f>IFERROR(VLOOKUP(AE43,اسماء,8,0),"")</f>
        <v/>
      </c>
      <c r="AB38" s="18"/>
      <c r="AC38" s="18"/>
      <c r="AD38" s="421" t="str">
        <f>INDEX(عمود2,MATCH(AF24,عمود1))</f>
        <v>يوسف انويجى عثمان ابوزويدة</v>
      </c>
      <c r="AE38" s="421"/>
      <c r="AF38" s="422"/>
      <c r="AH38" s="192" t="s">
        <v>120</v>
      </c>
      <c r="AI38" s="420" t="str">
        <f>IFERROR(VLOOKUP(AO38,اسماء,65,0),"")</f>
        <v/>
      </c>
      <c r="AJ38" s="420" t="str">
        <f>IFERROR(VLOOKUP(AN43,اسماء,8,0),"")</f>
        <v/>
      </c>
      <c r="AK38" s="420" t="str">
        <f>IFERROR(VLOOKUP(AO43,اسماء,8,0),"")</f>
        <v/>
      </c>
      <c r="AL38" s="420" t="str">
        <f>IFERROR(VLOOKUP(AP43,اسماء,8,0),"")</f>
        <v/>
      </c>
      <c r="AM38" s="18"/>
      <c r="AN38" s="18"/>
      <c r="AO38" s="421">
        <f>INDEX(عمود2,MATCH(AQ24,عمود1))</f>
        <v>0</v>
      </c>
      <c r="AP38" s="421"/>
      <c r="AQ38" s="422"/>
    </row>
    <row r="39" spans="1:43" ht="29.1" customHeight="1" x14ac:dyDescent="0.25">
      <c r="A39" s="444" t="s">
        <v>58</v>
      </c>
      <c r="B39" s="445"/>
      <c r="C39" s="432">
        <f>IFERROR(VLOOKUP(H38,اسماء,37,0),"")</f>
        <v>0</v>
      </c>
      <c r="D39" s="433"/>
      <c r="E39" s="432">
        <f>IFERROR(VLOOKUP(H38,اسماء,38,0),"")</f>
        <v>0</v>
      </c>
      <c r="F39" s="433"/>
      <c r="G39" s="18"/>
      <c r="H39" s="471" t="s">
        <v>90</v>
      </c>
      <c r="I39" s="471"/>
      <c r="J39" s="472"/>
      <c r="L39" s="444" t="s">
        <v>58</v>
      </c>
      <c r="M39" s="445"/>
      <c r="N39" s="432">
        <f>IFERROR(VLOOKUP(S38,اسماء,37,0),"")</f>
        <v>0</v>
      </c>
      <c r="O39" s="433"/>
      <c r="P39" s="432">
        <f>IFERROR(VLOOKUP(S38,اسماء,38,0),"")</f>
        <v>0</v>
      </c>
      <c r="Q39" s="433"/>
      <c r="R39" s="18"/>
      <c r="S39" s="471" t="s">
        <v>90</v>
      </c>
      <c r="T39" s="471"/>
      <c r="U39" s="472"/>
      <c r="W39" s="444" t="s">
        <v>58</v>
      </c>
      <c r="X39" s="445"/>
      <c r="Y39" s="432">
        <f>IFERROR(VLOOKUP(AD38,اسماء,37,0),"")</f>
        <v>0</v>
      </c>
      <c r="Z39" s="433"/>
      <c r="AA39" s="432">
        <f>IFERROR(VLOOKUP(AD38,اسماء,38,0),"")</f>
        <v>0</v>
      </c>
      <c r="AB39" s="433"/>
      <c r="AC39" s="18"/>
      <c r="AD39" s="471" t="s">
        <v>90</v>
      </c>
      <c r="AE39" s="471"/>
      <c r="AF39" s="472"/>
      <c r="AH39" s="444" t="s">
        <v>58</v>
      </c>
      <c r="AI39" s="445"/>
      <c r="AJ39" s="432" t="str">
        <f>IFERROR(VLOOKUP(AO38,اسماء,37,0),"")</f>
        <v/>
      </c>
      <c r="AK39" s="433"/>
      <c r="AL39" s="432" t="str">
        <f>IFERROR(VLOOKUP(AO38,اسماء,38,0),"")</f>
        <v/>
      </c>
      <c r="AM39" s="433"/>
      <c r="AN39" s="18"/>
      <c r="AO39" s="471" t="s">
        <v>90</v>
      </c>
      <c r="AP39" s="471"/>
      <c r="AQ39" s="472"/>
    </row>
    <row r="40" spans="1:43" ht="13.5" customHeight="1" x14ac:dyDescent="0.25">
      <c r="A40" s="434" t="s">
        <v>59</v>
      </c>
      <c r="B40" s="435"/>
      <c r="C40" s="436">
        <f>IFERROR(VLOOKUP(H38,اسماء,40,0),"")</f>
        <v>0</v>
      </c>
      <c r="D40" s="437"/>
      <c r="E40" s="436">
        <f>IFERROR(VLOOKUP(H38,اسماء,42,0),"")</f>
        <v>0</v>
      </c>
      <c r="F40" s="437"/>
      <c r="G40" s="18"/>
      <c r="H40" s="471"/>
      <c r="I40" s="471"/>
      <c r="J40" s="472"/>
      <c r="L40" s="434" t="s">
        <v>59</v>
      </c>
      <c r="M40" s="435"/>
      <c r="N40" s="436">
        <f>IFERROR(VLOOKUP(S38,اسماء,40,0),"")</f>
        <v>0</v>
      </c>
      <c r="O40" s="437"/>
      <c r="P40" s="436">
        <f>IFERROR(VLOOKUP(S38,اسماء,42,0),"")</f>
        <v>0</v>
      </c>
      <c r="Q40" s="437"/>
      <c r="R40" s="18"/>
      <c r="S40" s="471"/>
      <c r="T40" s="471"/>
      <c r="U40" s="472"/>
      <c r="W40" s="434" t="s">
        <v>59</v>
      </c>
      <c r="X40" s="435"/>
      <c r="Y40" s="436">
        <f>IFERROR(VLOOKUP(AD38,اسماء,40,0),"")</f>
        <v>0</v>
      </c>
      <c r="Z40" s="437"/>
      <c r="AA40" s="436">
        <f>IFERROR(VLOOKUP(AD38,اسماء,42,0),"")</f>
        <v>0</v>
      </c>
      <c r="AB40" s="437"/>
      <c r="AC40" s="18"/>
      <c r="AD40" s="471"/>
      <c r="AE40" s="471"/>
      <c r="AF40" s="472"/>
      <c r="AH40" s="434" t="s">
        <v>59</v>
      </c>
      <c r="AI40" s="435"/>
      <c r="AJ40" s="436" t="str">
        <f>IFERROR(VLOOKUP(AO38,اسماء,40,0),"")</f>
        <v/>
      </c>
      <c r="AK40" s="437"/>
      <c r="AL40" s="436" t="str">
        <f>IFERROR(VLOOKUP(AO38,اسماء,42,0),"")</f>
        <v/>
      </c>
      <c r="AM40" s="437"/>
      <c r="AN40" s="18"/>
      <c r="AO40" s="471"/>
      <c r="AP40" s="471"/>
      <c r="AQ40" s="472"/>
    </row>
    <row r="41" spans="1:43" ht="29.1" customHeight="1" thickBot="1" x14ac:dyDescent="0.3">
      <c r="A41" s="438" t="s">
        <v>60</v>
      </c>
      <c r="B41" s="439"/>
      <c r="C41" s="440">
        <f>IFERROR(VLOOKUP(H38,اسماء,41,0),"")</f>
        <v>0</v>
      </c>
      <c r="D41" s="441"/>
      <c r="E41" s="440">
        <f>IFERROR(VLOOKUP(H38,اسماء,43,0),"")</f>
        <v>0</v>
      </c>
      <c r="F41" s="441"/>
      <c r="G41" s="18"/>
      <c r="H41" s="473"/>
      <c r="I41" s="473"/>
      <c r="J41" s="474"/>
      <c r="L41" s="438" t="s">
        <v>60</v>
      </c>
      <c r="M41" s="439"/>
      <c r="N41" s="440">
        <f>IFERROR(VLOOKUP(S38,اسماء,41,0),"")</f>
        <v>0</v>
      </c>
      <c r="O41" s="441"/>
      <c r="P41" s="440">
        <f>IFERROR(VLOOKUP(S38,اسماء,43,0),"")</f>
        <v>0</v>
      </c>
      <c r="Q41" s="441"/>
      <c r="R41" s="18"/>
      <c r="S41" s="473"/>
      <c r="T41" s="473"/>
      <c r="U41" s="474"/>
      <c r="W41" s="438" t="s">
        <v>60</v>
      </c>
      <c r="X41" s="439"/>
      <c r="Y41" s="440">
        <f>IFERROR(VLOOKUP(AD38,اسماء,41,0),"")</f>
        <v>0</v>
      </c>
      <c r="Z41" s="441"/>
      <c r="AA41" s="440">
        <f>IFERROR(VLOOKUP(AD38,اسماء,43,0),"")</f>
        <v>0</v>
      </c>
      <c r="AB41" s="441"/>
      <c r="AC41" s="18"/>
      <c r="AD41" s="473"/>
      <c r="AE41" s="473"/>
      <c r="AF41" s="474"/>
      <c r="AH41" s="438" t="s">
        <v>60</v>
      </c>
      <c r="AI41" s="439"/>
      <c r="AJ41" s="440" t="str">
        <f>IFERROR(VLOOKUP(AO38,اسماء,41,0),"")</f>
        <v/>
      </c>
      <c r="AK41" s="441"/>
      <c r="AL41" s="440" t="str">
        <f>IFERROR(VLOOKUP(AO38,اسماء,43,0),"")</f>
        <v/>
      </c>
      <c r="AM41" s="441"/>
      <c r="AN41" s="18"/>
      <c r="AO41" s="473"/>
      <c r="AP41" s="473"/>
      <c r="AQ41" s="474"/>
    </row>
    <row r="42" spans="1:43" ht="29.1" customHeight="1" x14ac:dyDescent="0.25">
      <c r="A42" s="27" t="s">
        <v>64</v>
      </c>
      <c r="B42" s="435"/>
      <c r="C42" s="435"/>
      <c r="D42" s="436"/>
      <c r="E42" s="442"/>
      <c r="F42" s="442"/>
      <c r="G42" s="437"/>
      <c r="H42" s="436"/>
      <c r="I42" s="443"/>
      <c r="J42" s="284"/>
      <c r="L42" s="115" t="s">
        <v>64</v>
      </c>
      <c r="M42" s="435"/>
      <c r="N42" s="435"/>
      <c r="O42" s="436"/>
      <c r="P42" s="442"/>
      <c r="Q42" s="442"/>
      <c r="R42" s="437"/>
      <c r="S42" s="436"/>
      <c r="T42" s="443"/>
      <c r="U42" s="284"/>
      <c r="W42" s="115" t="s">
        <v>64</v>
      </c>
      <c r="X42" s="435"/>
      <c r="Y42" s="435"/>
      <c r="Z42" s="436"/>
      <c r="AA42" s="442"/>
      <c r="AB42" s="442"/>
      <c r="AC42" s="437"/>
      <c r="AD42" s="436"/>
      <c r="AE42" s="443"/>
      <c r="AF42" s="284"/>
      <c r="AH42" s="115" t="s">
        <v>64</v>
      </c>
      <c r="AI42" s="435"/>
      <c r="AJ42" s="435"/>
      <c r="AK42" s="436"/>
      <c r="AL42" s="442"/>
      <c r="AM42" s="442"/>
      <c r="AN42" s="437"/>
      <c r="AO42" s="436"/>
      <c r="AP42" s="443"/>
      <c r="AQ42" s="284"/>
    </row>
    <row r="43" spans="1:43" ht="29.1" customHeight="1" thickBot="1" x14ac:dyDescent="0.3">
      <c r="A43" s="118" t="s">
        <v>66</v>
      </c>
      <c r="B43" s="456"/>
      <c r="C43" s="456"/>
      <c r="D43" s="440"/>
      <c r="E43" s="452"/>
      <c r="F43" s="452"/>
      <c r="G43" s="441"/>
      <c r="H43" s="440"/>
      <c r="I43" s="486"/>
      <c r="J43" s="291"/>
      <c r="L43" s="117" t="s">
        <v>66</v>
      </c>
      <c r="M43" s="427"/>
      <c r="N43" s="427"/>
      <c r="O43" s="428"/>
      <c r="P43" s="429"/>
      <c r="Q43" s="429"/>
      <c r="R43" s="430"/>
      <c r="S43" s="428"/>
      <c r="T43" s="431"/>
      <c r="U43" s="291"/>
      <c r="W43" s="117" t="s">
        <v>66</v>
      </c>
      <c r="X43" s="427"/>
      <c r="Y43" s="427"/>
      <c r="Z43" s="428"/>
      <c r="AA43" s="429"/>
      <c r="AB43" s="429"/>
      <c r="AC43" s="430"/>
      <c r="AD43" s="428"/>
      <c r="AE43" s="431"/>
      <c r="AF43" s="291"/>
      <c r="AH43" s="117" t="s">
        <v>66</v>
      </c>
      <c r="AI43" s="427"/>
      <c r="AJ43" s="427"/>
      <c r="AK43" s="428"/>
      <c r="AL43" s="429"/>
      <c r="AM43" s="429"/>
      <c r="AN43" s="430"/>
      <c r="AO43" s="428"/>
      <c r="AP43" s="431"/>
      <c r="AQ43" s="291"/>
    </row>
    <row r="44" spans="1:43" ht="29.1" customHeight="1" thickBot="1" x14ac:dyDescent="0.3"/>
    <row r="45" spans="1:43" ht="29.1" customHeight="1" thickTop="1" x14ac:dyDescent="0.25">
      <c r="A45" s="465" t="s">
        <v>80</v>
      </c>
      <c r="B45" s="466"/>
      <c r="C45" s="466"/>
      <c r="D45" s="466" t="str">
        <f>ادخال1!$L$4</f>
        <v>الثالث</v>
      </c>
      <c r="E45" s="466"/>
      <c r="F45" s="275" t="s">
        <v>81</v>
      </c>
      <c r="G45" s="275"/>
      <c r="H45" s="275"/>
      <c r="I45" s="275"/>
      <c r="J45" s="292">
        <f>J24+1</f>
        <v>6</v>
      </c>
      <c r="L45" s="465" t="s">
        <v>80</v>
      </c>
      <c r="M45" s="466"/>
      <c r="N45" s="466"/>
      <c r="O45" s="466" t="str">
        <f>ادخال1!$L$4</f>
        <v>الثالث</v>
      </c>
      <c r="P45" s="466"/>
      <c r="Q45" s="275" t="s">
        <v>81</v>
      </c>
      <c r="R45" s="275"/>
      <c r="S45" s="275"/>
      <c r="T45" s="275"/>
      <c r="U45" s="292">
        <f>U24+1</f>
        <v>11</v>
      </c>
      <c r="W45" s="465" t="s">
        <v>80</v>
      </c>
      <c r="X45" s="466"/>
      <c r="Y45" s="466"/>
      <c r="Z45" s="466" t="str">
        <f>ادخال1!$L$4</f>
        <v>الثالث</v>
      </c>
      <c r="AA45" s="466"/>
      <c r="AB45" s="275" t="s">
        <v>81</v>
      </c>
      <c r="AC45" s="275"/>
      <c r="AD45" s="275"/>
      <c r="AE45" s="275"/>
      <c r="AF45" s="292">
        <f>AF24+1</f>
        <v>16</v>
      </c>
      <c r="AH45" s="465" t="s">
        <v>80</v>
      </c>
      <c r="AI45" s="466"/>
      <c r="AJ45" s="466"/>
      <c r="AK45" s="466" t="str">
        <f>ادخال1!$L$4</f>
        <v>الثالث</v>
      </c>
      <c r="AL45" s="466"/>
      <c r="AM45" s="275" t="s">
        <v>81</v>
      </c>
      <c r="AN45" s="275"/>
      <c r="AO45" s="275"/>
      <c r="AP45" s="275"/>
      <c r="AQ45" s="292">
        <f>AQ24+1</f>
        <v>21</v>
      </c>
    </row>
    <row r="46" spans="1:43" ht="29.1" customHeight="1" thickBot="1" x14ac:dyDescent="0.3">
      <c r="A46" s="1" t="s">
        <v>153</v>
      </c>
      <c r="B46" s="455" t="str">
        <f>ادخال1!$B$5</f>
        <v>سهول العلم للتعليم الخاص</v>
      </c>
      <c r="C46" s="455"/>
      <c r="D46" s="455"/>
      <c r="E46" s="455"/>
      <c r="F46" s="274" t="s">
        <v>9</v>
      </c>
      <c r="G46" s="453">
        <f>H57</f>
        <v>0</v>
      </c>
      <c r="H46" s="453"/>
      <c r="I46" s="453"/>
      <c r="J46" s="454"/>
      <c r="L46" s="1" t="s">
        <v>153</v>
      </c>
      <c r="M46" s="455" t="str">
        <f>ادخال1!$B$5</f>
        <v>سهول العلم للتعليم الخاص</v>
      </c>
      <c r="N46" s="455"/>
      <c r="O46" s="455"/>
      <c r="P46" s="455"/>
      <c r="Q46" s="274" t="s">
        <v>9</v>
      </c>
      <c r="R46" s="453">
        <f>S57</f>
        <v>0</v>
      </c>
      <c r="S46" s="453"/>
      <c r="T46" s="453"/>
      <c r="U46" s="454"/>
      <c r="W46" s="1" t="s">
        <v>153</v>
      </c>
      <c r="X46" s="455" t="str">
        <f>ادخال1!$B$5</f>
        <v>سهول العلم للتعليم الخاص</v>
      </c>
      <c r="Y46" s="455"/>
      <c r="Z46" s="455"/>
      <c r="AA46" s="455"/>
      <c r="AB46" s="274" t="s">
        <v>9</v>
      </c>
      <c r="AC46" s="453">
        <f>AD57</f>
        <v>0</v>
      </c>
      <c r="AD46" s="453"/>
      <c r="AE46" s="453"/>
      <c r="AF46" s="454"/>
      <c r="AH46" s="1" t="s">
        <v>153</v>
      </c>
      <c r="AI46" s="455" t="str">
        <f>ادخال1!$B$5</f>
        <v>سهول العلم للتعليم الخاص</v>
      </c>
      <c r="AJ46" s="455"/>
      <c r="AK46" s="455"/>
      <c r="AL46" s="455"/>
      <c r="AM46" s="274" t="s">
        <v>9</v>
      </c>
      <c r="AN46" s="453">
        <f>AO57</f>
        <v>0</v>
      </c>
      <c r="AO46" s="453"/>
      <c r="AP46" s="453"/>
      <c r="AQ46" s="454"/>
    </row>
    <row r="47" spans="1:43" ht="29.1" customHeight="1" thickBot="1" x14ac:dyDescent="0.3">
      <c r="A47" s="262" t="s">
        <v>45</v>
      </c>
      <c r="B47" s="457" t="s">
        <v>12</v>
      </c>
      <c r="C47" s="459" t="s">
        <v>46</v>
      </c>
      <c r="D47" s="460"/>
      <c r="E47" s="461" t="s">
        <v>47</v>
      </c>
      <c r="F47" s="460"/>
      <c r="G47" s="26"/>
      <c r="H47" s="462" t="s">
        <v>50</v>
      </c>
      <c r="I47" s="463"/>
      <c r="J47" s="464"/>
      <c r="L47" s="262" t="s">
        <v>45</v>
      </c>
      <c r="M47" s="457" t="s">
        <v>12</v>
      </c>
      <c r="N47" s="459" t="s">
        <v>46</v>
      </c>
      <c r="O47" s="460"/>
      <c r="P47" s="461" t="s">
        <v>47</v>
      </c>
      <c r="Q47" s="460"/>
      <c r="R47" s="26"/>
      <c r="S47" s="462" t="s">
        <v>50</v>
      </c>
      <c r="T47" s="463"/>
      <c r="U47" s="464"/>
      <c r="W47" s="262" t="s">
        <v>45</v>
      </c>
      <c r="X47" s="457" t="s">
        <v>12</v>
      </c>
      <c r="Y47" s="459" t="s">
        <v>46</v>
      </c>
      <c r="Z47" s="460"/>
      <c r="AA47" s="461" t="s">
        <v>47</v>
      </c>
      <c r="AB47" s="460"/>
      <c r="AC47" s="26"/>
      <c r="AD47" s="462" t="s">
        <v>50</v>
      </c>
      <c r="AE47" s="463"/>
      <c r="AF47" s="464"/>
      <c r="AH47" s="262" t="s">
        <v>45</v>
      </c>
      <c r="AI47" s="457" t="s">
        <v>12</v>
      </c>
      <c r="AJ47" s="459" t="s">
        <v>46</v>
      </c>
      <c r="AK47" s="460"/>
      <c r="AL47" s="461" t="s">
        <v>47</v>
      </c>
      <c r="AM47" s="460"/>
      <c r="AN47" s="26"/>
      <c r="AO47" s="462" t="s">
        <v>50</v>
      </c>
      <c r="AP47" s="463"/>
      <c r="AQ47" s="464"/>
    </row>
    <row r="48" spans="1:43" ht="29.1" customHeight="1" thickBot="1" x14ac:dyDescent="0.3">
      <c r="A48" s="263" t="s">
        <v>2</v>
      </c>
      <c r="B48" s="458"/>
      <c r="C48" s="39" t="s">
        <v>51</v>
      </c>
      <c r="D48" s="28" t="s">
        <v>52</v>
      </c>
      <c r="E48" s="40" t="s">
        <v>51</v>
      </c>
      <c r="F48" s="28" t="s">
        <v>52</v>
      </c>
      <c r="G48" s="10"/>
      <c r="H48" s="283" t="s">
        <v>55</v>
      </c>
      <c r="I48" s="450" t="str">
        <f>IF(D54=0,"",IF(AND(D49&gt;=C49*0.4,D50&gt;=C50*0.4,D51&gt;=C51*0.4,D52&gt;=C52*0.4,D53&gt;=C53*0.4),LOOKUP(D54,'النتيجة النهائية'!$AC$6:$AD$10),"ضعيف ويحتاج الى اهتمام في المواد"))</f>
        <v>ضعيف</v>
      </c>
      <c r="J48" s="451"/>
      <c r="L48" s="263" t="s">
        <v>2</v>
      </c>
      <c r="M48" s="458"/>
      <c r="N48" s="39" t="s">
        <v>51</v>
      </c>
      <c r="O48" s="28" t="s">
        <v>52</v>
      </c>
      <c r="P48" s="40" t="s">
        <v>51</v>
      </c>
      <c r="Q48" s="28" t="s">
        <v>52</v>
      </c>
      <c r="R48" s="10"/>
      <c r="S48" s="283" t="s">
        <v>55</v>
      </c>
      <c r="T48" s="450" t="str">
        <f>IF(O54=0,"",IF(AND(O49&gt;=N49*0.4,O50&gt;=N50*0.4,O51&gt;=N51*0.4,O52&gt;=N52*0.4,O53&gt;=N53*0.4),LOOKUP(O54,'النتيجة النهائية'!$AC$6:$AD$10),"ضعيف ويحتاج الى اهتمام في المواد"))</f>
        <v>ضعيف</v>
      </c>
      <c r="U48" s="451"/>
      <c r="W48" s="263" t="s">
        <v>2</v>
      </c>
      <c r="X48" s="458"/>
      <c r="Y48" s="39" t="s">
        <v>51</v>
      </c>
      <c r="Z48" s="28" t="s">
        <v>52</v>
      </c>
      <c r="AA48" s="40" t="s">
        <v>51</v>
      </c>
      <c r="AB48" s="28" t="s">
        <v>52</v>
      </c>
      <c r="AC48" s="10"/>
      <c r="AD48" s="283" t="s">
        <v>55</v>
      </c>
      <c r="AE48" s="450" t="str">
        <f>IF(Z54=0,"",IF(AND(Z49&gt;=Y49*0.4,Z50&gt;=Y50*0.4,Z51&gt;=Y51*0.4,Z52&gt;=Y52*0.4,Z53&gt;=Y53*0.4),LOOKUP(Z54,'النتيجة النهائية'!$AC$6:$AD$10),"ضعيف ويحتاج الى اهتمام في المواد"))</f>
        <v>ضعيف</v>
      </c>
      <c r="AF48" s="451"/>
      <c r="AH48" s="263" t="s">
        <v>2</v>
      </c>
      <c r="AI48" s="458"/>
      <c r="AJ48" s="39" t="s">
        <v>51</v>
      </c>
      <c r="AK48" s="28" t="s">
        <v>52</v>
      </c>
      <c r="AL48" s="40" t="s">
        <v>51</v>
      </c>
      <c r="AM48" s="28" t="s">
        <v>52</v>
      </c>
      <c r="AN48" s="10"/>
      <c r="AO48" s="283" t="s">
        <v>55</v>
      </c>
      <c r="AP48" s="450" t="e">
        <f>IF(AK54=0,"",IF(AND(AK49&gt;=AJ49*0.4,AK50&gt;=AJ50*0.4,AK51&gt;=AJ51*0.4,AK52&gt;=AJ52*0.4,AK53&gt;=AJ53*0.4),LOOKUP(AK54,'النتيجة النهائية'!$AC$6:$AD$10),"ضعيف ويحتاج الى اهتمام في المواد"))</f>
        <v>#N/A</v>
      </c>
      <c r="AQ48" s="451"/>
    </row>
    <row r="49" spans="1:43" ht="29.1" customHeight="1" x14ac:dyDescent="0.25">
      <c r="A49" s="261" t="str">
        <f>ادخال1!$F$9</f>
        <v>التربية الإسلامية</v>
      </c>
      <c r="B49" s="46">
        <f>ادخال1!$F$7</f>
        <v>3</v>
      </c>
      <c r="C49" s="41">
        <f t="shared" ref="C49:C50" si="16">40*B49*0.3</f>
        <v>36</v>
      </c>
      <c r="D49" s="2">
        <f xml:space="preserve"> IFERROR(VLOOKUP(H59,اسماء,5,0),"")</f>
        <v>36</v>
      </c>
      <c r="E49" s="43">
        <f t="shared" ref="E49:E50" si="17">40*B49*0.3</f>
        <v>36</v>
      </c>
      <c r="F49" s="2">
        <f>IFERROR(VLOOKUP(H59,اسماء,16,0),"")</f>
        <v>0</v>
      </c>
      <c r="G49" s="18"/>
      <c r="H49" s="27" t="str">
        <f>IF(D49=0,"",IF(D49&lt;C49*0.4,A49,""))</f>
        <v/>
      </c>
      <c r="I49" s="29" t="str">
        <f>IF(D50=0,"",IF(D50&lt;C50*0.4,A50,""))</f>
        <v/>
      </c>
      <c r="J49" s="28" t="str">
        <f>IF(D51=0,"",IF(D51&lt;C51*0.4,A51,""))</f>
        <v/>
      </c>
      <c r="L49" s="261" t="str">
        <f>ادخال1!$F$9</f>
        <v>التربية الإسلامية</v>
      </c>
      <c r="M49" s="46">
        <f>ادخال1!$F$7</f>
        <v>3</v>
      </c>
      <c r="N49" s="41">
        <f t="shared" ref="N49:N50" si="18">40*M49*0.3</f>
        <v>36</v>
      </c>
      <c r="O49" s="2">
        <f xml:space="preserve"> IFERROR(VLOOKUP(S59,اسماء,5,0),"")</f>
        <v>36</v>
      </c>
      <c r="P49" s="43">
        <f t="shared" ref="P49:P50" si="19">40*M49*0.3</f>
        <v>36</v>
      </c>
      <c r="Q49" s="2">
        <f>IFERROR(VLOOKUP(S59,اسماء,16,0),"")</f>
        <v>0</v>
      </c>
      <c r="R49" s="18"/>
      <c r="S49" s="27" t="str">
        <f>IF(O49=0,"",IF(O49&lt;N49*0.4,L49,""))</f>
        <v/>
      </c>
      <c r="T49" s="29" t="str">
        <f>IF(O50=0,"",IF(O50&lt;N50*0.4,L50,""))</f>
        <v/>
      </c>
      <c r="U49" s="28" t="str">
        <f>IF(O51=0,"",IF(O51&lt;N51*0.4,L51,""))</f>
        <v/>
      </c>
      <c r="W49" s="261" t="str">
        <f>ادخال1!$F$9</f>
        <v>التربية الإسلامية</v>
      </c>
      <c r="X49" s="46">
        <f>ادخال1!$F$7</f>
        <v>3</v>
      </c>
      <c r="Y49" s="41">
        <f t="shared" ref="Y49:Y50" si="20">40*X49*0.3</f>
        <v>36</v>
      </c>
      <c r="Z49" s="2">
        <f xml:space="preserve"> IFERROR(VLOOKUP(AD59,اسماء,5,0),"")</f>
        <v>36</v>
      </c>
      <c r="AA49" s="43">
        <f t="shared" ref="AA49:AA50" si="21">40*X49*0.3</f>
        <v>36</v>
      </c>
      <c r="AB49" s="2">
        <f>IFERROR(VLOOKUP(AD59,اسماء,16,0),"")</f>
        <v>0</v>
      </c>
      <c r="AC49" s="18"/>
      <c r="AD49" s="27" t="str">
        <f>IF(Z49=0,"",IF(Z49&lt;Y49*0.4,W49,""))</f>
        <v/>
      </c>
      <c r="AE49" s="29" t="str">
        <f>IF(Z50=0,"",IF(Z50&lt;Y50*0.4,W50,""))</f>
        <v/>
      </c>
      <c r="AF49" s="28" t="str">
        <f>IF(Z51=0,"",IF(Z51&lt;Y51*0.4,W51,""))</f>
        <v/>
      </c>
      <c r="AH49" s="261" t="str">
        <f>ادخال1!$F$9</f>
        <v>التربية الإسلامية</v>
      </c>
      <c r="AI49" s="46">
        <f>ادخال1!$F$7</f>
        <v>3</v>
      </c>
      <c r="AJ49" s="41">
        <f t="shared" ref="AJ49:AJ50" si="22">40*AI49*0.3</f>
        <v>36</v>
      </c>
      <c r="AK49" s="2" t="str">
        <f xml:space="preserve"> IFERROR(VLOOKUP(AO59,اسماء,5,0),"")</f>
        <v/>
      </c>
      <c r="AL49" s="43">
        <f t="shared" ref="AL49:AL50" si="23">40*AI49*0.3</f>
        <v>36</v>
      </c>
      <c r="AM49" s="2" t="str">
        <f>IFERROR(VLOOKUP(AO59,اسماء,16,0),"")</f>
        <v/>
      </c>
      <c r="AN49" s="18"/>
      <c r="AO49" s="27" t="str">
        <f>IF(AK49=0,"",IF(AK49&lt;AJ49*0.4,AH49,""))</f>
        <v/>
      </c>
      <c r="AP49" s="29" t="str">
        <f>IF(AK50=0,"",IF(AK50&lt;AJ50*0.4,AH50,""))</f>
        <v/>
      </c>
      <c r="AQ49" s="28" t="str">
        <f>IF(AK51=0,"",IF(AK51&lt;AJ51*0.4,AH51,""))</f>
        <v/>
      </c>
    </row>
    <row r="50" spans="1:43" ht="29.1" customHeight="1" thickBot="1" x14ac:dyDescent="0.3">
      <c r="A50" s="56" t="str">
        <f>ادخال1!$G$9</f>
        <v>اللغة العربية</v>
      </c>
      <c r="B50" s="47">
        <f>ادخال1!$G$7</f>
        <v>6</v>
      </c>
      <c r="C50" s="41">
        <f t="shared" si="16"/>
        <v>72</v>
      </c>
      <c r="D50" s="2">
        <f>IFERROR(VLOOKUP(H59,اسماء,6,0),"")</f>
        <v>68</v>
      </c>
      <c r="E50" s="43">
        <f t="shared" si="17"/>
        <v>72</v>
      </c>
      <c r="F50" s="2">
        <f>IFERROR(VLOOKUP(H59,اسماء,17,0),"")</f>
        <v>0</v>
      </c>
      <c r="G50" s="18"/>
      <c r="H50" s="118" t="str">
        <f>IF(D53=0,"",IF(D53&lt;C53*0.4,A53,""))</f>
        <v/>
      </c>
      <c r="I50" s="282" t="str">
        <f>IF(D54=0,"",IF(D54&lt;C54*0.4,A54,""))</f>
        <v/>
      </c>
      <c r="J50" s="282" t="str">
        <f>IF(D52=0,"",IF(D52&lt;C52*0.4,A52,""))</f>
        <v/>
      </c>
      <c r="L50" s="56" t="str">
        <f>ادخال1!$G$9</f>
        <v>اللغة العربية</v>
      </c>
      <c r="M50" s="47">
        <f>ادخال1!$G$7</f>
        <v>6</v>
      </c>
      <c r="N50" s="41">
        <f t="shared" si="18"/>
        <v>72</v>
      </c>
      <c r="O50" s="2">
        <f>IFERROR(VLOOKUP(S59,اسماء,6,0),"")</f>
        <v>71</v>
      </c>
      <c r="P50" s="43">
        <f t="shared" si="19"/>
        <v>72</v>
      </c>
      <c r="Q50" s="2">
        <f>IFERROR(VLOOKUP(S59,اسماء,17,0),"")</f>
        <v>0</v>
      </c>
      <c r="R50" s="18"/>
      <c r="S50" s="118" t="str">
        <f>IF(O53=0,"",IF(O53&lt;N53*0.4,L53,""))</f>
        <v/>
      </c>
      <c r="T50" s="282" t="str">
        <f>IF(O54=0,"",IF(O54&lt;N54*0.4,L54,""))</f>
        <v/>
      </c>
      <c r="U50" s="282" t="str">
        <f>IF(O52=0,"",IF(O52&lt;N52*0.4,L52,""))</f>
        <v/>
      </c>
      <c r="W50" s="56" t="str">
        <f>ادخال1!$G$9</f>
        <v>اللغة العربية</v>
      </c>
      <c r="X50" s="47">
        <f>ادخال1!$G$7</f>
        <v>6</v>
      </c>
      <c r="Y50" s="41">
        <f t="shared" si="20"/>
        <v>72</v>
      </c>
      <c r="Z50" s="2">
        <f>IFERROR(VLOOKUP(AD59,اسماء,6,0),"")</f>
        <v>71</v>
      </c>
      <c r="AA50" s="43">
        <f t="shared" si="21"/>
        <v>72</v>
      </c>
      <c r="AB50" s="2">
        <f>IFERROR(VLOOKUP(AD59,اسماء,17,0),"")</f>
        <v>0</v>
      </c>
      <c r="AC50" s="18"/>
      <c r="AD50" s="118" t="str">
        <f>IF(Z53=0,"",IF(Z53&lt;Y53*0.4,W53,""))</f>
        <v/>
      </c>
      <c r="AE50" s="282" t="str">
        <f>IF(Z54=0,"",IF(Z54&lt;Y54*0.4,W54,""))</f>
        <v/>
      </c>
      <c r="AF50" s="282" t="str">
        <f>IF(Z52=0,"",IF(Z52&lt;Y52*0.4,W52,""))</f>
        <v/>
      </c>
      <c r="AH50" s="56" t="str">
        <f>ادخال1!$G$9</f>
        <v>اللغة العربية</v>
      </c>
      <c r="AI50" s="47">
        <f>ادخال1!$G$7</f>
        <v>6</v>
      </c>
      <c r="AJ50" s="41">
        <f t="shared" si="22"/>
        <v>72</v>
      </c>
      <c r="AK50" s="2" t="str">
        <f>IFERROR(VLOOKUP(AO59,اسماء,6,0),"")</f>
        <v/>
      </c>
      <c r="AL50" s="43">
        <f t="shared" si="23"/>
        <v>72</v>
      </c>
      <c r="AM50" s="2" t="str">
        <f>IFERROR(VLOOKUP(AO59,اسماء,17,0),"")</f>
        <v/>
      </c>
      <c r="AN50" s="18"/>
      <c r="AO50" s="118" t="str">
        <f>IF(AK53=0,"",IF(AK53&lt;AJ53*0.4,AH53,""))</f>
        <v/>
      </c>
      <c r="AP50" s="282" t="str">
        <f>IF(AK54=0,"",IF(AK54&lt;AJ54*0.4,AH54,""))</f>
        <v/>
      </c>
      <c r="AQ50" s="282" t="str">
        <f>IF(AK52=0,"",IF(AK52&lt;AJ52*0.4,AH52,""))</f>
        <v/>
      </c>
    </row>
    <row r="51" spans="1:43" ht="29.1" customHeight="1" x14ac:dyDescent="0.25">
      <c r="A51" s="133" t="str">
        <f>ادخال1!$H$9</f>
        <v>اللغة الإنجليزية</v>
      </c>
      <c r="B51" s="47">
        <f>ادخال1!$H$7</f>
        <v>3</v>
      </c>
      <c r="C51" s="41">
        <f>40*B51*0.3</f>
        <v>36</v>
      </c>
      <c r="D51" s="2">
        <f>IFERROR(VLOOKUP(H59,اسماء,7,0),"")</f>
        <v>30</v>
      </c>
      <c r="E51" s="43">
        <f>40*B51*0.3</f>
        <v>36</v>
      </c>
      <c r="F51" s="2">
        <f>IFERROR(VLOOKUP(H59,اسماء,18,0),"")</f>
        <v>0</v>
      </c>
      <c r="G51" s="18"/>
      <c r="H51" s="467" t="s">
        <v>158</v>
      </c>
      <c r="I51" s="423" t="str">
        <f>IF(F55=0,"",IF(AND(F49&gt;=E49*0.4,F50&gt;=E50*0.4,F51&gt;=E51*0.4,F53&gt;=E53*0.4,F54&gt;=E54*0.4),LOOKUP(F55,'النتيجة النهائية'!$AC$6:$AD$10),"ضعيف ويحتاج الى اهتمام في المواد"))</f>
        <v/>
      </c>
      <c r="J51" s="424"/>
      <c r="L51" s="133" t="str">
        <f>ادخال1!$H$9</f>
        <v>اللغة الإنجليزية</v>
      </c>
      <c r="M51" s="47">
        <f>ادخال1!$H$7</f>
        <v>3</v>
      </c>
      <c r="N51" s="41">
        <f>40*M51*0.3</f>
        <v>36</v>
      </c>
      <c r="O51" s="2">
        <f>IFERROR(VLOOKUP(S59,اسماء,7,0),"")</f>
        <v>36</v>
      </c>
      <c r="P51" s="43">
        <f>40*M51*0.3</f>
        <v>36</v>
      </c>
      <c r="Q51" s="2">
        <f>IFERROR(VLOOKUP(S59,اسماء,18,0),"")</f>
        <v>0</v>
      </c>
      <c r="R51" s="18"/>
      <c r="S51" s="467" t="s">
        <v>158</v>
      </c>
      <c r="T51" s="423" t="str">
        <f>IF(Q55=0,"",IF(AND(Q49&gt;=P49*0.4,Q50&gt;=P50*0.4,Q51&gt;=P51*0.4,Q53&gt;=P53*0.4,Q54&gt;=P54*0.4),LOOKUP(Q55,'النتيجة النهائية'!$AC$6:$AD$10),"ضعيف ويحتاج الى اهتمام في المواد"))</f>
        <v/>
      </c>
      <c r="U51" s="424"/>
      <c r="W51" s="133" t="str">
        <f>ادخال1!$H$9</f>
        <v>اللغة الإنجليزية</v>
      </c>
      <c r="X51" s="47">
        <f>ادخال1!$H$7</f>
        <v>3</v>
      </c>
      <c r="Y51" s="41">
        <f>40*X51*0.3</f>
        <v>36</v>
      </c>
      <c r="Z51" s="2">
        <f>IFERROR(VLOOKUP(AD59,اسماء,7,0),"")</f>
        <v>35</v>
      </c>
      <c r="AA51" s="43">
        <f>40*X51*0.3</f>
        <v>36</v>
      </c>
      <c r="AB51" s="2">
        <f>IFERROR(VLOOKUP(AD59,اسماء,18,0),"")</f>
        <v>0</v>
      </c>
      <c r="AC51" s="18"/>
      <c r="AD51" s="467" t="s">
        <v>158</v>
      </c>
      <c r="AE51" s="423" t="str">
        <f>IF(AB55=0,"",IF(AND(AB49&gt;=AA49*0.4,AB50&gt;=AA50*0.4,AB51&gt;=AA51*0.4,AB53&gt;=AA53*0.4,AB54&gt;=AA54*0.4),LOOKUP(AB55,'النتيجة النهائية'!$AC$6:$AD$10),"ضعيف ويحتاج الى اهتمام في المواد"))</f>
        <v/>
      </c>
      <c r="AF51" s="424"/>
      <c r="AH51" s="133" t="str">
        <f>ادخال1!$H$9</f>
        <v>اللغة الإنجليزية</v>
      </c>
      <c r="AI51" s="47">
        <f>ادخال1!$H$7</f>
        <v>3</v>
      </c>
      <c r="AJ51" s="41">
        <f>40*AI51*0.3</f>
        <v>36</v>
      </c>
      <c r="AK51" s="2" t="str">
        <f>IFERROR(VLOOKUP(AO59,اسماء,7,0),"")</f>
        <v/>
      </c>
      <c r="AL51" s="43">
        <f>40*AI51*0.3</f>
        <v>36</v>
      </c>
      <c r="AM51" s="2" t="str">
        <f>IFERROR(VLOOKUP(AO59,اسماء,18,0),"")</f>
        <v/>
      </c>
      <c r="AN51" s="18"/>
      <c r="AO51" s="467" t="s">
        <v>158</v>
      </c>
      <c r="AP51" s="423" t="str">
        <f>IF(AM55=0,"",IF(AND(AM49&gt;=AL49*0.4,AM50&gt;=AL50*0.4,AM51&gt;=AL51*0.4,AM53&gt;=AL53*0.4,AM54&gt;=AL54*0.4),LOOKUP(AM55,'النتيجة النهائية'!$AC$6:$AD$10),"ضعيف ويحتاج الى اهتمام في المواد"))</f>
        <v/>
      </c>
      <c r="AQ51" s="424"/>
    </row>
    <row r="52" spans="1:43" ht="29.1" customHeight="1" x14ac:dyDescent="0.25">
      <c r="A52" s="133" t="str">
        <f>ادخال1!$I$9</f>
        <v>الحاسوب</v>
      </c>
      <c r="B52" s="47">
        <f>ادخال1!$I$7</f>
        <v>1</v>
      </c>
      <c r="C52" s="41">
        <f>40*B52*0.3</f>
        <v>12</v>
      </c>
      <c r="D52" s="2">
        <f>IFERROR(VLOOKUP(H59,اسماء,8,0),"")</f>
        <v>12</v>
      </c>
      <c r="E52" s="43">
        <f>40*B52*0.3</f>
        <v>12</v>
      </c>
      <c r="F52" s="2">
        <f>IFERROR(VLOOKUP(H59,اسماء,19,0),"")</f>
        <v>0</v>
      </c>
      <c r="G52" s="18"/>
      <c r="H52" s="468"/>
      <c r="I52" s="425"/>
      <c r="J52" s="426"/>
      <c r="L52" s="133" t="str">
        <f>ادخال1!$I$9</f>
        <v>الحاسوب</v>
      </c>
      <c r="M52" s="47">
        <f>ادخال1!$I$7</f>
        <v>1</v>
      </c>
      <c r="N52" s="41">
        <f>40*M52*0.3</f>
        <v>12</v>
      </c>
      <c r="O52" s="2">
        <f>IFERROR(VLOOKUP(S59,اسماء,8,0),"")</f>
        <v>12</v>
      </c>
      <c r="P52" s="43">
        <f>40*M52*0.3</f>
        <v>12</v>
      </c>
      <c r="Q52" s="2">
        <f>IFERROR(VLOOKUP(S59,اسماء,19,0),"")</f>
        <v>0</v>
      </c>
      <c r="R52" s="18"/>
      <c r="S52" s="468"/>
      <c r="T52" s="425"/>
      <c r="U52" s="426"/>
      <c r="W52" s="133" t="str">
        <f>ادخال1!$I$9</f>
        <v>الحاسوب</v>
      </c>
      <c r="X52" s="47">
        <f>ادخال1!$I$7</f>
        <v>1</v>
      </c>
      <c r="Y52" s="41">
        <f>40*X52*0.3</f>
        <v>12</v>
      </c>
      <c r="Z52" s="2">
        <f>IFERROR(VLOOKUP(AD59,اسماء,8,0),"")</f>
        <v>12</v>
      </c>
      <c r="AA52" s="43">
        <f>40*X52*0.3</f>
        <v>12</v>
      </c>
      <c r="AB52" s="2">
        <f>IFERROR(VLOOKUP(AD59,اسماء,19,0),"")</f>
        <v>0</v>
      </c>
      <c r="AC52" s="18"/>
      <c r="AD52" s="468"/>
      <c r="AE52" s="425"/>
      <c r="AF52" s="426"/>
      <c r="AH52" s="133" t="str">
        <f>ادخال1!$I$9</f>
        <v>الحاسوب</v>
      </c>
      <c r="AI52" s="47">
        <f>ادخال1!$I$7</f>
        <v>1</v>
      </c>
      <c r="AJ52" s="41">
        <f>40*AI52*0.3</f>
        <v>12</v>
      </c>
      <c r="AK52" s="2" t="str">
        <f>IFERROR(VLOOKUP(AO59,اسماء,8,0),"")</f>
        <v/>
      </c>
      <c r="AL52" s="43">
        <f>40*AI52*0.3</f>
        <v>12</v>
      </c>
      <c r="AM52" s="2" t="str">
        <f>IFERROR(VLOOKUP(AO59,اسماء,19,0),"")</f>
        <v/>
      </c>
      <c r="AN52" s="18"/>
      <c r="AO52" s="468"/>
      <c r="AP52" s="425"/>
      <c r="AQ52" s="426"/>
    </row>
    <row r="53" spans="1:43" ht="29.1" customHeight="1" x14ac:dyDescent="0.25">
      <c r="A53" s="56" t="str">
        <f>ادخال1!$J$9</f>
        <v>الرياضيات</v>
      </c>
      <c r="B53" s="47">
        <f>ادخال1!$J$7</f>
        <v>5</v>
      </c>
      <c r="C53" s="41">
        <f>40*B53*0.3</f>
        <v>60</v>
      </c>
      <c r="D53" s="2">
        <f>IFERROR(VLOOKUP(H59,اسماء,9,0),"")</f>
        <v>59</v>
      </c>
      <c r="E53" s="43">
        <f>40*B53*0.3</f>
        <v>60</v>
      </c>
      <c r="F53" s="2">
        <f>IFERROR(VLOOKUP(H59,اسماء,20,0),"")</f>
        <v>0</v>
      </c>
      <c r="G53" s="18"/>
      <c r="H53" s="27" t="str">
        <f>IF(F49=0,"",IF(F49&lt;E49*0.4,A49,""))</f>
        <v/>
      </c>
      <c r="I53" s="29" t="str">
        <f>IF(F50=0,"",IF(F50&lt;E50*0.4,A50,""))</f>
        <v/>
      </c>
      <c r="J53" s="28" t="str">
        <f>IF(F51=0,"",IF(F51&lt;E51*0.4,A51,""))</f>
        <v/>
      </c>
      <c r="L53" s="56" t="str">
        <f>ادخال1!$J$9</f>
        <v>الرياضيات</v>
      </c>
      <c r="M53" s="47">
        <f>ادخال1!$J$7</f>
        <v>5</v>
      </c>
      <c r="N53" s="41">
        <f>40*M53*0.3</f>
        <v>60</v>
      </c>
      <c r="O53" s="2">
        <f>IFERROR(VLOOKUP(S59,اسماء,9,0),"")</f>
        <v>60</v>
      </c>
      <c r="P53" s="43">
        <f>40*M53*0.3</f>
        <v>60</v>
      </c>
      <c r="Q53" s="2">
        <f>IFERROR(VLOOKUP(S59,اسماء,20,0),"")</f>
        <v>0</v>
      </c>
      <c r="R53" s="18"/>
      <c r="S53" s="27" t="str">
        <f>IF(Q49=0,"",IF(Q49&lt;P49*0.4,L49,""))</f>
        <v/>
      </c>
      <c r="T53" s="29" t="str">
        <f>IF(Q50=0,"",IF(Q50&lt;P50*0.4,L50,""))</f>
        <v/>
      </c>
      <c r="U53" s="28" t="str">
        <f>IF(Q51=0,"",IF(Q51&lt;P51*0.4,L51,""))</f>
        <v/>
      </c>
      <c r="W53" s="56" t="str">
        <f>ادخال1!$J$9</f>
        <v>الرياضيات</v>
      </c>
      <c r="X53" s="47">
        <f>ادخال1!$J$7</f>
        <v>5</v>
      </c>
      <c r="Y53" s="41">
        <f>40*X53*0.3</f>
        <v>60</v>
      </c>
      <c r="Z53" s="2">
        <f>IFERROR(VLOOKUP(AD59,اسماء,9,0),"")</f>
        <v>60</v>
      </c>
      <c r="AA53" s="43">
        <f>40*X53*0.3</f>
        <v>60</v>
      </c>
      <c r="AB53" s="2">
        <f>IFERROR(VLOOKUP(AD59,اسماء,20,0),"")</f>
        <v>0</v>
      </c>
      <c r="AC53" s="18"/>
      <c r="AD53" s="27" t="str">
        <f>IF(AB49=0,"",IF(AB49&lt;AA49*0.4,W49,""))</f>
        <v/>
      </c>
      <c r="AE53" s="29" t="str">
        <f>IF(AB50=0,"",IF(AB50&lt;AA50*0.4,W50,""))</f>
        <v/>
      </c>
      <c r="AF53" s="28" t="str">
        <f>IF(AB51=0,"",IF(AB51&lt;AA51*0.4,W51,""))</f>
        <v/>
      </c>
      <c r="AH53" s="56" t="str">
        <f>ادخال1!$J$9</f>
        <v>الرياضيات</v>
      </c>
      <c r="AI53" s="47">
        <f>ادخال1!$J$7</f>
        <v>5</v>
      </c>
      <c r="AJ53" s="41">
        <f>40*AI53*0.3</f>
        <v>60</v>
      </c>
      <c r="AK53" s="2" t="str">
        <f>IFERROR(VLOOKUP(AO59,اسماء,9,0),"")</f>
        <v/>
      </c>
      <c r="AL53" s="43">
        <f>40*AI53*0.3</f>
        <v>60</v>
      </c>
      <c r="AM53" s="2" t="str">
        <f>IFERROR(VLOOKUP(AO59,اسماء,20,0),"")</f>
        <v/>
      </c>
      <c r="AN53" s="18"/>
      <c r="AO53" s="27" t="str">
        <f>IF(AM49=0,"",IF(AM49&lt;AL49*0.4,AH49,""))</f>
        <v/>
      </c>
      <c r="AP53" s="29" t="str">
        <f>IF(AM50=0,"",IF(AM50&lt;AL50*0.4,AH50,""))</f>
        <v/>
      </c>
      <c r="AQ53" s="28" t="str">
        <f>IF(AM51=0,"",IF(AM51&lt;AL51*0.4,AH51,""))</f>
        <v/>
      </c>
    </row>
    <row r="54" spans="1:43" ht="29.1" customHeight="1" thickBot="1" x14ac:dyDescent="0.3">
      <c r="A54" s="113" t="str">
        <f>ادخال1!$K$9</f>
        <v>العلوم</v>
      </c>
      <c r="B54" s="48">
        <f>ادخال1!$K$7</f>
        <v>3</v>
      </c>
      <c r="C54" s="41">
        <f>40*B54*0.3</f>
        <v>36</v>
      </c>
      <c r="D54" s="2">
        <f>IFERROR(VLOOKUP(H59,اسماء,10,0),"")</f>
        <v>36</v>
      </c>
      <c r="E54" s="43">
        <f>40*B54*0.3</f>
        <v>36</v>
      </c>
      <c r="F54" s="2">
        <f>IFERROR(VLOOKUP(H59,اسماء,21,0),"")</f>
        <v>0</v>
      </c>
      <c r="G54" s="18"/>
      <c r="H54" s="118" t="str">
        <f>IF(F53=0,"",IF(F53&lt;E53*0.4,A53,""))</f>
        <v/>
      </c>
      <c r="I54" s="282" t="str">
        <f>IF(F54=0,"",IF(F54&lt;E54*0.4,A54,""))</f>
        <v/>
      </c>
      <c r="J54" s="282" t="str">
        <f>IF(F52=0,"",IF(F52&lt;E52*0.4,A52,""))</f>
        <v/>
      </c>
      <c r="L54" s="113" t="str">
        <f>ادخال1!$K$9</f>
        <v>العلوم</v>
      </c>
      <c r="M54" s="48">
        <f>ادخال1!$K$7</f>
        <v>3</v>
      </c>
      <c r="N54" s="41">
        <f>40*M54*0.3</f>
        <v>36</v>
      </c>
      <c r="O54" s="2">
        <f>IFERROR(VLOOKUP(S59,اسماء,10,0),"")</f>
        <v>36</v>
      </c>
      <c r="P54" s="43">
        <f>40*M54*0.3</f>
        <v>36</v>
      </c>
      <c r="Q54" s="2">
        <f>IFERROR(VLOOKUP(S59,اسماء,21,0),"")</f>
        <v>0</v>
      </c>
      <c r="R54" s="18"/>
      <c r="S54" s="118" t="str">
        <f>IF(Q53=0,"",IF(Q53&lt;P53*0.4,L53,""))</f>
        <v/>
      </c>
      <c r="T54" s="282" t="str">
        <f>IF(Q54=0,"",IF(Q54&lt;P54*0.4,L54,""))</f>
        <v/>
      </c>
      <c r="U54" s="282" t="str">
        <f>IF(Q52=0,"",IF(Q52&lt;P52*0.4,L52,""))</f>
        <v/>
      </c>
      <c r="W54" s="113" t="str">
        <f>ادخال1!$K$9</f>
        <v>العلوم</v>
      </c>
      <c r="X54" s="48">
        <f>ادخال1!$K$7</f>
        <v>3</v>
      </c>
      <c r="Y54" s="41">
        <f>40*X54*0.3</f>
        <v>36</v>
      </c>
      <c r="Z54" s="2">
        <f>IFERROR(VLOOKUP(AD59,اسماء,10,0),"")</f>
        <v>36</v>
      </c>
      <c r="AA54" s="43">
        <f>40*X54*0.3</f>
        <v>36</v>
      </c>
      <c r="AB54" s="2">
        <f>IFERROR(VLOOKUP(AD59,اسماء,21,0),"")</f>
        <v>0</v>
      </c>
      <c r="AC54" s="18"/>
      <c r="AD54" s="118" t="str">
        <f>IF(AB53=0,"",IF(AB53&lt;AA53*0.4,W53,""))</f>
        <v/>
      </c>
      <c r="AE54" s="282" t="str">
        <f>IF(AB54=0,"",IF(AB54&lt;AA54*0.4,W54,""))</f>
        <v/>
      </c>
      <c r="AF54" s="282" t="str">
        <f>IF(AB52=0,"",IF(AB52&lt;AA52*0.4,W52,""))</f>
        <v/>
      </c>
      <c r="AH54" s="113" t="str">
        <f>ادخال1!$K$9</f>
        <v>العلوم</v>
      </c>
      <c r="AI54" s="48">
        <f>ادخال1!$K$7</f>
        <v>3</v>
      </c>
      <c r="AJ54" s="41">
        <f>40*AI54*0.3</f>
        <v>36</v>
      </c>
      <c r="AK54" s="2" t="str">
        <f>IFERROR(VLOOKUP(AO59,اسماء,10,0),"")</f>
        <v/>
      </c>
      <c r="AL54" s="43">
        <f>40*AI54*0.3</f>
        <v>36</v>
      </c>
      <c r="AM54" s="2" t="str">
        <f>IFERROR(VLOOKUP(AO59,اسماء,21,0),"")</f>
        <v/>
      </c>
      <c r="AN54" s="18"/>
      <c r="AO54" s="118" t="str">
        <f>IF(AM53=0,"",IF(AM53&lt;AL53*0.4,AH53,""))</f>
        <v/>
      </c>
      <c r="AP54" s="282" t="str">
        <f>IF(AM54=0,"",IF(AM54&lt;AL54*0.4,AH54,""))</f>
        <v/>
      </c>
      <c r="AQ54" s="282" t="str">
        <f>IF(AM52=0,"",IF(AM52&lt;AL52*0.4,AH52,""))</f>
        <v/>
      </c>
    </row>
    <row r="55" spans="1:43" ht="29.1" customHeight="1" thickBot="1" x14ac:dyDescent="0.3">
      <c r="A55" s="58" t="s">
        <v>56</v>
      </c>
      <c r="B55" s="30"/>
      <c r="C55" s="42">
        <f>SUM(C49:C54)</f>
        <v>252</v>
      </c>
      <c r="D55" s="114">
        <f>SUM(D49:D54)</f>
        <v>241</v>
      </c>
      <c r="E55" s="42">
        <f>SUM(E49:E54)</f>
        <v>252</v>
      </c>
      <c r="F55" s="114">
        <f>SUM(F49:F54)</f>
        <v>0</v>
      </c>
      <c r="G55" s="18"/>
      <c r="H55" s="196" t="s">
        <v>65</v>
      </c>
      <c r="I55" s="421" t="str">
        <f>ادخال1!$BJ$5</f>
        <v>د. عبدالرحمن خليفة العريبي</v>
      </c>
      <c r="J55" s="422"/>
      <c r="L55" s="58" t="s">
        <v>56</v>
      </c>
      <c r="M55" s="30"/>
      <c r="N55" s="42">
        <f>SUM(N49:N54)</f>
        <v>252</v>
      </c>
      <c r="O55" s="114">
        <f>SUM(O49:O54)</f>
        <v>251</v>
      </c>
      <c r="P55" s="42">
        <f>SUM(P49:P54)</f>
        <v>252</v>
      </c>
      <c r="Q55" s="114">
        <f>SUM(Q49:Q54)</f>
        <v>0</v>
      </c>
      <c r="R55" s="18"/>
      <c r="S55" s="196" t="s">
        <v>65</v>
      </c>
      <c r="T55" s="421" t="str">
        <f>ادخال1!$BJ$5</f>
        <v>د. عبدالرحمن خليفة العريبي</v>
      </c>
      <c r="U55" s="422"/>
      <c r="W55" s="58" t="s">
        <v>56</v>
      </c>
      <c r="X55" s="30"/>
      <c r="Y55" s="42">
        <f>SUM(Y49:Y54)</f>
        <v>252</v>
      </c>
      <c r="Z55" s="114">
        <f>SUM(Z49:Z54)</f>
        <v>250</v>
      </c>
      <c r="AA55" s="42">
        <f>SUM(AA49:AA54)</f>
        <v>252</v>
      </c>
      <c r="AB55" s="114">
        <f>SUM(AB49:AB54)</f>
        <v>0</v>
      </c>
      <c r="AC55" s="18"/>
      <c r="AD55" s="196" t="s">
        <v>65</v>
      </c>
      <c r="AE55" s="421" t="str">
        <f>ادخال1!$BJ$5</f>
        <v>د. عبدالرحمن خليفة العريبي</v>
      </c>
      <c r="AF55" s="422"/>
      <c r="AH55" s="58" t="s">
        <v>56</v>
      </c>
      <c r="AI55" s="30"/>
      <c r="AJ55" s="42">
        <f>SUM(AJ49:AJ54)</f>
        <v>252</v>
      </c>
      <c r="AK55" s="114">
        <f>SUM(AK49:AK54)</f>
        <v>0</v>
      </c>
      <c r="AL55" s="42">
        <f>SUM(AL49:AL54)</f>
        <v>252</v>
      </c>
      <c r="AM55" s="114">
        <f>SUM(AM49:AM54)</f>
        <v>0</v>
      </c>
      <c r="AN55" s="18"/>
      <c r="AO55" s="196" t="s">
        <v>65</v>
      </c>
      <c r="AP55" s="421" t="str">
        <f>ادخال1!$BJ$5</f>
        <v>د. عبدالرحمن خليفة العريبي</v>
      </c>
      <c r="AQ55" s="422"/>
    </row>
    <row r="56" spans="1:43" ht="29.1" customHeight="1" thickBot="1" x14ac:dyDescent="0.3">
      <c r="A56" s="331" t="str">
        <f>ادخال1!$M$8</f>
        <v>التربية الفنية</v>
      </c>
      <c r="B56" s="49">
        <f>ادخال1!$M$7</f>
        <v>1</v>
      </c>
      <c r="C56" s="446" t="str">
        <f>IFERROR(VLOOKUP(H59,اسماء,12,0),"")</f>
        <v>جيد جداً</v>
      </c>
      <c r="D56" s="447"/>
      <c r="E56" s="446">
        <f>IFERROR(VLOOKUP(H59,اسماء,23,0),"")</f>
        <v>0</v>
      </c>
      <c r="F56" s="447"/>
      <c r="G56" s="18"/>
      <c r="H56" s="15" t="s">
        <v>67</v>
      </c>
      <c r="I56" s="448">
        <f ca="1">TODAY()</f>
        <v>46009</v>
      </c>
      <c r="J56" s="449"/>
      <c r="L56" s="331" t="str">
        <f>ادخال1!$M$8</f>
        <v>التربية الفنية</v>
      </c>
      <c r="M56" s="49">
        <f>ادخال1!$M$7</f>
        <v>1</v>
      </c>
      <c r="N56" s="446" t="str">
        <f>IFERROR(VLOOKUP(S59,اسماء,12,0),"")</f>
        <v>جيد جداً</v>
      </c>
      <c r="O56" s="447"/>
      <c r="P56" s="446">
        <f>IFERROR(VLOOKUP(S59,اسماء,23,0),"")</f>
        <v>0</v>
      </c>
      <c r="Q56" s="447"/>
      <c r="R56" s="18"/>
      <c r="S56" s="15" t="s">
        <v>67</v>
      </c>
      <c r="T56" s="448">
        <f ca="1">TODAY()</f>
        <v>46009</v>
      </c>
      <c r="U56" s="449"/>
      <c r="W56" s="331" t="str">
        <f>ادخال1!$M$8</f>
        <v>التربية الفنية</v>
      </c>
      <c r="X56" s="49">
        <f>ادخال1!$M$7</f>
        <v>1</v>
      </c>
      <c r="Y56" s="446" t="str">
        <f>IFERROR(VLOOKUP(AD59,اسماء,12,0),"")</f>
        <v>جيد جداً</v>
      </c>
      <c r="Z56" s="447"/>
      <c r="AA56" s="446">
        <f>IFERROR(VLOOKUP(AD59,اسماء,23,0),"")</f>
        <v>0</v>
      </c>
      <c r="AB56" s="447"/>
      <c r="AC56" s="18"/>
      <c r="AD56" s="15" t="s">
        <v>67</v>
      </c>
      <c r="AE56" s="448">
        <f ca="1">TODAY()</f>
        <v>46009</v>
      </c>
      <c r="AF56" s="449"/>
      <c r="AH56" s="331" t="str">
        <f>ادخال1!$M$8</f>
        <v>التربية الفنية</v>
      </c>
      <c r="AI56" s="49">
        <f>ادخال1!$M$7</f>
        <v>1</v>
      </c>
      <c r="AJ56" s="446" t="str">
        <f>IFERROR(VLOOKUP(AO59,اسماء,12,0),"")</f>
        <v/>
      </c>
      <c r="AK56" s="447"/>
      <c r="AL56" s="446" t="str">
        <f>IFERROR(VLOOKUP(AO59,اسماء,23,0),"")</f>
        <v/>
      </c>
      <c r="AM56" s="447"/>
      <c r="AN56" s="18"/>
      <c r="AO56" s="15" t="s">
        <v>67</v>
      </c>
      <c r="AP56" s="448">
        <f ca="1">TODAY()</f>
        <v>46009</v>
      </c>
      <c r="AQ56" s="449"/>
    </row>
    <row r="57" spans="1:43" ht="29.1" customHeight="1" thickBot="1" x14ac:dyDescent="0.3">
      <c r="A57" s="332" t="str">
        <f>ادخال1!$N$8</f>
        <v>التربية البدنية</v>
      </c>
      <c r="B57" s="50">
        <f>ادخال1!$N$7</f>
        <v>2</v>
      </c>
      <c r="C57" s="432" t="str">
        <f>IFERROR(VLOOKUP(H59,اسماء,13,0),"")</f>
        <v>جيد جداً</v>
      </c>
      <c r="D57" s="433"/>
      <c r="E57" s="432">
        <f>IFERROR(VLOOKUP(H59,اسماء,24,0),"")</f>
        <v>0</v>
      </c>
      <c r="F57" s="433"/>
      <c r="G57" s="18"/>
      <c r="H57" s="68"/>
      <c r="I57" s="448"/>
      <c r="J57" s="449"/>
      <c r="L57" s="332" t="str">
        <f>ادخال1!$N$8</f>
        <v>التربية البدنية</v>
      </c>
      <c r="M57" s="50">
        <f>ادخال1!$N$7</f>
        <v>2</v>
      </c>
      <c r="N57" s="432" t="str">
        <f>IFERROR(VLOOKUP(S59,اسماء,13,0),"")</f>
        <v>جيد جداً</v>
      </c>
      <c r="O57" s="433"/>
      <c r="P57" s="432">
        <f>IFERROR(VLOOKUP(S59,اسماء,24,0),"")</f>
        <v>0</v>
      </c>
      <c r="Q57" s="433"/>
      <c r="R57" s="18"/>
      <c r="S57" s="68"/>
      <c r="T57" s="448"/>
      <c r="U57" s="449"/>
      <c r="W57" s="332" t="str">
        <f>ادخال1!$N$8</f>
        <v>التربية البدنية</v>
      </c>
      <c r="X57" s="50">
        <f>ادخال1!$N$7</f>
        <v>2</v>
      </c>
      <c r="Y57" s="432" t="str">
        <f>IFERROR(VLOOKUP(AD59,اسماء,13,0),"")</f>
        <v>جيد جداً</v>
      </c>
      <c r="Z57" s="433"/>
      <c r="AA57" s="432">
        <f>IFERROR(VLOOKUP(AD59,اسماء,24,0),"")</f>
        <v>0</v>
      </c>
      <c r="AB57" s="433"/>
      <c r="AC57" s="18"/>
      <c r="AD57" s="68"/>
      <c r="AE57" s="448"/>
      <c r="AF57" s="449"/>
      <c r="AH57" s="332" t="str">
        <f>ادخال1!$N$8</f>
        <v>التربية البدنية</v>
      </c>
      <c r="AI57" s="50">
        <f>ادخال1!$N$7</f>
        <v>2</v>
      </c>
      <c r="AJ57" s="432" t="str">
        <f>IFERROR(VLOOKUP(AO59,اسماء,13,0),"")</f>
        <v/>
      </c>
      <c r="AK57" s="433"/>
      <c r="AL57" s="432" t="str">
        <f>IFERROR(VLOOKUP(AO59,اسماء,24,0),"")</f>
        <v/>
      </c>
      <c r="AM57" s="433"/>
      <c r="AN57" s="18"/>
      <c r="AO57" s="68"/>
      <c r="AP57" s="448"/>
      <c r="AQ57" s="449"/>
    </row>
    <row r="58" spans="1:43" ht="29.1" customHeight="1" x14ac:dyDescent="0.25">
      <c r="A58" s="362" t="str">
        <f>ادخال1!$O$8</f>
        <v>مكتبة</v>
      </c>
      <c r="B58" s="363">
        <f>ادخال1!$O$7</f>
        <v>1</v>
      </c>
      <c r="C58" s="436"/>
      <c r="D58" s="437"/>
      <c r="E58" s="475"/>
      <c r="F58" s="476"/>
      <c r="G58" s="18"/>
      <c r="H58" s="68"/>
      <c r="I58" s="333"/>
      <c r="J58" s="334"/>
      <c r="L58" s="362" t="str">
        <f>ادخال1!$O$8</f>
        <v>مكتبة</v>
      </c>
      <c r="M58" s="363">
        <f>ادخال1!$O$7</f>
        <v>1</v>
      </c>
      <c r="N58" s="436"/>
      <c r="O58" s="437"/>
      <c r="P58" s="475"/>
      <c r="Q58" s="476"/>
      <c r="R58" s="18"/>
      <c r="S58" s="68"/>
      <c r="T58" s="333"/>
      <c r="U58" s="334"/>
      <c r="W58" s="362" t="str">
        <f>ادخال1!$O$8</f>
        <v>مكتبة</v>
      </c>
      <c r="X58" s="363">
        <f>ادخال1!$O$7</f>
        <v>1</v>
      </c>
      <c r="Y58" s="436"/>
      <c r="Z58" s="437"/>
      <c r="AA58" s="475"/>
      <c r="AB58" s="476"/>
      <c r="AC58" s="18"/>
      <c r="AD58" s="68"/>
      <c r="AE58" s="333"/>
      <c r="AF58" s="334"/>
      <c r="AH58" s="362" t="str">
        <f>ادخال1!$O$8</f>
        <v>مكتبة</v>
      </c>
      <c r="AI58" s="363">
        <f>ادخال1!$O$7</f>
        <v>1</v>
      </c>
      <c r="AJ58" s="436"/>
      <c r="AK58" s="437"/>
      <c r="AL58" s="475"/>
      <c r="AM58" s="476"/>
      <c r="AN58" s="18"/>
      <c r="AO58" s="68"/>
      <c r="AP58" s="333"/>
      <c r="AQ58" s="334"/>
    </row>
    <row r="59" spans="1:43" ht="29.1" customHeight="1" thickBot="1" x14ac:dyDescent="0.3">
      <c r="A59" s="192" t="s">
        <v>120</v>
      </c>
      <c r="B59" s="420">
        <f>IFERROR(VLOOKUP(H59,اسماء,65,0),"")</f>
        <v>120171178433</v>
      </c>
      <c r="C59" s="420" t="str">
        <f>IFERROR(VLOOKUP(G64,اسماء,8,0),"")</f>
        <v/>
      </c>
      <c r="D59" s="420" t="str">
        <f>IFERROR(VLOOKUP(H64,اسماء,8,0),"")</f>
        <v/>
      </c>
      <c r="E59" s="420" t="str">
        <f>IFERROR(VLOOKUP(I64,اسماء,8,0),"")</f>
        <v/>
      </c>
      <c r="F59" s="18"/>
      <c r="G59" s="18"/>
      <c r="H59" s="421" t="str">
        <f>INDEX(عمود2,MATCH(J45,عمود1))</f>
        <v>عبد العاطى احمد محمود محمد</v>
      </c>
      <c r="I59" s="421"/>
      <c r="J59" s="422"/>
      <c r="L59" s="192" t="s">
        <v>120</v>
      </c>
      <c r="M59" s="420">
        <f>IFERROR(VLOOKUP(S59,اسماء,65,0),"")</f>
        <v>220170068259</v>
      </c>
      <c r="N59" s="420" t="str">
        <f>IFERROR(VLOOKUP(R64,اسماء,8,0),"")</f>
        <v/>
      </c>
      <c r="O59" s="420" t="str">
        <f>IFERROR(VLOOKUP(S64,اسماء,8,0),"")</f>
        <v/>
      </c>
      <c r="P59" s="420" t="str">
        <f>IFERROR(VLOOKUP(T64,اسماء,8,0),"")</f>
        <v/>
      </c>
      <c r="Q59" s="18"/>
      <c r="R59" s="18"/>
      <c r="S59" s="421" t="str">
        <f>INDEX(عمود2,MATCH(U45,عمود1))</f>
        <v>مريم سامى محمد النفاتى</v>
      </c>
      <c r="T59" s="421"/>
      <c r="U59" s="422"/>
      <c r="W59" s="192" t="s">
        <v>120</v>
      </c>
      <c r="X59" s="420">
        <f>IFERROR(VLOOKUP(AD59,اسماء,65,0),"")</f>
        <v>220171103360</v>
      </c>
      <c r="Y59" s="420" t="str">
        <f>IFERROR(VLOOKUP(AC64,اسماء,8,0),"")</f>
        <v/>
      </c>
      <c r="Z59" s="420" t="str">
        <f>IFERROR(VLOOKUP(AD64,اسماء,8,0),"")</f>
        <v/>
      </c>
      <c r="AA59" s="420" t="str">
        <f>IFERROR(VLOOKUP(AE64,اسماء,8,0),"")</f>
        <v/>
      </c>
      <c r="AB59" s="18"/>
      <c r="AC59" s="18"/>
      <c r="AD59" s="421" t="str">
        <f>INDEX(عمود2,MATCH(AF45,عمود1))</f>
        <v>ريم احمد ابوبكر النفاتى</v>
      </c>
      <c r="AE59" s="421"/>
      <c r="AF59" s="422"/>
      <c r="AH59" s="192" t="s">
        <v>120</v>
      </c>
      <c r="AI59" s="420" t="str">
        <f>IFERROR(VLOOKUP(AO59,اسماء,65,0),"")</f>
        <v/>
      </c>
      <c r="AJ59" s="420" t="str">
        <f>IFERROR(VLOOKUP(AN64,اسماء,8,0),"")</f>
        <v/>
      </c>
      <c r="AK59" s="420" t="str">
        <f>IFERROR(VLOOKUP(AO64,اسماء,8,0),"")</f>
        <v/>
      </c>
      <c r="AL59" s="420" t="str">
        <f>IFERROR(VLOOKUP(AP64,اسماء,8,0),"")</f>
        <v/>
      </c>
      <c r="AM59" s="18"/>
      <c r="AN59" s="18"/>
      <c r="AO59" s="421">
        <f>INDEX(عمود2,MATCH(AQ45,عمود1))</f>
        <v>0</v>
      </c>
      <c r="AP59" s="421"/>
      <c r="AQ59" s="422"/>
    </row>
    <row r="60" spans="1:43" ht="29.1" customHeight="1" x14ac:dyDescent="0.25">
      <c r="A60" s="444" t="s">
        <v>58</v>
      </c>
      <c r="B60" s="445"/>
      <c r="C60" s="432">
        <f>IFERROR(VLOOKUP(H59,اسماء,37,0),"")</f>
        <v>0</v>
      </c>
      <c r="D60" s="433"/>
      <c r="E60" s="432">
        <f>IFERROR(VLOOKUP(H59,اسماء,38,0),"")</f>
        <v>0</v>
      </c>
      <c r="F60" s="433"/>
      <c r="G60" s="18"/>
      <c r="H60" s="471" t="s">
        <v>90</v>
      </c>
      <c r="I60" s="471"/>
      <c r="J60" s="472"/>
      <c r="L60" s="444" t="s">
        <v>58</v>
      </c>
      <c r="M60" s="445"/>
      <c r="N60" s="432">
        <f>IFERROR(VLOOKUP(S59,اسماء,37,0),"")</f>
        <v>0</v>
      </c>
      <c r="O60" s="433"/>
      <c r="P60" s="432">
        <f>IFERROR(VLOOKUP(S59,اسماء,38,0),"")</f>
        <v>0</v>
      </c>
      <c r="Q60" s="433"/>
      <c r="R60" s="18"/>
      <c r="S60" s="471" t="s">
        <v>90</v>
      </c>
      <c r="T60" s="471"/>
      <c r="U60" s="472"/>
      <c r="W60" s="444" t="s">
        <v>58</v>
      </c>
      <c r="X60" s="445"/>
      <c r="Y60" s="432">
        <f>IFERROR(VLOOKUP(AD59,اسماء,37,0),"")</f>
        <v>0</v>
      </c>
      <c r="Z60" s="433"/>
      <c r="AA60" s="432">
        <f>IFERROR(VLOOKUP(AD59,اسماء,38,0),"")</f>
        <v>0</v>
      </c>
      <c r="AB60" s="433"/>
      <c r="AC60" s="18"/>
      <c r="AD60" s="471" t="s">
        <v>90</v>
      </c>
      <c r="AE60" s="471"/>
      <c r="AF60" s="472"/>
      <c r="AH60" s="444" t="s">
        <v>58</v>
      </c>
      <c r="AI60" s="445"/>
      <c r="AJ60" s="432" t="str">
        <f>IFERROR(VLOOKUP(AO59,اسماء,37,0),"")</f>
        <v/>
      </c>
      <c r="AK60" s="433"/>
      <c r="AL60" s="432" t="str">
        <f>IFERROR(VLOOKUP(AO59,اسماء,38,0),"")</f>
        <v/>
      </c>
      <c r="AM60" s="433"/>
      <c r="AN60" s="18"/>
      <c r="AO60" s="471" t="s">
        <v>90</v>
      </c>
      <c r="AP60" s="471"/>
      <c r="AQ60" s="472"/>
    </row>
    <row r="61" spans="1:43" ht="15" customHeight="1" x14ac:dyDescent="0.25">
      <c r="A61" s="434" t="s">
        <v>59</v>
      </c>
      <c r="B61" s="435"/>
      <c r="C61" s="436">
        <f>IFERROR(VLOOKUP(H59,اسماء,40,0),"")</f>
        <v>0</v>
      </c>
      <c r="D61" s="437"/>
      <c r="E61" s="436">
        <f>IFERROR(VLOOKUP(H59,اسماء,42,0),"")</f>
        <v>0</v>
      </c>
      <c r="F61" s="437"/>
      <c r="G61" s="18"/>
      <c r="H61" s="471"/>
      <c r="I61" s="471"/>
      <c r="J61" s="472"/>
      <c r="L61" s="434" t="s">
        <v>59</v>
      </c>
      <c r="M61" s="435"/>
      <c r="N61" s="436">
        <f>IFERROR(VLOOKUP(S59,اسماء,40,0),"")</f>
        <v>0</v>
      </c>
      <c r="O61" s="437"/>
      <c r="P61" s="436">
        <f>IFERROR(VLOOKUP(S59,اسماء,42,0),"")</f>
        <v>0</v>
      </c>
      <c r="Q61" s="437"/>
      <c r="R61" s="18"/>
      <c r="S61" s="471"/>
      <c r="T61" s="471"/>
      <c r="U61" s="472"/>
      <c r="W61" s="434" t="s">
        <v>59</v>
      </c>
      <c r="X61" s="435"/>
      <c r="Y61" s="436">
        <f>IFERROR(VLOOKUP(AD59,اسماء,40,0),"")</f>
        <v>0</v>
      </c>
      <c r="Z61" s="437"/>
      <c r="AA61" s="436">
        <f>IFERROR(VLOOKUP(AD59,اسماء,42,0),"")</f>
        <v>0</v>
      </c>
      <c r="AB61" s="437"/>
      <c r="AC61" s="18"/>
      <c r="AD61" s="471"/>
      <c r="AE61" s="471"/>
      <c r="AF61" s="472"/>
      <c r="AH61" s="434" t="s">
        <v>59</v>
      </c>
      <c r="AI61" s="435"/>
      <c r="AJ61" s="436" t="str">
        <f>IFERROR(VLOOKUP(AO59,اسماء,40,0),"")</f>
        <v/>
      </c>
      <c r="AK61" s="437"/>
      <c r="AL61" s="436" t="str">
        <f>IFERROR(VLOOKUP(AO59,اسماء,42,0),"")</f>
        <v/>
      </c>
      <c r="AM61" s="437"/>
      <c r="AN61" s="18"/>
      <c r="AO61" s="471"/>
      <c r="AP61" s="471"/>
      <c r="AQ61" s="472"/>
    </row>
    <row r="62" spans="1:43" ht="29.1" customHeight="1" thickBot="1" x14ac:dyDescent="0.3">
      <c r="A62" s="438" t="s">
        <v>60</v>
      </c>
      <c r="B62" s="439"/>
      <c r="C62" s="440">
        <f>IFERROR(VLOOKUP(H59,اسماء,41,0),"")</f>
        <v>0</v>
      </c>
      <c r="D62" s="441"/>
      <c r="E62" s="440">
        <f>IFERROR(VLOOKUP(H59,اسماء,43,0),"")</f>
        <v>0</v>
      </c>
      <c r="F62" s="441"/>
      <c r="G62" s="18"/>
      <c r="H62" s="473"/>
      <c r="I62" s="473"/>
      <c r="J62" s="474"/>
      <c r="L62" s="438" t="s">
        <v>60</v>
      </c>
      <c r="M62" s="439"/>
      <c r="N62" s="440">
        <f>IFERROR(VLOOKUP(S59,اسماء,41,0),"")</f>
        <v>0</v>
      </c>
      <c r="O62" s="441"/>
      <c r="P62" s="440">
        <f>IFERROR(VLOOKUP(S59,اسماء,43,0),"")</f>
        <v>0</v>
      </c>
      <c r="Q62" s="441"/>
      <c r="R62" s="18"/>
      <c r="S62" s="473"/>
      <c r="T62" s="473"/>
      <c r="U62" s="474"/>
      <c r="W62" s="438" t="s">
        <v>60</v>
      </c>
      <c r="X62" s="439"/>
      <c r="Y62" s="440">
        <f>IFERROR(VLOOKUP(AD59,اسماء,41,0),"")</f>
        <v>0</v>
      </c>
      <c r="Z62" s="441"/>
      <c r="AA62" s="440">
        <f>IFERROR(VLOOKUP(AD59,اسماء,43,0),"")</f>
        <v>0</v>
      </c>
      <c r="AB62" s="441"/>
      <c r="AC62" s="18"/>
      <c r="AD62" s="473"/>
      <c r="AE62" s="473"/>
      <c r="AF62" s="474"/>
      <c r="AH62" s="438" t="s">
        <v>60</v>
      </c>
      <c r="AI62" s="439"/>
      <c r="AJ62" s="440" t="str">
        <f>IFERROR(VLOOKUP(AO59,اسماء,41,0),"")</f>
        <v/>
      </c>
      <c r="AK62" s="441"/>
      <c r="AL62" s="440" t="str">
        <f>IFERROR(VLOOKUP(AO59,اسماء,43,0),"")</f>
        <v/>
      </c>
      <c r="AM62" s="441"/>
      <c r="AN62" s="18"/>
      <c r="AO62" s="473"/>
      <c r="AP62" s="473"/>
      <c r="AQ62" s="474"/>
    </row>
    <row r="63" spans="1:43" ht="29.1" customHeight="1" x14ac:dyDescent="0.25">
      <c r="A63" s="27" t="s">
        <v>64</v>
      </c>
      <c r="B63" s="435"/>
      <c r="C63" s="435"/>
      <c r="D63" s="436"/>
      <c r="E63" s="442"/>
      <c r="F63" s="442"/>
      <c r="G63" s="437"/>
      <c r="H63" s="436"/>
      <c r="I63" s="443"/>
      <c r="J63" s="284"/>
      <c r="L63" s="115" t="s">
        <v>64</v>
      </c>
      <c r="M63" s="435"/>
      <c r="N63" s="435"/>
      <c r="O63" s="436"/>
      <c r="P63" s="442"/>
      <c r="Q63" s="442"/>
      <c r="R63" s="437"/>
      <c r="S63" s="436"/>
      <c r="T63" s="443"/>
      <c r="U63" s="284"/>
      <c r="W63" s="115" t="s">
        <v>64</v>
      </c>
      <c r="X63" s="435"/>
      <c r="Y63" s="435"/>
      <c r="Z63" s="436"/>
      <c r="AA63" s="442"/>
      <c r="AB63" s="442"/>
      <c r="AC63" s="437"/>
      <c r="AD63" s="436"/>
      <c r="AE63" s="443"/>
      <c r="AF63" s="284"/>
      <c r="AH63" s="115" t="s">
        <v>64</v>
      </c>
      <c r="AI63" s="435"/>
      <c r="AJ63" s="435"/>
      <c r="AK63" s="436"/>
      <c r="AL63" s="442"/>
      <c r="AM63" s="442"/>
      <c r="AN63" s="437"/>
      <c r="AO63" s="436"/>
      <c r="AP63" s="443"/>
      <c r="AQ63" s="284"/>
    </row>
    <row r="64" spans="1:43" ht="29.1" customHeight="1" thickBot="1" x14ac:dyDescent="0.3">
      <c r="A64" s="118" t="s">
        <v>66</v>
      </c>
      <c r="B64" s="456"/>
      <c r="C64" s="456"/>
      <c r="D64" s="440"/>
      <c r="E64" s="452"/>
      <c r="F64" s="452"/>
      <c r="G64" s="441"/>
      <c r="H64" s="440"/>
      <c r="I64" s="486"/>
      <c r="J64" s="291"/>
      <c r="L64" s="117" t="s">
        <v>66</v>
      </c>
      <c r="M64" s="427"/>
      <c r="N64" s="427"/>
      <c r="O64" s="428"/>
      <c r="P64" s="429"/>
      <c r="Q64" s="429"/>
      <c r="R64" s="430"/>
      <c r="S64" s="428"/>
      <c r="T64" s="431"/>
      <c r="U64" s="291"/>
      <c r="W64" s="117" t="s">
        <v>66</v>
      </c>
      <c r="X64" s="427"/>
      <c r="Y64" s="427"/>
      <c r="Z64" s="428"/>
      <c r="AA64" s="429"/>
      <c r="AB64" s="429"/>
      <c r="AC64" s="430"/>
      <c r="AD64" s="428"/>
      <c r="AE64" s="431"/>
      <c r="AF64" s="291"/>
      <c r="AH64" s="117" t="s">
        <v>66</v>
      </c>
      <c r="AI64" s="427"/>
      <c r="AJ64" s="427"/>
      <c r="AK64" s="428"/>
      <c r="AL64" s="429"/>
      <c r="AM64" s="429"/>
      <c r="AN64" s="430"/>
      <c r="AO64" s="428"/>
      <c r="AP64" s="431"/>
      <c r="AQ64" s="291"/>
    </row>
    <row r="65" spans="1:43" ht="29.1" customHeight="1" thickBot="1" x14ac:dyDescent="0.3"/>
    <row r="66" spans="1:43" ht="29.1" customHeight="1" thickTop="1" x14ac:dyDescent="0.25">
      <c r="A66" s="465" t="s">
        <v>80</v>
      </c>
      <c r="B66" s="466"/>
      <c r="C66" s="466"/>
      <c r="D66" s="466" t="str">
        <f>ادخال1!$L$4</f>
        <v>الثالث</v>
      </c>
      <c r="E66" s="466"/>
      <c r="F66" s="275" t="s">
        <v>81</v>
      </c>
      <c r="G66" s="275"/>
      <c r="H66" s="275"/>
      <c r="I66" s="275"/>
      <c r="J66" s="292">
        <f>J45+1</f>
        <v>7</v>
      </c>
      <c r="L66" s="465" t="s">
        <v>80</v>
      </c>
      <c r="M66" s="466"/>
      <c r="N66" s="466"/>
      <c r="O66" s="466" t="str">
        <f>ادخال1!$L$4</f>
        <v>الثالث</v>
      </c>
      <c r="P66" s="466"/>
      <c r="Q66" s="275" t="s">
        <v>81</v>
      </c>
      <c r="R66" s="275"/>
      <c r="S66" s="275"/>
      <c r="T66" s="275"/>
      <c r="U66" s="292">
        <f>U45+1</f>
        <v>12</v>
      </c>
      <c r="W66" s="465" t="s">
        <v>80</v>
      </c>
      <c r="X66" s="466"/>
      <c r="Y66" s="466"/>
      <c r="Z66" s="466" t="str">
        <f>ادخال1!$L$4</f>
        <v>الثالث</v>
      </c>
      <c r="AA66" s="466"/>
      <c r="AB66" s="275" t="s">
        <v>81</v>
      </c>
      <c r="AC66" s="275"/>
      <c r="AD66" s="275"/>
      <c r="AE66" s="275"/>
      <c r="AF66" s="292">
        <f>AF45+1</f>
        <v>17</v>
      </c>
      <c r="AH66" s="465" t="s">
        <v>80</v>
      </c>
      <c r="AI66" s="466"/>
      <c r="AJ66" s="466"/>
      <c r="AK66" s="466" t="str">
        <f>ادخال1!$L$4</f>
        <v>الثالث</v>
      </c>
      <c r="AL66" s="466"/>
      <c r="AM66" s="275" t="s">
        <v>81</v>
      </c>
      <c r="AN66" s="275"/>
      <c r="AO66" s="275"/>
      <c r="AP66" s="275"/>
      <c r="AQ66" s="292">
        <f>AQ45+1</f>
        <v>22</v>
      </c>
    </row>
    <row r="67" spans="1:43" ht="29.1" customHeight="1" thickBot="1" x14ac:dyDescent="0.3">
      <c r="A67" s="1" t="s">
        <v>153</v>
      </c>
      <c r="B67" s="455" t="str">
        <f>ادخال1!$B$5</f>
        <v>سهول العلم للتعليم الخاص</v>
      </c>
      <c r="C67" s="455"/>
      <c r="D67" s="455"/>
      <c r="E67" s="455"/>
      <c r="F67" s="274" t="s">
        <v>9</v>
      </c>
      <c r="G67" s="453">
        <f>H78</f>
        <v>0</v>
      </c>
      <c r="H67" s="453"/>
      <c r="I67" s="453"/>
      <c r="J67" s="454"/>
      <c r="L67" s="1" t="s">
        <v>153</v>
      </c>
      <c r="M67" s="455" t="str">
        <f>ادخال1!$B$5</f>
        <v>سهول العلم للتعليم الخاص</v>
      </c>
      <c r="N67" s="455"/>
      <c r="O67" s="455"/>
      <c r="P67" s="455"/>
      <c r="Q67" s="274" t="s">
        <v>9</v>
      </c>
      <c r="R67" s="453">
        <f>S78</f>
        <v>0</v>
      </c>
      <c r="S67" s="453"/>
      <c r="T67" s="453"/>
      <c r="U67" s="454"/>
      <c r="W67" s="1" t="s">
        <v>153</v>
      </c>
      <c r="X67" s="455" t="str">
        <f>ادخال1!$B$5</f>
        <v>سهول العلم للتعليم الخاص</v>
      </c>
      <c r="Y67" s="455"/>
      <c r="Z67" s="455"/>
      <c r="AA67" s="455"/>
      <c r="AB67" s="274" t="s">
        <v>9</v>
      </c>
      <c r="AC67" s="453">
        <f>AD78</f>
        <v>0</v>
      </c>
      <c r="AD67" s="453"/>
      <c r="AE67" s="453"/>
      <c r="AF67" s="454"/>
      <c r="AH67" s="1" t="s">
        <v>153</v>
      </c>
      <c r="AI67" s="455" t="str">
        <f>ادخال1!$B$5</f>
        <v>سهول العلم للتعليم الخاص</v>
      </c>
      <c r="AJ67" s="455"/>
      <c r="AK67" s="455"/>
      <c r="AL67" s="455"/>
      <c r="AM67" s="274" t="s">
        <v>9</v>
      </c>
      <c r="AN67" s="453">
        <f>AO78</f>
        <v>0</v>
      </c>
      <c r="AO67" s="453"/>
      <c r="AP67" s="453"/>
      <c r="AQ67" s="454"/>
    </row>
    <row r="68" spans="1:43" ht="29.1" customHeight="1" thickBot="1" x14ac:dyDescent="0.3">
      <c r="A68" s="262" t="s">
        <v>45</v>
      </c>
      <c r="B68" s="457" t="s">
        <v>12</v>
      </c>
      <c r="C68" s="459" t="s">
        <v>46</v>
      </c>
      <c r="D68" s="460"/>
      <c r="E68" s="461" t="s">
        <v>47</v>
      </c>
      <c r="F68" s="460"/>
      <c r="G68" s="26"/>
      <c r="H68" s="462" t="s">
        <v>50</v>
      </c>
      <c r="I68" s="463"/>
      <c r="J68" s="464"/>
      <c r="L68" s="262" t="s">
        <v>45</v>
      </c>
      <c r="M68" s="457" t="s">
        <v>12</v>
      </c>
      <c r="N68" s="459" t="s">
        <v>46</v>
      </c>
      <c r="O68" s="460"/>
      <c r="P68" s="461" t="s">
        <v>47</v>
      </c>
      <c r="Q68" s="460"/>
      <c r="R68" s="26"/>
      <c r="S68" s="462" t="s">
        <v>50</v>
      </c>
      <c r="T68" s="463"/>
      <c r="U68" s="464"/>
      <c r="W68" s="262" t="s">
        <v>45</v>
      </c>
      <c r="X68" s="457" t="s">
        <v>12</v>
      </c>
      <c r="Y68" s="459" t="s">
        <v>46</v>
      </c>
      <c r="Z68" s="460"/>
      <c r="AA68" s="461" t="s">
        <v>47</v>
      </c>
      <c r="AB68" s="460"/>
      <c r="AC68" s="26"/>
      <c r="AD68" s="462" t="s">
        <v>50</v>
      </c>
      <c r="AE68" s="463"/>
      <c r="AF68" s="464"/>
      <c r="AH68" s="262" t="s">
        <v>45</v>
      </c>
      <c r="AI68" s="457" t="s">
        <v>12</v>
      </c>
      <c r="AJ68" s="459" t="s">
        <v>46</v>
      </c>
      <c r="AK68" s="460"/>
      <c r="AL68" s="461" t="s">
        <v>47</v>
      </c>
      <c r="AM68" s="460"/>
      <c r="AN68" s="26"/>
      <c r="AO68" s="462" t="s">
        <v>50</v>
      </c>
      <c r="AP68" s="463"/>
      <c r="AQ68" s="464"/>
    </row>
    <row r="69" spans="1:43" ht="29.1" customHeight="1" thickBot="1" x14ac:dyDescent="0.3">
      <c r="A69" s="263" t="s">
        <v>2</v>
      </c>
      <c r="B69" s="458"/>
      <c r="C69" s="39" t="s">
        <v>51</v>
      </c>
      <c r="D69" s="28" t="s">
        <v>52</v>
      </c>
      <c r="E69" s="40" t="s">
        <v>51</v>
      </c>
      <c r="F69" s="28" t="s">
        <v>52</v>
      </c>
      <c r="G69" s="10"/>
      <c r="H69" s="283" t="s">
        <v>55</v>
      </c>
      <c r="I69" s="450" t="str">
        <f>IF(D75=0,"",IF(AND(D70&gt;=C70*0.4,D71&gt;=C71*0.4,D72&gt;=C72*0.4,D73&gt;=C73*0.4,D74&gt;=C74*0.4),LOOKUP(D75,'النتيجة النهائية'!$AC$6:$AD$10),"ضعيف ويحتاج الى اهتمام في المواد"))</f>
        <v>ضعيف</v>
      </c>
      <c r="J69" s="451"/>
      <c r="L69" s="263" t="s">
        <v>2</v>
      </c>
      <c r="M69" s="458"/>
      <c r="N69" s="39" t="s">
        <v>51</v>
      </c>
      <c r="O69" s="28" t="s">
        <v>52</v>
      </c>
      <c r="P69" s="40" t="s">
        <v>51</v>
      </c>
      <c r="Q69" s="28" t="s">
        <v>52</v>
      </c>
      <c r="R69" s="10"/>
      <c r="S69" s="283" t="s">
        <v>55</v>
      </c>
      <c r="T69" s="450" t="str">
        <f>IF(O75=0,"",IF(AND(O70&gt;=N70*0.4,O71&gt;=N71*0.4,O72&gt;=N72*0.4,O73&gt;=N73*0.4,O74&gt;=N74*0.4),LOOKUP(O75,'النتيجة النهائية'!$AC$6:$AD$10),"ضعيف ويحتاج الى اهتمام في المواد"))</f>
        <v>ضعيف</v>
      </c>
      <c r="U69" s="451"/>
      <c r="W69" s="263" t="s">
        <v>2</v>
      </c>
      <c r="X69" s="458"/>
      <c r="Y69" s="39" t="s">
        <v>51</v>
      </c>
      <c r="Z69" s="28" t="s">
        <v>52</v>
      </c>
      <c r="AA69" s="40" t="s">
        <v>51</v>
      </c>
      <c r="AB69" s="28" t="s">
        <v>52</v>
      </c>
      <c r="AC69" s="10"/>
      <c r="AD69" s="283" t="s">
        <v>55</v>
      </c>
      <c r="AE69" s="450" t="e">
        <f>IF(Z75=0,"",IF(AND(Z70&gt;=Y70*0.4,Z71&gt;=Y71*0.4,Z72&gt;=Y72*0.4,Z73&gt;=Y73*0.4,Z74&gt;=Y74*0.4),LOOKUP(Z75,'النتيجة النهائية'!$AC$6:$AD$10),"ضعيف ويحتاج الى اهتمام في المواد"))</f>
        <v>#N/A</v>
      </c>
      <c r="AF69" s="451"/>
      <c r="AH69" s="263" t="s">
        <v>2</v>
      </c>
      <c r="AI69" s="458"/>
      <c r="AJ69" s="39" t="s">
        <v>51</v>
      </c>
      <c r="AK69" s="28" t="s">
        <v>52</v>
      </c>
      <c r="AL69" s="40" t="s">
        <v>51</v>
      </c>
      <c r="AM69" s="28" t="s">
        <v>52</v>
      </c>
      <c r="AN69" s="10"/>
      <c r="AO69" s="283" t="s">
        <v>55</v>
      </c>
      <c r="AP69" s="450" t="e">
        <f>IF(AK75=0,"",IF(AND(AK70&gt;=AJ70*0.4,AK71&gt;=AJ71*0.4,AK72&gt;=AJ72*0.4,AK73&gt;=AJ73*0.4,AK74&gt;=AJ74*0.4),LOOKUP(AK75,'النتيجة النهائية'!$AC$6:$AD$10),"ضعيف ويحتاج الى اهتمام في المواد"))</f>
        <v>#N/A</v>
      </c>
      <c r="AQ69" s="451"/>
    </row>
    <row r="70" spans="1:43" ht="29.1" customHeight="1" x14ac:dyDescent="0.25">
      <c r="A70" s="261" t="str">
        <f>ادخال1!$F$9</f>
        <v>التربية الإسلامية</v>
      </c>
      <c r="B70" s="46">
        <f>ادخال1!$F$7</f>
        <v>3</v>
      </c>
      <c r="C70" s="41">
        <f t="shared" ref="C70:C71" si="24">40*B70*0.3</f>
        <v>36</v>
      </c>
      <c r="D70" s="2">
        <f xml:space="preserve"> IFERROR(VLOOKUP(H80,اسماء,5,0),"")</f>
        <v>29</v>
      </c>
      <c r="E70" s="43">
        <f t="shared" ref="E70:E71" si="25">40*B70*0.3</f>
        <v>36</v>
      </c>
      <c r="F70" s="2">
        <f>IFERROR(VLOOKUP(H80,اسماء,16,0),"")</f>
        <v>0</v>
      </c>
      <c r="G70" s="18"/>
      <c r="H70" s="27" t="str">
        <f>IF(D70=0,"",IF(D70&lt;C70*0.4,A70,""))</f>
        <v/>
      </c>
      <c r="I70" s="29" t="str">
        <f>IF(D71=0,"",IF(D71&lt;C71*0.4,A71,""))</f>
        <v/>
      </c>
      <c r="J70" s="28" t="str">
        <f>IF(D72=0,"",IF(D72&lt;C72*0.4,A72,""))</f>
        <v/>
      </c>
      <c r="L70" s="261" t="str">
        <f>ادخال1!$F$9</f>
        <v>التربية الإسلامية</v>
      </c>
      <c r="M70" s="46">
        <f>ادخال1!$F$7</f>
        <v>3</v>
      </c>
      <c r="N70" s="41">
        <f t="shared" ref="N70:N71" si="26">40*M70*0.3</f>
        <v>36</v>
      </c>
      <c r="O70" s="2">
        <f xml:space="preserve"> IFERROR(VLOOKUP(S80,اسماء,5,0),"")</f>
        <v>35</v>
      </c>
      <c r="P70" s="43">
        <f t="shared" ref="P70:P71" si="27">40*M70*0.3</f>
        <v>36</v>
      </c>
      <c r="Q70" s="2">
        <f>IFERROR(VLOOKUP(S80,اسماء,16,0),"")</f>
        <v>0</v>
      </c>
      <c r="R70" s="18"/>
      <c r="S70" s="27" t="str">
        <f>IF(O70=0,"",IF(O70&lt;N70*0.4,L70,""))</f>
        <v/>
      </c>
      <c r="T70" s="29" t="str">
        <f>IF(O71=0,"",IF(O71&lt;N71*0.4,L71,""))</f>
        <v/>
      </c>
      <c r="U70" s="28" t="str">
        <f>IF(O72=0,"",IF(O72&lt;N72*0.4,L72,""))</f>
        <v/>
      </c>
      <c r="W70" s="261" t="str">
        <f>ادخال1!$F$9</f>
        <v>التربية الإسلامية</v>
      </c>
      <c r="X70" s="46">
        <f>ادخال1!$F$7</f>
        <v>3</v>
      </c>
      <c r="Y70" s="41">
        <f t="shared" ref="Y70:Y71" si="28">40*X70*0.3</f>
        <v>36</v>
      </c>
      <c r="Z70" s="2" t="str">
        <f xml:space="preserve"> IFERROR(VLOOKUP(AD80,اسماء,5,0),"")</f>
        <v/>
      </c>
      <c r="AA70" s="43">
        <f t="shared" ref="AA70:AA71" si="29">40*X70*0.3</f>
        <v>36</v>
      </c>
      <c r="AB70" s="2" t="str">
        <f>IFERROR(VLOOKUP(AD80,اسماء,16,0),"")</f>
        <v/>
      </c>
      <c r="AC70" s="18"/>
      <c r="AD70" s="27" t="str">
        <f>IF(Z70=0,"",IF(Z70&lt;Y70*0.4,W70,""))</f>
        <v/>
      </c>
      <c r="AE70" s="29" t="str">
        <f>IF(Z71=0,"",IF(Z71&lt;Y71*0.4,W71,""))</f>
        <v/>
      </c>
      <c r="AF70" s="28" t="str">
        <f>IF(Z72=0,"",IF(Z72&lt;Y72*0.4,W72,""))</f>
        <v/>
      </c>
      <c r="AH70" s="261" t="str">
        <f>ادخال1!$F$9</f>
        <v>التربية الإسلامية</v>
      </c>
      <c r="AI70" s="46">
        <f>ادخال1!$F$7</f>
        <v>3</v>
      </c>
      <c r="AJ70" s="41">
        <f t="shared" ref="AJ70:AJ71" si="30">40*AI70*0.3</f>
        <v>36</v>
      </c>
      <c r="AK70" s="2" t="str">
        <f xml:space="preserve"> IFERROR(VLOOKUP(AO80,اسماء,5,0),"")</f>
        <v/>
      </c>
      <c r="AL70" s="43">
        <f t="shared" ref="AL70:AL71" si="31">40*AI70*0.3</f>
        <v>36</v>
      </c>
      <c r="AM70" s="2" t="str">
        <f>IFERROR(VLOOKUP(AO80,اسماء,16,0),"")</f>
        <v/>
      </c>
      <c r="AN70" s="18"/>
      <c r="AO70" s="27" t="str">
        <f>IF(AK70=0,"",IF(AK70&lt;AJ70*0.4,AH70,""))</f>
        <v/>
      </c>
      <c r="AP70" s="29" t="str">
        <f>IF(AK71=0,"",IF(AK71&lt;AJ71*0.4,AH71,""))</f>
        <v/>
      </c>
      <c r="AQ70" s="28" t="str">
        <f>IF(AK72=0,"",IF(AK72&lt;AJ72*0.4,AH72,""))</f>
        <v/>
      </c>
    </row>
    <row r="71" spans="1:43" ht="29.1" customHeight="1" thickBot="1" x14ac:dyDescent="0.3">
      <c r="A71" s="56" t="str">
        <f>ادخال1!$G$9</f>
        <v>اللغة العربية</v>
      </c>
      <c r="B71" s="47">
        <f>ادخال1!$G$7</f>
        <v>6</v>
      </c>
      <c r="C71" s="41">
        <f t="shared" si="24"/>
        <v>72</v>
      </c>
      <c r="D71" s="2">
        <f>IFERROR(VLOOKUP(H80,اسماء,6,0),"")</f>
        <v>64</v>
      </c>
      <c r="E71" s="43">
        <f t="shared" si="25"/>
        <v>72</v>
      </c>
      <c r="F71" s="2">
        <f>IFERROR(VLOOKUP(H80,اسماء,17,0),"")</f>
        <v>0</v>
      </c>
      <c r="G71" s="18"/>
      <c r="H71" s="118" t="str">
        <f>IF(D74=0,"",IF(D74&lt;C74*0.4,A74,""))</f>
        <v/>
      </c>
      <c r="I71" s="282" t="str">
        <f>IF(D75=0,"",IF(D75&lt;C75*0.4,A75,""))</f>
        <v/>
      </c>
      <c r="J71" s="282" t="str">
        <f>IF(D73=0,"",IF(D73&lt;C73*0.4,A73,""))</f>
        <v/>
      </c>
      <c r="L71" s="56" t="str">
        <f>ادخال1!$G$9</f>
        <v>اللغة العربية</v>
      </c>
      <c r="M71" s="47">
        <f>ادخال1!$G$7</f>
        <v>6</v>
      </c>
      <c r="N71" s="41">
        <f t="shared" si="26"/>
        <v>72</v>
      </c>
      <c r="O71" s="2">
        <f>IFERROR(VLOOKUP(S80,اسماء,6,0),"")</f>
        <v>70</v>
      </c>
      <c r="P71" s="43">
        <f t="shared" si="27"/>
        <v>72</v>
      </c>
      <c r="Q71" s="2">
        <f>IFERROR(VLOOKUP(S80,اسماء,17,0),"")</f>
        <v>0</v>
      </c>
      <c r="R71" s="18"/>
      <c r="S71" s="118" t="str">
        <f>IF(O74=0,"",IF(O74&lt;N74*0.4,L74,""))</f>
        <v/>
      </c>
      <c r="T71" s="282" t="str">
        <f>IF(O75=0,"",IF(O75&lt;N75*0.4,L75,""))</f>
        <v/>
      </c>
      <c r="U71" s="282" t="str">
        <f>IF(O73=0,"",IF(O73&lt;N73*0.4,L73,""))</f>
        <v/>
      </c>
      <c r="W71" s="56" t="str">
        <f>ادخال1!$G$9</f>
        <v>اللغة العربية</v>
      </c>
      <c r="X71" s="47">
        <f>ادخال1!$G$7</f>
        <v>6</v>
      </c>
      <c r="Y71" s="41">
        <f t="shared" si="28"/>
        <v>72</v>
      </c>
      <c r="Z71" s="2" t="str">
        <f>IFERROR(VLOOKUP(AD80,اسماء,6,0),"")</f>
        <v/>
      </c>
      <c r="AA71" s="43">
        <f t="shared" si="29"/>
        <v>72</v>
      </c>
      <c r="AB71" s="2" t="str">
        <f>IFERROR(VLOOKUP(AD80,اسماء,17,0),"")</f>
        <v/>
      </c>
      <c r="AC71" s="18"/>
      <c r="AD71" s="118" t="str">
        <f>IF(Z74=0,"",IF(Z74&lt;Y74*0.4,W74,""))</f>
        <v/>
      </c>
      <c r="AE71" s="282" t="str">
        <f>IF(Z75=0,"",IF(Z75&lt;Y75*0.4,W75,""))</f>
        <v/>
      </c>
      <c r="AF71" s="282" t="str">
        <f>IF(Z73=0,"",IF(Z73&lt;Y73*0.4,W73,""))</f>
        <v/>
      </c>
      <c r="AH71" s="56" t="str">
        <f>ادخال1!$G$9</f>
        <v>اللغة العربية</v>
      </c>
      <c r="AI71" s="47">
        <f>ادخال1!$G$7</f>
        <v>6</v>
      </c>
      <c r="AJ71" s="41">
        <f t="shared" si="30"/>
        <v>72</v>
      </c>
      <c r="AK71" s="2" t="str">
        <f>IFERROR(VLOOKUP(AO80,اسماء,6,0),"")</f>
        <v/>
      </c>
      <c r="AL71" s="43">
        <f t="shared" si="31"/>
        <v>72</v>
      </c>
      <c r="AM71" s="2" t="str">
        <f>IFERROR(VLOOKUP(AO80,اسماء,17,0),"")</f>
        <v/>
      </c>
      <c r="AN71" s="18"/>
      <c r="AO71" s="118" t="str">
        <f>IF(AK74=0,"",IF(AK74&lt;AJ74*0.4,AH74,""))</f>
        <v/>
      </c>
      <c r="AP71" s="282" t="str">
        <f>IF(AK75=0,"",IF(AK75&lt;AJ75*0.4,AH75,""))</f>
        <v/>
      </c>
      <c r="AQ71" s="282" t="str">
        <f>IF(AK73=0,"",IF(AK73&lt;AJ73*0.4,AH73,""))</f>
        <v/>
      </c>
    </row>
    <row r="72" spans="1:43" ht="29.1" customHeight="1" x14ac:dyDescent="0.25">
      <c r="A72" s="133" t="str">
        <f>ادخال1!$H$9</f>
        <v>اللغة الإنجليزية</v>
      </c>
      <c r="B72" s="47">
        <f>ادخال1!$H$7</f>
        <v>3</v>
      </c>
      <c r="C72" s="41">
        <f>40*B72*0.3</f>
        <v>36</v>
      </c>
      <c r="D72" s="2">
        <f>IFERROR(VLOOKUP(H80,اسماء,7,0),"")</f>
        <v>29</v>
      </c>
      <c r="E72" s="43">
        <f>40*B72*0.3</f>
        <v>36</v>
      </c>
      <c r="F72" s="2">
        <f>IFERROR(VLOOKUP(H80,اسماء,18,0),"")</f>
        <v>0</v>
      </c>
      <c r="G72" s="18"/>
      <c r="H72" s="467" t="s">
        <v>158</v>
      </c>
      <c r="I72" s="423" t="str">
        <f>IF(F76=0,"",IF(AND(F70&gt;=E70*0.4,F71&gt;=E71*0.4,F72&gt;=E72*0.4,F74&gt;=E74*0.4,F75&gt;=E75*0.4),LOOKUP(F76,'النتيجة النهائية'!$AC$6:$AD$10),"ضعيف ويحتاج الى اهتمام في المواد"))</f>
        <v/>
      </c>
      <c r="J72" s="424"/>
      <c r="L72" s="133" t="str">
        <f>ادخال1!$H$9</f>
        <v>اللغة الإنجليزية</v>
      </c>
      <c r="M72" s="47">
        <f>ادخال1!$H$7</f>
        <v>3</v>
      </c>
      <c r="N72" s="41">
        <f>40*M72*0.3</f>
        <v>36</v>
      </c>
      <c r="O72" s="2">
        <f>IFERROR(VLOOKUP(S80,اسماء,7,0),"")</f>
        <v>36</v>
      </c>
      <c r="P72" s="43">
        <f>40*M72*0.3</f>
        <v>36</v>
      </c>
      <c r="Q72" s="2">
        <f>IFERROR(VLOOKUP(S80,اسماء,18,0),"")</f>
        <v>0</v>
      </c>
      <c r="R72" s="18"/>
      <c r="S72" s="467" t="s">
        <v>158</v>
      </c>
      <c r="T72" s="423" t="str">
        <f>IF(Q76=0,"",IF(AND(Q70&gt;=P70*0.4,Q71&gt;=P71*0.4,Q72&gt;=P72*0.4,Q74&gt;=P74*0.4,Q75&gt;=P75*0.4),LOOKUP(Q76,'النتيجة النهائية'!$AC$6:$AD$10),"ضعيف ويحتاج الى اهتمام في المواد"))</f>
        <v/>
      </c>
      <c r="U72" s="424"/>
      <c r="W72" s="133" t="str">
        <f>ادخال1!$H$9</f>
        <v>اللغة الإنجليزية</v>
      </c>
      <c r="X72" s="47">
        <f>ادخال1!$H$7</f>
        <v>3</v>
      </c>
      <c r="Y72" s="41">
        <f>40*X72*0.3</f>
        <v>36</v>
      </c>
      <c r="Z72" s="2" t="str">
        <f>IFERROR(VLOOKUP(AD80,اسماء,7,0),"")</f>
        <v/>
      </c>
      <c r="AA72" s="43">
        <f>40*X72*0.3</f>
        <v>36</v>
      </c>
      <c r="AB72" s="2" t="str">
        <f>IFERROR(VLOOKUP(AD80,اسماء,18,0),"")</f>
        <v/>
      </c>
      <c r="AC72" s="18"/>
      <c r="AD72" s="467" t="s">
        <v>158</v>
      </c>
      <c r="AE72" s="423" t="str">
        <f>IF(AB76=0,"",IF(AND(AB70&gt;=AA70*0.4,AB71&gt;=AA71*0.4,AB72&gt;=AA72*0.4,AB74&gt;=AA74*0.4,AB75&gt;=AA75*0.4),LOOKUP(AB76,'النتيجة النهائية'!$AC$6:$AD$10),"ضعيف ويحتاج الى اهتمام في المواد"))</f>
        <v/>
      </c>
      <c r="AF72" s="424"/>
      <c r="AH72" s="133" t="str">
        <f>ادخال1!$H$9</f>
        <v>اللغة الإنجليزية</v>
      </c>
      <c r="AI72" s="47">
        <f>ادخال1!$H$7</f>
        <v>3</v>
      </c>
      <c r="AJ72" s="41">
        <f>40*AI72*0.3</f>
        <v>36</v>
      </c>
      <c r="AK72" s="2" t="str">
        <f>IFERROR(VLOOKUP(AO80,اسماء,7,0),"")</f>
        <v/>
      </c>
      <c r="AL72" s="43">
        <f>40*AI72*0.3</f>
        <v>36</v>
      </c>
      <c r="AM72" s="2" t="str">
        <f>IFERROR(VLOOKUP(AO80,اسماء,18,0),"")</f>
        <v/>
      </c>
      <c r="AN72" s="18"/>
      <c r="AO72" s="467" t="s">
        <v>158</v>
      </c>
      <c r="AP72" s="423" t="str">
        <f>IF(AM76=0,"",IF(AND(AM70&gt;=AL70*0.4,AM71&gt;=AL71*0.4,AM72&gt;=AL72*0.4,AM74&gt;=AL74*0.4,AM75&gt;=AL75*0.4),LOOKUP(AM76,'النتيجة النهائية'!$AC$6:$AD$10),"ضعيف ويحتاج الى اهتمام في المواد"))</f>
        <v/>
      </c>
      <c r="AQ72" s="424"/>
    </row>
    <row r="73" spans="1:43" ht="29.1" customHeight="1" x14ac:dyDescent="0.25">
      <c r="A73" s="133" t="str">
        <f>ادخال1!$I$9</f>
        <v>الحاسوب</v>
      </c>
      <c r="B73" s="47">
        <f>ادخال1!$I$7</f>
        <v>1</v>
      </c>
      <c r="C73" s="41">
        <f>40*B73*0.3</f>
        <v>12</v>
      </c>
      <c r="D73" s="2">
        <f>IFERROR(VLOOKUP(H80,اسماء,8,0),"")</f>
        <v>11</v>
      </c>
      <c r="E73" s="43">
        <f>40*B73*0.3</f>
        <v>12</v>
      </c>
      <c r="F73" s="2">
        <f>IFERROR(VLOOKUP(H80,اسماء,19,0),"")</f>
        <v>0</v>
      </c>
      <c r="G73" s="18"/>
      <c r="H73" s="468"/>
      <c r="I73" s="425"/>
      <c r="J73" s="426"/>
      <c r="L73" s="133" t="str">
        <f>ادخال1!$I$9</f>
        <v>الحاسوب</v>
      </c>
      <c r="M73" s="47">
        <f>ادخال1!$I$7</f>
        <v>1</v>
      </c>
      <c r="N73" s="41">
        <f>40*M73*0.3</f>
        <v>12</v>
      </c>
      <c r="O73" s="2">
        <f>IFERROR(VLOOKUP(S80,اسماء,8,0),"")</f>
        <v>12</v>
      </c>
      <c r="P73" s="43">
        <f>40*M73*0.3</f>
        <v>12</v>
      </c>
      <c r="Q73" s="2">
        <f>IFERROR(VLOOKUP(S80,اسماء,19,0),"")</f>
        <v>0</v>
      </c>
      <c r="R73" s="18"/>
      <c r="S73" s="468"/>
      <c r="T73" s="425"/>
      <c r="U73" s="426"/>
      <c r="W73" s="133" t="str">
        <f>ادخال1!$I$9</f>
        <v>الحاسوب</v>
      </c>
      <c r="X73" s="47">
        <f>ادخال1!$I$7</f>
        <v>1</v>
      </c>
      <c r="Y73" s="41">
        <f>40*X73*0.3</f>
        <v>12</v>
      </c>
      <c r="Z73" s="2" t="str">
        <f>IFERROR(VLOOKUP(AD80,اسماء,8,0),"")</f>
        <v/>
      </c>
      <c r="AA73" s="43">
        <f>40*X73*0.3</f>
        <v>12</v>
      </c>
      <c r="AB73" s="2" t="str">
        <f>IFERROR(VLOOKUP(AD80,اسماء,19,0),"")</f>
        <v/>
      </c>
      <c r="AC73" s="18"/>
      <c r="AD73" s="468"/>
      <c r="AE73" s="425"/>
      <c r="AF73" s="426"/>
      <c r="AH73" s="133" t="str">
        <f>ادخال1!$I$9</f>
        <v>الحاسوب</v>
      </c>
      <c r="AI73" s="47">
        <f>ادخال1!$I$7</f>
        <v>1</v>
      </c>
      <c r="AJ73" s="41">
        <f>40*AI73*0.3</f>
        <v>12</v>
      </c>
      <c r="AK73" s="2" t="str">
        <f>IFERROR(VLOOKUP(AO80,اسماء,8,0),"")</f>
        <v/>
      </c>
      <c r="AL73" s="43">
        <f>40*AI73*0.3</f>
        <v>12</v>
      </c>
      <c r="AM73" s="2" t="str">
        <f>IFERROR(VLOOKUP(AO80,اسماء,19,0),"")</f>
        <v/>
      </c>
      <c r="AN73" s="18"/>
      <c r="AO73" s="468"/>
      <c r="AP73" s="425"/>
      <c r="AQ73" s="426"/>
    </row>
    <row r="74" spans="1:43" ht="29.1" customHeight="1" x14ac:dyDescent="0.25">
      <c r="A74" s="56" t="str">
        <f>ادخال1!$J$9</f>
        <v>الرياضيات</v>
      </c>
      <c r="B74" s="47">
        <f>ادخال1!$J$7</f>
        <v>5</v>
      </c>
      <c r="C74" s="41">
        <f>40*B74*0.3</f>
        <v>60</v>
      </c>
      <c r="D74" s="2">
        <f>IFERROR(VLOOKUP(H80,اسماء,9,0),"")</f>
        <v>55</v>
      </c>
      <c r="E74" s="43">
        <f>40*B74*0.3</f>
        <v>60</v>
      </c>
      <c r="F74" s="2">
        <f>IFERROR(VLOOKUP(H80,اسماء,20,0),"")</f>
        <v>0</v>
      </c>
      <c r="G74" s="18"/>
      <c r="H74" s="27" t="str">
        <f>IF(F70=0,"",IF(F70&lt;E70*0.4,A70,""))</f>
        <v/>
      </c>
      <c r="I74" s="29" t="str">
        <f>IF(F71=0,"",IF(F71&lt;E71*0.4,A71,""))</f>
        <v/>
      </c>
      <c r="J74" s="28" t="str">
        <f>IF(F72=0,"",IF(F72&lt;E72*0.4,A72,""))</f>
        <v/>
      </c>
      <c r="L74" s="56" t="str">
        <f>ادخال1!$J$9</f>
        <v>الرياضيات</v>
      </c>
      <c r="M74" s="47">
        <f>ادخال1!$J$7</f>
        <v>5</v>
      </c>
      <c r="N74" s="41">
        <f>40*M74*0.3</f>
        <v>60</v>
      </c>
      <c r="O74" s="2">
        <f>IFERROR(VLOOKUP(S80,اسماء,9,0),"")</f>
        <v>51</v>
      </c>
      <c r="P74" s="43">
        <f>40*M74*0.3</f>
        <v>60</v>
      </c>
      <c r="Q74" s="2">
        <f>IFERROR(VLOOKUP(S80,اسماء,20,0),"")</f>
        <v>0</v>
      </c>
      <c r="R74" s="18"/>
      <c r="S74" s="27" t="str">
        <f>IF(Q70=0,"",IF(Q70&lt;P70*0.4,L70,""))</f>
        <v/>
      </c>
      <c r="T74" s="29" t="str">
        <f>IF(Q71=0,"",IF(Q71&lt;P71*0.4,L71,""))</f>
        <v/>
      </c>
      <c r="U74" s="28" t="str">
        <f>IF(Q72=0,"",IF(Q72&lt;P72*0.4,L72,""))</f>
        <v/>
      </c>
      <c r="W74" s="56" t="str">
        <f>ادخال1!$J$9</f>
        <v>الرياضيات</v>
      </c>
      <c r="X74" s="47">
        <f>ادخال1!$J$7</f>
        <v>5</v>
      </c>
      <c r="Y74" s="41">
        <f>40*X74*0.3</f>
        <v>60</v>
      </c>
      <c r="Z74" s="2" t="str">
        <f>IFERROR(VLOOKUP(AD80,اسماء,9,0),"")</f>
        <v/>
      </c>
      <c r="AA74" s="43">
        <f>40*X74*0.3</f>
        <v>60</v>
      </c>
      <c r="AB74" s="2" t="str">
        <f>IFERROR(VLOOKUP(AD80,اسماء,20,0),"")</f>
        <v/>
      </c>
      <c r="AC74" s="18"/>
      <c r="AD74" s="27" t="str">
        <f>IF(AB70=0,"",IF(AB70&lt;AA70*0.4,W70,""))</f>
        <v/>
      </c>
      <c r="AE74" s="29" t="str">
        <f>IF(AB71=0,"",IF(AB71&lt;AA71*0.4,W71,""))</f>
        <v/>
      </c>
      <c r="AF74" s="28" t="str">
        <f>IF(AB72=0,"",IF(AB72&lt;AA72*0.4,W72,""))</f>
        <v/>
      </c>
      <c r="AH74" s="56" t="str">
        <f>ادخال1!$J$9</f>
        <v>الرياضيات</v>
      </c>
      <c r="AI74" s="47">
        <f>ادخال1!$J$7</f>
        <v>5</v>
      </c>
      <c r="AJ74" s="41">
        <f>40*AI74*0.3</f>
        <v>60</v>
      </c>
      <c r="AK74" s="2" t="str">
        <f>IFERROR(VLOOKUP(AO80,اسماء,9,0),"")</f>
        <v/>
      </c>
      <c r="AL74" s="43">
        <f>40*AI74*0.3</f>
        <v>60</v>
      </c>
      <c r="AM74" s="2" t="str">
        <f>IFERROR(VLOOKUP(AO80,اسماء,20,0),"")</f>
        <v/>
      </c>
      <c r="AN74" s="18"/>
      <c r="AO74" s="27" t="str">
        <f>IF(AM70=0,"",IF(AM70&lt;AL70*0.4,AH70,""))</f>
        <v/>
      </c>
      <c r="AP74" s="29" t="str">
        <f>IF(AM71=0,"",IF(AM71&lt;AL71*0.4,AH71,""))</f>
        <v/>
      </c>
      <c r="AQ74" s="28" t="str">
        <f>IF(AM72=0,"",IF(AM72&lt;AL72*0.4,AH72,""))</f>
        <v/>
      </c>
    </row>
    <row r="75" spans="1:43" ht="29.1" customHeight="1" thickBot="1" x14ac:dyDescent="0.3">
      <c r="A75" s="113" t="str">
        <f>ادخال1!$K$9</f>
        <v>العلوم</v>
      </c>
      <c r="B75" s="48">
        <f>ادخال1!$K$7</f>
        <v>3</v>
      </c>
      <c r="C75" s="41">
        <f>40*B75*0.3</f>
        <v>36</v>
      </c>
      <c r="D75" s="2">
        <f>IFERROR(VLOOKUP(H80,اسماء,10,0),"")</f>
        <v>36</v>
      </c>
      <c r="E75" s="43">
        <f>40*B75*0.3</f>
        <v>36</v>
      </c>
      <c r="F75" s="2">
        <f>IFERROR(VLOOKUP(H80,اسماء,21,0),"")</f>
        <v>0</v>
      </c>
      <c r="G75" s="18"/>
      <c r="H75" s="118" t="str">
        <f>IF(F74=0,"",IF(F74&lt;E74*0.4,A74,""))</f>
        <v/>
      </c>
      <c r="I75" s="282" t="str">
        <f>IF(F75=0,"",IF(F75&lt;E75*0.4,A75,""))</f>
        <v/>
      </c>
      <c r="J75" s="282" t="str">
        <f>IF(F73=0,"",IF(F73&lt;E73*0.4,A73,""))</f>
        <v/>
      </c>
      <c r="L75" s="113" t="str">
        <f>ادخال1!$K$9</f>
        <v>العلوم</v>
      </c>
      <c r="M75" s="48">
        <f>ادخال1!$K$7</f>
        <v>3</v>
      </c>
      <c r="N75" s="41">
        <f>40*M75*0.3</f>
        <v>36</v>
      </c>
      <c r="O75" s="2">
        <f>IFERROR(VLOOKUP(S80,اسماء,10,0),"")</f>
        <v>35</v>
      </c>
      <c r="P75" s="43">
        <f>40*M75*0.3</f>
        <v>36</v>
      </c>
      <c r="Q75" s="2">
        <f>IFERROR(VLOOKUP(S80,اسماء,21,0),"")</f>
        <v>0</v>
      </c>
      <c r="R75" s="18"/>
      <c r="S75" s="118" t="str">
        <f>IF(Q74=0,"",IF(Q74&lt;P74*0.4,L74,""))</f>
        <v/>
      </c>
      <c r="T75" s="282" t="str">
        <f>IF(Q75=0,"",IF(Q75&lt;P75*0.4,L75,""))</f>
        <v/>
      </c>
      <c r="U75" s="282" t="str">
        <f>IF(Q73=0,"",IF(Q73&lt;P73*0.4,L73,""))</f>
        <v/>
      </c>
      <c r="W75" s="113" t="str">
        <f>ادخال1!$K$9</f>
        <v>العلوم</v>
      </c>
      <c r="X75" s="48">
        <f>ادخال1!$K$7</f>
        <v>3</v>
      </c>
      <c r="Y75" s="41">
        <f>40*X75*0.3</f>
        <v>36</v>
      </c>
      <c r="Z75" s="2" t="str">
        <f>IFERROR(VLOOKUP(AD80,اسماء,10,0),"")</f>
        <v/>
      </c>
      <c r="AA75" s="43">
        <f>40*X75*0.3</f>
        <v>36</v>
      </c>
      <c r="AB75" s="2" t="str">
        <f>IFERROR(VLOOKUP(AD80,اسماء,21,0),"")</f>
        <v/>
      </c>
      <c r="AC75" s="18"/>
      <c r="AD75" s="118" t="str">
        <f>IF(AB74=0,"",IF(AB74&lt;AA74*0.4,W74,""))</f>
        <v/>
      </c>
      <c r="AE75" s="282" t="str">
        <f>IF(AB75=0,"",IF(AB75&lt;AA75*0.4,W75,""))</f>
        <v/>
      </c>
      <c r="AF75" s="282" t="str">
        <f>IF(AB73=0,"",IF(AB73&lt;AA73*0.4,W73,""))</f>
        <v/>
      </c>
      <c r="AH75" s="113" t="str">
        <f>ادخال1!$K$9</f>
        <v>العلوم</v>
      </c>
      <c r="AI75" s="48">
        <f>ادخال1!$K$7</f>
        <v>3</v>
      </c>
      <c r="AJ75" s="41">
        <f>40*AI75*0.3</f>
        <v>36</v>
      </c>
      <c r="AK75" s="2" t="str">
        <f>IFERROR(VLOOKUP(AO80,اسماء,10,0),"")</f>
        <v/>
      </c>
      <c r="AL75" s="43">
        <f>40*AI75*0.3</f>
        <v>36</v>
      </c>
      <c r="AM75" s="2" t="str">
        <f>IFERROR(VLOOKUP(AO80,اسماء,21,0),"")</f>
        <v/>
      </c>
      <c r="AN75" s="18"/>
      <c r="AO75" s="118" t="str">
        <f>IF(AM74=0,"",IF(AM74&lt;AL74*0.4,AH74,""))</f>
        <v/>
      </c>
      <c r="AP75" s="282" t="str">
        <f>IF(AM75=0,"",IF(AM75&lt;AL75*0.4,AH75,""))</f>
        <v/>
      </c>
      <c r="AQ75" s="282" t="str">
        <f>IF(AM73=0,"",IF(AM73&lt;AL73*0.4,AH73,""))</f>
        <v/>
      </c>
    </row>
    <row r="76" spans="1:43" ht="29.1" customHeight="1" thickBot="1" x14ac:dyDescent="0.3">
      <c r="A76" s="58" t="s">
        <v>56</v>
      </c>
      <c r="B76" s="30"/>
      <c r="C76" s="42">
        <f>SUM(C70:C75)</f>
        <v>252</v>
      </c>
      <c r="D76" s="114">
        <f>SUM(D70:D75)</f>
        <v>224</v>
      </c>
      <c r="E76" s="42">
        <f>SUM(E70:E75)</f>
        <v>252</v>
      </c>
      <c r="F76" s="114">
        <f>SUM(F70:F75)</f>
        <v>0</v>
      </c>
      <c r="G76" s="18"/>
      <c r="H76" s="196" t="s">
        <v>65</v>
      </c>
      <c r="I76" s="421" t="str">
        <f>ادخال1!$BJ$5</f>
        <v>د. عبدالرحمن خليفة العريبي</v>
      </c>
      <c r="J76" s="422"/>
      <c r="L76" s="58" t="s">
        <v>56</v>
      </c>
      <c r="M76" s="30"/>
      <c r="N76" s="42">
        <f>SUM(N70:N75)</f>
        <v>252</v>
      </c>
      <c r="O76" s="114">
        <f>SUM(O70:O75)</f>
        <v>239</v>
      </c>
      <c r="P76" s="42">
        <f>SUM(P70:P75)</f>
        <v>252</v>
      </c>
      <c r="Q76" s="114">
        <f>SUM(Q70:Q75)</f>
        <v>0</v>
      </c>
      <c r="R76" s="18"/>
      <c r="S76" s="196" t="s">
        <v>65</v>
      </c>
      <c r="T76" s="421" t="str">
        <f>ادخال1!$BJ$5</f>
        <v>د. عبدالرحمن خليفة العريبي</v>
      </c>
      <c r="U76" s="422"/>
      <c r="W76" s="58" t="s">
        <v>56</v>
      </c>
      <c r="X76" s="30"/>
      <c r="Y76" s="42">
        <f>SUM(Y70:Y75)</f>
        <v>252</v>
      </c>
      <c r="Z76" s="114">
        <f>SUM(Z70:Z75)</f>
        <v>0</v>
      </c>
      <c r="AA76" s="42">
        <f>SUM(AA70:AA75)</f>
        <v>252</v>
      </c>
      <c r="AB76" s="114">
        <f>SUM(AB70:AB75)</f>
        <v>0</v>
      </c>
      <c r="AC76" s="18"/>
      <c r="AD76" s="196" t="s">
        <v>65</v>
      </c>
      <c r="AE76" s="421" t="str">
        <f>ادخال1!$BJ$5</f>
        <v>د. عبدالرحمن خليفة العريبي</v>
      </c>
      <c r="AF76" s="422"/>
      <c r="AH76" s="58" t="s">
        <v>56</v>
      </c>
      <c r="AI76" s="30"/>
      <c r="AJ76" s="42">
        <f>SUM(AJ70:AJ75)</f>
        <v>252</v>
      </c>
      <c r="AK76" s="114">
        <f>SUM(AK70:AK75)</f>
        <v>0</v>
      </c>
      <c r="AL76" s="42">
        <f>SUM(AL70:AL75)</f>
        <v>252</v>
      </c>
      <c r="AM76" s="114">
        <f>SUM(AM70:AM75)</f>
        <v>0</v>
      </c>
      <c r="AN76" s="18"/>
      <c r="AO76" s="196" t="s">
        <v>65</v>
      </c>
      <c r="AP76" s="421" t="str">
        <f>ادخال1!$BJ$5</f>
        <v>د. عبدالرحمن خليفة العريبي</v>
      </c>
      <c r="AQ76" s="422"/>
    </row>
    <row r="77" spans="1:43" ht="29.1" customHeight="1" thickBot="1" x14ac:dyDescent="0.3">
      <c r="A77" s="331" t="str">
        <f>ادخال1!$M$8</f>
        <v>التربية الفنية</v>
      </c>
      <c r="B77" s="49">
        <f>ادخال1!$M$7</f>
        <v>1</v>
      </c>
      <c r="C77" s="446" t="str">
        <f>IFERROR(VLOOKUP(H80,اسماء,12,0),"")</f>
        <v>جيد جداً</v>
      </c>
      <c r="D77" s="447"/>
      <c r="E77" s="446">
        <f>IFERROR(VLOOKUP(H80,اسماء,23,0),"")</f>
        <v>0</v>
      </c>
      <c r="F77" s="447"/>
      <c r="G77" s="18"/>
      <c r="H77" s="15" t="s">
        <v>67</v>
      </c>
      <c r="I77" s="448">
        <f ca="1">TODAY()</f>
        <v>46009</v>
      </c>
      <c r="J77" s="449"/>
      <c r="L77" s="331" t="str">
        <f>ادخال1!$M$8</f>
        <v>التربية الفنية</v>
      </c>
      <c r="M77" s="49">
        <f>ادخال1!$M$7</f>
        <v>1</v>
      </c>
      <c r="N77" s="446" t="str">
        <f>IFERROR(VLOOKUP(S80,اسماء,12,0),"")</f>
        <v>جيد جداً</v>
      </c>
      <c r="O77" s="447"/>
      <c r="P77" s="446">
        <f>IFERROR(VLOOKUP(S80,اسماء,23,0),"")</f>
        <v>0</v>
      </c>
      <c r="Q77" s="447"/>
      <c r="R77" s="18"/>
      <c r="S77" s="15" t="s">
        <v>67</v>
      </c>
      <c r="T77" s="448">
        <f ca="1">TODAY()</f>
        <v>46009</v>
      </c>
      <c r="U77" s="449"/>
      <c r="W77" s="331" t="str">
        <f>ادخال1!$M$8</f>
        <v>التربية الفنية</v>
      </c>
      <c r="X77" s="49">
        <f>ادخال1!$M$7</f>
        <v>1</v>
      </c>
      <c r="Y77" s="446" t="str">
        <f>IFERROR(VLOOKUP(AD80,اسماء,12,0),"")</f>
        <v/>
      </c>
      <c r="Z77" s="447"/>
      <c r="AA77" s="446" t="str">
        <f>IFERROR(VLOOKUP(AD80,اسماء,23,0),"")</f>
        <v/>
      </c>
      <c r="AB77" s="447"/>
      <c r="AC77" s="18"/>
      <c r="AD77" s="15" t="s">
        <v>67</v>
      </c>
      <c r="AE77" s="448">
        <f ca="1">TODAY()</f>
        <v>46009</v>
      </c>
      <c r="AF77" s="449"/>
      <c r="AH77" s="331" t="str">
        <f>ادخال1!$M$8</f>
        <v>التربية الفنية</v>
      </c>
      <c r="AI77" s="49">
        <f>ادخال1!$M$7</f>
        <v>1</v>
      </c>
      <c r="AJ77" s="446" t="str">
        <f>IFERROR(VLOOKUP(AO80,اسماء,12,0),"")</f>
        <v/>
      </c>
      <c r="AK77" s="447"/>
      <c r="AL77" s="446" t="str">
        <f>IFERROR(VLOOKUP(AO80,اسماء,23,0),"")</f>
        <v/>
      </c>
      <c r="AM77" s="447"/>
      <c r="AN77" s="18"/>
      <c r="AO77" s="15" t="s">
        <v>67</v>
      </c>
      <c r="AP77" s="448">
        <f ca="1">TODAY()</f>
        <v>46009</v>
      </c>
      <c r="AQ77" s="449"/>
    </row>
    <row r="78" spans="1:43" ht="29.1" customHeight="1" thickBot="1" x14ac:dyDescent="0.3">
      <c r="A78" s="332" t="str">
        <f>ادخال1!$N$8</f>
        <v>التربية البدنية</v>
      </c>
      <c r="B78" s="50">
        <f>ادخال1!$N$7</f>
        <v>2</v>
      </c>
      <c r="C78" s="432" t="str">
        <f>IFERROR(VLOOKUP(H80,اسماء,13,0),"")</f>
        <v>جيد جداً</v>
      </c>
      <c r="D78" s="433"/>
      <c r="E78" s="432">
        <f>IFERROR(VLOOKUP(H80,اسماء,24,0),"")</f>
        <v>0</v>
      </c>
      <c r="F78" s="433"/>
      <c r="G78" s="18"/>
      <c r="H78" s="68"/>
      <c r="I78" s="448"/>
      <c r="J78" s="449"/>
      <c r="L78" s="332" t="str">
        <f>ادخال1!$N$8</f>
        <v>التربية البدنية</v>
      </c>
      <c r="M78" s="50">
        <f>ادخال1!$N$7</f>
        <v>2</v>
      </c>
      <c r="N78" s="432" t="str">
        <f>IFERROR(VLOOKUP(S80,اسماء,13,0),"")</f>
        <v>جيد جداً</v>
      </c>
      <c r="O78" s="433"/>
      <c r="P78" s="432">
        <f>IFERROR(VLOOKUP(S80,اسماء,24,0),"")</f>
        <v>0</v>
      </c>
      <c r="Q78" s="433"/>
      <c r="R78" s="18"/>
      <c r="S78" s="68"/>
      <c r="T78" s="448"/>
      <c r="U78" s="449"/>
      <c r="W78" s="332" t="str">
        <f>ادخال1!$N$8</f>
        <v>التربية البدنية</v>
      </c>
      <c r="X78" s="50">
        <f>ادخال1!$N$7</f>
        <v>2</v>
      </c>
      <c r="Y78" s="432" t="str">
        <f>IFERROR(VLOOKUP(AD80,اسماء,13,0),"")</f>
        <v/>
      </c>
      <c r="Z78" s="433"/>
      <c r="AA78" s="432" t="str">
        <f>IFERROR(VLOOKUP(AD80,اسماء,24,0),"")</f>
        <v/>
      </c>
      <c r="AB78" s="433"/>
      <c r="AC78" s="18"/>
      <c r="AD78" s="68"/>
      <c r="AE78" s="448"/>
      <c r="AF78" s="449"/>
      <c r="AH78" s="332" t="str">
        <f>ادخال1!$N$8</f>
        <v>التربية البدنية</v>
      </c>
      <c r="AI78" s="50">
        <f>ادخال1!$N$7</f>
        <v>2</v>
      </c>
      <c r="AJ78" s="432" t="str">
        <f>IFERROR(VLOOKUP(AO80,اسماء,13,0),"")</f>
        <v/>
      </c>
      <c r="AK78" s="433"/>
      <c r="AL78" s="432" t="str">
        <f>IFERROR(VLOOKUP(AO80,اسماء,24,0),"")</f>
        <v/>
      </c>
      <c r="AM78" s="433"/>
      <c r="AN78" s="18"/>
      <c r="AO78" s="68"/>
      <c r="AP78" s="448"/>
      <c r="AQ78" s="449"/>
    </row>
    <row r="79" spans="1:43" ht="29.1" customHeight="1" x14ac:dyDescent="0.25">
      <c r="A79" s="362" t="str">
        <f>ادخال1!$O$8</f>
        <v>مكتبة</v>
      </c>
      <c r="B79" s="363">
        <f>ادخال1!$O$7</f>
        <v>1</v>
      </c>
      <c r="C79" s="436"/>
      <c r="D79" s="437"/>
      <c r="E79" s="475"/>
      <c r="F79" s="476"/>
      <c r="G79" s="18"/>
      <c r="H79" s="68"/>
      <c r="I79" s="333"/>
      <c r="J79" s="334"/>
      <c r="L79" s="362" t="str">
        <f>ادخال1!$O$8</f>
        <v>مكتبة</v>
      </c>
      <c r="M79" s="363">
        <f>ادخال1!$O$7</f>
        <v>1</v>
      </c>
      <c r="N79" s="436"/>
      <c r="O79" s="437"/>
      <c r="P79" s="475"/>
      <c r="Q79" s="476"/>
      <c r="R79" s="18"/>
      <c r="S79" s="68"/>
      <c r="T79" s="333"/>
      <c r="U79" s="334"/>
      <c r="W79" s="362" t="str">
        <f>ادخال1!$O$8</f>
        <v>مكتبة</v>
      </c>
      <c r="X79" s="363">
        <f>ادخال1!$O$7</f>
        <v>1</v>
      </c>
      <c r="Y79" s="436"/>
      <c r="Z79" s="437"/>
      <c r="AA79" s="475"/>
      <c r="AB79" s="476"/>
      <c r="AC79" s="18"/>
      <c r="AD79" s="68"/>
      <c r="AE79" s="333"/>
      <c r="AF79" s="334"/>
      <c r="AH79" s="362" t="str">
        <f>ادخال1!$O$8</f>
        <v>مكتبة</v>
      </c>
      <c r="AI79" s="363">
        <f>ادخال1!$O$7</f>
        <v>1</v>
      </c>
      <c r="AJ79" s="436"/>
      <c r="AK79" s="437"/>
      <c r="AL79" s="475"/>
      <c r="AM79" s="476"/>
      <c r="AN79" s="18"/>
      <c r="AO79" s="68"/>
      <c r="AP79" s="333"/>
      <c r="AQ79" s="334"/>
    </row>
    <row r="80" spans="1:43" ht="29.1" customHeight="1" thickBot="1" x14ac:dyDescent="0.3">
      <c r="A80" s="192" t="s">
        <v>120</v>
      </c>
      <c r="B80" s="420">
        <f>IFERROR(VLOOKUP(H80,اسماء,65,0),"")</f>
        <v>120170679056</v>
      </c>
      <c r="C80" s="420" t="str">
        <f>IFERROR(VLOOKUP(G85,اسماء,8,0),"")</f>
        <v/>
      </c>
      <c r="D80" s="420" t="str">
        <f>IFERROR(VLOOKUP(H85,اسماء,8,0),"")</f>
        <v/>
      </c>
      <c r="E80" s="420" t="str">
        <f>IFERROR(VLOOKUP(I85,اسماء,8,0),"")</f>
        <v/>
      </c>
      <c r="F80" s="18"/>
      <c r="G80" s="18"/>
      <c r="H80" s="421" t="str">
        <f>INDEX(عمود2,MATCH(J66,عمود1))</f>
        <v>عبدالقدوس عزالدين سالم ادريدر</v>
      </c>
      <c r="I80" s="421"/>
      <c r="J80" s="422"/>
      <c r="L80" s="192" t="s">
        <v>120</v>
      </c>
      <c r="M80" s="420">
        <f>IFERROR(VLOOKUP(S80,اسماء,65,0),"")</f>
        <v>120170156010</v>
      </c>
      <c r="N80" s="420" t="str">
        <f>IFERROR(VLOOKUP(R85,اسماء,8,0),"")</f>
        <v/>
      </c>
      <c r="O80" s="420" t="str">
        <f>IFERROR(VLOOKUP(S85,اسماء,8,0),"")</f>
        <v/>
      </c>
      <c r="P80" s="420" t="str">
        <f>IFERROR(VLOOKUP(T85,اسماء,8,0),"")</f>
        <v/>
      </c>
      <c r="Q80" s="18"/>
      <c r="R80" s="18"/>
      <c r="S80" s="421" t="str">
        <f>INDEX(عمود2,MATCH(U66,عمود1))</f>
        <v>مناف عبد اللطيف ضويلة القنوش</v>
      </c>
      <c r="T80" s="421"/>
      <c r="U80" s="422"/>
      <c r="W80" s="192" t="s">
        <v>120</v>
      </c>
      <c r="X80" s="420" t="str">
        <f>IFERROR(VLOOKUP(AD80,اسماء,65,0),"")</f>
        <v/>
      </c>
      <c r="Y80" s="420" t="str">
        <f>IFERROR(VLOOKUP(AC85,اسماء,8,0),"")</f>
        <v/>
      </c>
      <c r="Z80" s="420" t="str">
        <f>IFERROR(VLOOKUP(AD85,اسماء,8,0),"")</f>
        <v/>
      </c>
      <c r="AA80" s="420" t="str">
        <f>IFERROR(VLOOKUP(AE85,اسماء,8,0),"")</f>
        <v/>
      </c>
      <c r="AB80" s="18"/>
      <c r="AC80" s="18"/>
      <c r="AD80" s="421">
        <f>INDEX(عمود2,MATCH(AF66,عمود1))</f>
        <v>0</v>
      </c>
      <c r="AE80" s="421"/>
      <c r="AF80" s="422"/>
      <c r="AH80" s="192" t="s">
        <v>120</v>
      </c>
      <c r="AI80" s="420" t="str">
        <f>IFERROR(VLOOKUP(AO80,اسماء,65,0),"")</f>
        <v/>
      </c>
      <c r="AJ80" s="420" t="str">
        <f>IFERROR(VLOOKUP(AN85,اسماء,8,0),"")</f>
        <v/>
      </c>
      <c r="AK80" s="420" t="str">
        <f>IFERROR(VLOOKUP(AO85,اسماء,8,0),"")</f>
        <v/>
      </c>
      <c r="AL80" s="420" t="str">
        <f>IFERROR(VLOOKUP(AP85,اسماء,8,0),"")</f>
        <v/>
      </c>
      <c r="AM80" s="18"/>
      <c r="AN80" s="18"/>
      <c r="AO80" s="421">
        <f>INDEX(عمود2,MATCH(AQ66,عمود1))</f>
        <v>0</v>
      </c>
      <c r="AP80" s="421"/>
      <c r="AQ80" s="422"/>
    </row>
    <row r="81" spans="1:43" ht="29.1" customHeight="1" x14ac:dyDescent="0.25">
      <c r="A81" s="444" t="s">
        <v>58</v>
      </c>
      <c r="B81" s="445"/>
      <c r="C81" s="432">
        <f>IFERROR(VLOOKUP(H80,اسماء,37,0),"")</f>
        <v>0</v>
      </c>
      <c r="D81" s="433"/>
      <c r="E81" s="432">
        <f>IFERROR(VLOOKUP(H80,اسماء,38,0),"")</f>
        <v>0</v>
      </c>
      <c r="F81" s="433"/>
      <c r="G81" s="18"/>
      <c r="H81" s="471" t="s">
        <v>90</v>
      </c>
      <c r="I81" s="471"/>
      <c r="J81" s="472"/>
      <c r="L81" s="444" t="s">
        <v>58</v>
      </c>
      <c r="M81" s="445"/>
      <c r="N81" s="432">
        <f>IFERROR(VLOOKUP(S80,اسماء,37,0),"")</f>
        <v>0</v>
      </c>
      <c r="O81" s="433"/>
      <c r="P81" s="432">
        <f>IFERROR(VLOOKUP(S80,اسماء,38,0),"")</f>
        <v>0</v>
      </c>
      <c r="Q81" s="433"/>
      <c r="R81" s="18"/>
      <c r="S81" s="471" t="s">
        <v>90</v>
      </c>
      <c r="T81" s="471"/>
      <c r="U81" s="472"/>
      <c r="W81" s="444" t="s">
        <v>58</v>
      </c>
      <c r="X81" s="445"/>
      <c r="Y81" s="432" t="str">
        <f>IFERROR(VLOOKUP(AD80,اسماء,37,0),"")</f>
        <v/>
      </c>
      <c r="Z81" s="433"/>
      <c r="AA81" s="432" t="str">
        <f>IFERROR(VLOOKUP(AD80,اسماء,38,0),"")</f>
        <v/>
      </c>
      <c r="AB81" s="433"/>
      <c r="AC81" s="18"/>
      <c r="AD81" s="471" t="s">
        <v>90</v>
      </c>
      <c r="AE81" s="471"/>
      <c r="AF81" s="472"/>
      <c r="AH81" s="444" t="s">
        <v>58</v>
      </c>
      <c r="AI81" s="445"/>
      <c r="AJ81" s="432" t="str">
        <f>IFERROR(VLOOKUP(AO80,اسماء,37,0),"")</f>
        <v/>
      </c>
      <c r="AK81" s="433"/>
      <c r="AL81" s="432" t="str">
        <f>IFERROR(VLOOKUP(AO80,اسماء,38,0),"")</f>
        <v/>
      </c>
      <c r="AM81" s="433"/>
      <c r="AN81" s="18"/>
      <c r="AO81" s="471" t="s">
        <v>90</v>
      </c>
      <c r="AP81" s="471"/>
      <c r="AQ81" s="472"/>
    </row>
    <row r="82" spans="1:43" ht="13.5" customHeight="1" x14ac:dyDescent="0.25">
      <c r="A82" s="434" t="s">
        <v>59</v>
      </c>
      <c r="B82" s="435"/>
      <c r="C82" s="436">
        <f>IFERROR(VLOOKUP(H80,اسماء,40,0),"")</f>
        <v>0</v>
      </c>
      <c r="D82" s="437"/>
      <c r="E82" s="436">
        <f>IFERROR(VLOOKUP(H80,اسماء,42,0),"")</f>
        <v>0</v>
      </c>
      <c r="F82" s="437"/>
      <c r="G82" s="18"/>
      <c r="H82" s="471"/>
      <c r="I82" s="471"/>
      <c r="J82" s="472"/>
      <c r="L82" s="434" t="s">
        <v>59</v>
      </c>
      <c r="M82" s="435"/>
      <c r="N82" s="436">
        <f>IFERROR(VLOOKUP(S80,اسماء,40,0),"")</f>
        <v>0</v>
      </c>
      <c r="O82" s="437"/>
      <c r="P82" s="436">
        <f>IFERROR(VLOOKUP(S80,اسماء,42,0),"")</f>
        <v>0</v>
      </c>
      <c r="Q82" s="437"/>
      <c r="R82" s="18"/>
      <c r="S82" s="471"/>
      <c r="T82" s="471"/>
      <c r="U82" s="472"/>
      <c r="W82" s="434" t="s">
        <v>59</v>
      </c>
      <c r="X82" s="435"/>
      <c r="Y82" s="436" t="str">
        <f>IFERROR(VLOOKUP(AD80,اسماء,40,0),"")</f>
        <v/>
      </c>
      <c r="Z82" s="437"/>
      <c r="AA82" s="436" t="str">
        <f>IFERROR(VLOOKUP(AD80,اسماء,42,0),"")</f>
        <v/>
      </c>
      <c r="AB82" s="437"/>
      <c r="AC82" s="18"/>
      <c r="AD82" s="471"/>
      <c r="AE82" s="471"/>
      <c r="AF82" s="472"/>
      <c r="AH82" s="434" t="s">
        <v>59</v>
      </c>
      <c r="AI82" s="435"/>
      <c r="AJ82" s="436" t="str">
        <f>IFERROR(VLOOKUP(AO80,اسماء,40,0),"")</f>
        <v/>
      </c>
      <c r="AK82" s="437"/>
      <c r="AL82" s="436" t="str">
        <f>IFERROR(VLOOKUP(AO80,اسماء,42,0),"")</f>
        <v/>
      </c>
      <c r="AM82" s="437"/>
      <c r="AN82" s="18"/>
      <c r="AO82" s="471"/>
      <c r="AP82" s="471"/>
      <c r="AQ82" s="472"/>
    </row>
    <row r="83" spans="1:43" ht="29.1" customHeight="1" thickBot="1" x14ac:dyDescent="0.3">
      <c r="A83" s="438" t="s">
        <v>60</v>
      </c>
      <c r="B83" s="439"/>
      <c r="C83" s="440">
        <f>IFERROR(VLOOKUP(H80,اسماء,41,0),"")</f>
        <v>0</v>
      </c>
      <c r="D83" s="441"/>
      <c r="E83" s="440">
        <f>IFERROR(VLOOKUP(H80,اسماء,43,0),"")</f>
        <v>0</v>
      </c>
      <c r="F83" s="441"/>
      <c r="G83" s="18"/>
      <c r="H83" s="473"/>
      <c r="I83" s="473"/>
      <c r="J83" s="474"/>
      <c r="L83" s="438" t="s">
        <v>60</v>
      </c>
      <c r="M83" s="439"/>
      <c r="N83" s="440">
        <f>IFERROR(VLOOKUP(S80,اسماء,41,0),"")</f>
        <v>0</v>
      </c>
      <c r="O83" s="441"/>
      <c r="P83" s="440">
        <f>IFERROR(VLOOKUP(S80,اسماء,43,0),"")</f>
        <v>0</v>
      </c>
      <c r="Q83" s="441"/>
      <c r="R83" s="18"/>
      <c r="S83" s="473"/>
      <c r="T83" s="473"/>
      <c r="U83" s="474"/>
      <c r="W83" s="438" t="s">
        <v>60</v>
      </c>
      <c r="X83" s="439"/>
      <c r="Y83" s="440" t="str">
        <f>IFERROR(VLOOKUP(AD80,اسماء,41,0),"")</f>
        <v/>
      </c>
      <c r="Z83" s="441"/>
      <c r="AA83" s="440" t="str">
        <f>IFERROR(VLOOKUP(AD80,اسماء,43,0),"")</f>
        <v/>
      </c>
      <c r="AB83" s="441"/>
      <c r="AC83" s="18"/>
      <c r="AD83" s="473"/>
      <c r="AE83" s="473"/>
      <c r="AF83" s="474"/>
      <c r="AH83" s="438" t="s">
        <v>60</v>
      </c>
      <c r="AI83" s="439"/>
      <c r="AJ83" s="440" t="str">
        <f>IFERROR(VLOOKUP(AO80,اسماء,41,0),"")</f>
        <v/>
      </c>
      <c r="AK83" s="441"/>
      <c r="AL83" s="440" t="str">
        <f>IFERROR(VLOOKUP(AO80,اسماء,43,0),"")</f>
        <v/>
      </c>
      <c r="AM83" s="441"/>
      <c r="AN83" s="18"/>
      <c r="AO83" s="473"/>
      <c r="AP83" s="473"/>
      <c r="AQ83" s="474"/>
    </row>
    <row r="84" spans="1:43" ht="29.1" customHeight="1" x14ac:dyDescent="0.25">
      <c r="A84" s="27" t="s">
        <v>64</v>
      </c>
      <c r="B84" s="435"/>
      <c r="C84" s="435"/>
      <c r="D84" s="436"/>
      <c r="E84" s="442"/>
      <c r="F84" s="442"/>
      <c r="G84" s="437"/>
      <c r="H84" s="436"/>
      <c r="I84" s="443"/>
      <c r="J84" s="284"/>
      <c r="L84" s="115" t="s">
        <v>64</v>
      </c>
      <c r="M84" s="435"/>
      <c r="N84" s="435"/>
      <c r="O84" s="436"/>
      <c r="P84" s="442"/>
      <c r="Q84" s="442"/>
      <c r="R84" s="437"/>
      <c r="S84" s="436"/>
      <c r="T84" s="443"/>
      <c r="U84" s="284"/>
      <c r="W84" s="115" t="s">
        <v>64</v>
      </c>
      <c r="X84" s="435"/>
      <c r="Y84" s="435"/>
      <c r="Z84" s="436"/>
      <c r="AA84" s="442"/>
      <c r="AB84" s="442"/>
      <c r="AC84" s="437"/>
      <c r="AD84" s="436"/>
      <c r="AE84" s="443"/>
      <c r="AF84" s="284"/>
      <c r="AH84" s="115" t="s">
        <v>64</v>
      </c>
      <c r="AI84" s="435"/>
      <c r="AJ84" s="435"/>
      <c r="AK84" s="436"/>
      <c r="AL84" s="442"/>
      <c r="AM84" s="442"/>
      <c r="AN84" s="437"/>
      <c r="AO84" s="436"/>
      <c r="AP84" s="443"/>
      <c r="AQ84" s="284"/>
    </row>
    <row r="85" spans="1:43" ht="29.1" customHeight="1" thickBot="1" x14ac:dyDescent="0.3">
      <c r="A85" s="118" t="s">
        <v>66</v>
      </c>
      <c r="B85" s="456"/>
      <c r="C85" s="456"/>
      <c r="D85" s="440"/>
      <c r="E85" s="452"/>
      <c r="F85" s="452"/>
      <c r="G85" s="441"/>
      <c r="H85" s="440"/>
      <c r="I85" s="486"/>
      <c r="J85" s="291"/>
      <c r="L85" s="117" t="s">
        <v>66</v>
      </c>
      <c r="M85" s="427"/>
      <c r="N85" s="427"/>
      <c r="O85" s="428"/>
      <c r="P85" s="429"/>
      <c r="Q85" s="429"/>
      <c r="R85" s="430"/>
      <c r="S85" s="428"/>
      <c r="T85" s="431"/>
      <c r="U85" s="291"/>
      <c r="W85" s="117" t="s">
        <v>66</v>
      </c>
      <c r="X85" s="427"/>
      <c r="Y85" s="427"/>
      <c r="Z85" s="428"/>
      <c r="AA85" s="429"/>
      <c r="AB85" s="429"/>
      <c r="AC85" s="430"/>
      <c r="AD85" s="428"/>
      <c r="AE85" s="431"/>
      <c r="AF85" s="291"/>
      <c r="AH85" s="117" t="s">
        <v>66</v>
      </c>
      <c r="AI85" s="427"/>
      <c r="AJ85" s="427"/>
      <c r="AK85" s="428"/>
      <c r="AL85" s="429"/>
      <c r="AM85" s="429"/>
      <c r="AN85" s="430"/>
      <c r="AO85" s="428"/>
      <c r="AP85" s="431"/>
      <c r="AQ85" s="291"/>
    </row>
    <row r="86" spans="1:43" ht="29.1" customHeight="1" thickBot="1" x14ac:dyDescent="0.3"/>
    <row r="87" spans="1:43" ht="29.1" customHeight="1" thickTop="1" x14ac:dyDescent="0.25">
      <c r="A87" s="465" t="s">
        <v>80</v>
      </c>
      <c r="B87" s="466"/>
      <c r="C87" s="466"/>
      <c r="D87" s="466" t="str">
        <f>ادخال1!$L$4</f>
        <v>الثالث</v>
      </c>
      <c r="E87" s="466"/>
      <c r="F87" s="275" t="s">
        <v>81</v>
      </c>
      <c r="G87" s="275"/>
      <c r="H87" s="275"/>
      <c r="I87" s="275"/>
      <c r="J87" s="292">
        <f>J66+1</f>
        <v>8</v>
      </c>
      <c r="L87" s="469" t="s">
        <v>80</v>
      </c>
      <c r="M87" s="470"/>
      <c r="N87" s="470"/>
      <c r="O87" s="466" t="str">
        <f>ادخال1!$L$4</f>
        <v>الثالث</v>
      </c>
      <c r="P87" s="466"/>
      <c r="Q87" s="285" t="s">
        <v>81</v>
      </c>
      <c r="R87" s="285"/>
      <c r="S87" s="285"/>
      <c r="T87" s="285"/>
      <c r="U87" s="293">
        <f>U66+1</f>
        <v>13</v>
      </c>
      <c r="W87" s="465" t="s">
        <v>80</v>
      </c>
      <c r="X87" s="466"/>
      <c r="Y87" s="466"/>
      <c r="Z87" s="466" t="str">
        <f>ادخال1!$L$4</f>
        <v>الثالث</v>
      </c>
      <c r="AA87" s="466"/>
      <c r="AB87" s="275" t="s">
        <v>81</v>
      </c>
      <c r="AC87" s="275"/>
      <c r="AD87" s="275"/>
      <c r="AE87" s="275"/>
      <c r="AF87" s="292">
        <f>AF66+1</f>
        <v>18</v>
      </c>
      <c r="AH87" s="465" t="s">
        <v>80</v>
      </c>
      <c r="AI87" s="466"/>
      <c r="AJ87" s="466"/>
      <c r="AK87" s="466" t="str">
        <f>ادخال1!$L$4</f>
        <v>الثالث</v>
      </c>
      <c r="AL87" s="466"/>
      <c r="AM87" s="275" t="s">
        <v>81</v>
      </c>
      <c r="AN87" s="275"/>
      <c r="AO87" s="275"/>
      <c r="AP87" s="275"/>
      <c r="AQ87" s="292">
        <f>AQ66+1</f>
        <v>23</v>
      </c>
    </row>
    <row r="88" spans="1:43" ht="29.1" customHeight="1" thickBot="1" x14ac:dyDescent="0.3">
      <c r="A88" s="1" t="s">
        <v>153</v>
      </c>
      <c r="B88" s="455" t="str">
        <f>ادخال1!$B$5</f>
        <v>سهول العلم للتعليم الخاص</v>
      </c>
      <c r="C88" s="455"/>
      <c r="D88" s="455"/>
      <c r="E88" s="455"/>
      <c r="F88" s="274" t="s">
        <v>9</v>
      </c>
      <c r="G88" s="453">
        <f>H99</f>
        <v>0</v>
      </c>
      <c r="H88" s="453"/>
      <c r="I88" s="453"/>
      <c r="J88" s="454"/>
      <c r="L88" s="1" t="s">
        <v>153</v>
      </c>
      <c r="M88" s="455" t="str">
        <f>ادخال1!$B$5</f>
        <v>سهول العلم للتعليم الخاص</v>
      </c>
      <c r="N88" s="455"/>
      <c r="O88" s="455"/>
      <c r="P88" s="455"/>
      <c r="Q88" s="274" t="s">
        <v>9</v>
      </c>
      <c r="R88" s="453">
        <f>S99</f>
        <v>0</v>
      </c>
      <c r="S88" s="453"/>
      <c r="T88" s="453"/>
      <c r="U88" s="454"/>
      <c r="W88" s="1" t="s">
        <v>153</v>
      </c>
      <c r="X88" s="455" t="str">
        <f>ادخال1!$B$5</f>
        <v>سهول العلم للتعليم الخاص</v>
      </c>
      <c r="Y88" s="455"/>
      <c r="Z88" s="455"/>
      <c r="AA88" s="455"/>
      <c r="AB88" s="274" t="s">
        <v>9</v>
      </c>
      <c r="AC88" s="453">
        <f>AD99</f>
        <v>0</v>
      </c>
      <c r="AD88" s="453"/>
      <c r="AE88" s="453"/>
      <c r="AF88" s="454"/>
      <c r="AH88" s="1" t="s">
        <v>153</v>
      </c>
      <c r="AI88" s="455" t="str">
        <f>ادخال1!$B$5</f>
        <v>سهول العلم للتعليم الخاص</v>
      </c>
      <c r="AJ88" s="455"/>
      <c r="AK88" s="455"/>
      <c r="AL88" s="455"/>
      <c r="AM88" s="274" t="s">
        <v>9</v>
      </c>
      <c r="AN88" s="453">
        <f>AO99</f>
        <v>0</v>
      </c>
      <c r="AO88" s="453"/>
      <c r="AP88" s="453"/>
      <c r="AQ88" s="454"/>
    </row>
    <row r="89" spans="1:43" ht="29.1" customHeight="1" thickBot="1" x14ac:dyDescent="0.3">
      <c r="A89" s="262" t="s">
        <v>45</v>
      </c>
      <c r="B89" s="457" t="s">
        <v>12</v>
      </c>
      <c r="C89" s="459" t="s">
        <v>46</v>
      </c>
      <c r="D89" s="460"/>
      <c r="E89" s="461" t="s">
        <v>47</v>
      </c>
      <c r="F89" s="460"/>
      <c r="G89" s="26"/>
      <c r="H89" s="462" t="s">
        <v>50</v>
      </c>
      <c r="I89" s="463"/>
      <c r="J89" s="464"/>
      <c r="L89" s="262" t="s">
        <v>45</v>
      </c>
      <c r="M89" s="457" t="s">
        <v>12</v>
      </c>
      <c r="N89" s="459" t="s">
        <v>46</v>
      </c>
      <c r="O89" s="460"/>
      <c r="P89" s="461" t="s">
        <v>47</v>
      </c>
      <c r="Q89" s="460"/>
      <c r="R89" s="26"/>
      <c r="S89" s="462" t="s">
        <v>50</v>
      </c>
      <c r="T89" s="463"/>
      <c r="U89" s="464"/>
      <c r="W89" s="262" t="s">
        <v>45</v>
      </c>
      <c r="X89" s="457" t="s">
        <v>12</v>
      </c>
      <c r="Y89" s="459" t="s">
        <v>46</v>
      </c>
      <c r="Z89" s="460"/>
      <c r="AA89" s="461" t="s">
        <v>47</v>
      </c>
      <c r="AB89" s="460"/>
      <c r="AC89" s="26"/>
      <c r="AD89" s="462" t="s">
        <v>50</v>
      </c>
      <c r="AE89" s="463"/>
      <c r="AF89" s="464"/>
      <c r="AH89" s="262" t="s">
        <v>45</v>
      </c>
      <c r="AI89" s="457" t="s">
        <v>12</v>
      </c>
      <c r="AJ89" s="459" t="s">
        <v>46</v>
      </c>
      <c r="AK89" s="460"/>
      <c r="AL89" s="461" t="s">
        <v>47</v>
      </c>
      <c r="AM89" s="460"/>
      <c r="AN89" s="26"/>
      <c r="AO89" s="462" t="s">
        <v>50</v>
      </c>
      <c r="AP89" s="463"/>
      <c r="AQ89" s="464"/>
    </row>
    <row r="90" spans="1:43" ht="29.1" customHeight="1" thickBot="1" x14ac:dyDescent="0.3">
      <c r="A90" s="263" t="s">
        <v>2</v>
      </c>
      <c r="B90" s="458"/>
      <c r="C90" s="39" t="s">
        <v>51</v>
      </c>
      <c r="D90" s="28" t="s">
        <v>52</v>
      </c>
      <c r="E90" s="40" t="s">
        <v>51</v>
      </c>
      <c r="F90" s="28" t="s">
        <v>52</v>
      </c>
      <c r="G90" s="10"/>
      <c r="H90" s="283" t="s">
        <v>55</v>
      </c>
      <c r="I90" s="450" t="str">
        <f>IF(D96=0,"",IF(AND(D91&gt;=C91*0.4,D92&gt;=C92*0.4,D93&gt;=C93*0.4,D94&gt;=C94*0.4,D95&gt;=C95*0.4),LOOKUP(D96,'النتيجة النهائية'!$AC$6:$AD$10),"ضعيف ويحتاج الى اهتمام في المواد"))</f>
        <v>ضعيف</v>
      </c>
      <c r="J90" s="451"/>
      <c r="L90" s="263" t="s">
        <v>2</v>
      </c>
      <c r="M90" s="458"/>
      <c r="N90" s="39" t="s">
        <v>51</v>
      </c>
      <c r="O90" s="28" t="s">
        <v>52</v>
      </c>
      <c r="P90" s="40" t="s">
        <v>51</v>
      </c>
      <c r="Q90" s="28" t="s">
        <v>52</v>
      </c>
      <c r="R90" s="10"/>
      <c r="S90" s="283" t="s">
        <v>55</v>
      </c>
      <c r="T90" s="450" t="str">
        <f>IF(O96=0,"",IF(AND(O91&gt;=N91*0.4,O92&gt;=N92*0.4,O93&gt;=N93*0.4,O94&gt;=N94*0.4,O95&gt;=N95*0.4),LOOKUP(O96,'النتيجة النهائية'!$AC$6:$AD$10),"ضعيف ويحتاج الى اهتمام في المواد"))</f>
        <v>ضعيف</v>
      </c>
      <c r="U90" s="451"/>
      <c r="W90" s="263" t="s">
        <v>2</v>
      </c>
      <c r="X90" s="458"/>
      <c r="Y90" s="39" t="s">
        <v>51</v>
      </c>
      <c r="Z90" s="28" t="s">
        <v>52</v>
      </c>
      <c r="AA90" s="40" t="s">
        <v>51</v>
      </c>
      <c r="AB90" s="28" t="s">
        <v>52</v>
      </c>
      <c r="AC90" s="10"/>
      <c r="AD90" s="283" t="s">
        <v>55</v>
      </c>
      <c r="AE90" s="450" t="e">
        <f>IF(Z96=0,"",IF(AND(Z91&gt;=Y91*0.4,Z92&gt;=Y92*0.4,Z93&gt;=Y93*0.4,Z94&gt;=Y94*0.4,Z95&gt;=Y95*0.4),LOOKUP(Z96,'النتيجة النهائية'!$AC$6:$AD$10),"ضعيف ويحتاج الى اهتمام في المواد"))</f>
        <v>#N/A</v>
      </c>
      <c r="AF90" s="451"/>
      <c r="AH90" s="263" t="s">
        <v>2</v>
      </c>
      <c r="AI90" s="458"/>
      <c r="AJ90" s="39" t="s">
        <v>51</v>
      </c>
      <c r="AK90" s="28" t="s">
        <v>52</v>
      </c>
      <c r="AL90" s="40" t="s">
        <v>51</v>
      </c>
      <c r="AM90" s="28" t="s">
        <v>52</v>
      </c>
      <c r="AN90" s="10"/>
      <c r="AO90" s="283" t="s">
        <v>55</v>
      </c>
      <c r="AP90" s="450" t="e">
        <f>IF(AK96=0,"",IF(AND(AK91&gt;=AJ91*0.4,AK92&gt;=AJ92*0.4,AK93&gt;=AJ93*0.4,AK94&gt;=AJ94*0.4,AK95&gt;=AJ95*0.4),LOOKUP(AK96,'النتيجة النهائية'!$AC$6:$AD$10),"ضعيف ويحتاج الى اهتمام في المواد"))</f>
        <v>#N/A</v>
      </c>
      <c r="AQ90" s="451"/>
    </row>
    <row r="91" spans="1:43" ht="29.1" customHeight="1" x14ac:dyDescent="0.25">
      <c r="A91" s="261" t="str">
        <f>ادخال1!$F$9</f>
        <v>التربية الإسلامية</v>
      </c>
      <c r="B91" s="46">
        <f>ادخال1!$F$7</f>
        <v>3</v>
      </c>
      <c r="C91" s="41">
        <f t="shared" ref="C91:C92" si="32">40*B91*0.3</f>
        <v>36</v>
      </c>
      <c r="D91" s="2">
        <f xml:space="preserve"> IFERROR(VLOOKUP(H101,اسماء,5,0),"")</f>
        <v>28</v>
      </c>
      <c r="E91" s="43">
        <f t="shared" ref="E91:E92" si="33">40*B91*0.3</f>
        <v>36</v>
      </c>
      <c r="F91" s="2">
        <f>IFERROR(VLOOKUP(H101,اسماء,16,0),"")</f>
        <v>0</v>
      </c>
      <c r="G91" s="18"/>
      <c r="H91" s="27" t="str">
        <f>IF(D91=0,"",IF(D91&lt;C91*0.4,A91,""))</f>
        <v/>
      </c>
      <c r="I91" s="29" t="str">
        <f>IF(D92=0,"",IF(D92&lt;C92*0.4,A92,""))</f>
        <v/>
      </c>
      <c r="J91" s="28" t="str">
        <f>IF(D93=0,"",IF(D93&lt;C93*0.4,A93,""))</f>
        <v/>
      </c>
      <c r="L91" s="261" t="str">
        <f>ادخال1!$F$9</f>
        <v>التربية الإسلامية</v>
      </c>
      <c r="M91" s="46">
        <f>ادخال1!$F$7</f>
        <v>3</v>
      </c>
      <c r="N91" s="41">
        <f t="shared" ref="N91:N92" si="34">40*M91*0.3</f>
        <v>36</v>
      </c>
      <c r="O91" s="2">
        <f xml:space="preserve"> IFERROR(VLOOKUP(S101,اسماء,5,0),"")</f>
        <v>36</v>
      </c>
      <c r="P91" s="43">
        <f t="shared" ref="P91:P92" si="35">40*M91*0.3</f>
        <v>36</v>
      </c>
      <c r="Q91" s="2">
        <f>IFERROR(VLOOKUP(S101,اسماء,16,0),"")</f>
        <v>0</v>
      </c>
      <c r="R91" s="18"/>
      <c r="S91" s="27" t="str">
        <f>IF(O91=0,"",IF(O91&lt;N91*0.4,L91,""))</f>
        <v/>
      </c>
      <c r="T91" s="29" t="str">
        <f>IF(O92=0,"",IF(O92&lt;N92*0.4,L92,""))</f>
        <v/>
      </c>
      <c r="U91" s="28" t="str">
        <f>IF(O93=0,"",IF(O93&lt;N93*0.4,L93,""))</f>
        <v/>
      </c>
      <c r="W91" s="261" t="str">
        <f>ادخال1!$F$9</f>
        <v>التربية الإسلامية</v>
      </c>
      <c r="X91" s="46">
        <f>ادخال1!$F$7</f>
        <v>3</v>
      </c>
      <c r="Y91" s="41">
        <f t="shared" ref="Y91:Y92" si="36">40*X91*0.3</f>
        <v>36</v>
      </c>
      <c r="Z91" s="2" t="str">
        <f xml:space="preserve"> IFERROR(VLOOKUP(AD101,اسماء,5,0),"")</f>
        <v/>
      </c>
      <c r="AA91" s="43">
        <f t="shared" ref="AA91:AA92" si="37">40*X91*0.3</f>
        <v>36</v>
      </c>
      <c r="AB91" s="2" t="str">
        <f>IFERROR(VLOOKUP(AD101,اسماء,16,0),"")</f>
        <v/>
      </c>
      <c r="AC91" s="18"/>
      <c r="AD91" s="27" t="str">
        <f>IF(Z91=0,"",IF(Z91&lt;Y91*0.4,W91,""))</f>
        <v/>
      </c>
      <c r="AE91" s="29" t="str">
        <f>IF(Z92=0,"",IF(Z92&lt;Y92*0.4,W92,""))</f>
        <v/>
      </c>
      <c r="AF91" s="28" t="str">
        <f>IF(Z93=0,"",IF(Z93&lt;Y93*0.4,W93,""))</f>
        <v/>
      </c>
      <c r="AH91" s="261" t="str">
        <f>ادخال1!$F$9</f>
        <v>التربية الإسلامية</v>
      </c>
      <c r="AI91" s="46">
        <f>ادخال1!$F$7</f>
        <v>3</v>
      </c>
      <c r="AJ91" s="41">
        <f t="shared" ref="AJ91:AJ92" si="38">40*AI91*0.3</f>
        <v>36</v>
      </c>
      <c r="AK91" s="2" t="str">
        <f xml:space="preserve"> IFERROR(VLOOKUP(AO101,اسماء,5,0),"")</f>
        <v/>
      </c>
      <c r="AL91" s="43">
        <f t="shared" ref="AL91:AL92" si="39">40*AI91*0.3</f>
        <v>36</v>
      </c>
      <c r="AM91" s="2" t="str">
        <f>IFERROR(VLOOKUP(AO101,اسماء,16,0),"")</f>
        <v/>
      </c>
      <c r="AN91" s="18"/>
      <c r="AO91" s="27" t="str">
        <f>IF(AK91=0,"",IF(AK91&lt;AJ91*0.4,AH91,""))</f>
        <v/>
      </c>
      <c r="AP91" s="29" t="str">
        <f>IF(AK92=0,"",IF(AK92&lt;AJ92*0.4,AH92,""))</f>
        <v/>
      </c>
      <c r="AQ91" s="28" t="str">
        <f>IF(AK93=0,"",IF(AK93&lt;AJ93*0.4,AH93,""))</f>
        <v/>
      </c>
    </row>
    <row r="92" spans="1:43" ht="29.1" customHeight="1" thickBot="1" x14ac:dyDescent="0.3">
      <c r="A92" s="56" t="str">
        <f>ادخال1!$G$9</f>
        <v>اللغة العربية</v>
      </c>
      <c r="B92" s="47">
        <f>ادخال1!$G$7</f>
        <v>6</v>
      </c>
      <c r="C92" s="41">
        <f t="shared" si="32"/>
        <v>72</v>
      </c>
      <c r="D92" s="2">
        <f>IFERROR(VLOOKUP(H101,اسماء,6,0),"")</f>
        <v>64</v>
      </c>
      <c r="E92" s="43">
        <f t="shared" si="33"/>
        <v>72</v>
      </c>
      <c r="F92" s="2">
        <f>IFERROR(VLOOKUP(H101,اسماء,17,0),"")</f>
        <v>0</v>
      </c>
      <c r="G92" s="18"/>
      <c r="H92" s="118" t="str">
        <f>IF(D95=0,"",IF(D95&lt;C95*0.4,A95,""))</f>
        <v/>
      </c>
      <c r="I92" s="282" t="str">
        <f>IF(D96=0,"",IF(D96&lt;C96*0.4,A96,""))</f>
        <v/>
      </c>
      <c r="J92" s="282" t="str">
        <f>IF(D94=0,"",IF(D94&lt;C94*0.4,A94,""))</f>
        <v/>
      </c>
      <c r="L92" s="56" t="str">
        <f>ادخال1!$G$9</f>
        <v>اللغة العربية</v>
      </c>
      <c r="M92" s="47">
        <f>ادخال1!$G$7</f>
        <v>6</v>
      </c>
      <c r="N92" s="41">
        <f t="shared" si="34"/>
        <v>72</v>
      </c>
      <c r="O92" s="2">
        <f>IFERROR(VLOOKUP(S101,اسماء,6,0),"")</f>
        <v>71</v>
      </c>
      <c r="P92" s="43">
        <f t="shared" si="35"/>
        <v>72</v>
      </c>
      <c r="Q92" s="2">
        <f>IFERROR(VLOOKUP(S101,اسماء,17,0),"")</f>
        <v>0</v>
      </c>
      <c r="R92" s="18"/>
      <c r="S92" s="118" t="str">
        <f>IF(O95=0,"",IF(O95&lt;N95*0.4,L95,""))</f>
        <v/>
      </c>
      <c r="T92" s="282" t="str">
        <f>IF(O96=0,"",IF(O96&lt;N96*0.4,L96,""))</f>
        <v/>
      </c>
      <c r="U92" s="282" t="str">
        <f>IF(O94=0,"",IF(O94&lt;N94*0.4,L94,""))</f>
        <v/>
      </c>
      <c r="W92" s="56" t="str">
        <f>ادخال1!$G$9</f>
        <v>اللغة العربية</v>
      </c>
      <c r="X92" s="47">
        <f>ادخال1!$G$7</f>
        <v>6</v>
      </c>
      <c r="Y92" s="41">
        <f t="shared" si="36"/>
        <v>72</v>
      </c>
      <c r="Z92" s="2" t="str">
        <f>IFERROR(VLOOKUP(AD101,اسماء,6,0),"")</f>
        <v/>
      </c>
      <c r="AA92" s="43">
        <f t="shared" si="37"/>
        <v>72</v>
      </c>
      <c r="AB92" s="2" t="str">
        <f>IFERROR(VLOOKUP(AD101,اسماء,17,0),"")</f>
        <v/>
      </c>
      <c r="AC92" s="18"/>
      <c r="AD92" s="118" t="str">
        <f>IF(Z95=0,"",IF(Z95&lt;Y95*0.4,W95,""))</f>
        <v/>
      </c>
      <c r="AE92" s="282" t="str">
        <f>IF(Z96=0,"",IF(Z96&lt;Y96*0.4,W96,""))</f>
        <v/>
      </c>
      <c r="AF92" s="282" t="str">
        <f>IF(Z94=0,"",IF(Z94&lt;Y94*0.4,W94,""))</f>
        <v/>
      </c>
      <c r="AH92" s="56" t="str">
        <f>ادخال1!$G$9</f>
        <v>اللغة العربية</v>
      </c>
      <c r="AI92" s="47">
        <f>ادخال1!$G$7</f>
        <v>6</v>
      </c>
      <c r="AJ92" s="41">
        <f t="shared" si="38"/>
        <v>72</v>
      </c>
      <c r="AK92" s="2" t="str">
        <f>IFERROR(VLOOKUP(AO101,اسماء,6,0),"")</f>
        <v/>
      </c>
      <c r="AL92" s="43">
        <f t="shared" si="39"/>
        <v>72</v>
      </c>
      <c r="AM92" s="2" t="str">
        <f>IFERROR(VLOOKUP(AO101,اسماء,17,0),"")</f>
        <v/>
      </c>
      <c r="AN92" s="18"/>
      <c r="AO92" s="118" t="str">
        <f>IF(AK95=0,"",IF(AK95&lt;AJ95*0.4,AH95,""))</f>
        <v/>
      </c>
      <c r="AP92" s="282" t="str">
        <f>IF(AK96=0,"",IF(AK96&lt;AJ96*0.4,AH96,""))</f>
        <v/>
      </c>
      <c r="AQ92" s="282" t="str">
        <f>IF(AK94=0,"",IF(AK94&lt;AJ94*0.4,AH94,""))</f>
        <v/>
      </c>
    </row>
    <row r="93" spans="1:43" ht="29.1" customHeight="1" x14ac:dyDescent="0.25">
      <c r="A93" s="133" t="str">
        <f>ادخال1!$H$9</f>
        <v>اللغة الإنجليزية</v>
      </c>
      <c r="B93" s="47">
        <f>ادخال1!$H$7</f>
        <v>3</v>
      </c>
      <c r="C93" s="41">
        <f>40*B93*0.3</f>
        <v>36</v>
      </c>
      <c r="D93" s="2">
        <f>IFERROR(VLOOKUP(H101,اسماء,7,0),"")</f>
        <v>25</v>
      </c>
      <c r="E93" s="43">
        <f>40*B93*0.3</f>
        <v>36</v>
      </c>
      <c r="F93" s="2">
        <f>IFERROR(VLOOKUP(H101,اسماء,18,0),"")</f>
        <v>0</v>
      </c>
      <c r="G93" s="18"/>
      <c r="H93" s="467" t="s">
        <v>158</v>
      </c>
      <c r="I93" s="423" t="str">
        <f>IF(F97=0,"",IF(AND(F91&gt;=E91*0.4,F92&gt;=E92*0.4,F93&gt;=E93*0.4,F95&gt;=E95*0.4,F96&gt;=E96*0.4),LOOKUP(F97,'النتيجة النهائية'!$AC$6:$AD$10),"ضعيف ويحتاج الى اهتمام في المواد"))</f>
        <v/>
      </c>
      <c r="J93" s="424"/>
      <c r="L93" s="133" t="str">
        <f>ادخال1!$H$9</f>
        <v>اللغة الإنجليزية</v>
      </c>
      <c r="M93" s="47">
        <f>ادخال1!$H$7</f>
        <v>3</v>
      </c>
      <c r="N93" s="41">
        <f>40*M93*0.3</f>
        <v>36</v>
      </c>
      <c r="O93" s="2">
        <f>IFERROR(VLOOKUP(S101,اسماء,7,0),"")</f>
        <v>36</v>
      </c>
      <c r="P93" s="43">
        <f>40*M93*0.3</f>
        <v>36</v>
      </c>
      <c r="Q93" s="2">
        <f>IFERROR(VLOOKUP(S101,اسماء,18,0),"")</f>
        <v>0</v>
      </c>
      <c r="R93" s="18"/>
      <c r="S93" s="467" t="s">
        <v>158</v>
      </c>
      <c r="T93" s="423" t="str">
        <f>IF(Q97=0,"",IF(AND(Q91&gt;=P91*0.4,Q92&gt;=P92*0.4,Q93&gt;=P93*0.4,Q95&gt;=P95*0.4,Q96&gt;=P96*0.4),LOOKUP(Q97,'النتيجة النهائية'!$AC$6:$AD$10),"ضعيف ويحتاج الى اهتمام في المواد"))</f>
        <v/>
      </c>
      <c r="U93" s="424"/>
      <c r="W93" s="133" t="str">
        <f>ادخال1!$H$9</f>
        <v>اللغة الإنجليزية</v>
      </c>
      <c r="X93" s="47">
        <f>ادخال1!$H$7</f>
        <v>3</v>
      </c>
      <c r="Y93" s="41">
        <f>40*X93*0.3</f>
        <v>36</v>
      </c>
      <c r="Z93" s="2" t="str">
        <f>IFERROR(VLOOKUP(AD101,اسماء,7,0),"")</f>
        <v/>
      </c>
      <c r="AA93" s="43">
        <f>40*X93*0.3</f>
        <v>36</v>
      </c>
      <c r="AB93" s="2" t="str">
        <f>IFERROR(VLOOKUP(AD101,اسماء,18,0),"")</f>
        <v/>
      </c>
      <c r="AC93" s="18"/>
      <c r="AD93" s="467" t="s">
        <v>158</v>
      </c>
      <c r="AE93" s="423" t="str">
        <f>IF(AB97=0,"",IF(AND(AB91&gt;=AA91*0.4,AB92&gt;=AA92*0.4,AB93&gt;=AA93*0.4,AB95&gt;=AA95*0.4,AB96&gt;=AA96*0.4),LOOKUP(AB97,'النتيجة النهائية'!$AC$6:$AD$10),"ضعيف ويحتاج الى اهتمام في المواد"))</f>
        <v/>
      </c>
      <c r="AF93" s="424"/>
      <c r="AH93" s="133" t="str">
        <f>ادخال1!$H$9</f>
        <v>اللغة الإنجليزية</v>
      </c>
      <c r="AI93" s="47">
        <f>ادخال1!$H$7</f>
        <v>3</v>
      </c>
      <c r="AJ93" s="41">
        <f>40*AI93*0.3</f>
        <v>36</v>
      </c>
      <c r="AK93" s="2" t="str">
        <f>IFERROR(VLOOKUP(AO101,اسماء,7,0),"")</f>
        <v/>
      </c>
      <c r="AL93" s="43">
        <f>40*AI93*0.3</f>
        <v>36</v>
      </c>
      <c r="AM93" s="2" t="str">
        <f>IFERROR(VLOOKUP(AO101,اسماء,18,0),"")</f>
        <v/>
      </c>
      <c r="AN93" s="18"/>
      <c r="AO93" s="467" t="s">
        <v>158</v>
      </c>
      <c r="AP93" s="423" t="str">
        <f>IF(AM97=0,"",IF(AND(AM91&gt;=AL91*0.4,AM92&gt;=AL92*0.4,AM93&gt;=AL93*0.4,AM95&gt;=AL95*0.4,AM96&gt;=AL96*0.4),LOOKUP(AM97,'النتيجة النهائية'!$AC$6:$AD$10),"ضعيف ويحتاج الى اهتمام في المواد"))</f>
        <v/>
      </c>
      <c r="AQ93" s="424"/>
    </row>
    <row r="94" spans="1:43" ht="29.1" customHeight="1" x14ac:dyDescent="0.25">
      <c r="A94" s="133" t="str">
        <f>ادخال1!$I$9</f>
        <v>الحاسوب</v>
      </c>
      <c r="B94" s="47">
        <f>ادخال1!$I$7</f>
        <v>1</v>
      </c>
      <c r="C94" s="41">
        <f>40*B94*0.3</f>
        <v>12</v>
      </c>
      <c r="D94" s="2">
        <f>IFERROR(VLOOKUP(H101,اسماء,8,0),"")</f>
        <v>10</v>
      </c>
      <c r="E94" s="43">
        <f>40*B94*0.3</f>
        <v>12</v>
      </c>
      <c r="F94" s="2">
        <f>IFERROR(VLOOKUP(H101,اسماء,19,0),"")</f>
        <v>0</v>
      </c>
      <c r="G94" s="18"/>
      <c r="H94" s="468"/>
      <c r="I94" s="425"/>
      <c r="J94" s="426"/>
      <c r="L94" s="133" t="str">
        <f>ادخال1!$I$9</f>
        <v>الحاسوب</v>
      </c>
      <c r="M94" s="47">
        <f>ادخال1!$I$7</f>
        <v>1</v>
      </c>
      <c r="N94" s="41">
        <f>40*M94*0.3</f>
        <v>12</v>
      </c>
      <c r="O94" s="2">
        <f>IFERROR(VLOOKUP(S101,اسماء,8,0),"")</f>
        <v>12</v>
      </c>
      <c r="P94" s="43">
        <f>40*M94*0.3</f>
        <v>12</v>
      </c>
      <c r="Q94" s="2">
        <f>IFERROR(VLOOKUP(S101,اسماء,19,0),"")</f>
        <v>0</v>
      </c>
      <c r="R94" s="18"/>
      <c r="S94" s="468"/>
      <c r="T94" s="425"/>
      <c r="U94" s="426"/>
      <c r="W94" s="133" t="str">
        <f>ادخال1!$I$9</f>
        <v>الحاسوب</v>
      </c>
      <c r="X94" s="47">
        <f>ادخال1!$I$7</f>
        <v>1</v>
      </c>
      <c r="Y94" s="41">
        <f>40*X94*0.3</f>
        <v>12</v>
      </c>
      <c r="Z94" s="2" t="str">
        <f>IFERROR(VLOOKUP(AD101,اسماء,8,0),"")</f>
        <v/>
      </c>
      <c r="AA94" s="43">
        <f>40*X94*0.3</f>
        <v>12</v>
      </c>
      <c r="AB94" s="2" t="str">
        <f>IFERROR(VLOOKUP(AD101,اسماء,19,0),"")</f>
        <v/>
      </c>
      <c r="AC94" s="18"/>
      <c r="AD94" s="468"/>
      <c r="AE94" s="425"/>
      <c r="AF94" s="426"/>
      <c r="AH94" s="133" t="str">
        <f>ادخال1!$I$9</f>
        <v>الحاسوب</v>
      </c>
      <c r="AI94" s="47">
        <f>ادخال1!$I$7</f>
        <v>1</v>
      </c>
      <c r="AJ94" s="41">
        <f>40*AI94*0.3</f>
        <v>12</v>
      </c>
      <c r="AK94" s="2" t="str">
        <f>IFERROR(VLOOKUP(AO101,اسماء,8,0),"")</f>
        <v/>
      </c>
      <c r="AL94" s="43">
        <f>40*AI94*0.3</f>
        <v>12</v>
      </c>
      <c r="AM94" s="2" t="str">
        <f>IFERROR(VLOOKUP(AO101,اسماء,19,0),"")</f>
        <v/>
      </c>
      <c r="AN94" s="18"/>
      <c r="AO94" s="468"/>
      <c r="AP94" s="425"/>
      <c r="AQ94" s="426"/>
    </row>
    <row r="95" spans="1:43" ht="29.1" customHeight="1" x14ac:dyDescent="0.25">
      <c r="A95" s="56" t="str">
        <f>ادخال1!$J$9</f>
        <v>الرياضيات</v>
      </c>
      <c r="B95" s="47">
        <f>ادخال1!$J$7</f>
        <v>5</v>
      </c>
      <c r="C95" s="41">
        <f>40*B95*0.3</f>
        <v>60</v>
      </c>
      <c r="D95" s="2">
        <f>IFERROR(VLOOKUP(H101,اسماء,9,0),"")</f>
        <v>46</v>
      </c>
      <c r="E95" s="43">
        <f>40*B95*0.3</f>
        <v>60</v>
      </c>
      <c r="F95" s="2">
        <f>IFERROR(VLOOKUP(H101,اسماء,20,0),"")</f>
        <v>0</v>
      </c>
      <c r="G95" s="18"/>
      <c r="H95" s="27" t="str">
        <f>IF(F91=0,"",IF(F91&lt;E91*0.4,A91,""))</f>
        <v/>
      </c>
      <c r="I95" s="29" t="str">
        <f>IF(F92=0,"",IF(F92&lt;E92*0.4,A92,""))</f>
        <v/>
      </c>
      <c r="J95" s="28" t="str">
        <f>IF(F93=0,"",IF(F93&lt;E93*0.4,A93,""))</f>
        <v/>
      </c>
      <c r="L95" s="56" t="str">
        <f>ادخال1!$J$9</f>
        <v>الرياضيات</v>
      </c>
      <c r="M95" s="47">
        <f>ادخال1!$J$7</f>
        <v>5</v>
      </c>
      <c r="N95" s="41">
        <f>40*M95*0.3</f>
        <v>60</v>
      </c>
      <c r="O95" s="2">
        <f>IFERROR(VLOOKUP(S101,اسماء,9,0),"")</f>
        <v>60</v>
      </c>
      <c r="P95" s="43">
        <f>40*M95*0.3</f>
        <v>60</v>
      </c>
      <c r="Q95" s="2">
        <f>IFERROR(VLOOKUP(S101,اسماء,20,0),"")</f>
        <v>0</v>
      </c>
      <c r="R95" s="18"/>
      <c r="S95" s="27" t="str">
        <f>IF(Q91=0,"",IF(Q91&lt;P91*0.4,L91,""))</f>
        <v/>
      </c>
      <c r="T95" s="29" t="str">
        <f>IF(Q92=0,"",IF(Q92&lt;P92*0.4,L92,""))</f>
        <v/>
      </c>
      <c r="U95" s="28" t="str">
        <f>IF(Q93=0,"",IF(Q93&lt;P93*0.4,L93,""))</f>
        <v/>
      </c>
      <c r="W95" s="56" t="str">
        <f>ادخال1!$J$9</f>
        <v>الرياضيات</v>
      </c>
      <c r="X95" s="47">
        <f>ادخال1!$J$7</f>
        <v>5</v>
      </c>
      <c r="Y95" s="41">
        <f>40*X95*0.3</f>
        <v>60</v>
      </c>
      <c r="Z95" s="2" t="str">
        <f>IFERROR(VLOOKUP(AD101,اسماء,9,0),"")</f>
        <v/>
      </c>
      <c r="AA95" s="43">
        <f>40*X95*0.3</f>
        <v>60</v>
      </c>
      <c r="AB95" s="2" t="str">
        <f>IFERROR(VLOOKUP(AD101,اسماء,20,0),"")</f>
        <v/>
      </c>
      <c r="AC95" s="18"/>
      <c r="AD95" s="27" t="str">
        <f>IF(AB91=0,"",IF(AB91&lt;AA91*0.4,W91,""))</f>
        <v/>
      </c>
      <c r="AE95" s="29" t="str">
        <f>IF(AB92=0,"",IF(AB92&lt;AA92*0.4,W92,""))</f>
        <v/>
      </c>
      <c r="AF95" s="28" t="str">
        <f>IF(AB93=0,"",IF(AB93&lt;AA93*0.4,W93,""))</f>
        <v/>
      </c>
      <c r="AH95" s="56" t="str">
        <f>ادخال1!$J$9</f>
        <v>الرياضيات</v>
      </c>
      <c r="AI95" s="47">
        <f>ادخال1!$J$7</f>
        <v>5</v>
      </c>
      <c r="AJ95" s="41">
        <f>40*AI95*0.3</f>
        <v>60</v>
      </c>
      <c r="AK95" s="2" t="str">
        <f>IFERROR(VLOOKUP(AO101,اسماء,9,0),"")</f>
        <v/>
      </c>
      <c r="AL95" s="43">
        <f>40*AI95*0.3</f>
        <v>60</v>
      </c>
      <c r="AM95" s="2" t="str">
        <f>IFERROR(VLOOKUP(AO101,اسماء,20,0),"")</f>
        <v/>
      </c>
      <c r="AN95" s="18"/>
      <c r="AO95" s="27" t="str">
        <f>IF(AM91=0,"",IF(AM91&lt;AL91*0.4,AH91,""))</f>
        <v/>
      </c>
      <c r="AP95" s="29" t="str">
        <f>IF(AM92=0,"",IF(AM92&lt;AL92*0.4,AH92,""))</f>
        <v/>
      </c>
      <c r="AQ95" s="28" t="str">
        <f>IF(AM93=0,"",IF(AM93&lt;AL93*0.4,AH93,""))</f>
        <v/>
      </c>
    </row>
    <row r="96" spans="1:43" ht="29.1" customHeight="1" thickBot="1" x14ac:dyDescent="0.3">
      <c r="A96" s="113" t="str">
        <f>ادخال1!$K$9</f>
        <v>العلوم</v>
      </c>
      <c r="B96" s="48">
        <f>ادخال1!$K$7</f>
        <v>3</v>
      </c>
      <c r="C96" s="41">
        <f>40*B96*0.3</f>
        <v>36</v>
      </c>
      <c r="D96" s="2">
        <f>IFERROR(VLOOKUP(H101,اسماء,10,0),"")</f>
        <v>27</v>
      </c>
      <c r="E96" s="43">
        <f>40*B96*0.3</f>
        <v>36</v>
      </c>
      <c r="F96" s="2">
        <f>IFERROR(VLOOKUP(H101,اسماء,21,0),"")</f>
        <v>0</v>
      </c>
      <c r="G96" s="18"/>
      <c r="H96" s="118" t="str">
        <f>IF(F95=0,"",IF(F95&lt;E95*0.4,A95,""))</f>
        <v/>
      </c>
      <c r="I96" s="282" t="str">
        <f>IF(F96=0,"",IF(F96&lt;E96*0.4,A96,""))</f>
        <v/>
      </c>
      <c r="J96" s="282" t="str">
        <f>IF(F94=0,"",IF(F94&lt;E94*0.4,A94,""))</f>
        <v/>
      </c>
      <c r="L96" s="113" t="str">
        <f>ادخال1!$K$9</f>
        <v>العلوم</v>
      </c>
      <c r="M96" s="48">
        <f>ادخال1!$K$7</f>
        <v>3</v>
      </c>
      <c r="N96" s="41">
        <f>40*M96*0.3</f>
        <v>36</v>
      </c>
      <c r="O96" s="2">
        <f>IFERROR(VLOOKUP(S101,اسماء,10,0),"")</f>
        <v>36</v>
      </c>
      <c r="P96" s="43">
        <f>40*M96*0.3</f>
        <v>36</v>
      </c>
      <c r="Q96" s="2">
        <f>IFERROR(VLOOKUP(S101,اسماء,21,0),"")</f>
        <v>0</v>
      </c>
      <c r="R96" s="18"/>
      <c r="S96" s="118" t="str">
        <f>IF(Q95=0,"",IF(Q95&lt;P95*0.4,L95,""))</f>
        <v/>
      </c>
      <c r="T96" s="282" t="str">
        <f>IF(Q96=0,"",IF(Q96&lt;P96*0.4,L96,""))</f>
        <v/>
      </c>
      <c r="U96" s="282" t="str">
        <f>IF(Q94=0,"",IF(Q94&lt;P94*0.4,L94,""))</f>
        <v/>
      </c>
      <c r="W96" s="113" t="str">
        <f>ادخال1!$K$9</f>
        <v>العلوم</v>
      </c>
      <c r="X96" s="48">
        <f>ادخال1!$K$7</f>
        <v>3</v>
      </c>
      <c r="Y96" s="41">
        <f>40*X96*0.3</f>
        <v>36</v>
      </c>
      <c r="Z96" s="2" t="str">
        <f>IFERROR(VLOOKUP(AD101,اسماء,10,0),"")</f>
        <v/>
      </c>
      <c r="AA96" s="43">
        <f>40*X96*0.3</f>
        <v>36</v>
      </c>
      <c r="AB96" s="2" t="str">
        <f>IFERROR(VLOOKUP(AD101,اسماء,21,0),"")</f>
        <v/>
      </c>
      <c r="AC96" s="18"/>
      <c r="AD96" s="118" t="str">
        <f>IF(AB95=0,"",IF(AB95&lt;AA95*0.4,W95,""))</f>
        <v/>
      </c>
      <c r="AE96" s="282" t="str">
        <f>IF(AB96=0,"",IF(AB96&lt;AA96*0.4,W96,""))</f>
        <v/>
      </c>
      <c r="AF96" s="282" t="str">
        <f>IF(AB94=0,"",IF(AB94&lt;AA94*0.4,W94,""))</f>
        <v/>
      </c>
      <c r="AH96" s="113" t="str">
        <f>ادخال1!$K$9</f>
        <v>العلوم</v>
      </c>
      <c r="AI96" s="48">
        <f>ادخال1!$K$7</f>
        <v>3</v>
      </c>
      <c r="AJ96" s="41">
        <f>40*AI96*0.3</f>
        <v>36</v>
      </c>
      <c r="AK96" s="2" t="str">
        <f>IFERROR(VLOOKUP(AO101,اسماء,10,0),"")</f>
        <v/>
      </c>
      <c r="AL96" s="43">
        <f>40*AI96*0.3</f>
        <v>36</v>
      </c>
      <c r="AM96" s="2" t="str">
        <f>IFERROR(VLOOKUP(AO101,اسماء,21,0),"")</f>
        <v/>
      </c>
      <c r="AN96" s="18"/>
      <c r="AO96" s="118" t="str">
        <f>IF(AM95=0,"",IF(AM95&lt;AL95*0.4,AH95,""))</f>
        <v/>
      </c>
      <c r="AP96" s="282" t="str">
        <f>IF(AM96=0,"",IF(AM96&lt;AL96*0.4,AH96,""))</f>
        <v/>
      </c>
      <c r="AQ96" s="282" t="str">
        <f>IF(AM94=0,"",IF(AM94&lt;AL94*0.4,AH94,""))</f>
        <v/>
      </c>
    </row>
    <row r="97" spans="1:43" ht="29.1" customHeight="1" thickBot="1" x14ac:dyDescent="0.3">
      <c r="A97" s="58" t="s">
        <v>56</v>
      </c>
      <c r="B97" s="30"/>
      <c r="C97" s="42">
        <f>SUM(C91:C96)</f>
        <v>252</v>
      </c>
      <c r="D97" s="114">
        <f>SUM(D91:D96)</f>
        <v>200</v>
      </c>
      <c r="E97" s="42">
        <f>SUM(E91:E96)</f>
        <v>252</v>
      </c>
      <c r="F97" s="114">
        <f>SUM(F91:F96)</f>
        <v>0</v>
      </c>
      <c r="G97" s="18"/>
      <c r="H97" s="196" t="s">
        <v>65</v>
      </c>
      <c r="I97" s="421" t="str">
        <f>ادخال1!$BJ$5</f>
        <v>د. عبدالرحمن خليفة العريبي</v>
      </c>
      <c r="J97" s="422"/>
      <c r="L97" s="58" t="s">
        <v>56</v>
      </c>
      <c r="M97" s="30"/>
      <c r="N97" s="42">
        <f>SUM(N91:N96)</f>
        <v>252</v>
      </c>
      <c r="O97" s="114">
        <f>SUM(O91:O96)</f>
        <v>251</v>
      </c>
      <c r="P97" s="42">
        <f>SUM(P91:P96)</f>
        <v>252</v>
      </c>
      <c r="Q97" s="114">
        <f>SUM(Q91:Q96)</f>
        <v>0</v>
      </c>
      <c r="R97" s="18"/>
      <c r="S97" s="196" t="s">
        <v>65</v>
      </c>
      <c r="T97" s="421" t="str">
        <f>ادخال1!$BJ$5</f>
        <v>د. عبدالرحمن خليفة العريبي</v>
      </c>
      <c r="U97" s="422"/>
      <c r="W97" s="58" t="s">
        <v>56</v>
      </c>
      <c r="X97" s="30"/>
      <c r="Y97" s="42">
        <f>SUM(Y91:Y96)</f>
        <v>252</v>
      </c>
      <c r="Z97" s="114">
        <f>SUM(Z91:Z96)</f>
        <v>0</v>
      </c>
      <c r="AA97" s="42">
        <f>SUM(AA91:AA96)</f>
        <v>252</v>
      </c>
      <c r="AB97" s="114">
        <f>SUM(AB91:AB96)</f>
        <v>0</v>
      </c>
      <c r="AC97" s="18"/>
      <c r="AD97" s="196" t="s">
        <v>65</v>
      </c>
      <c r="AE97" s="421" t="str">
        <f>ادخال1!$BJ$5</f>
        <v>د. عبدالرحمن خليفة العريبي</v>
      </c>
      <c r="AF97" s="422"/>
      <c r="AH97" s="58" t="s">
        <v>56</v>
      </c>
      <c r="AI97" s="30"/>
      <c r="AJ97" s="42">
        <f>SUM(AJ91:AJ96)</f>
        <v>252</v>
      </c>
      <c r="AK97" s="114">
        <f>SUM(AK91:AK96)</f>
        <v>0</v>
      </c>
      <c r="AL97" s="42">
        <f>SUM(AL91:AL96)</f>
        <v>252</v>
      </c>
      <c r="AM97" s="114">
        <f>SUM(AM91:AM96)</f>
        <v>0</v>
      </c>
      <c r="AN97" s="18"/>
      <c r="AO97" s="196" t="s">
        <v>65</v>
      </c>
      <c r="AP97" s="421" t="str">
        <f>ادخال1!$BJ$5</f>
        <v>د. عبدالرحمن خليفة العريبي</v>
      </c>
      <c r="AQ97" s="422"/>
    </row>
    <row r="98" spans="1:43" ht="29.1" customHeight="1" thickBot="1" x14ac:dyDescent="0.3">
      <c r="A98" s="331" t="str">
        <f>ادخال1!$M$8</f>
        <v>التربية الفنية</v>
      </c>
      <c r="B98" s="49">
        <f>ادخال1!$M$7</f>
        <v>1</v>
      </c>
      <c r="C98" s="446" t="str">
        <f>IFERROR(VLOOKUP(H101,اسماء,12,0),"")</f>
        <v>جيد جداً</v>
      </c>
      <c r="D98" s="447"/>
      <c r="E98" s="446">
        <f>IFERROR(VLOOKUP(H101,اسماء,23,0),"")</f>
        <v>0</v>
      </c>
      <c r="F98" s="447"/>
      <c r="G98" s="18"/>
      <c r="H98" s="15" t="s">
        <v>67</v>
      </c>
      <c r="I98" s="448">
        <f ca="1">TODAY()</f>
        <v>46009</v>
      </c>
      <c r="J98" s="449"/>
      <c r="L98" s="331" t="str">
        <f>ادخال1!$M$8</f>
        <v>التربية الفنية</v>
      </c>
      <c r="M98" s="49">
        <f>ادخال1!$M$7</f>
        <v>1</v>
      </c>
      <c r="N98" s="446" t="str">
        <f>IFERROR(VLOOKUP(S101,اسماء,12,0),"")</f>
        <v>جيد جداً</v>
      </c>
      <c r="O98" s="447"/>
      <c r="P98" s="446">
        <f>IFERROR(VLOOKUP(S101,اسماء,23,0),"")</f>
        <v>0</v>
      </c>
      <c r="Q98" s="447"/>
      <c r="R98" s="18"/>
      <c r="S98" s="15" t="s">
        <v>67</v>
      </c>
      <c r="T98" s="448">
        <f ca="1">TODAY()</f>
        <v>46009</v>
      </c>
      <c r="U98" s="449"/>
      <c r="W98" s="331" t="str">
        <f>ادخال1!$M$8</f>
        <v>التربية الفنية</v>
      </c>
      <c r="X98" s="49">
        <f>ادخال1!$M$7</f>
        <v>1</v>
      </c>
      <c r="Y98" s="446" t="str">
        <f>IFERROR(VLOOKUP(AD101,اسماء,12,0),"")</f>
        <v/>
      </c>
      <c r="Z98" s="447"/>
      <c r="AA98" s="446" t="str">
        <f>IFERROR(VLOOKUP(AD101,اسماء,23,0),"")</f>
        <v/>
      </c>
      <c r="AB98" s="447"/>
      <c r="AC98" s="18"/>
      <c r="AD98" s="15" t="s">
        <v>67</v>
      </c>
      <c r="AE98" s="448">
        <f ca="1">TODAY()</f>
        <v>46009</v>
      </c>
      <c r="AF98" s="449"/>
      <c r="AH98" s="331" t="str">
        <f>ادخال1!$M$8</f>
        <v>التربية الفنية</v>
      </c>
      <c r="AI98" s="49">
        <f>ادخال1!$M$7</f>
        <v>1</v>
      </c>
      <c r="AJ98" s="446" t="str">
        <f>IFERROR(VLOOKUP(AO101,اسماء,12,0),"")</f>
        <v/>
      </c>
      <c r="AK98" s="447"/>
      <c r="AL98" s="446" t="str">
        <f>IFERROR(VLOOKUP(AO101,اسماء,23,0),"")</f>
        <v/>
      </c>
      <c r="AM98" s="447"/>
      <c r="AN98" s="18"/>
      <c r="AO98" s="15" t="s">
        <v>67</v>
      </c>
      <c r="AP98" s="448">
        <f ca="1">TODAY()</f>
        <v>46009</v>
      </c>
      <c r="AQ98" s="449"/>
    </row>
    <row r="99" spans="1:43" ht="29.1" customHeight="1" thickBot="1" x14ac:dyDescent="0.3">
      <c r="A99" s="332" t="str">
        <f>ادخال1!$N$8</f>
        <v>التربية البدنية</v>
      </c>
      <c r="B99" s="50">
        <f>ادخال1!$N$7</f>
        <v>2</v>
      </c>
      <c r="C99" s="432" t="str">
        <f>IFERROR(VLOOKUP(H101,اسماء,13,0),"")</f>
        <v>جيد جداً</v>
      </c>
      <c r="D99" s="433"/>
      <c r="E99" s="432">
        <f>IFERROR(VLOOKUP(H101,اسماء,24,0),"")</f>
        <v>0</v>
      </c>
      <c r="F99" s="433"/>
      <c r="G99" s="18"/>
      <c r="H99" s="68"/>
      <c r="I99" s="448"/>
      <c r="J99" s="449"/>
      <c r="L99" s="332" t="str">
        <f>ادخال1!$N$8</f>
        <v>التربية البدنية</v>
      </c>
      <c r="M99" s="50">
        <f>ادخال1!$N$7</f>
        <v>2</v>
      </c>
      <c r="N99" s="432" t="str">
        <f>IFERROR(VLOOKUP(S101,اسماء,13,0),"")</f>
        <v>جيد جداً</v>
      </c>
      <c r="O99" s="433"/>
      <c r="P99" s="432">
        <f>IFERROR(VLOOKUP(S101,اسماء,24,0),"")</f>
        <v>0</v>
      </c>
      <c r="Q99" s="433"/>
      <c r="R99" s="18"/>
      <c r="S99" s="68"/>
      <c r="T99" s="448"/>
      <c r="U99" s="449"/>
      <c r="W99" s="332" t="str">
        <f>ادخال1!$N$8</f>
        <v>التربية البدنية</v>
      </c>
      <c r="X99" s="50">
        <f>ادخال1!$N$7</f>
        <v>2</v>
      </c>
      <c r="Y99" s="432" t="str">
        <f>IFERROR(VLOOKUP(AD101,اسماء,13,0),"")</f>
        <v/>
      </c>
      <c r="Z99" s="433"/>
      <c r="AA99" s="432" t="str">
        <f>IFERROR(VLOOKUP(AD101,اسماء,24,0),"")</f>
        <v/>
      </c>
      <c r="AB99" s="433"/>
      <c r="AC99" s="18"/>
      <c r="AD99" s="68"/>
      <c r="AE99" s="448"/>
      <c r="AF99" s="449"/>
      <c r="AH99" s="332" t="str">
        <f>ادخال1!$N$8</f>
        <v>التربية البدنية</v>
      </c>
      <c r="AI99" s="50">
        <f>ادخال1!$N$7</f>
        <v>2</v>
      </c>
      <c r="AJ99" s="432" t="str">
        <f>IFERROR(VLOOKUP(AO101,اسماء,13,0),"")</f>
        <v/>
      </c>
      <c r="AK99" s="433"/>
      <c r="AL99" s="432" t="str">
        <f>IFERROR(VLOOKUP(AO101,اسماء,24,0),"")</f>
        <v/>
      </c>
      <c r="AM99" s="433"/>
      <c r="AN99" s="18"/>
      <c r="AO99" s="68"/>
      <c r="AP99" s="448"/>
      <c r="AQ99" s="449"/>
    </row>
    <row r="100" spans="1:43" ht="29.1" customHeight="1" x14ac:dyDescent="0.25">
      <c r="A100" s="362" t="str">
        <f>ادخال1!$O$8</f>
        <v>مكتبة</v>
      </c>
      <c r="B100" s="363">
        <f>ادخال1!$O$7</f>
        <v>1</v>
      </c>
      <c r="C100" s="436"/>
      <c r="D100" s="437"/>
      <c r="E100" s="475"/>
      <c r="F100" s="476"/>
      <c r="G100" s="18"/>
      <c r="H100" s="68"/>
      <c r="I100" s="333"/>
      <c r="J100" s="334"/>
      <c r="L100" s="362" t="str">
        <f>ادخال1!$O$8</f>
        <v>مكتبة</v>
      </c>
      <c r="M100" s="363">
        <f>ادخال1!$O$7</f>
        <v>1</v>
      </c>
      <c r="N100" s="436"/>
      <c r="O100" s="437"/>
      <c r="P100" s="475"/>
      <c r="Q100" s="476"/>
      <c r="R100" s="18"/>
      <c r="S100" s="68"/>
      <c r="T100" s="333"/>
      <c r="U100" s="334"/>
      <c r="W100" s="362" t="str">
        <f>ادخال1!$O$8</f>
        <v>مكتبة</v>
      </c>
      <c r="X100" s="363">
        <f>ادخال1!$O$7</f>
        <v>1</v>
      </c>
      <c r="Y100" s="436"/>
      <c r="Z100" s="437"/>
      <c r="AA100" s="475"/>
      <c r="AB100" s="476"/>
      <c r="AC100" s="18"/>
      <c r="AD100" s="68"/>
      <c r="AE100" s="333"/>
      <c r="AF100" s="334"/>
      <c r="AH100" s="362" t="str">
        <f>ادخال1!$O$8</f>
        <v>مكتبة</v>
      </c>
      <c r="AI100" s="363">
        <f>ادخال1!$O$7</f>
        <v>1</v>
      </c>
      <c r="AJ100" s="436"/>
      <c r="AK100" s="437"/>
      <c r="AL100" s="475"/>
      <c r="AM100" s="476"/>
      <c r="AN100" s="18"/>
      <c r="AO100" s="68"/>
      <c r="AP100" s="333"/>
      <c r="AQ100" s="334"/>
    </row>
    <row r="101" spans="1:43" ht="29.1" customHeight="1" thickBot="1" x14ac:dyDescent="0.3">
      <c r="A101" s="192" t="s">
        <v>120</v>
      </c>
      <c r="B101" s="420">
        <f>IFERROR(VLOOKUP(H101,اسماء,65,0),"")</f>
        <v>120170085408</v>
      </c>
      <c r="C101" s="420" t="str">
        <f>IFERROR(VLOOKUP(G106,اسماء,8,0),"")</f>
        <v/>
      </c>
      <c r="D101" s="420" t="str">
        <f>IFERROR(VLOOKUP(H106,اسماء,8,0),"")</f>
        <v/>
      </c>
      <c r="E101" s="420" t="str">
        <f>IFERROR(VLOOKUP(I106,اسماء,8,0),"")</f>
        <v/>
      </c>
      <c r="F101" s="18"/>
      <c r="G101" s="18"/>
      <c r="H101" s="421" t="str">
        <f>INDEX(عمود2,MATCH(J87,عمود1))</f>
        <v>على عبد السلام شعبان بي</v>
      </c>
      <c r="I101" s="421"/>
      <c r="J101" s="422"/>
      <c r="L101" s="192" t="s">
        <v>120</v>
      </c>
      <c r="M101" s="420">
        <f>IFERROR(VLOOKUP(S101,اسماء,65,0),"")</f>
        <v>120170004225</v>
      </c>
      <c r="N101" s="420" t="str">
        <f>IFERROR(VLOOKUP(R106,اسماء,8,0),"")</f>
        <v/>
      </c>
      <c r="O101" s="420" t="str">
        <f>IFERROR(VLOOKUP(S106,اسماء,8,0),"")</f>
        <v/>
      </c>
      <c r="P101" s="420" t="str">
        <f>IFERROR(VLOOKUP(T106,اسماء,8,0),"")</f>
        <v/>
      </c>
      <c r="Q101" s="18"/>
      <c r="R101" s="18"/>
      <c r="S101" s="421" t="str">
        <f>INDEX(عمود2,MATCH(U87,عمود1))</f>
        <v>يزن عبد السلام على الأطوش</v>
      </c>
      <c r="T101" s="421"/>
      <c r="U101" s="422"/>
      <c r="W101" s="192" t="s">
        <v>120</v>
      </c>
      <c r="X101" s="420" t="str">
        <f>IFERROR(VLOOKUP(AD101,اسماء,65,0),"")</f>
        <v/>
      </c>
      <c r="Y101" s="420" t="str">
        <f>IFERROR(VLOOKUP(AC106,اسماء,8,0),"")</f>
        <v/>
      </c>
      <c r="Z101" s="420" t="str">
        <f>IFERROR(VLOOKUP(AD106,اسماء,8,0),"")</f>
        <v/>
      </c>
      <c r="AA101" s="420" t="str">
        <f>IFERROR(VLOOKUP(AE106,اسماء,8,0),"")</f>
        <v/>
      </c>
      <c r="AB101" s="18"/>
      <c r="AC101" s="18"/>
      <c r="AD101" s="421">
        <f>INDEX(عمود2,MATCH(AF87,عمود1))</f>
        <v>0</v>
      </c>
      <c r="AE101" s="421"/>
      <c r="AF101" s="422"/>
      <c r="AH101" s="192" t="s">
        <v>120</v>
      </c>
      <c r="AI101" s="420" t="str">
        <f>IFERROR(VLOOKUP(AO101,اسماء,65,0),"")</f>
        <v/>
      </c>
      <c r="AJ101" s="420" t="str">
        <f>IFERROR(VLOOKUP(AN106,اسماء,8,0),"")</f>
        <v/>
      </c>
      <c r="AK101" s="420" t="str">
        <f>IFERROR(VLOOKUP(AO106,اسماء,8,0),"")</f>
        <v/>
      </c>
      <c r="AL101" s="420" t="str">
        <f>IFERROR(VLOOKUP(AP106,اسماء,8,0),"")</f>
        <v/>
      </c>
      <c r="AM101" s="18"/>
      <c r="AN101" s="18"/>
      <c r="AO101" s="421">
        <f>INDEX(عمود2,MATCH(AQ87,عمود1))</f>
        <v>0</v>
      </c>
      <c r="AP101" s="421"/>
      <c r="AQ101" s="422"/>
    </row>
    <row r="102" spans="1:43" ht="29.1" customHeight="1" x14ac:dyDescent="0.25">
      <c r="A102" s="444" t="s">
        <v>58</v>
      </c>
      <c r="B102" s="445"/>
      <c r="C102" s="432">
        <f>IFERROR(VLOOKUP(H101,اسماء,37,0),"")</f>
        <v>0</v>
      </c>
      <c r="D102" s="433"/>
      <c r="E102" s="432">
        <f>IFERROR(VLOOKUP(H101,اسماء,38,0),"")</f>
        <v>0</v>
      </c>
      <c r="F102" s="433"/>
      <c r="G102" s="18"/>
      <c r="H102" s="471" t="s">
        <v>90</v>
      </c>
      <c r="I102" s="471"/>
      <c r="J102" s="472"/>
      <c r="L102" s="444" t="s">
        <v>58</v>
      </c>
      <c r="M102" s="445"/>
      <c r="N102" s="432">
        <f>IFERROR(VLOOKUP(S101,اسماء,37,0),"")</f>
        <v>0</v>
      </c>
      <c r="O102" s="433"/>
      <c r="P102" s="432">
        <f>IFERROR(VLOOKUP(S101,اسماء,38,0),"")</f>
        <v>0</v>
      </c>
      <c r="Q102" s="433"/>
      <c r="R102" s="18"/>
      <c r="S102" s="471" t="s">
        <v>90</v>
      </c>
      <c r="T102" s="471"/>
      <c r="U102" s="472"/>
      <c r="W102" s="444" t="s">
        <v>58</v>
      </c>
      <c r="X102" s="445"/>
      <c r="Y102" s="432" t="str">
        <f>IFERROR(VLOOKUP(AD101,اسماء,37,0),"")</f>
        <v/>
      </c>
      <c r="Z102" s="433"/>
      <c r="AA102" s="432" t="str">
        <f>IFERROR(VLOOKUP(AD101,اسماء,38,0),"")</f>
        <v/>
      </c>
      <c r="AB102" s="433"/>
      <c r="AC102" s="18"/>
      <c r="AD102" s="471" t="s">
        <v>90</v>
      </c>
      <c r="AE102" s="471"/>
      <c r="AF102" s="472"/>
      <c r="AH102" s="444" t="s">
        <v>58</v>
      </c>
      <c r="AI102" s="445"/>
      <c r="AJ102" s="432" t="str">
        <f>IFERROR(VLOOKUP(AO101,اسماء,37,0),"")</f>
        <v/>
      </c>
      <c r="AK102" s="433"/>
      <c r="AL102" s="432" t="str">
        <f>IFERROR(VLOOKUP(AO101,اسماء,38,0),"")</f>
        <v/>
      </c>
      <c r="AM102" s="433"/>
      <c r="AN102" s="18"/>
      <c r="AO102" s="471" t="s">
        <v>90</v>
      </c>
      <c r="AP102" s="471"/>
      <c r="AQ102" s="472"/>
    </row>
    <row r="103" spans="1:43" ht="15" customHeight="1" x14ac:dyDescent="0.25">
      <c r="A103" s="434" t="s">
        <v>59</v>
      </c>
      <c r="B103" s="435"/>
      <c r="C103" s="436">
        <f>IFERROR(VLOOKUP(H101,اسماء,40,0),"")</f>
        <v>0</v>
      </c>
      <c r="D103" s="437"/>
      <c r="E103" s="436">
        <f>IFERROR(VLOOKUP(H101,اسماء,42,0),"")</f>
        <v>0</v>
      </c>
      <c r="F103" s="437"/>
      <c r="G103" s="18"/>
      <c r="H103" s="471"/>
      <c r="I103" s="471"/>
      <c r="J103" s="472"/>
      <c r="L103" s="434" t="s">
        <v>59</v>
      </c>
      <c r="M103" s="435"/>
      <c r="N103" s="436">
        <f>IFERROR(VLOOKUP(S101,اسماء,40,0),"")</f>
        <v>0</v>
      </c>
      <c r="O103" s="437"/>
      <c r="P103" s="436">
        <f>IFERROR(VLOOKUP(S101,اسماء,42,0),"")</f>
        <v>0</v>
      </c>
      <c r="Q103" s="437"/>
      <c r="R103" s="18"/>
      <c r="S103" s="471"/>
      <c r="T103" s="471"/>
      <c r="U103" s="472"/>
      <c r="W103" s="434" t="s">
        <v>59</v>
      </c>
      <c r="X103" s="435"/>
      <c r="Y103" s="436" t="str">
        <f>IFERROR(VLOOKUP(AD101,اسماء,40,0),"")</f>
        <v/>
      </c>
      <c r="Z103" s="437"/>
      <c r="AA103" s="436" t="str">
        <f>IFERROR(VLOOKUP(AD101,اسماء,42,0),"")</f>
        <v/>
      </c>
      <c r="AB103" s="437"/>
      <c r="AC103" s="18"/>
      <c r="AD103" s="471"/>
      <c r="AE103" s="471"/>
      <c r="AF103" s="472"/>
      <c r="AH103" s="434" t="s">
        <v>59</v>
      </c>
      <c r="AI103" s="435"/>
      <c r="AJ103" s="436" t="str">
        <f>IFERROR(VLOOKUP(AO101,اسماء,40,0),"")</f>
        <v/>
      </c>
      <c r="AK103" s="437"/>
      <c r="AL103" s="436" t="str">
        <f>IFERROR(VLOOKUP(AO101,اسماء,42,0),"")</f>
        <v/>
      </c>
      <c r="AM103" s="437"/>
      <c r="AN103" s="18"/>
      <c r="AO103" s="471"/>
      <c r="AP103" s="471"/>
      <c r="AQ103" s="472"/>
    </row>
    <row r="104" spans="1:43" ht="29.1" customHeight="1" thickBot="1" x14ac:dyDescent="0.3">
      <c r="A104" s="438" t="s">
        <v>60</v>
      </c>
      <c r="B104" s="439"/>
      <c r="C104" s="440">
        <f>IFERROR(VLOOKUP(H101,اسماء,41,0),"")</f>
        <v>0</v>
      </c>
      <c r="D104" s="441"/>
      <c r="E104" s="440">
        <f>IFERROR(VLOOKUP(H101,اسماء,43,0),"")</f>
        <v>0</v>
      </c>
      <c r="F104" s="441"/>
      <c r="G104" s="18"/>
      <c r="H104" s="473"/>
      <c r="I104" s="473"/>
      <c r="J104" s="474"/>
      <c r="L104" s="438" t="s">
        <v>60</v>
      </c>
      <c r="M104" s="439"/>
      <c r="N104" s="440">
        <f>IFERROR(VLOOKUP(S101,اسماء,41,0),"")</f>
        <v>0</v>
      </c>
      <c r="O104" s="441"/>
      <c r="P104" s="440">
        <f>IFERROR(VLOOKUP(S101,اسماء,43,0),"")</f>
        <v>0</v>
      </c>
      <c r="Q104" s="441"/>
      <c r="R104" s="18"/>
      <c r="S104" s="473"/>
      <c r="T104" s="473"/>
      <c r="U104" s="474"/>
      <c r="W104" s="438" t="s">
        <v>60</v>
      </c>
      <c r="X104" s="439"/>
      <c r="Y104" s="440" t="str">
        <f>IFERROR(VLOOKUP(AD101,اسماء,41,0),"")</f>
        <v/>
      </c>
      <c r="Z104" s="441"/>
      <c r="AA104" s="440" t="str">
        <f>IFERROR(VLOOKUP(AD101,اسماء,43,0),"")</f>
        <v/>
      </c>
      <c r="AB104" s="441"/>
      <c r="AC104" s="18"/>
      <c r="AD104" s="473"/>
      <c r="AE104" s="473"/>
      <c r="AF104" s="474"/>
      <c r="AH104" s="438" t="s">
        <v>60</v>
      </c>
      <c r="AI104" s="439"/>
      <c r="AJ104" s="440" t="str">
        <f>IFERROR(VLOOKUP(AO101,اسماء,41,0),"")</f>
        <v/>
      </c>
      <c r="AK104" s="441"/>
      <c r="AL104" s="440" t="str">
        <f>IFERROR(VLOOKUP(AO101,اسماء,43,0),"")</f>
        <v/>
      </c>
      <c r="AM104" s="441"/>
      <c r="AN104" s="18"/>
      <c r="AO104" s="473"/>
      <c r="AP104" s="473"/>
      <c r="AQ104" s="474"/>
    </row>
    <row r="105" spans="1:43" ht="29.1" customHeight="1" x14ac:dyDescent="0.25">
      <c r="A105" s="27" t="s">
        <v>64</v>
      </c>
      <c r="B105" s="435"/>
      <c r="C105" s="435"/>
      <c r="D105" s="436"/>
      <c r="E105" s="442"/>
      <c r="F105" s="442"/>
      <c r="G105" s="437"/>
      <c r="H105" s="436"/>
      <c r="I105" s="443"/>
      <c r="J105" s="284"/>
      <c r="L105" s="27" t="s">
        <v>64</v>
      </c>
      <c r="M105" s="435"/>
      <c r="N105" s="435"/>
      <c r="O105" s="436"/>
      <c r="P105" s="442"/>
      <c r="Q105" s="442"/>
      <c r="R105" s="437"/>
      <c r="S105" s="436"/>
      <c r="T105" s="443"/>
      <c r="U105" s="286"/>
      <c r="W105" s="115" t="s">
        <v>64</v>
      </c>
      <c r="X105" s="435"/>
      <c r="Y105" s="435"/>
      <c r="Z105" s="436"/>
      <c r="AA105" s="442"/>
      <c r="AB105" s="442"/>
      <c r="AC105" s="437"/>
      <c r="AD105" s="436"/>
      <c r="AE105" s="443"/>
      <c r="AF105" s="284"/>
      <c r="AH105" s="115" t="s">
        <v>64</v>
      </c>
      <c r="AI105" s="435"/>
      <c r="AJ105" s="435"/>
      <c r="AK105" s="436"/>
      <c r="AL105" s="442"/>
      <c r="AM105" s="442"/>
      <c r="AN105" s="437"/>
      <c r="AO105" s="436"/>
      <c r="AP105" s="443"/>
      <c r="AQ105" s="284"/>
    </row>
    <row r="106" spans="1:43" ht="29.1" customHeight="1" thickBot="1" x14ac:dyDescent="0.3">
      <c r="A106" s="118" t="s">
        <v>66</v>
      </c>
      <c r="B106" s="456"/>
      <c r="C106" s="456"/>
      <c r="D106" s="440"/>
      <c r="E106" s="452"/>
      <c r="F106" s="452"/>
      <c r="G106" s="441"/>
      <c r="H106" s="440"/>
      <c r="I106" s="486"/>
      <c r="J106" s="291"/>
      <c r="L106" s="118" t="s">
        <v>66</v>
      </c>
      <c r="M106" s="456"/>
      <c r="N106" s="456"/>
      <c r="O106" s="440"/>
      <c r="P106" s="452"/>
      <c r="Q106" s="452"/>
      <c r="R106" s="441"/>
      <c r="S106" s="440"/>
      <c r="T106" s="486"/>
      <c r="U106" s="294"/>
      <c r="W106" s="117" t="s">
        <v>66</v>
      </c>
      <c r="X106" s="427"/>
      <c r="Y106" s="427"/>
      <c r="Z106" s="428"/>
      <c r="AA106" s="429"/>
      <c r="AB106" s="429"/>
      <c r="AC106" s="430"/>
      <c r="AD106" s="428"/>
      <c r="AE106" s="431"/>
      <c r="AF106" s="291"/>
      <c r="AH106" s="117" t="s">
        <v>66</v>
      </c>
      <c r="AI106" s="427"/>
      <c r="AJ106" s="427"/>
      <c r="AK106" s="428"/>
      <c r="AL106" s="429"/>
      <c r="AM106" s="429"/>
      <c r="AN106" s="430"/>
      <c r="AO106" s="428"/>
      <c r="AP106" s="431"/>
      <c r="AQ106" s="291"/>
    </row>
    <row r="107" spans="1:43" ht="29.1" customHeight="1" x14ac:dyDescent="0.25"/>
  </sheetData>
  <sheetProtection selectLockedCells="1"/>
  <mergeCells count="773">
    <mergeCell ref="B43:C43"/>
    <mergeCell ref="H43:I43"/>
    <mergeCell ref="B42:C42"/>
    <mergeCell ref="H42:I42"/>
    <mergeCell ref="M42:N42"/>
    <mergeCell ref="O42:R42"/>
    <mergeCell ref="P37:Q37"/>
    <mergeCell ref="R25:U25"/>
    <mergeCell ref="N35:O35"/>
    <mergeCell ref="P35:Q35"/>
    <mergeCell ref="M43:N43"/>
    <mergeCell ref="O43:R43"/>
    <mergeCell ref="S43:T43"/>
    <mergeCell ref="P39:Q39"/>
    <mergeCell ref="B26:B27"/>
    <mergeCell ref="C26:D26"/>
    <mergeCell ref="S26:U26"/>
    <mergeCell ref="T27:U27"/>
    <mergeCell ref="B25:E25"/>
    <mergeCell ref="N36:O36"/>
    <mergeCell ref="M26:M27"/>
    <mergeCell ref="N26:O26"/>
    <mergeCell ref="I34:J34"/>
    <mergeCell ref="P26:Q26"/>
    <mergeCell ref="Y16:Z16"/>
    <mergeCell ref="H21:I21"/>
    <mergeCell ref="N17:O17"/>
    <mergeCell ref="P17:Q17"/>
    <mergeCell ref="L18:M18"/>
    <mergeCell ref="N18:O18"/>
    <mergeCell ref="P18:Q18"/>
    <mergeCell ref="H16:J18"/>
    <mergeCell ref="P16:Q16"/>
    <mergeCell ref="L17:M17"/>
    <mergeCell ref="H15:J15"/>
    <mergeCell ref="S16:U18"/>
    <mergeCell ref="M15:P15"/>
    <mergeCell ref="S15:U15"/>
    <mergeCell ref="N16:O16"/>
    <mergeCell ref="L16:M16"/>
    <mergeCell ref="S20:T20"/>
    <mergeCell ref="S21:T21"/>
    <mergeCell ref="A39:B39"/>
    <mergeCell ref="C39:D39"/>
    <mergeCell ref="E39:F39"/>
    <mergeCell ref="C37:D37"/>
    <mergeCell ref="E37:F37"/>
    <mergeCell ref="H39:J41"/>
    <mergeCell ref="A40:B40"/>
    <mergeCell ref="C40:D40"/>
    <mergeCell ref="E40:F40"/>
    <mergeCell ref="A41:B41"/>
    <mergeCell ref="C41:D41"/>
    <mergeCell ref="E41:F41"/>
    <mergeCell ref="B22:C22"/>
    <mergeCell ref="B20:C20"/>
    <mergeCell ref="B21:C21"/>
    <mergeCell ref="D20:G20"/>
    <mergeCell ref="E12:F12"/>
    <mergeCell ref="A18:B18"/>
    <mergeCell ref="C18:D18"/>
    <mergeCell ref="E18:F18"/>
    <mergeCell ref="A16:B16"/>
    <mergeCell ref="C16:D16"/>
    <mergeCell ref="E16:F16"/>
    <mergeCell ref="A17:B17"/>
    <mergeCell ref="C17:D17"/>
    <mergeCell ref="E17:F17"/>
    <mergeCell ref="C12:D12"/>
    <mergeCell ref="C13:D13"/>
    <mergeCell ref="E13:F13"/>
    <mergeCell ref="C14:D14"/>
    <mergeCell ref="E14:F14"/>
    <mergeCell ref="B15:E15"/>
    <mergeCell ref="D21:G21"/>
    <mergeCell ref="L24:N24"/>
    <mergeCell ref="O22:R22"/>
    <mergeCell ref="M20:N20"/>
    <mergeCell ref="O20:R20"/>
    <mergeCell ref="M21:N21"/>
    <mergeCell ref="O21:R21"/>
    <mergeCell ref="H22:I22"/>
    <mergeCell ref="O24:P24"/>
    <mergeCell ref="H20:I20"/>
    <mergeCell ref="L1:N1"/>
    <mergeCell ref="H3:J3"/>
    <mergeCell ref="I4:J4"/>
    <mergeCell ref="B2:E2"/>
    <mergeCell ref="M2:P2"/>
    <mergeCell ref="O1:P1"/>
    <mergeCell ref="A1:C1"/>
    <mergeCell ref="D1:E1"/>
    <mergeCell ref="M3:M4"/>
    <mergeCell ref="N3:O3"/>
    <mergeCell ref="P3:Q3"/>
    <mergeCell ref="F1:H1"/>
    <mergeCell ref="E3:F3"/>
    <mergeCell ref="G46:J46"/>
    <mergeCell ref="R46:U46"/>
    <mergeCell ref="T55:U55"/>
    <mergeCell ref="I55:J55"/>
    <mergeCell ref="H51:H52"/>
    <mergeCell ref="I51:J52"/>
    <mergeCell ref="S51:S52"/>
    <mergeCell ref="T51:U52"/>
    <mergeCell ref="G25:J25"/>
    <mergeCell ref="I35:J35"/>
    <mergeCell ref="H26:J26"/>
    <mergeCell ref="I27:J27"/>
    <mergeCell ref="D42:G42"/>
    <mergeCell ref="D43:G43"/>
    <mergeCell ref="T34:U34"/>
    <mergeCell ref="T35:U35"/>
    <mergeCell ref="E26:F26"/>
    <mergeCell ref="C35:D35"/>
    <mergeCell ref="E35:F35"/>
    <mergeCell ref="P36:Q36"/>
    <mergeCell ref="L40:M40"/>
    <mergeCell ref="N40:O40"/>
    <mergeCell ref="P40:Q40"/>
    <mergeCell ref="L39:M39"/>
    <mergeCell ref="A45:C45"/>
    <mergeCell ref="D45:E45"/>
    <mergeCell ref="G2:J2"/>
    <mergeCell ref="N13:O13"/>
    <mergeCell ref="P13:Q13"/>
    <mergeCell ref="T13:U13"/>
    <mergeCell ref="N12:O12"/>
    <mergeCell ref="H7:H8"/>
    <mergeCell ref="I7:J8"/>
    <mergeCell ref="S3:U3"/>
    <mergeCell ref="T4:U4"/>
    <mergeCell ref="T11:U11"/>
    <mergeCell ref="T12:U12"/>
    <mergeCell ref="I11:J11"/>
    <mergeCell ref="I12:J12"/>
    <mergeCell ref="P12:Q12"/>
    <mergeCell ref="I13:J13"/>
    <mergeCell ref="S22:T22"/>
    <mergeCell ref="B3:B4"/>
    <mergeCell ref="C3:D3"/>
    <mergeCell ref="M22:N22"/>
    <mergeCell ref="D22:G22"/>
    <mergeCell ref="A24:C24"/>
    <mergeCell ref="D24:E24"/>
    <mergeCell ref="E68:F68"/>
    <mergeCell ref="B47:B48"/>
    <mergeCell ref="C47:D47"/>
    <mergeCell ref="E47:F47"/>
    <mergeCell ref="H47:J47"/>
    <mergeCell ref="M47:M48"/>
    <mergeCell ref="N47:O47"/>
    <mergeCell ref="P47:Q47"/>
    <mergeCell ref="S47:U47"/>
    <mergeCell ref="I48:J48"/>
    <mergeCell ref="T48:U48"/>
    <mergeCell ref="C60:D60"/>
    <mergeCell ref="E60:F60"/>
    <mergeCell ref="P60:Q60"/>
    <mergeCell ref="L60:M60"/>
    <mergeCell ref="N60:O60"/>
    <mergeCell ref="B64:C64"/>
    <mergeCell ref="H64:I64"/>
    <mergeCell ref="A60:B60"/>
    <mergeCell ref="H60:J62"/>
    <mergeCell ref="A61:B61"/>
    <mergeCell ref="C61:D61"/>
    <mergeCell ref="E61:F61"/>
    <mergeCell ref="A62:B62"/>
    <mergeCell ref="C62:D62"/>
    <mergeCell ref="E62:F62"/>
    <mergeCell ref="M63:N63"/>
    <mergeCell ref="P68:Q68"/>
    <mergeCell ref="S68:U68"/>
    <mergeCell ref="O63:R63"/>
    <mergeCell ref="S63:T63"/>
    <mergeCell ref="S64:T64"/>
    <mergeCell ref="A66:C66"/>
    <mergeCell ref="D66:E66"/>
    <mergeCell ref="M64:N64"/>
    <mergeCell ref="O64:R64"/>
    <mergeCell ref="L66:N66"/>
    <mergeCell ref="H68:J68"/>
    <mergeCell ref="D63:G63"/>
    <mergeCell ref="D64:G64"/>
    <mergeCell ref="M68:M69"/>
    <mergeCell ref="N68:O68"/>
    <mergeCell ref="I69:J69"/>
    <mergeCell ref="M67:P67"/>
    <mergeCell ref="O66:P66"/>
    <mergeCell ref="B67:E67"/>
    <mergeCell ref="G67:J67"/>
    <mergeCell ref="B63:C63"/>
    <mergeCell ref="H63:I63"/>
    <mergeCell ref="B68:B69"/>
    <mergeCell ref="C68:D68"/>
    <mergeCell ref="H72:H73"/>
    <mergeCell ref="I72:J73"/>
    <mergeCell ref="A81:B81"/>
    <mergeCell ref="C81:D81"/>
    <mergeCell ref="E81:F81"/>
    <mergeCell ref="P81:Q81"/>
    <mergeCell ref="H81:J83"/>
    <mergeCell ref="A82:B82"/>
    <mergeCell ref="C82:D82"/>
    <mergeCell ref="E82:F82"/>
    <mergeCell ref="A83:B83"/>
    <mergeCell ref="C83:D83"/>
    <mergeCell ref="I76:J76"/>
    <mergeCell ref="B80:E80"/>
    <mergeCell ref="H80:J80"/>
    <mergeCell ref="C77:D77"/>
    <mergeCell ref="E77:F77"/>
    <mergeCell ref="I77:J77"/>
    <mergeCell ref="C78:D78"/>
    <mergeCell ref="E78:F78"/>
    <mergeCell ref="I78:J78"/>
    <mergeCell ref="E83:F83"/>
    <mergeCell ref="C79:D79"/>
    <mergeCell ref="E79:F79"/>
    <mergeCell ref="B105:C105"/>
    <mergeCell ref="H105:I105"/>
    <mergeCell ref="M105:N105"/>
    <mergeCell ref="O105:R105"/>
    <mergeCell ref="S105:T105"/>
    <mergeCell ref="D105:G105"/>
    <mergeCell ref="O87:P87"/>
    <mergeCell ref="R88:U88"/>
    <mergeCell ref="H85:I85"/>
    <mergeCell ref="M85:N85"/>
    <mergeCell ref="O85:R85"/>
    <mergeCell ref="S85:T85"/>
    <mergeCell ref="A102:B102"/>
    <mergeCell ref="C102:D102"/>
    <mergeCell ref="E102:F102"/>
    <mergeCell ref="L102:M102"/>
    <mergeCell ref="N102:O102"/>
    <mergeCell ref="P102:Q102"/>
    <mergeCell ref="T97:U97"/>
    <mergeCell ref="T98:U98"/>
    <mergeCell ref="C100:D100"/>
    <mergeCell ref="E100:F100"/>
    <mergeCell ref="N100:O100"/>
    <mergeCell ref="P100:Q100"/>
    <mergeCell ref="D106:G106"/>
    <mergeCell ref="S106:T106"/>
    <mergeCell ref="H93:H94"/>
    <mergeCell ref="I93:J94"/>
    <mergeCell ref="C99:D99"/>
    <mergeCell ref="E99:F99"/>
    <mergeCell ref="I99:J99"/>
    <mergeCell ref="B101:E101"/>
    <mergeCell ref="H101:J101"/>
    <mergeCell ref="H102:J104"/>
    <mergeCell ref="B106:C106"/>
    <mergeCell ref="H106:I106"/>
    <mergeCell ref="A103:B103"/>
    <mergeCell ref="C103:D103"/>
    <mergeCell ref="E103:F103"/>
    <mergeCell ref="A104:B104"/>
    <mergeCell ref="C104:D104"/>
    <mergeCell ref="E104:F104"/>
    <mergeCell ref="S102:U104"/>
    <mergeCell ref="L103:M103"/>
    <mergeCell ref="N103:O103"/>
    <mergeCell ref="P103:Q103"/>
    <mergeCell ref="L104:M104"/>
    <mergeCell ref="N104:O104"/>
    <mergeCell ref="AD3:AF3"/>
    <mergeCell ref="AE4:AF4"/>
    <mergeCell ref="X2:AA2"/>
    <mergeCell ref="W18:X18"/>
    <mergeCell ref="Y18:Z18"/>
    <mergeCell ref="AA18:AB18"/>
    <mergeCell ref="AD16:AF18"/>
    <mergeCell ref="AE11:AF11"/>
    <mergeCell ref="R2:U2"/>
    <mergeCell ref="AA16:AB16"/>
    <mergeCell ref="AC25:AF25"/>
    <mergeCell ref="P14:Q14"/>
    <mergeCell ref="X25:AA25"/>
    <mergeCell ref="Y14:Z14"/>
    <mergeCell ref="AA14:AB14"/>
    <mergeCell ref="AD47:AF47"/>
    <mergeCell ref="AE48:AF48"/>
    <mergeCell ref="AE55:AF55"/>
    <mergeCell ref="Y56:Z56"/>
    <mergeCell ref="AE57:AF57"/>
    <mergeCell ref="X59:AA59"/>
    <mergeCell ref="M106:N106"/>
    <mergeCell ref="O106:R106"/>
    <mergeCell ref="P104:Q104"/>
    <mergeCell ref="S89:U89"/>
    <mergeCell ref="T69:U69"/>
    <mergeCell ref="N81:O81"/>
    <mergeCell ref="N79:O79"/>
    <mergeCell ref="P79:Q79"/>
    <mergeCell ref="R67:U67"/>
    <mergeCell ref="S72:S73"/>
    <mergeCell ref="T72:U73"/>
    <mergeCell ref="N78:O78"/>
    <mergeCell ref="P78:Q78"/>
    <mergeCell ref="T78:U78"/>
    <mergeCell ref="M80:P80"/>
    <mergeCell ref="S80:U80"/>
    <mergeCell ref="S81:U83"/>
    <mergeCell ref="L82:M82"/>
    <mergeCell ref="N82:O82"/>
    <mergeCell ref="P82:Q82"/>
    <mergeCell ref="L83:M83"/>
    <mergeCell ref="N83:O83"/>
    <mergeCell ref="P83:Q83"/>
    <mergeCell ref="T76:U76"/>
    <mergeCell ref="AD63:AE63"/>
    <mergeCell ref="W1:Y1"/>
    <mergeCell ref="Z1:AA1"/>
    <mergeCell ref="Y13:Z13"/>
    <mergeCell ref="AA13:AB13"/>
    <mergeCell ref="W17:X17"/>
    <mergeCell ref="Y17:Z17"/>
    <mergeCell ref="AA17:AB17"/>
    <mergeCell ref="X20:Y20"/>
    <mergeCell ref="Z20:AC20"/>
    <mergeCell ref="Y12:Z12"/>
    <mergeCell ref="AA12:AB12"/>
    <mergeCell ref="X15:AA15"/>
    <mergeCell ref="AC2:AF2"/>
    <mergeCell ref="X3:X4"/>
    <mergeCell ref="Y3:Z3"/>
    <mergeCell ref="AA3:AB3"/>
    <mergeCell ref="X26:X27"/>
    <mergeCell ref="Y26:Z26"/>
    <mergeCell ref="AA26:AB26"/>
    <mergeCell ref="AD26:AF26"/>
    <mergeCell ref="AE27:AF27"/>
    <mergeCell ref="AE34:AF34"/>
    <mergeCell ref="W16:X16"/>
    <mergeCell ref="X38:AA38"/>
    <mergeCell ref="AD38:AF38"/>
    <mergeCell ref="AD39:AF41"/>
    <mergeCell ref="W40:X40"/>
    <mergeCell ref="Y40:Z40"/>
    <mergeCell ref="AA40:AB40"/>
    <mergeCell ref="W41:X41"/>
    <mergeCell ref="Y41:Z41"/>
    <mergeCell ref="AA41:AB41"/>
    <mergeCell ref="Y37:Z37"/>
    <mergeCell ref="AA37:AB37"/>
    <mergeCell ref="AC46:AF46"/>
    <mergeCell ref="X47:X48"/>
    <mergeCell ref="Y47:Z47"/>
    <mergeCell ref="W66:Y66"/>
    <mergeCell ref="Z66:AA66"/>
    <mergeCell ref="X63:Y63"/>
    <mergeCell ref="Z63:AC63"/>
    <mergeCell ref="X43:Y43"/>
    <mergeCell ref="Z43:AC43"/>
    <mergeCell ref="W61:X61"/>
    <mergeCell ref="Y61:Z61"/>
    <mergeCell ref="AA61:AB61"/>
    <mergeCell ref="W62:X62"/>
    <mergeCell ref="Y62:Z62"/>
    <mergeCell ref="AA62:AB62"/>
    <mergeCell ref="X64:Y64"/>
    <mergeCell ref="Z64:AC64"/>
    <mergeCell ref="AA47:AB47"/>
    <mergeCell ref="AD60:AF62"/>
    <mergeCell ref="W60:X60"/>
    <mergeCell ref="Y60:Z60"/>
    <mergeCell ref="AA60:AB60"/>
    <mergeCell ref="AD102:AF104"/>
    <mergeCell ref="W103:X103"/>
    <mergeCell ref="Y103:Z103"/>
    <mergeCell ref="AA103:AB103"/>
    <mergeCell ref="W104:X104"/>
    <mergeCell ref="Y104:Z104"/>
    <mergeCell ref="AA104:AB104"/>
    <mergeCell ref="AC88:AF88"/>
    <mergeCell ref="X89:X90"/>
    <mergeCell ref="Y89:Z89"/>
    <mergeCell ref="AA89:AB89"/>
    <mergeCell ref="AD89:AF89"/>
    <mergeCell ref="AE90:AF90"/>
    <mergeCell ref="AE97:AF97"/>
    <mergeCell ref="X88:AA88"/>
    <mergeCell ref="AD93:AD94"/>
    <mergeCell ref="AA102:AB102"/>
    <mergeCell ref="AA98:AB98"/>
    <mergeCell ref="AA100:AB100"/>
    <mergeCell ref="AE98:AF98"/>
    <mergeCell ref="AA99:AB99"/>
    <mergeCell ref="AC67:AF67"/>
    <mergeCell ref="X68:X69"/>
    <mergeCell ref="Y68:Z68"/>
    <mergeCell ref="AA68:AB68"/>
    <mergeCell ref="AD68:AF68"/>
    <mergeCell ref="AE69:AF69"/>
    <mergeCell ref="X67:AA67"/>
    <mergeCell ref="AD64:AE64"/>
    <mergeCell ref="Y79:Z79"/>
    <mergeCell ref="AA79:AB79"/>
    <mergeCell ref="AD72:AD73"/>
    <mergeCell ref="AE72:AF73"/>
    <mergeCell ref="AE78:AF78"/>
    <mergeCell ref="AH1:AJ1"/>
    <mergeCell ref="AK1:AL1"/>
    <mergeCell ref="AJ13:AK13"/>
    <mergeCell ref="AL13:AM13"/>
    <mergeCell ref="AH17:AI17"/>
    <mergeCell ref="AJ17:AK17"/>
    <mergeCell ref="AL17:AM17"/>
    <mergeCell ref="AI15:AL15"/>
    <mergeCell ref="AI68:AI69"/>
    <mergeCell ref="AJ68:AK68"/>
    <mergeCell ref="AL68:AM68"/>
    <mergeCell ref="AI2:AL2"/>
    <mergeCell ref="AK21:AN21"/>
    <mergeCell ref="AH18:AI18"/>
    <mergeCell ref="AJ18:AK18"/>
    <mergeCell ref="AL18:AM18"/>
    <mergeCell ref="AH60:AI60"/>
    <mergeCell ref="AJ60:AK60"/>
    <mergeCell ref="AL60:AM60"/>
    <mergeCell ref="AJ56:AK56"/>
    <mergeCell ref="AH66:AJ66"/>
    <mergeCell ref="AK66:AL66"/>
    <mergeCell ref="AI47:AI48"/>
    <mergeCell ref="AJ47:AK47"/>
    <mergeCell ref="AI64:AJ64"/>
    <mergeCell ref="AK64:AN64"/>
    <mergeCell ref="AN67:AQ67"/>
    <mergeCell ref="AN2:AQ2"/>
    <mergeCell ref="AI3:AI4"/>
    <mergeCell ref="AJ3:AK3"/>
    <mergeCell ref="AL3:AM3"/>
    <mergeCell ref="AO3:AQ3"/>
    <mergeCell ref="AP4:AQ4"/>
    <mergeCell ref="AO39:AQ41"/>
    <mergeCell ref="AL37:AM37"/>
    <mergeCell ref="AP35:AQ35"/>
    <mergeCell ref="AH41:AI41"/>
    <mergeCell ref="AJ41:AK41"/>
    <mergeCell ref="AL41:AM41"/>
    <mergeCell ref="AO38:AQ38"/>
    <mergeCell ref="AJ36:AK36"/>
    <mergeCell ref="AL36:AM36"/>
    <mergeCell ref="AP36:AQ36"/>
    <mergeCell ref="AI38:AL38"/>
    <mergeCell ref="AO64:AP64"/>
    <mergeCell ref="AL62:AM62"/>
    <mergeCell ref="AI63:AJ63"/>
    <mergeCell ref="AK63:AN63"/>
    <mergeCell ref="X106:Y106"/>
    <mergeCell ref="Z106:AC106"/>
    <mergeCell ref="AD106:AE106"/>
    <mergeCell ref="AI20:AJ20"/>
    <mergeCell ref="AK20:AN20"/>
    <mergeCell ref="AH24:AJ24"/>
    <mergeCell ref="AK24:AL24"/>
    <mergeCell ref="X105:Y105"/>
    <mergeCell ref="Z105:AC105"/>
    <mergeCell ref="AD105:AE105"/>
    <mergeCell ref="W102:X102"/>
    <mergeCell ref="Y102:Z102"/>
    <mergeCell ref="Y98:Z98"/>
    <mergeCell ref="Y100:Z100"/>
    <mergeCell ref="Y99:Z99"/>
    <mergeCell ref="AE99:AF99"/>
    <mergeCell ref="X101:AA101"/>
    <mergeCell ref="AD101:AF101"/>
    <mergeCell ref="AH40:AI40"/>
    <mergeCell ref="AJ40:AK40"/>
    <mergeCell ref="AL40:AM40"/>
    <mergeCell ref="AJ35:AK35"/>
    <mergeCell ref="AL35:AM35"/>
    <mergeCell ref="AJ37:AK37"/>
    <mergeCell ref="AO63:AP63"/>
    <mergeCell ref="AO47:AQ47"/>
    <mergeCell ref="AP48:AQ48"/>
    <mergeCell ref="AP55:AQ55"/>
    <mergeCell ref="AL56:AM56"/>
    <mergeCell ref="AJ58:AK58"/>
    <mergeCell ref="AL58:AM58"/>
    <mergeCell ref="AO51:AO52"/>
    <mergeCell ref="AP51:AQ52"/>
    <mergeCell ref="AJ57:AK57"/>
    <mergeCell ref="AL57:AM57"/>
    <mergeCell ref="AP57:AQ57"/>
    <mergeCell ref="AI59:AL59"/>
    <mergeCell ref="AO59:AQ59"/>
    <mergeCell ref="AO60:AQ62"/>
    <mergeCell ref="AH61:AI61"/>
    <mergeCell ref="AJ61:AK61"/>
    <mergeCell ref="AL61:AM61"/>
    <mergeCell ref="AH62:AI62"/>
    <mergeCell ref="AP56:AQ56"/>
    <mergeCell ref="AJ62:AK62"/>
    <mergeCell ref="AL47:AM47"/>
    <mergeCell ref="AO68:AQ68"/>
    <mergeCell ref="AP69:AQ69"/>
    <mergeCell ref="AP76:AQ76"/>
    <mergeCell ref="AI67:AL67"/>
    <mergeCell ref="AO72:AO73"/>
    <mergeCell ref="AP72:AQ73"/>
    <mergeCell ref="AJ77:AK77"/>
    <mergeCell ref="AL77:AM77"/>
    <mergeCell ref="AJ79:AK79"/>
    <mergeCell ref="AL79:AM79"/>
    <mergeCell ref="AP77:AQ77"/>
    <mergeCell ref="AJ78:AK78"/>
    <mergeCell ref="AL78:AM78"/>
    <mergeCell ref="AP78:AQ78"/>
    <mergeCell ref="AJ100:AK100"/>
    <mergeCell ref="AL100:AM100"/>
    <mergeCell ref="AJ99:AK99"/>
    <mergeCell ref="AL99:AM99"/>
    <mergeCell ref="AO80:AQ80"/>
    <mergeCell ref="AI84:AJ84"/>
    <mergeCell ref="AK84:AN84"/>
    <mergeCell ref="AO84:AP84"/>
    <mergeCell ref="AO81:AQ83"/>
    <mergeCell ref="AH82:AI82"/>
    <mergeCell ref="AJ82:AK82"/>
    <mergeCell ref="AL82:AM82"/>
    <mergeCell ref="AH83:AI83"/>
    <mergeCell ref="AJ83:AK83"/>
    <mergeCell ref="AL83:AM83"/>
    <mergeCell ref="AJ81:AK81"/>
    <mergeCell ref="AL81:AM81"/>
    <mergeCell ref="AH81:AI81"/>
    <mergeCell ref="AI80:AL80"/>
    <mergeCell ref="AK85:AN85"/>
    <mergeCell ref="AO85:AP85"/>
    <mergeCell ref="AH87:AJ87"/>
    <mergeCell ref="AK87:AL87"/>
    <mergeCell ref="AP98:AQ98"/>
    <mergeCell ref="AN88:AQ88"/>
    <mergeCell ref="AI89:AI90"/>
    <mergeCell ref="AJ89:AK89"/>
    <mergeCell ref="AL89:AM89"/>
    <mergeCell ref="AO89:AQ89"/>
    <mergeCell ref="AP90:AQ90"/>
    <mergeCell ref="AP97:AQ97"/>
    <mergeCell ref="AI88:AL88"/>
    <mergeCell ref="AO93:AO94"/>
    <mergeCell ref="AP93:AQ94"/>
    <mergeCell ref="AJ98:AK98"/>
    <mergeCell ref="AL98:AM98"/>
    <mergeCell ref="S7:S8"/>
    <mergeCell ref="T7:U8"/>
    <mergeCell ref="N14:O14"/>
    <mergeCell ref="AI106:AJ106"/>
    <mergeCell ref="AK106:AN106"/>
    <mergeCell ref="AO106:AP106"/>
    <mergeCell ref="AI105:AJ105"/>
    <mergeCell ref="AK105:AN105"/>
    <mergeCell ref="AO105:AP105"/>
    <mergeCell ref="AH102:AI102"/>
    <mergeCell ref="AJ102:AK102"/>
    <mergeCell ref="AL102:AM102"/>
    <mergeCell ref="AH103:AI103"/>
    <mergeCell ref="AJ103:AK103"/>
    <mergeCell ref="AL103:AM103"/>
    <mergeCell ref="AH104:AI104"/>
    <mergeCell ref="AJ104:AK104"/>
    <mergeCell ref="AL104:AM104"/>
    <mergeCell ref="AP99:AQ99"/>
    <mergeCell ref="AI101:AL101"/>
    <mergeCell ref="M25:P25"/>
    <mergeCell ref="AO101:AQ101"/>
    <mergeCell ref="AO102:AQ104"/>
    <mergeCell ref="AI85:AJ85"/>
    <mergeCell ref="H30:H31"/>
    <mergeCell ref="I30:J31"/>
    <mergeCell ref="C36:D36"/>
    <mergeCell ref="E36:F36"/>
    <mergeCell ref="I36:J36"/>
    <mergeCell ref="B38:E38"/>
    <mergeCell ref="H38:J38"/>
    <mergeCell ref="S30:S31"/>
    <mergeCell ref="T30:U31"/>
    <mergeCell ref="AI46:AL46"/>
    <mergeCell ref="X46:AA46"/>
    <mergeCell ref="M46:P46"/>
    <mergeCell ref="B46:E46"/>
    <mergeCell ref="AI43:AJ43"/>
    <mergeCell ref="AK43:AN43"/>
    <mergeCell ref="AH39:AI39"/>
    <mergeCell ref="AJ39:AK39"/>
    <mergeCell ref="AL39:AM39"/>
    <mergeCell ref="AN46:AQ46"/>
    <mergeCell ref="AO42:AP42"/>
    <mergeCell ref="AO43:AP43"/>
    <mergeCell ref="AH45:AJ45"/>
    <mergeCell ref="AK45:AL45"/>
    <mergeCell ref="AI42:AJ42"/>
    <mergeCell ref="AK42:AN42"/>
    <mergeCell ref="W45:Y45"/>
    <mergeCell ref="Z45:AA45"/>
    <mergeCell ref="W39:X39"/>
    <mergeCell ref="Y39:Z39"/>
    <mergeCell ref="AA39:AB39"/>
    <mergeCell ref="X42:Y42"/>
    <mergeCell ref="Z42:AC42"/>
    <mergeCell ref="AD42:AE42"/>
    <mergeCell ref="AD43:AE43"/>
    <mergeCell ref="AO16:AQ18"/>
    <mergeCell ref="AO15:AQ15"/>
    <mergeCell ref="AH16:AI16"/>
    <mergeCell ref="AJ16:AK16"/>
    <mergeCell ref="AL16:AM16"/>
    <mergeCell ref="AJ12:AK12"/>
    <mergeCell ref="AL12:AM12"/>
    <mergeCell ref="AP11:AQ11"/>
    <mergeCell ref="AD7:AD8"/>
    <mergeCell ref="AE7:AF8"/>
    <mergeCell ref="AO7:AO8"/>
    <mergeCell ref="AE12:AF12"/>
    <mergeCell ref="AE13:AF13"/>
    <mergeCell ref="AP7:AQ8"/>
    <mergeCell ref="AJ14:AK14"/>
    <mergeCell ref="AL14:AM14"/>
    <mergeCell ref="AP12:AQ12"/>
    <mergeCell ref="AP13:AQ13"/>
    <mergeCell ref="AD15:AF15"/>
    <mergeCell ref="W24:Y24"/>
    <mergeCell ref="Z24:AA24"/>
    <mergeCell ref="X21:Y21"/>
    <mergeCell ref="Z21:AC21"/>
    <mergeCell ref="AD21:AE21"/>
    <mergeCell ref="X22:Y22"/>
    <mergeCell ref="Z22:AC22"/>
    <mergeCell ref="AD22:AE22"/>
    <mergeCell ref="AO20:AP20"/>
    <mergeCell ref="AI21:AJ21"/>
    <mergeCell ref="AO21:AP21"/>
    <mergeCell ref="AI22:AJ22"/>
    <mergeCell ref="AK22:AN22"/>
    <mergeCell ref="AO22:AP22"/>
    <mergeCell ref="AD20:AE20"/>
    <mergeCell ref="AN25:AQ25"/>
    <mergeCell ref="AI26:AI27"/>
    <mergeCell ref="AJ26:AK26"/>
    <mergeCell ref="AL26:AM26"/>
    <mergeCell ref="AO30:AO31"/>
    <mergeCell ref="AP30:AQ31"/>
    <mergeCell ref="AD30:AD31"/>
    <mergeCell ref="AE30:AF31"/>
    <mergeCell ref="Y36:Z36"/>
    <mergeCell ref="AA36:AB36"/>
    <mergeCell ref="AE36:AF36"/>
    <mergeCell ref="AE35:AF35"/>
    <mergeCell ref="AI25:AL25"/>
    <mergeCell ref="AP27:AQ27"/>
    <mergeCell ref="AP34:AQ34"/>
    <mergeCell ref="AO26:AQ26"/>
    <mergeCell ref="Y35:Z35"/>
    <mergeCell ref="AA35:AB35"/>
    <mergeCell ref="S60:U62"/>
    <mergeCell ref="L61:M61"/>
    <mergeCell ref="N61:O61"/>
    <mergeCell ref="P61:Q61"/>
    <mergeCell ref="L62:M62"/>
    <mergeCell ref="N62:O62"/>
    <mergeCell ref="P62:Q62"/>
    <mergeCell ref="T36:U36"/>
    <mergeCell ref="M38:P38"/>
    <mergeCell ref="S38:U38"/>
    <mergeCell ref="L41:M41"/>
    <mergeCell ref="N41:O41"/>
    <mergeCell ref="P41:Q41"/>
    <mergeCell ref="S39:U41"/>
    <mergeCell ref="P58:Q58"/>
    <mergeCell ref="N58:O58"/>
    <mergeCell ref="T56:U56"/>
    <mergeCell ref="N56:O56"/>
    <mergeCell ref="P56:Q56"/>
    <mergeCell ref="L45:N45"/>
    <mergeCell ref="O45:P45"/>
    <mergeCell ref="S42:T42"/>
    <mergeCell ref="N39:O39"/>
    <mergeCell ref="N37:O37"/>
    <mergeCell ref="C57:D57"/>
    <mergeCell ref="E57:F57"/>
    <mergeCell ref="I57:J57"/>
    <mergeCell ref="B59:E59"/>
    <mergeCell ref="H59:J59"/>
    <mergeCell ref="AD51:AD52"/>
    <mergeCell ref="AE51:AF52"/>
    <mergeCell ref="Y57:Z57"/>
    <mergeCell ref="AA57:AB57"/>
    <mergeCell ref="C56:D56"/>
    <mergeCell ref="E56:F56"/>
    <mergeCell ref="AA56:AB56"/>
    <mergeCell ref="Y58:Z58"/>
    <mergeCell ref="AA58:AB58"/>
    <mergeCell ref="AE56:AF56"/>
    <mergeCell ref="N57:O57"/>
    <mergeCell ref="P57:Q57"/>
    <mergeCell ref="T57:U57"/>
    <mergeCell ref="M59:P59"/>
    <mergeCell ref="S59:U59"/>
    <mergeCell ref="C58:D58"/>
    <mergeCell ref="E58:F58"/>
    <mergeCell ref="I56:J56"/>
    <mergeCell ref="AD59:AF59"/>
    <mergeCell ref="T77:U77"/>
    <mergeCell ref="N77:O77"/>
    <mergeCell ref="P77:Q77"/>
    <mergeCell ref="L81:M81"/>
    <mergeCell ref="AE77:AF77"/>
    <mergeCell ref="AE76:AF76"/>
    <mergeCell ref="S93:S94"/>
    <mergeCell ref="T93:U94"/>
    <mergeCell ref="N99:O99"/>
    <mergeCell ref="P99:Q99"/>
    <mergeCell ref="T99:U99"/>
    <mergeCell ref="Y77:Z77"/>
    <mergeCell ref="AA77:AB77"/>
    <mergeCell ref="S84:T84"/>
    <mergeCell ref="T90:U90"/>
    <mergeCell ref="M88:P88"/>
    <mergeCell ref="M89:M90"/>
    <mergeCell ref="N89:O89"/>
    <mergeCell ref="P89:Q89"/>
    <mergeCell ref="L87:N87"/>
    <mergeCell ref="AD80:AF80"/>
    <mergeCell ref="AD81:AF83"/>
    <mergeCell ref="W87:Y87"/>
    <mergeCell ref="Z87:AA87"/>
    <mergeCell ref="C98:D98"/>
    <mergeCell ref="E98:F98"/>
    <mergeCell ref="N98:O98"/>
    <mergeCell ref="P98:Q98"/>
    <mergeCell ref="I97:J97"/>
    <mergeCell ref="I98:J98"/>
    <mergeCell ref="B84:C84"/>
    <mergeCell ref="H84:I84"/>
    <mergeCell ref="M84:N84"/>
    <mergeCell ref="O84:R84"/>
    <mergeCell ref="D84:G84"/>
    <mergeCell ref="I90:J90"/>
    <mergeCell ref="D85:G85"/>
    <mergeCell ref="G88:J88"/>
    <mergeCell ref="B88:E88"/>
    <mergeCell ref="B85:C85"/>
    <mergeCell ref="B89:B90"/>
    <mergeCell ref="C89:D89"/>
    <mergeCell ref="E89:F89"/>
    <mergeCell ref="H89:J89"/>
    <mergeCell ref="A87:C87"/>
    <mergeCell ref="D87:E87"/>
    <mergeCell ref="M101:P101"/>
    <mergeCell ref="S101:U101"/>
    <mergeCell ref="AE93:AF94"/>
    <mergeCell ref="X85:Y85"/>
    <mergeCell ref="Z85:AC85"/>
    <mergeCell ref="AD85:AE85"/>
    <mergeCell ref="Y78:Z78"/>
    <mergeCell ref="AA78:AB78"/>
    <mergeCell ref="X80:AA80"/>
    <mergeCell ref="W82:X82"/>
    <mergeCell ref="Y82:Z82"/>
    <mergeCell ref="AA82:AB82"/>
    <mergeCell ref="W83:X83"/>
    <mergeCell ref="Y83:Z83"/>
    <mergeCell ref="AA83:AB83"/>
    <mergeCell ref="X84:Y84"/>
    <mergeCell ref="Z84:AC84"/>
    <mergeCell ref="AD84:AE84"/>
    <mergeCell ref="W81:X81"/>
    <mergeCell ref="Y81:Z81"/>
    <mergeCell ref="AA81:AB81"/>
  </mergeCells>
  <dataValidations count="1">
    <dataValidation type="list" showDropDown="1" showInputMessage="1" showErrorMessage="1" sqref="G2:J2 I1 A1:F2 AH1:AQ4 A105:J1048576 K9:K1048576 W1:AF4 K1:K7 L1:U4 V1:V7 W105:AF1048576 V9:V1048576 L105:U1048576 AG9:AG1048576 AR9:AW1048576 AG1:AG7 AR1:AW7 A22:J27 L19:U27 W19:AF27 AH19:AQ27 A42:J48 L42:U48 W42:AF48 AH42:AQ48 A63:J69 L63:U69 W63:AF69 AH63:AQ69 A84:J90 L84:U90 W84:AF90 AH84:AQ90 AH105:AQ1048576" xr:uid="{00000000-0002-0000-0200-000000000000}">
      <formula1>"نتتالللبسيسسشسشس444444444444444444"</formula1>
    </dataValidation>
  </dataValidations>
  <printOptions horizontalCentered="1" verticalCentered="1"/>
  <pageMargins left="0" right="0" top="3.937007874015748E-2" bottom="3.937007874015748E-2" header="0" footer="0.11811023622047245"/>
  <pageSetup paperSize="9" scale="129" orientation="portrait" r:id="rId1"/>
  <rowBreaks count="4" manualBreakCount="4">
    <brk id="22" max="16383" man="1"/>
    <brk id="44" max="16383" man="1"/>
    <brk id="64" max="16383" man="1"/>
    <brk id="85" max="16383" man="1"/>
  </rowBreaks>
  <colBreaks count="1" manualBreakCount="1">
    <brk id="11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 tint="4.9989318521683403E-2"/>
  </sheetPr>
  <dimension ref="A1:BP199"/>
  <sheetViews>
    <sheetView showZeros="0" rightToLeft="1" view="pageBreakPreview" zoomScale="60" zoomScaleNormal="60" workbookViewId="0">
      <selection sqref="A1:C1"/>
    </sheetView>
  </sheetViews>
  <sheetFormatPr defaultRowHeight="15" x14ac:dyDescent="0.25"/>
  <cols>
    <col min="1" max="1" width="11" style="141" customWidth="1"/>
    <col min="2" max="2" width="5.8984375" style="150" customWidth="1"/>
    <col min="3" max="3" width="3.8984375" customWidth="1"/>
    <col min="4" max="4" width="4.8984375" customWidth="1"/>
    <col min="5" max="5" width="3.3984375" customWidth="1"/>
    <col min="6" max="6" width="4.8984375" customWidth="1"/>
    <col min="7" max="7" width="6.09765625" customWidth="1"/>
    <col min="8" max="8" width="5.19921875" customWidth="1"/>
    <col min="9" max="9" width="5.69921875" customWidth="1"/>
    <col min="10" max="11" width="5" customWidth="1"/>
    <col min="12" max="12" width="0.3984375" customWidth="1"/>
    <col min="13" max="13" width="7.59765625" style="112" customWidth="1"/>
    <col min="14" max="15" width="7.59765625" style="160" customWidth="1"/>
    <col min="16" max="16" width="3.19921875" customWidth="1"/>
    <col min="17" max="17" width="11" style="141" customWidth="1"/>
    <col min="18" max="18" width="5.8984375" customWidth="1"/>
    <col min="19" max="19" width="3.8984375" customWidth="1"/>
    <col min="20" max="20" width="4.8984375" customWidth="1"/>
    <col min="21" max="21" width="4.69921875" customWidth="1"/>
    <col min="22" max="22" width="4.8984375" customWidth="1"/>
    <col min="23" max="23" width="6.09765625" customWidth="1"/>
    <col min="24" max="24" width="5.19921875" customWidth="1"/>
    <col min="25" max="25" width="5.69921875" customWidth="1"/>
    <col min="26" max="27" width="5" customWidth="1"/>
    <col min="28" max="28" width="0.3984375" customWidth="1"/>
    <col min="29" max="31" width="7.59765625" style="112" customWidth="1"/>
    <col min="32" max="32" width="3.69921875" customWidth="1"/>
    <col min="33" max="33" width="11" style="141" customWidth="1"/>
    <col min="34" max="34" width="5.8984375" customWidth="1"/>
    <col min="35" max="35" width="3.8984375" customWidth="1"/>
    <col min="36" max="38" width="4.8984375" customWidth="1"/>
    <col min="39" max="39" width="6.09765625" customWidth="1"/>
    <col min="40" max="40" width="5.19921875" customWidth="1"/>
    <col min="41" max="41" width="5.69921875" customWidth="1"/>
    <col min="42" max="43" width="5" customWidth="1"/>
    <col min="44" max="44" width="0.3984375" customWidth="1"/>
    <col min="45" max="47" width="7.59765625" style="112" customWidth="1"/>
    <col min="48" max="48" width="3.8984375" customWidth="1"/>
    <col min="49" max="49" width="11" style="141" customWidth="1"/>
    <col min="50" max="50" width="5.8984375" customWidth="1"/>
    <col min="51" max="51" width="3.8984375" customWidth="1"/>
    <col min="52" max="52" width="4.8984375" customWidth="1"/>
    <col min="53" max="53" width="3.3984375" customWidth="1"/>
    <col min="54" max="54" width="4.8984375" customWidth="1"/>
    <col min="55" max="55" width="6.09765625" customWidth="1"/>
    <col min="56" max="56" width="5.19921875" customWidth="1"/>
    <col min="57" max="57" width="5.69921875" customWidth="1"/>
    <col min="58" max="59" width="5" customWidth="1"/>
    <col min="60" max="60" width="1.19921875" customWidth="1"/>
    <col min="61" max="63" width="7.59765625" style="112" customWidth="1"/>
    <col min="64" max="64" width="2.19921875" customWidth="1"/>
    <col min="65" max="68" width="9.09765625" customWidth="1"/>
  </cols>
  <sheetData>
    <row r="1" spans="1:68" ht="21.9" customHeight="1" thickTop="1" x14ac:dyDescent="0.25">
      <c r="A1" s="569" t="s">
        <v>80</v>
      </c>
      <c r="B1" s="570"/>
      <c r="C1" s="570"/>
      <c r="D1" s="466" t="str">
        <f>ادخال1!$L$4</f>
        <v>الثالث</v>
      </c>
      <c r="E1" s="466"/>
      <c r="F1" s="554" t="s">
        <v>81</v>
      </c>
      <c r="G1" s="554"/>
      <c r="H1" s="554"/>
      <c r="I1" s="11"/>
      <c r="J1" s="11"/>
      <c r="K1" s="11"/>
      <c r="L1" s="11"/>
      <c r="M1" s="103"/>
      <c r="N1" s="103"/>
      <c r="O1" s="104">
        <v>1</v>
      </c>
      <c r="Q1" s="569" t="s">
        <v>80</v>
      </c>
      <c r="R1" s="570"/>
      <c r="S1" s="570"/>
      <c r="T1" s="466" t="str">
        <f>ادخال1!$L$4</f>
        <v>الثالث</v>
      </c>
      <c r="U1" s="466"/>
      <c r="V1" s="554" t="s">
        <v>81</v>
      </c>
      <c r="W1" s="554"/>
      <c r="X1" s="554"/>
      <c r="Y1" s="11"/>
      <c r="Z1" s="11"/>
      <c r="AA1" s="11"/>
      <c r="AB1" s="11"/>
      <c r="AC1" s="103"/>
      <c r="AD1" s="103"/>
      <c r="AE1" s="104">
        <f>O1+5</f>
        <v>6</v>
      </c>
      <c r="AG1" s="569" t="s">
        <v>80</v>
      </c>
      <c r="AH1" s="570"/>
      <c r="AI1" s="570"/>
      <c r="AJ1" s="466" t="str">
        <f>ادخال1!$L$4</f>
        <v>الثالث</v>
      </c>
      <c r="AK1" s="466"/>
      <c r="AL1" s="554" t="s">
        <v>81</v>
      </c>
      <c r="AM1" s="554"/>
      <c r="AN1" s="554"/>
      <c r="AO1" s="11"/>
      <c r="AP1" s="11"/>
      <c r="AQ1" s="11"/>
      <c r="AR1" s="11"/>
      <c r="AS1" s="103"/>
      <c r="AT1" s="103"/>
      <c r="AU1" s="104">
        <f>AE1+5</f>
        <v>11</v>
      </c>
      <c r="AW1" s="569" t="s">
        <v>80</v>
      </c>
      <c r="AX1" s="570"/>
      <c r="AY1" s="570"/>
      <c r="AZ1" s="466" t="str">
        <f>ادخال1!$L$4</f>
        <v>الثالث</v>
      </c>
      <c r="BA1" s="466"/>
      <c r="BB1" s="554" t="s">
        <v>81</v>
      </c>
      <c r="BC1" s="554"/>
      <c r="BD1" s="554"/>
      <c r="BE1" s="11"/>
      <c r="BF1" s="11"/>
      <c r="BG1" s="11"/>
      <c r="BH1" s="11"/>
      <c r="BI1" s="103"/>
      <c r="BJ1" s="103"/>
      <c r="BK1" s="104">
        <f>AU1+5</f>
        <v>16</v>
      </c>
      <c r="BN1">
        <f>SUM(I5:I10)</f>
        <v>840</v>
      </c>
    </row>
    <row r="2" spans="1:68" ht="21.9" customHeight="1" thickBot="1" x14ac:dyDescent="0.3">
      <c r="A2" s="260" t="s">
        <v>153</v>
      </c>
      <c r="B2" s="488" t="str">
        <f>ادخال1!$B$5</f>
        <v>سهول العلم للتعليم الخاص</v>
      </c>
      <c r="C2" s="488"/>
      <c r="D2" s="488"/>
      <c r="E2" s="488"/>
      <c r="F2" s="488"/>
      <c r="G2" s="488"/>
      <c r="H2" s="555" t="s">
        <v>9</v>
      </c>
      <c r="I2" s="555"/>
      <c r="J2" s="556" t="str">
        <f>M16</f>
        <v>امجد عمر عبداللطيف سلطان</v>
      </c>
      <c r="K2" s="556"/>
      <c r="L2" s="556"/>
      <c r="M2" s="556"/>
      <c r="N2" s="556"/>
      <c r="O2" s="153"/>
      <c r="Q2" s="260" t="s">
        <v>153</v>
      </c>
      <c r="R2" s="488" t="str">
        <f>ادخال1!$B$5</f>
        <v>سهول العلم للتعليم الخاص</v>
      </c>
      <c r="S2" s="488"/>
      <c r="T2" s="488"/>
      <c r="U2" s="488"/>
      <c r="V2" s="488"/>
      <c r="W2" s="488"/>
      <c r="X2" s="555" t="s">
        <v>9</v>
      </c>
      <c r="Y2" s="555"/>
      <c r="Z2" s="556" t="str">
        <f>AC16</f>
        <v>عبد العاطى احمد محمود محمد</v>
      </c>
      <c r="AA2" s="556"/>
      <c r="AB2" s="556"/>
      <c r="AC2" s="556"/>
      <c r="AD2" s="556"/>
      <c r="AE2" s="153"/>
      <c r="AG2" s="260" t="s">
        <v>153</v>
      </c>
      <c r="AH2" s="488" t="str">
        <f>ادخال1!$B$5</f>
        <v>سهول العلم للتعليم الخاص</v>
      </c>
      <c r="AI2" s="488"/>
      <c r="AJ2" s="488"/>
      <c r="AK2" s="488"/>
      <c r="AL2" s="488"/>
      <c r="AM2" s="488"/>
      <c r="AN2" s="555" t="s">
        <v>9</v>
      </c>
      <c r="AO2" s="555"/>
      <c r="AP2" s="556" t="str">
        <f>AS16</f>
        <v>مريم سامى محمد النفاتى</v>
      </c>
      <c r="AQ2" s="556"/>
      <c r="AR2" s="556"/>
      <c r="AS2" s="556"/>
      <c r="AT2" s="556"/>
      <c r="AU2" s="153"/>
      <c r="AW2" s="260" t="s">
        <v>153</v>
      </c>
      <c r="AX2" s="488" t="str">
        <f>ادخال1!$B$5</f>
        <v>سهول العلم للتعليم الخاص</v>
      </c>
      <c r="AY2" s="488"/>
      <c r="AZ2" s="488"/>
      <c r="BA2" s="488"/>
      <c r="BB2" s="488"/>
      <c r="BC2" s="488"/>
      <c r="BD2" s="555" t="s">
        <v>9</v>
      </c>
      <c r="BE2" s="555"/>
      <c r="BF2" s="556" t="str">
        <f>BI16</f>
        <v>ريم احمد ابوبكر النفاتى</v>
      </c>
      <c r="BG2" s="556"/>
      <c r="BH2" s="556"/>
      <c r="BI2" s="556"/>
      <c r="BJ2" s="556"/>
      <c r="BK2" s="153"/>
      <c r="BN2">
        <f>BN1*0.3</f>
        <v>252</v>
      </c>
      <c r="BO2">
        <v>0</v>
      </c>
      <c r="BP2" t="s">
        <v>7</v>
      </c>
    </row>
    <row r="3" spans="1:68" ht="18.600000000000001" customHeight="1" thickBot="1" x14ac:dyDescent="0.3">
      <c r="A3" s="132" t="s">
        <v>45</v>
      </c>
      <c r="B3" s="582" t="s">
        <v>12</v>
      </c>
      <c r="C3" s="557" t="s">
        <v>46</v>
      </c>
      <c r="D3" s="558"/>
      <c r="E3" s="559" t="s">
        <v>47</v>
      </c>
      <c r="F3" s="559"/>
      <c r="G3" s="560" t="s">
        <v>48</v>
      </c>
      <c r="H3" s="561"/>
      <c r="I3" s="575" t="s">
        <v>49</v>
      </c>
      <c r="J3" s="576"/>
      <c r="K3" s="577"/>
      <c r="L3" s="26"/>
      <c r="M3" s="572" t="s">
        <v>50</v>
      </c>
      <c r="N3" s="573"/>
      <c r="O3" s="574"/>
      <c r="Q3" s="132" t="s">
        <v>45</v>
      </c>
      <c r="R3" s="578" t="s">
        <v>12</v>
      </c>
      <c r="S3" s="557" t="s">
        <v>46</v>
      </c>
      <c r="T3" s="558"/>
      <c r="U3" s="559" t="s">
        <v>47</v>
      </c>
      <c r="V3" s="559"/>
      <c r="W3" s="560" t="s">
        <v>48</v>
      </c>
      <c r="X3" s="561"/>
      <c r="Y3" s="575" t="s">
        <v>49</v>
      </c>
      <c r="Z3" s="576"/>
      <c r="AA3" s="577"/>
      <c r="AB3" s="26"/>
      <c r="AC3" s="572" t="s">
        <v>50</v>
      </c>
      <c r="AD3" s="573"/>
      <c r="AE3" s="574"/>
      <c r="AG3" s="132" t="s">
        <v>45</v>
      </c>
      <c r="AH3" s="512" t="s">
        <v>12</v>
      </c>
      <c r="AI3" s="557" t="s">
        <v>46</v>
      </c>
      <c r="AJ3" s="558"/>
      <c r="AK3" s="559" t="s">
        <v>47</v>
      </c>
      <c r="AL3" s="559"/>
      <c r="AM3" s="560" t="s">
        <v>48</v>
      </c>
      <c r="AN3" s="561"/>
      <c r="AO3" s="575" t="s">
        <v>49</v>
      </c>
      <c r="AP3" s="576"/>
      <c r="AQ3" s="577"/>
      <c r="AR3" s="26"/>
      <c r="AS3" s="572" t="s">
        <v>50</v>
      </c>
      <c r="AT3" s="573"/>
      <c r="AU3" s="574"/>
      <c r="AW3" s="132" t="s">
        <v>45</v>
      </c>
      <c r="AX3" s="512" t="s">
        <v>12</v>
      </c>
      <c r="AY3" s="557" t="s">
        <v>46</v>
      </c>
      <c r="AZ3" s="558"/>
      <c r="BA3" s="559" t="s">
        <v>47</v>
      </c>
      <c r="BB3" s="559"/>
      <c r="BC3" s="560" t="s">
        <v>48</v>
      </c>
      <c r="BD3" s="561"/>
      <c r="BE3" s="575" t="s">
        <v>49</v>
      </c>
      <c r="BF3" s="576"/>
      <c r="BG3" s="577"/>
      <c r="BH3" s="26"/>
      <c r="BI3" s="572" t="s">
        <v>50</v>
      </c>
      <c r="BJ3" s="573"/>
      <c r="BK3" s="574"/>
      <c r="BN3">
        <f>BN1*0.4</f>
        <v>336</v>
      </c>
      <c r="BO3">
        <f>BN3*0.5</f>
        <v>168</v>
      </c>
      <c r="BP3" t="s">
        <v>4</v>
      </c>
    </row>
    <row r="4" spans="1:68" ht="24.9" customHeight="1" x14ac:dyDescent="0.25">
      <c r="A4" s="56" t="s">
        <v>2</v>
      </c>
      <c r="B4" s="583"/>
      <c r="C4" s="51" t="s">
        <v>51</v>
      </c>
      <c r="D4" s="52" t="s">
        <v>52</v>
      </c>
      <c r="E4" s="53" t="s">
        <v>51</v>
      </c>
      <c r="F4" s="54" t="s">
        <v>52</v>
      </c>
      <c r="G4" s="51" t="s">
        <v>51</v>
      </c>
      <c r="H4" s="52" t="s">
        <v>52</v>
      </c>
      <c r="I4" s="51" t="s">
        <v>53</v>
      </c>
      <c r="J4" s="55" t="s">
        <v>54</v>
      </c>
      <c r="K4" s="52" t="s">
        <v>52</v>
      </c>
      <c r="L4" s="10"/>
      <c r="M4" s="119" t="s">
        <v>109</v>
      </c>
      <c r="N4" s="489" t="str">
        <f>IF(D11=0,"",IF(AND(D5&gt;=C5*0.4,D6&gt;=C6*0.4,D7&gt;=C7*0.4,D8&gt;=C8*0.4,D9&gt;=C9*0.4),LOOKUP(D11,$BO$15:$BP$19),"ضعيف ويحتاج الى اهتمام في المواد"))</f>
        <v>ممتاز</v>
      </c>
      <c r="O4" s="565"/>
      <c r="Q4" s="56" t="s">
        <v>2</v>
      </c>
      <c r="R4" s="579"/>
      <c r="S4" s="51" t="s">
        <v>51</v>
      </c>
      <c r="T4" s="52" t="s">
        <v>52</v>
      </c>
      <c r="U4" s="53" t="s">
        <v>51</v>
      </c>
      <c r="V4" s="54" t="s">
        <v>52</v>
      </c>
      <c r="W4" s="51" t="s">
        <v>51</v>
      </c>
      <c r="X4" s="52" t="s">
        <v>52</v>
      </c>
      <c r="Y4" s="51" t="s">
        <v>53</v>
      </c>
      <c r="Z4" s="55" t="s">
        <v>54</v>
      </c>
      <c r="AA4" s="52" t="s">
        <v>52</v>
      </c>
      <c r="AB4" s="10"/>
      <c r="AC4" s="119" t="s">
        <v>109</v>
      </c>
      <c r="AD4" s="489" t="str">
        <f>IF(T11=0,"",IF(AND(T5&gt;=S5*0.4,T6&gt;=S6*0.4,T7&gt;=S7*0.4,T8&gt;=S8*0.4,T9&gt;=S9*0.4),LOOKUP(T11,$BO$15:$BP$19),"ضعيف ويحتاج الى اهتمام في المواد"))</f>
        <v>ممتاز</v>
      </c>
      <c r="AE4" s="565"/>
      <c r="AF4" s="65"/>
      <c r="AG4" s="56" t="s">
        <v>2</v>
      </c>
      <c r="AH4" s="513"/>
      <c r="AI4" s="51" t="s">
        <v>51</v>
      </c>
      <c r="AJ4" s="52" t="s">
        <v>52</v>
      </c>
      <c r="AK4" s="53" t="s">
        <v>51</v>
      </c>
      <c r="AL4" s="54" t="s">
        <v>52</v>
      </c>
      <c r="AM4" s="51" t="s">
        <v>51</v>
      </c>
      <c r="AN4" s="52" t="s">
        <v>52</v>
      </c>
      <c r="AO4" s="51" t="s">
        <v>53</v>
      </c>
      <c r="AP4" s="55" t="s">
        <v>54</v>
      </c>
      <c r="AQ4" s="52" t="s">
        <v>52</v>
      </c>
      <c r="AR4" s="10"/>
      <c r="AS4" s="119" t="s">
        <v>109</v>
      </c>
      <c r="AT4" s="489" t="str">
        <f>IF(AJ11=0,"",IF(AND(AJ5&gt;=AI5*0.4,AJ6&gt;=AI6*0.4,AJ7&gt;=AI7*0.4,AJ8&gt;=AI8*0.4,AJ9&gt;=AI9*0.4),LOOKUP(AJ11,$BO$15:$BP$19),"ضعيف ويحتاج الى اهتمام في المواد"))</f>
        <v>ممتاز</v>
      </c>
      <c r="AU4" s="565"/>
      <c r="AW4" s="56" t="s">
        <v>2</v>
      </c>
      <c r="AX4" s="513"/>
      <c r="AY4" s="51" t="s">
        <v>51</v>
      </c>
      <c r="AZ4" s="52" t="s">
        <v>52</v>
      </c>
      <c r="BA4" s="53" t="s">
        <v>51</v>
      </c>
      <c r="BB4" s="54" t="s">
        <v>52</v>
      </c>
      <c r="BC4" s="51" t="s">
        <v>51</v>
      </c>
      <c r="BD4" s="52" t="s">
        <v>52</v>
      </c>
      <c r="BE4" s="51" t="s">
        <v>53</v>
      </c>
      <c r="BF4" s="55" t="s">
        <v>54</v>
      </c>
      <c r="BG4" s="52" t="s">
        <v>52</v>
      </c>
      <c r="BH4" s="10"/>
      <c r="BI4" s="119" t="s">
        <v>109</v>
      </c>
      <c r="BJ4" s="489" t="str">
        <f>IF(AZ11=0,"",IF(AND(AZ5&gt;=AY5*0.4,AZ6&gt;=AY6*0.4,AZ7&gt;=AY7*0.4,AZ8&gt;=AY8*0.4,AZ9&gt;=AY9*0.4),LOOKUP(AZ11,$BO$15:$BP$19),"ضعيف ويحتاج الى اهتمام في المواد"))</f>
        <v>ممتاز</v>
      </c>
      <c r="BK4" s="565"/>
      <c r="BL4" s="25"/>
      <c r="BO4">
        <f>$BN$1*0.65</f>
        <v>546</v>
      </c>
      <c r="BP4" t="s">
        <v>5</v>
      </c>
    </row>
    <row r="5" spans="1:68" ht="24.9" customHeight="1" x14ac:dyDescent="0.25">
      <c r="A5" s="115" t="str">
        <f>ادخال1!$F$9</f>
        <v>التربية الإسلامية</v>
      </c>
      <c r="B5" s="145">
        <f>ادخال1!$F$7</f>
        <v>3</v>
      </c>
      <c r="C5" s="41">
        <f t="shared" ref="C5:C6" si="0">40*B5*0.3</f>
        <v>36</v>
      </c>
      <c r="D5" s="2">
        <f xml:space="preserve"> IFERROR(VLOOKUP(M16,اسماء,5,0),"")</f>
        <v>36</v>
      </c>
      <c r="E5" s="43">
        <f t="shared" ref="E5:E6" si="1">40*B5*0.3</f>
        <v>36</v>
      </c>
      <c r="F5" s="2">
        <f>IFERROR(VLOOKUP(M16,اسماء,16,0),"")</f>
        <v>0</v>
      </c>
      <c r="G5" s="41">
        <f t="shared" ref="G5:G6" si="2">40*B5*0.4</f>
        <v>48</v>
      </c>
      <c r="H5" s="2">
        <f>IFERROR(VLOOKUP(M16,اسماء,27,0),"")</f>
        <v>0</v>
      </c>
      <c r="I5" s="41">
        <f t="shared" ref="I5:I6" si="3">SUM(C5,E5,G5)</f>
        <v>120</v>
      </c>
      <c r="J5" s="44">
        <f t="shared" ref="J5:J6" si="4">0.4*I5</f>
        <v>48</v>
      </c>
      <c r="K5" s="2">
        <f t="shared" ref="K5:K6" si="5">SUM(D5,F5,H5)</f>
        <v>36</v>
      </c>
      <c r="L5" s="18"/>
      <c r="M5" s="106" t="str">
        <f>IF(D5=0,"",IF(D5&lt;C5*0.4,A5,""))</f>
        <v/>
      </c>
      <c r="N5" s="154" t="str">
        <f>IF(D6=0,"",IF(D6&lt;C6*0.4,A6,""))</f>
        <v/>
      </c>
      <c r="O5" s="155" t="str">
        <f>IF(D7=0,"",IF(D7&lt;C7*0.4,A7,""))</f>
        <v/>
      </c>
      <c r="P5" s="120"/>
      <c r="Q5" s="115" t="str">
        <f>ادخال1!$F$9</f>
        <v>التربية الإسلامية</v>
      </c>
      <c r="R5" s="145">
        <f>ادخال1!$F$7</f>
        <v>3</v>
      </c>
      <c r="S5" s="41">
        <f t="shared" ref="S5:S6" si="6">40*R5*0.3</f>
        <v>36</v>
      </c>
      <c r="T5" s="2">
        <f xml:space="preserve"> IFERROR(VLOOKUP(AC16,اسماء,5,0),"")</f>
        <v>36</v>
      </c>
      <c r="U5" s="43">
        <f t="shared" ref="U5:U6" si="7">40*R5*0.3</f>
        <v>36</v>
      </c>
      <c r="V5" s="2">
        <f>IFERROR(VLOOKUP(AC16,اسماء,16,0),"")</f>
        <v>0</v>
      </c>
      <c r="W5" s="41">
        <f t="shared" ref="W5:W6" si="8">40*R5*0.4</f>
        <v>48</v>
      </c>
      <c r="X5" s="2">
        <f>IFERROR(VLOOKUP(AC16,اسماء,27,0),"")</f>
        <v>0</v>
      </c>
      <c r="Y5" s="41">
        <f t="shared" ref="Y5:Y6" si="9">SUM(S5,U5,W5)</f>
        <v>120</v>
      </c>
      <c r="Z5" s="44">
        <f t="shared" ref="Z5:Z6" si="10">0.4*Y5</f>
        <v>48</v>
      </c>
      <c r="AA5" s="2">
        <f t="shared" ref="AA5:AA6" si="11">SUM(T5,V5,X5)</f>
        <v>36</v>
      </c>
      <c r="AB5" s="18"/>
      <c r="AC5" s="106" t="str">
        <f>IF(T5=0,"",IF(T5&lt;S5*0.4,Q5,""))</f>
        <v/>
      </c>
      <c r="AD5" s="154" t="str">
        <f>IF(T6=0,"",IF(T6&lt;S6*0.4,Q6,""))</f>
        <v/>
      </c>
      <c r="AE5" s="155" t="str">
        <f>IF(T7=0,"",IF(T7&lt;S7*0.4,Q7,""))</f>
        <v/>
      </c>
      <c r="AF5" s="65"/>
      <c r="AG5" s="115" t="str">
        <f>ادخال1!$F$9</f>
        <v>التربية الإسلامية</v>
      </c>
      <c r="AH5" s="145">
        <f>ادخال1!$F$7</f>
        <v>3</v>
      </c>
      <c r="AI5" s="41">
        <f t="shared" ref="AI5:AI6" si="12">40*AH5*0.3</f>
        <v>36</v>
      </c>
      <c r="AJ5" s="2">
        <f xml:space="preserve"> IFERROR(VLOOKUP(AS16,اسماء,5,0),"")</f>
        <v>36</v>
      </c>
      <c r="AK5" s="43">
        <f t="shared" ref="AK5:AK6" si="13">40*AH5*0.3</f>
        <v>36</v>
      </c>
      <c r="AL5" s="2">
        <f>IFERROR(VLOOKUP(AS16,اسماء,16,0),"")</f>
        <v>0</v>
      </c>
      <c r="AM5" s="41">
        <f t="shared" ref="AM5:AM6" si="14">40*AH5*0.4</f>
        <v>48</v>
      </c>
      <c r="AN5" s="2">
        <f>IFERROR(VLOOKUP(AS16,اسماء,27,0),"")</f>
        <v>0</v>
      </c>
      <c r="AO5" s="41">
        <f t="shared" ref="AO5:AO6" si="15">SUM(AI5,AK5,AM5)</f>
        <v>120</v>
      </c>
      <c r="AP5" s="44">
        <f t="shared" ref="AP5:AP6" si="16">0.4*AO5</f>
        <v>48</v>
      </c>
      <c r="AQ5" s="2">
        <f t="shared" ref="AQ5:AQ6" si="17">SUM(AJ5,AL5,AN5)</f>
        <v>36</v>
      </c>
      <c r="AR5" s="18"/>
      <c r="AS5" s="106" t="str">
        <f>IF(AJ5=0,"",IF(AJ5&lt;AI5*0.4,AG5,""))</f>
        <v/>
      </c>
      <c r="AT5" s="154" t="str">
        <f>IF(AJ6=0,"",IF(AJ6&lt;AI6*0.4,AG6,""))</f>
        <v/>
      </c>
      <c r="AU5" s="155" t="str">
        <f>IF(AJ7=0,"",IF(AJ7&lt;AI7*0.4,AG7,""))</f>
        <v/>
      </c>
      <c r="AW5" s="115" t="str">
        <f>ادخال1!$F$9</f>
        <v>التربية الإسلامية</v>
      </c>
      <c r="AX5" s="145">
        <f>ادخال1!$F$7</f>
        <v>3</v>
      </c>
      <c r="AY5" s="41">
        <f t="shared" ref="AY5:AY6" si="18">40*AX5*0.3</f>
        <v>36</v>
      </c>
      <c r="AZ5" s="2">
        <f xml:space="preserve"> IFERROR(VLOOKUP(BI16,اسماء,5,0),"")</f>
        <v>36</v>
      </c>
      <c r="BA5" s="43">
        <f t="shared" ref="BA5:BA6" si="19">40*AX5*0.3</f>
        <v>36</v>
      </c>
      <c r="BB5" s="2">
        <f>IFERROR(VLOOKUP(BI16,اسماء,16,0),"")</f>
        <v>0</v>
      </c>
      <c r="BC5" s="41">
        <f t="shared" ref="BC5:BC6" si="20">40*AX5*0.4</f>
        <v>48</v>
      </c>
      <c r="BD5" s="2">
        <f>IFERROR(VLOOKUP(BI16,اسماء,27,0),"")</f>
        <v>0</v>
      </c>
      <c r="BE5" s="41">
        <f t="shared" ref="BE5:BE6" si="21">SUM(AY5,BA5,BC5)</f>
        <v>120</v>
      </c>
      <c r="BF5" s="44">
        <f t="shared" ref="BF5:BF6" si="22">0.4*BE5</f>
        <v>48</v>
      </c>
      <c r="BG5" s="2">
        <f t="shared" ref="BG5:BG6" si="23">SUM(AZ5,BB5,BD5)</f>
        <v>36</v>
      </c>
      <c r="BH5" s="18"/>
      <c r="BI5" s="106" t="str">
        <f>IF(AZ5=0,"",IF(AZ5&lt;AY5*0.4,AW5,""))</f>
        <v/>
      </c>
      <c r="BJ5" s="154" t="str">
        <f>IF(AZ6=0,"",IF(AZ6&lt;AY6*0.4,AW6,""))</f>
        <v/>
      </c>
      <c r="BK5" s="155" t="str">
        <f>IF(AZ7=0,"",IF(AZ7&lt;AY7*0.4,AW7,""))</f>
        <v/>
      </c>
      <c r="BL5" s="25"/>
      <c r="BO5">
        <f>$BN$1*0.75</f>
        <v>630</v>
      </c>
      <c r="BP5" t="s">
        <v>104</v>
      </c>
    </row>
    <row r="6" spans="1:68" ht="24.9" customHeight="1" thickBot="1" x14ac:dyDescent="0.3">
      <c r="A6" s="133" t="str">
        <f>ادخال1!$G$9</f>
        <v>اللغة العربية</v>
      </c>
      <c r="B6" s="146">
        <f>ادخال1!$G$7</f>
        <v>6</v>
      </c>
      <c r="C6" s="41">
        <f t="shared" si="0"/>
        <v>72</v>
      </c>
      <c r="D6" s="2">
        <f>IFERROR(VLOOKUP(M16,اسماء,6,0),"")</f>
        <v>70</v>
      </c>
      <c r="E6" s="43">
        <f t="shared" si="1"/>
        <v>72</v>
      </c>
      <c r="F6" s="2">
        <f>IFERROR(VLOOKUP(M16,اسماء,17,0),"")</f>
        <v>0</v>
      </c>
      <c r="G6" s="41">
        <f t="shared" si="2"/>
        <v>96</v>
      </c>
      <c r="H6" s="2">
        <f>IFERROR(VLOOKUP(M16,اسماء,28,0),"")</f>
        <v>0</v>
      </c>
      <c r="I6" s="41">
        <f t="shared" si="3"/>
        <v>240</v>
      </c>
      <c r="J6" s="44">
        <f t="shared" si="4"/>
        <v>96</v>
      </c>
      <c r="K6" s="2">
        <f t="shared" si="5"/>
        <v>70</v>
      </c>
      <c r="L6" s="18"/>
      <c r="M6" s="106" t="str">
        <f>IF(D8=0,"",IF(D8&lt;C8*0.4,A8,""))</f>
        <v/>
      </c>
      <c r="N6" s="154" t="str">
        <f>IF(D9=0,"",IF(D9&lt;C9*0.4,A9,""))</f>
        <v/>
      </c>
      <c r="O6" s="155" t="str">
        <f>IF(D10=0,"",IF(D10&lt;C10*0.4,A10,""))</f>
        <v/>
      </c>
      <c r="P6" s="120"/>
      <c r="Q6" s="133" t="str">
        <f>ادخال1!$G$9</f>
        <v>اللغة العربية</v>
      </c>
      <c r="R6" s="146">
        <f>ادخال1!$G$7</f>
        <v>6</v>
      </c>
      <c r="S6" s="41">
        <f t="shared" si="6"/>
        <v>72</v>
      </c>
      <c r="T6" s="2">
        <f>IFERROR(VLOOKUP(AC16,اسماء,6,0),"")</f>
        <v>68</v>
      </c>
      <c r="U6" s="43">
        <f t="shared" si="7"/>
        <v>72</v>
      </c>
      <c r="V6" s="2">
        <f>IFERROR(VLOOKUP(AC16,اسماء,17,0),"")</f>
        <v>0</v>
      </c>
      <c r="W6" s="41">
        <f t="shared" si="8"/>
        <v>96</v>
      </c>
      <c r="X6" s="2">
        <f>IFERROR(VLOOKUP(AC16,اسماء,28,0),"")</f>
        <v>0</v>
      </c>
      <c r="Y6" s="41">
        <f t="shared" si="9"/>
        <v>240</v>
      </c>
      <c r="Z6" s="44">
        <f t="shared" si="10"/>
        <v>96</v>
      </c>
      <c r="AA6" s="2">
        <f t="shared" si="11"/>
        <v>68</v>
      </c>
      <c r="AB6" s="18"/>
      <c r="AC6" s="106" t="str">
        <f>IF(T8=0,"",IF(T8&lt;S8*0.4,Q8,""))</f>
        <v/>
      </c>
      <c r="AD6" s="154" t="str">
        <f>IF(T9=0,"",IF(T9&lt;S9*0.4,Q9,""))</f>
        <v/>
      </c>
      <c r="AE6" s="155" t="str">
        <f>IF(T10=0,"",IF(T10&lt;S10*0.4,Q10,""))</f>
        <v/>
      </c>
      <c r="AF6" s="65"/>
      <c r="AG6" s="133" t="str">
        <f>ادخال1!$G$9</f>
        <v>اللغة العربية</v>
      </c>
      <c r="AH6" s="146">
        <f>ادخال1!$G$7</f>
        <v>6</v>
      </c>
      <c r="AI6" s="41">
        <f t="shared" si="12"/>
        <v>72</v>
      </c>
      <c r="AJ6" s="2">
        <f>IFERROR(VLOOKUP(AS16,اسماء,6,0),"")</f>
        <v>71</v>
      </c>
      <c r="AK6" s="43">
        <f t="shared" si="13"/>
        <v>72</v>
      </c>
      <c r="AL6" s="2">
        <f>IFERROR(VLOOKUP(AS16,اسماء,17,0),"")</f>
        <v>0</v>
      </c>
      <c r="AM6" s="41">
        <f t="shared" si="14"/>
        <v>96</v>
      </c>
      <c r="AN6" s="2">
        <f>IFERROR(VLOOKUP(AS16,اسماء,28,0),"")</f>
        <v>0</v>
      </c>
      <c r="AO6" s="41">
        <f t="shared" si="15"/>
        <v>240</v>
      </c>
      <c r="AP6" s="44">
        <f t="shared" si="16"/>
        <v>96</v>
      </c>
      <c r="AQ6" s="2">
        <f t="shared" si="17"/>
        <v>71</v>
      </c>
      <c r="AR6" s="18"/>
      <c r="AS6" s="106" t="str">
        <f>IF(AJ8=0,"",IF(AJ8&lt;AI8*0.4,AG8,""))</f>
        <v/>
      </c>
      <c r="AT6" s="154" t="str">
        <f>IF(AJ9=0,"",IF(AJ9&lt;AI9*0.4,AG9,""))</f>
        <v/>
      </c>
      <c r="AU6" s="155" t="str">
        <f>IF(AJ10=0,"",IF(AJ10&lt;AI10*0.4,AG10,""))</f>
        <v/>
      </c>
      <c r="AW6" s="133" t="str">
        <f>ادخال1!$G$9</f>
        <v>اللغة العربية</v>
      </c>
      <c r="AX6" s="146">
        <f>ادخال1!$G$7</f>
        <v>6</v>
      </c>
      <c r="AY6" s="41">
        <f t="shared" si="18"/>
        <v>72</v>
      </c>
      <c r="AZ6" s="2">
        <f>IFERROR(VLOOKUP(BI16,اسماء,6,0),"")</f>
        <v>71</v>
      </c>
      <c r="BA6" s="43">
        <f t="shared" si="19"/>
        <v>72</v>
      </c>
      <c r="BB6" s="2">
        <f>IFERROR(VLOOKUP(BI16,اسماء,17,0),"")</f>
        <v>0</v>
      </c>
      <c r="BC6" s="41">
        <f t="shared" si="20"/>
        <v>96</v>
      </c>
      <c r="BD6" s="2">
        <f>IFERROR(VLOOKUP(BI16,اسماء,28,0),"")</f>
        <v>0</v>
      </c>
      <c r="BE6" s="41">
        <f t="shared" si="21"/>
        <v>240</v>
      </c>
      <c r="BF6" s="44">
        <f t="shared" si="22"/>
        <v>96</v>
      </c>
      <c r="BG6" s="2">
        <f t="shared" si="23"/>
        <v>71</v>
      </c>
      <c r="BH6" s="18"/>
      <c r="BI6" s="106" t="str">
        <f>IF(AZ8=0,"",IF(AZ8&lt;AY8*0.4,AW8,""))</f>
        <v/>
      </c>
      <c r="BJ6" s="154" t="str">
        <f>IF(AZ9=0,"",IF(AZ9&lt;AY9*0.4,AW9,""))</f>
        <v/>
      </c>
      <c r="BK6" s="155" t="str">
        <f>IF(AZ10=0,"",IF(AZ10&lt;AY10*0.4,AW10,""))</f>
        <v/>
      </c>
      <c r="BL6" s="25"/>
      <c r="BO6">
        <f>$BN$1*0.85</f>
        <v>714</v>
      </c>
      <c r="BP6" t="s">
        <v>6</v>
      </c>
    </row>
    <row r="7" spans="1:68" ht="24.9" customHeight="1" x14ac:dyDescent="0.25">
      <c r="A7" s="133" t="str">
        <f>ادخال1!$H$9</f>
        <v>اللغة الإنجليزية</v>
      </c>
      <c r="B7" s="146">
        <f>ادخال1!$H$7</f>
        <v>3</v>
      </c>
      <c r="C7" s="41">
        <f>40*B7*0.3</f>
        <v>36</v>
      </c>
      <c r="D7" s="2">
        <f>IFERROR(VLOOKUP(M16,اسماء,7,0),"")</f>
        <v>36</v>
      </c>
      <c r="E7" s="43">
        <f>40*B7*0.3</f>
        <v>36</v>
      </c>
      <c r="F7" s="2">
        <f>IFERROR(VLOOKUP(M16,اسماء,18,0),"")</f>
        <v>0</v>
      </c>
      <c r="G7" s="41">
        <f>40*B7*0.4</f>
        <v>48</v>
      </c>
      <c r="H7" s="2">
        <f>IFERROR(VLOOKUP(M16,اسماء,29,0),"")</f>
        <v>0</v>
      </c>
      <c r="I7" s="41">
        <f>SUM(C7,E7,G7)</f>
        <v>120</v>
      </c>
      <c r="J7" s="44">
        <f>0.4*I7</f>
        <v>48</v>
      </c>
      <c r="K7" s="2">
        <f>SUM(D7,F7,H7)</f>
        <v>36</v>
      </c>
      <c r="L7" s="18"/>
      <c r="M7" s="105" t="s">
        <v>82</v>
      </c>
      <c r="N7" s="489" t="str">
        <f>IF(F11=0,"",IF(AND(F5&gt;=E5*0.4,F6&gt;=E6*0.4,F7&gt;=E7*0.4,F8&gt;=E8*0.4,F9&gt;=E9*0.4),LOOKUP(F11,'الصحيفة النهائية'!$BO$15:$BP$19),"ضعيف ويحتاج الى اهتمام في المواد"))</f>
        <v/>
      </c>
      <c r="O7" s="565"/>
      <c r="Q7" s="133" t="str">
        <f>ادخال1!$H$9</f>
        <v>اللغة الإنجليزية</v>
      </c>
      <c r="R7" s="146">
        <f>ادخال1!$H$7</f>
        <v>3</v>
      </c>
      <c r="S7" s="41">
        <f>40*R7*0.3</f>
        <v>36</v>
      </c>
      <c r="T7" s="2">
        <f>IFERROR(VLOOKUP(AC16,اسماء,7,0),"")</f>
        <v>30</v>
      </c>
      <c r="U7" s="43">
        <f>40*R7*0.3</f>
        <v>36</v>
      </c>
      <c r="V7" s="2">
        <f>IFERROR(VLOOKUP(AC16,اسماء,18,0),"")</f>
        <v>0</v>
      </c>
      <c r="W7" s="41">
        <f>40*R7*0.4</f>
        <v>48</v>
      </c>
      <c r="X7" s="2">
        <f>IFERROR(VLOOKUP(AC16,اسماء,29,0),"")</f>
        <v>0</v>
      </c>
      <c r="Y7" s="41">
        <f>SUM(S7,U7,W7)</f>
        <v>120</v>
      </c>
      <c r="Z7" s="44">
        <f>0.4*Y7</f>
        <v>48</v>
      </c>
      <c r="AA7" s="2">
        <f>SUM(T7,V7,X7)</f>
        <v>30</v>
      </c>
      <c r="AB7" s="18"/>
      <c r="AC7" s="105" t="s">
        <v>82</v>
      </c>
      <c r="AD7" s="489" t="str">
        <f>IF(V11=0,"",IF(AND(V5&gt;=U5*0.4,V6&gt;=U6*0.4,V7&gt;=U7*0.4,V8&gt;=U8*0.4,V9&gt;=U9*0.4),LOOKUP(V11,'الصحيفة النهائية'!$BO$15:$BP$19),"ضعيف ويحتاج الى اهتمام في المواد"))</f>
        <v/>
      </c>
      <c r="AE7" s="565"/>
      <c r="AF7" s="65"/>
      <c r="AG7" s="133" t="str">
        <f>ادخال1!$H$9</f>
        <v>اللغة الإنجليزية</v>
      </c>
      <c r="AH7" s="146">
        <f>ادخال1!$H$7</f>
        <v>3</v>
      </c>
      <c r="AI7" s="41">
        <f>40*AH7*0.3</f>
        <v>36</v>
      </c>
      <c r="AJ7" s="2">
        <f>IFERROR(VLOOKUP(AS16,اسماء,7,0),"")</f>
        <v>36</v>
      </c>
      <c r="AK7" s="43">
        <f>40*AH7*0.3</f>
        <v>36</v>
      </c>
      <c r="AL7" s="2">
        <f>IFERROR(VLOOKUP(AS16,اسماء,18,0),"")</f>
        <v>0</v>
      </c>
      <c r="AM7" s="41">
        <f>40*AH7*0.4</f>
        <v>48</v>
      </c>
      <c r="AN7" s="2">
        <f>IFERROR(VLOOKUP(AS16,اسماء,29,0),"")</f>
        <v>0</v>
      </c>
      <c r="AO7" s="41">
        <f>SUM(AI7,AK7,AM7)</f>
        <v>120</v>
      </c>
      <c r="AP7" s="44">
        <f>0.4*AO7</f>
        <v>48</v>
      </c>
      <c r="AQ7" s="2">
        <f>SUM(AJ7,AL7,AN7)</f>
        <v>36</v>
      </c>
      <c r="AR7" s="18"/>
      <c r="AS7" s="105" t="s">
        <v>82</v>
      </c>
      <c r="AT7" s="489" t="str">
        <f>IF(AL11=0,"",IF(AND(AL5&gt;=AK5*0.4,AL6&gt;=AK6*0.4,AL7&gt;=AK7*0.4,AL8&gt;=AK8*0.4,AL9&gt;=AK9*0.4),LOOKUP(AL11,'الصحيفة النهائية'!$BO$15:$BP$19),"ضعيف ويحتاج الى اهتمام في المواد"))</f>
        <v/>
      </c>
      <c r="AU7" s="565"/>
      <c r="AW7" s="133" t="str">
        <f>ادخال1!$H$9</f>
        <v>اللغة الإنجليزية</v>
      </c>
      <c r="AX7" s="146">
        <f>ادخال1!$H$7</f>
        <v>3</v>
      </c>
      <c r="AY7" s="41">
        <f>40*AX7*0.3</f>
        <v>36</v>
      </c>
      <c r="AZ7" s="2">
        <f>IFERROR(VLOOKUP(BI16,اسماء,7,0),"")</f>
        <v>35</v>
      </c>
      <c r="BA7" s="43">
        <f>40*AX7*0.3</f>
        <v>36</v>
      </c>
      <c r="BB7" s="2">
        <f>IFERROR(VLOOKUP(BI16,اسماء,18,0),"")</f>
        <v>0</v>
      </c>
      <c r="BC7" s="41">
        <f>40*AX7*0.4</f>
        <v>48</v>
      </c>
      <c r="BD7" s="2">
        <f>IFERROR(VLOOKUP(BI16,اسماء,29,0),"")</f>
        <v>0</v>
      </c>
      <c r="BE7" s="41">
        <f>SUM(AY7,BA7,BC7)</f>
        <v>120</v>
      </c>
      <c r="BF7" s="44">
        <f>0.4*BE7</f>
        <v>48</v>
      </c>
      <c r="BG7" s="2">
        <f>SUM(AZ7,BB7,BD7)</f>
        <v>35</v>
      </c>
      <c r="BH7" s="18"/>
      <c r="BI7" s="105" t="s">
        <v>82</v>
      </c>
      <c r="BJ7" s="489" t="str">
        <f>IF(BB11=0,"",IF(AND(BB5&gt;=BA5*0.4,BB6&gt;=BA6*0.4,BB7&gt;=BA7*0.4,BB8&gt;=BA8*0.4,BB9&gt;=BA9*0.4),LOOKUP(BB11,'الصحيفة النهائية'!$BO$15:$BP$19),"ضعيف ويحتاج الى اهتمام في المواد"))</f>
        <v/>
      </c>
      <c r="BK7" s="565"/>
      <c r="BL7" s="25"/>
    </row>
    <row r="8" spans="1:68" ht="24.9" customHeight="1" x14ac:dyDescent="0.25">
      <c r="A8" s="133" t="str">
        <f>ادخال1!$I$9</f>
        <v>الحاسوب</v>
      </c>
      <c r="B8" s="146">
        <f>ادخال1!$I$7</f>
        <v>1</v>
      </c>
      <c r="C8" s="41">
        <f>40*B8*0.3</f>
        <v>12</v>
      </c>
      <c r="D8" s="2">
        <f>IFERROR(VLOOKUP(M16,اسماء,8,0),"")</f>
        <v>12</v>
      </c>
      <c r="E8" s="43">
        <f>40*B8*0.3</f>
        <v>12</v>
      </c>
      <c r="F8" s="2">
        <f>IFERROR(VLOOKUP(M16,اسماء,19,0),"")</f>
        <v>0</v>
      </c>
      <c r="G8" s="41">
        <f>40*B8*0.4</f>
        <v>16</v>
      </c>
      <c r="H8" s="2">
        <f>IFERROR(VLOOKUP(M16,اسماء,30,0),"")</f>
        <v>0</v>
      </c>
      <c r="I8" s="41">
        <f>SUM(C8,E8,G8)</f>
        <v>40</v>
      </c>
      <c r="J8" s="44">
        <f>0.4*I8</f>
        <v>16</v>
      </c>
      <c r="K8" s="2">
        <f>SUM(D8,F8,H8)</f>
        <v>12</v>
      </c>
      <c r="L8" s="18"/>
      <c r="M8" s="106" t="str">
        <f>IF(F5=0,"",IF(F5&lt;E5*0.4,A5,""))</f>
        <v/>
      </c>
      <c r="N8" s="154" t="str">
        <f>IF(F6=0,"",IF(F6&lt;E6*0.4,A6,""))</f>
        <v/>
      </c>
      <c r="O8" s="155" t="str">
        <f>IF(F7=0,"",IF(F7&lt;E7*0.4,A7,""))</f>
        <v/>
      </c>
      <c r="Q8" s="133" t="str">
        <f>ادخال1!$I$9</f>
        <v>الحاسوب</v>
      </c>
      <c r="R8" s="146">
        <f>ادخال1!$I$7</f>
        <v>1</v>
      </c>
      <c r="S8" s="41">
        <f>40*R8*0.3</f>
        <v>12</v>
      </c>
      <c r="T8" s="2">
        <f>IFERROR(VLOOKUP(AC16,اسماء,8,0),"")</f>
        <v>12</v>
      </c>
      <c r="U8" s="43">
        <f>40*R8*0.3</f>
        <v>12</v>
      </c>
      <c r="V8" s="2">
        <f>IFERROR(VLOOKUP(AC16,اسماء,19,0),"")</f>
        <v>0</v>
      </c>
      <c r="W8" s="41">
        <f>40*R8*0.4</f>
        <v>16</v>
      </c>
      <c r="X8" s="2">
        <f>IFERROR(VLOOKUP(AC16,اسماء,30,0),"")</f>
        <v>0</v>
      </c>
      <c r="Y8" s="41">
        <f>SUM(S8,U8,W8)</f>
        <v>40</v>
      </c>
      <c r="Z8" s="44">
        <f>0.4*Y8</f>
        <v>16</v>
      </c>
      <c r="AA8" s="2">
        <f>SUM(T8,V8,X8)</f>
        <v>12</v>
      </c>
      <c r="AB8" s="18"/>
      <c r="AC8" s="106" t="str">
        <f>IF(V5=0,"",IF(V5&lt;U5*0.4,Q5,""))</f>
        <v/>
      </c>
      <c r="AD8" s="154" t="str">
        <f>IF(V6=0,"",IF(V6&lt;U6*0.4,Q6,""))</f>
        <v/>
      </c>
      <c r="AE8" s="155" t="str">
        <f>IF(V7=0,"",IF(V7&lt;U7*0.4,Q7,""))</f>
        <v/>
      </c>
      <c r="AF8" s="65"/>
      <c r="AG8" s="133" t="str">
        <f>ادخال1!$I$9</f>
        <v>الحاسوب</v>
      </c>
      <c r="AH8" s="146">
        <f>ادخال1!$I$7</f>
        <v>1</v>
      </c>
      <c r="AI8" s="41">
        <f>40*AH8*0.3</f>
        <v>12</v>
      </c>
      <c r="AJ8" s="2">
        <f>IFERROR(VLOOKUP(AS16,اسماء,8,0),"")</f>
        <v>12</v>
      </c>
      <c r="AK8" s="43">
        <f>40*AH8*0.3</f>
        <v>12</v>
      </c>
      <c r="AL8" s="2">
        <f>IFERROR(VLOOKUP(AS16,اسماء,19,0),"")</f>
        <v>0</v>
      </c>
      <c r="AM8" s="41">
        <f>40*AH8*0.4</f>
        <v>16</v>
      </c>
      <c r="AN8" s="2">
        <f>IFERROR(VLOOKUP(AS16,اسماء,30,0),"")</f>
        <v>0</v>
      </c>
      <c r="AO8" s="41">
        <f>SUM(AI8,AK8,AM8)</f>
        <v>40</v>
      </c>
      <c r="AP8" s="44">
        <f>0.4*AO8</f>
        <v>16</v>
      </c>
      <c r="AQ8" s="2">
        <f>SUM(AJ8,AL8,AN8)</f>
        <v>12</v>
      </c>
      <c r="AR8" s="18"/>
      <c r="AS8" s="106" t="str">
        <f>IF(AL5=0,"",IF(AL5&lt;AK5*0.4,AG5,""))</f>
        <v/>
      </c>
      <c r="AT8" s="154" t="str">
        <f>IF(AL6=0,"",IF(AL6&lt;AK6*0.4,AG6,""))</f>
        <v/>
      </c>
      <c r="AU8" s="155" t="str">
        <f>IF(AL7=0,"",IF(AL7&lt;AK7*0.4,AG7,""))</f>
        <v/>
      </c>
      <c r="AW8" s="133" t="str">
        <f>ادخال1!$I$9</f>
        <v>الحاسوب</v>
      </c>
      <c r="AX8" s="146">
        <f>ادخال1!$I$7</f>
        <v>1</v>
      </c>
      <c r="AY8" s="41">
        <f>40*AX8*0.3</f>
        <v>12</v>
      </c>
      <c r="AZ8" s="2">
        <f>IFERROR(VLOOKUP(BI16,اسماء,8,0),"")</f>
        <v>12</v>
      </c>
      <c r="BA8" s="43">
        <f>40*AX8*0.3</f>
        <v>12</v>
      </c>
      <c r="BB8" s="2">
        <f>IFERROR(VLOOKUP(BI16,اسماء,19,0),"")</f>
        <v>0</v>
      </c>
      <c r="BC8" s="41">
        <f>40*AX8*0.4</f>
        <v>16</v>
      </c>
      <c r="BD8" s="2">
        <f>IFERROR(VLOOKUP(BI16,اسماء,30,0),"")</f>
        <v>0</v>
      </c>
      <c r="BE8" s="41">
        <f>SUM(AY8,BA8,BC8)</f>
        <v>40</v>
      </c>
      <c r="BF8" s="44">
        <f>0.4*BE8</f>
        <v>16</v>
      </c>
      <c r="BG8" s="2">
        <f>SUM(AZ8,BB8,BD8)</f>
        <v>12</v>
      </c>
      <c r="BH8" s="18"/>
      <c r="BI8" s="106" t="str">
        <f>IF(BB5=0,"",IF(BB5&lt;BA5*0.4,AW5,""))</f>
        <v/>
      </c>
      <c r="BJ8" s="154" t="str">
        <f>IF(BB6=0,"",IF(BB6&lt;BA6*0.4,AW6,""))</f>
        <v/>
      </c>
      <c r="BK8" s="155" t="str">
        <f>IF(BB7=0,"",IF(BB7&lt;BA7*0.4,AW7,""))</f>
        <v/>
      </c>
      <c r="BL8" s="25"/>
      <c r="BO8">
        <v>0</v>
      </c>
      <c r="BP8" t="s">
        <v>7</v>
      </c>
    </row>
    <row r="9" spans="1:68" ht="24.9" customHeight="1" x14ac:dyDescent="0.25">
      <c r="A9" s="113" t="str">
        <f>ادخال1!$J$9</f>
        <v>الرياضيات</v>
      </c>
      <c r="B9" s="147">
        <f>ادخال1!$J$7</f>
        <v>5</v>
      </c>
      <c r="C9" s="41">
        <f>40*B9*0.3</f>
        <v>60</v>
      </c>
      <c r="D9" s="2">
        <f>IFERROR(VLOOKUP(M16,اسماء,9,0),"")</f>
        <v>59</v>
      </c>
      <c r="E9" s="43">
        <f>40*B9*0.3</f>
        <v>60</v>
      </c>
      <c r="F9" s="2">
        <f>IFERROR(VLOOKUP(M16,اسماء,20,0),"")</f>
        <v>0</v>
      </c>
      <c r="G9" s="41">
        <f>40*B9*0.4</f>
        <v>80</v>
      </c>
      <c r="H9" s="2">
        <f>IFERROR(VLOOKUP(M16,اسماء,31,0),"")</f>
        <v>0</v>
      </c>
      <c r="I9" s="41">
        <f>SUM(C9,E9,G9)</f>
        <v>200</v>
      </c>
      <c r="J9" s="44">
        <f>0.4*I9</f>
        <v>80</v>
      </c>
      <c r="K9" s="2">
        <f>SUM(D9,F9,H9)</f>
        <v>59</v>
      </c>
      <c r="L9" s="18"/>
      <c r="M9" s="106" t="str">
        <f>IF(F8=0,"",IF(F8&lt;E8*0.4,A8,""))</f>
        <v/>
      </c>
      <c r="N9" s="154" t="str">
        <f>IF(F9=0,"",IF(F9&lt;E9*0.4,A9,""))</f>
        <v/>
      </c>
      <c r="O9" s="154" t="str">
        <f>IF(F10=0,"",IF(F10&lt;E10*0.4,A10,""))</f>
        <v/>
      </c>
      <c r="P9" s="120"/>
      <c r="Q9" s="113" t="str">
        <f>ادخال1!$J$9</f>
        <v>الرياضيات</v>
      </c>
      <c r="R9" s="147">
        <f>ادخال1!$J$7</f>
        <v>5</v>
      </c>
      <c r="S9" s="41">
        <f>40*R9*0.3</f>
        <v>60</v>
      </c>
      <c r="T9" s="2">
        <f>IFERROR(VLOOKUP(AC16,اسماء,9,0),"")</f>
        <v>59</v>
      </c>
      <c r="U9" s="43">
        <f>40*R9*0.3</f>
        <v>60</v>
      </c>
      <c r="V9" s="2">
        <f>IFERROR(VLOOKUP(AC16,اسماء,20,0),"")</f>
        <v>0</v>
      </c>
      <c r="W9" s="41">
        <f>40*R9*0.4</f>
        <v>80</v>
      </c>
      <c r="X9" s="2">
        <f>IFERROR(VLOOKUP(AC16,اسماء,31,0),"")</f>
        <v>0</v>
      </c>
      <c r="Y9" s="41">
        <f>SUM(S9,U9,W9)</f>
        <v>200</v>
      </c>
      <c r="Z9" s="44">
        <f>0.4*Y9</f>
        <v>80</v>
      </c>
      <c r="AA9" s="2">
        <f>SUM(T9,V9,X9)</f>
        <v>59</v>
      </c>
      <c r="AB9" s="18"/>
      <c r="AC9" s="106" t="str">
        <f>IF(V8=0,"",IF(V8&lt;U8*0.4,Q8,""))</f>
        <v/>
      </c>
      <c r="AD9" s="154" t="str">
        <f>IF(V9=0,"",IF(V9&lt;U9*0.4,Q9,""))</f>
        <v/>
      </c>
      <c r="AE9" s="154" t="str">
        <f>IF(V10=0,"",IF(V10&lt;U10*0.4,Q10,""))</f>
        <v/>
      </c>
      <c r="AF9" s="65"/>
      <c r="AG9" s="113" t="str">
        <f>ادخال1!$J$9</f>
        <v>الرياضيات</v>
      </c>
      <c r="AH9" s="147">
        <f>ادخال1!$J$7</f>
        <v>5</v>
      </c>
      <c r="AI9" s="41">
        <f>40*AH9*0.3</f>
        <v>60</v>
      </c>
      <c r="AJ9" s="2">
        <f>IFERROR(VLOOKUP(AS16,اسماء,9,0),"")</f>
        <v>60</v>
      </c>
      <c r="AK9" s="43">
        <f>40*AH9*0.3</f>
        <v>60</v>
      </c>
      <c r="AL9" s="2">
        <f>IFERROR(VLOOKUP(AS16,اسماء,20,0),"")</f>
        <v>0</v>
      </c>
      <c r="AM9" s="41">
        <f>40*AH9*0.4</f>
        <v>80</v>
      </c>
      <c r="AN9" s="2">
        <f>IFERROR(VLOOKUP(AS16,اسماء,31,0),"")</f>
        <v>0</v>
      </c>
      <c r="AO9" s="41">
        <f>SUM(AI9,AK9,AM9)</f>
        <v>200</v>
      </c>
      <c r="AP9" s="44">
        <f>0.4*AO9</f>
        <v>80</v>
      </c>
      <c r="AQ9" s="2">
        <f>SUM(AJ9,AL9,AN9)</f>
        <v>60</v>
      </c>
      <c r="AR9" s="18"/>
      <c r="AS9" s="106" t="str">
        <f>IF(AL8=0,"",IF(AL8&lt;AK8*0.4,AG8,""))</f>
        <v/>
      </c>
      <c r="AT9" s="154" t="str">
        <f>IF(AL9=0,"",IF(AL9&lt;AK9*0.4,AG9,""))</f>
        <v/>
      </c>
      <c r="AU9" s="154" t="str">
        <f>IF(AL10=0,"",IF(AL10&lt;AK10*0.4,AG10,""))</f>
        <v/>
      </c>
      <c r="AW9" s="113" t="str">
        <f>ادخال1!$J$9</f>
        <v>الرياضيات</v>
      </c>
      <c r="AX9" s="147">
        <f>ادخال1!$J$7</f>
        <v>5</v>
      </c>
      <c r="AY9" s="41">
        <f>40*AX9*0.3</f>
        <v>60</v>
      </c>
      <c r="AZ9" s="2">
        <f>IFERROR(VLOOKUP(BI16,اسماء,9,0),"")</f>
        <v>60</v>
      </c>
      <c r="BA9" s="43">
        <f>40*AX9*0.3</f>
        <v>60</v>
      </c>
      <c r="BB9" s="2">
        <f>IFERROR(VLOOKUP(BI16,اسماء,20,0),"")</f>
        <v>0</v>
      </c>
      <c r="BC9" s="41">
        <f>40*AX9*0.4</f>
        <v>80</v>
      </c>
      <c r="BD9" s="2">
        <f>IFERROR(VLOOKUP(BI16,اسماء,31,0),"")</f>
        <v>0</v>
      </c>
      <c r="BE9" s="41">
        <f>SUM(AY9,BA9,BC9)</f>
        <v>200</v>
      </c>
      <c r="BF9" s="44">
        <f>0.4*BE9</f>
        <v>80</v>
      </c>
      <c r="BG9" s="2">
        <f>SUM(AZ9,BB9,BD9)</f>
        <v>60</v>
      </c>
      <c r="BH9" s="18"/>
      <c r="BI9" s="106" t="str">
        <f>IF(BB8=0,"",IF(BB8&lt;BA8*0.4,AW8,""))</f>
        <v/>
      </c>
      <c r="BJ9" s="154" t="str">
        <f>IF(BB9=0,"",IF(BB9&lt;BA9*0.4,AW9,""))</f>
        <v/>
      </c>
      <c r="BK9" s="154" t="str">
        <f>IF(BB10=0,"",IF(BB10&lt;BA10*0.4,AW10,""))</f>
        <v/>
      </c>
      <c r="BL9" s="25"/>
      <c r="BO9">
        <f>BN3*0.5</f>
        <v>168</v>
      </c>
      <c r="BP9" t="s">
        <v>4</v>
      </c>
    </row>
    <row r="10" spans="1:68" ht="24.9" customHeight="1" thickBot="1" x14ac:dyDescent="0.3">
      <c r="A10" s="113" t="str">
        <f>ادخال1!$K$9</f>
        <v>العلوم</v>
      </c>
      <c r="B10" s="147">
        <f>ادخال1!$K$7</f>
        <v>3</v>
      </c>
      <c r="C10" s="41">
        <f>40*B10*0.3</f>
        <v>36</v>
      </c>
      <c r="D10" s="2">
        <f>IFERROR(VLOOKUP(M16,اسماء,10,0),"")</f>
        <v>36</v>
      </c>
      <c r="E10" s="43">
        <f>40*B10*0.3</f>
        <v>36</v>
      </c>
      <c r="F10" s="2">
        <f>IFERROR(VLOOKUP(M16,اسماء,21,0),"")</f>
        <v>0</v>
      </c>
      <c r="G10" s="41">
        <f>40*B10*0.4</f>
        <v>48</v>
      </c>
      <c r="H10" s="2">
        <f>IFERROR(VLOOKUP(M16,اسماء,32,0),"")</f>
        <v>0</v>
      </c>
      <c r="I10" s="41">
        <f>SUM(C10,E10,G10)</f>
        <v>120</v>
      </c>
      <c r="J10" s="44">
        <f>0.4*I10</f>
        <v>48</v>
      </c>
      <c r="K10" s="2">
        <f>SUM(D10,F10,H10)</f>
        <v>36</v>
      </c>
      <c r="L10" s="18"/>
      <c r="M10" s="106" t="str">
        <f>IF(F9=0,"",IF(F9&lt;E9*0.4,A9,""))</f>
        <v/>
      </c>
      <c r="N10" s="154" t="str">
        <f>IF(F10=0,"",IF(F10&lt;E10*0.4,A10,""))</f>
        <v/>
      </c>
      <c r="O10" s="155"/>
      <c r="P10" s="120"/>
      <c r="Q10" s="113" t="str">
        <f>ادخال1!$K$9</f>
        <v>العلوم</v>
      </c>
      <c r="R10" s="147">
        <f>ادخال1!$K$7</f>
        <v>3</v>
      </c>
      <c r="S10" s="41">
        <f>40*R10*0.3</f>
        <v>36</v>
      </c>
      <c r="T10" s="2">
        <f>IFERROR(VLOOKUP(AC16,اسماء,10,0),"")</f>
        <v>36</v>
      </c>
      <c r="U10" s="43">
        <f>40*R10*0.3</f>
        <v>36</v>
      </c>
      <c r="V10" s="2">
        <f>IFERROR(VLOOKUP(AC16,اسماء,21,0),"")</f>
        <v>0</v>
      </c>
      <c r="W10" s="41">
        <f>40*R10*0.4</f>
        <v>48</v>
      </c>
      <c r="X10" s="2">
        <f>IFERROR(VLOOKUP(AC16,اسماء,32,0),"")</f>
        <v>0</v>
      </c>
      <c r="Y10" s="41">
        <f>SUM(S10,U10,W10)</f>
        <v>120</v>
      </c>
      <c r="Z10" s="44">
        <f>0.4*Y10</f>
        <v>48</v>
      </c>
      <c r="AA10" s="2">
        <f>SUM(T10,V10,X10)</f>
        <v>36</v>
      </c>
      <c r="AB10" s="18"/>
      <c r="AC10" s="106" t="str">
        <f>IF(V9=0,"",IF(V9&lt;U9*0.4,Q9,""))</f>
        <v/>
      </c>
      <c r="AD10" s="154" t="str">
        <f>IF(V10=0,"",IF(V10&lt;U10*0.4,Q10,""))</f>
        <v/>
      </c>
      <c r="AE10" s="155"/>
      <c r="AF10" s="65"/>
      <c r="AG10" s="113" t="str">
        <f>ادخال1!$K$9</f>
        <v>العلوم</v>
      </c>
      <c r="AH10" s="147">
        <f>ادخال1!$K$7</f>
        <v>3</v>
      </c>
      <c r="AI10" s="41">
        <f>40*AH10*0.3</f>
        <v>36</v>
      </c>
      <c r="AJ10" s="2">
        <f>IFERROR(VLOOKUP(AS16,اسماء,10,0),"")</f>
        <v>36</v>
      </c>
      <c r="AK10" s="43">
        <f>40*AH10*0.3</f>
        <v>36</v>
      </c>
      <c r="AL10" s="2">
        <f>IFERROR(VLOOKUP(AS16,اسماء,21,0),"")</f>
        <v>0</v>
      </c>
      <c r="AM10" s="41">
        <f>40*AH10*0.4</f>
        <v>48</v>
      </c>
      <c r="AN10" s="2">
        <f>IFERROR(VLOOKUP(AS16,اسماء,32,0),"")</f>
        <v>0</v>
      </c>
      <c r="AO10" s="41">
        <f>SUM(AI10,AK10,AM10)</f>
        <v>120</v>
      </c>
      <c r="AP10" s="44">
        <f>0.4*AO10</f>
        <v>48</v>
      </c>
      <c r="AQ10" s="2">
        <f>SUM(AJ10,AL10,AN10)</f>
        <v>36</v>
      </c>
      <c r="AR10" s="18"/>
      <c r="AS10" s="106" t="str">
        <f>IF(AL9=0,"",IF(AL9&lt;AK9*0.4,AG9,""))</f>
        <v/>
      </c>
      <c r="AT10" s="154" t="str">
        <f>IF(AL10=0,"",IF(AL10&lt;AK10*0.4,AG10,""))</f>
        <v/>
      </c>
      <c r="AU10" s="155"/>
      <c r="AW10" s="113" t="str">
        <f>ادخال1!$K$9</f>
        <v>العلوم</v>
      </c>
      <c r="AX10" s="147">
        <f>ادخال1!$K$7</f>
        <v>3</v>
      </c>
      <c r="AY10" s="41">
        <f>40*AX10*0.3</f>
        <v>36</v>
      </c>
      <c r="AZ10" s="2">
        <f>IFERROR(VLOOKUP(BI16,اسماء,10,0),"")</f>
        <v>36</v>
      </c>
      <c r="BA10" s="43">
        <f>40*AX10*0.3</f>
        <v>36</v>
      </c>
      <c r="BB10" s="2">
        <f>IFERROR(VLOOKUP(BI16,اسماء,21,0),"")</f>
        <v>0</v>
      </c>
      <c r="BC10" s="41">
        <f>40*AX10*0.4</f>
        <v>48</v>
      </c>
      <c r="BD10" s="2">
        <f>IFERROR(VLOOKUP(BI16,اسماء,32,0),"")</f>
        <v>0</v>
      </c>
      <c r="BE10" s="41">
        <f>SUM(AY10,BA10,BC10)</f>
        <v>120</v>
      </c>
      <c r="BF10" s="44">
        <f>0.4*BE10</f>
        <v>48</v>
      </c>
      <c r="BG10" s="2">
        <f>SUM(AZ10,BB10,BD10)</f>
        <v>36</v>
      </c>
      <c r="BH10" s="18"/>
      <c r="BI10" s="106" t="str">
        <f>IF(BB9=0,"",IF(BB9&lt;BA9*0.4,AW9,""))</f>
        <v/>
      </c>
      <c r="BJ10" s="154" t="str">
        <f>IF(BB10=0,"",IF(BB10&lt;BA10*0.4,AW10,""))</f>
        <v/>
      </c>
      <c r="BK10" s="155"/>
      <c r="BL10" s="25"/>
      <c r="BO10">
        <f>BN4*0.5</f>
        <v>0</v>
      </c>
      <c r="BP10" t="s">
        <v>4</v>
      </c>
    </row>
    <row r="11" spans="1:68" ht="30" customHeight="1" thickBot="1" x14ac:dyDescent="0.3">
      <c r="A11" s="58" t="s">
        <v>56</v>
      </c>
      <c r="B11" s="148"/>
      <c r="C11" s="42">
        <f t="shared" ref="C11:I11" si="24">SUM(C5:C9)</f>
        <v>216</v>
      </c>
      <c r="D11" s="114">
        <f>SUM(D5:D10)</f>
        <v>249</v>
      </c>
      <c r="E11" s="42">
        <f t="shared" si="24"/>
        <v>216</v>
      </c>
      <c r="F11" s="114">
        <f>SUM(F5:F10)</f>
        <v>0</v>
      </c>
      <c r="G11" s="42">
        <f t="shared" si="24"/>
        <v>288</v>
      </c>
      <c r="H11" s="114">
        <f>SUM(H5:H10)</f>
        <v>0</v>
      </c>
      <c r="I11" s="42">
        <f t="shared" si="24"/>
        <v>720</v>
      </c>
      <c r="J11" s="45"/>
      <c r="K11" s="3">
        <f>IF(AND(K5&gt;=J5,K6&gt;=J6,K7&gt;=J7,K8&gt;=J8,K9&gt;=J9,K10&gt;=J10),SUM(K5:K10),0)</f>
        <v>0</v>
      </c>
      <c r="L11" s="18"/>
      <c r="M11" s="105" t="s">
        <v>110</v>
      </c>
      <c r="N11" s="489" t="str">
        <f>IF(H11=0,"",IF(AND(H5&gt;=G5*0.4,H6&gt;=G6*0.4,H7&gt;=G7*0.4,H8&gt;=G8*0.4,H9&gt;=G9*0.4),LOOKUP(H11,'الصحيفة النهائية'!$BO$8:$BP$13),"ضعيف ويحتاج الى اهتمام في المواد"))</f>
        <v/>
      </c>
      <c r="O11" s="490"/>
      <c r="Q11" s="58" t="s">
        <v>56</v>
      </c>
      <c r="R11" s="148"/>
      <c r="S11" s="42">
        <f t="shared" ref="S11" si="25">SUM(S5:S9)</f>
        <v>216</v>
      </c>
      <c r="T11" s="114">
        <f>SUM(T5:T10)</f>
        <v>241</v>
      </c>
      <c r="U11" s="42">
        <f t="shared" ref="U11" si="26">SUM(U5:U9)</f>
        <v>216</v>
      </c>
      <c r="V11" s="114">
        <f>SUM(V5:V10)</f>
        <v>0</v>
      </c>
      <c r="W11" s="42">
        <f t="shared" ref="W11" si="27">SUM(W5:W9)</f>
        <v>288</v>
      </c>
      <c r="X11" s="114">
        <f>SUM(X5:X10)</f>
        <v>0</v>
      </c>
      <c r="Y11" s="42">
        <f t="shared" ref="Y11" si="28">SUM(Y5:Y9)</f>
        <v>720</v>
      </c>
      <c r="Z11" s="45"/>
      <c r="AA11" s="3">
        <f>IF(AND(AA5&gt;=Z5,AA6&gt;=Z6,AA7&gt;=Z7,AA8&gt;=Z8,AA9&gt;=Z9,AA10&gt;=Z10),SUM(AA5:AA10),0)</f>
        <v>0</v>
      </c>
      <c r="AB11" s="18"/>
      <c r="AC11" s="105" t="s">
        <v>110</v>
      </c>
      <c r="AD11" s="489" t="str">
        <f>IF(X11=0,"",IF(AND(X5&gt;=W5*0.4,X6&gt;=W6*0.4,X7&gt;=W7*0.4,X8&gt;=W8*0.4,X9&gt;=W9*0.4),LOOKUP(X11,'الصحيفة النهائية'!$BO$8:$BP$13),"ضعيف ويحتاج الى اهتمام في المواد"))</f>
        <v/>
      </c>
      <c r="AE11" s="490"/>
      <c r="AG11" s="58" t="s">
        <v>56</v>
      </c>
      <c r="AH11" s="148"/>
      <c r="AI11" s="42">
        <f t="shared" ref="AI11" si="29">SUM(AI5:AI9)</f>
        <v>216</v>
      </c>
      <c r="AJ11" s="114">
        <f>SUM(AJ5:AJ10)</f>
        <v>251</v>
      </c>
      <c r="AK11" s="42">
        <f t="shared" ref="AK11" si="30">SUM(AK5:AK9)</f>
        <v>216</v>
      </c>
      <c r="AL11" s="114">
        <f>SUM(AL5:AL10)</f>
        <v>0</v>
      </c>
      <c r="AM11" s="42">
        <f t="shared" ref="AM11" si="31">SUM(AM5:AM9)</f>
        <v>288</v>
      </c>
      <c r="AN11" s="114">
        <f>SUM(AN5:AN10)</f>
        <v>0</v>
      </c>
      <c r="AO11" s="42">
        <f t="shared" ref="AO11" si="32">SUM(AO5:AO9)</f>
        <v>720</v>
      </c>
      <c r="AP11" s="45"/>
      <c r="AQ11" s="3">
        <f>IF(AND(AQ5&gt;=AP5,AQ6&gt;=AP6,AQ7&gt;=AP7,AQ8&gt;=AP8,AQ9&gt;=AP9,AQ10&gt;=AP10),SUM(AQ5:AQ10),0)</f>
        <v>0</v>
      </c>
      <c r="AR11" s="18"/>
      <c r="AS11" s="105" t="s">
        <v>110</v>
      </c>
      <c r="AT11" s="489" t="str">
        <f>IF(AN11=0,"",IF(AND(AN5&gt;=AM5*0.4,AN6&gt;=AM6*0.4,AN7&gt;=AM7*0.4,AN8&gt;=AM8*0.4,AN9&gt;=AM9*0.4),LOOKUP(AN11,'الصحيفة النهائية'!$BO$8:$BP$13),"ضعيف ويحتاج الى اهتمام في المواد"))</f>
        <v/>
      </c>
      <c r="AU11" s="490"/>
      <c r="AW11" s="58" t="s">
        <v>56</v>
      </c>
      <c r="AX11" s="148"/>
      <c r="AY11" s="42">
        <f t="shared" ref="AY11" si="33">SUM(AY5:AY9)</f>
        <v>216</v>
      </c>
      <c r="AZ11" s="114">
        <f>SUM(AZ5:AZ10)</f>
        <v>250</v>
      </c>
      <c r="BA11" s="42">
        <f t="shared" ref="BA11" si="34">SUM(BA5:BA9)</f>
        <v>216</v>
      </c>
      <c r="BB11" s="114">
        <f>SUM(BB5:BB10)</f>
        <v>0</v>
      </c>
      <c r="BC11" s="42">
        <f t="shared" ref="BC11" si="35">SUM(BC5:BC9)</f>
        <v>288</v>
      </c>
      <c r="BD11" s="114">
        <f>SUM(BD5:BD10)</f>
        <v>0</v>
      </c>
      <c r="BE11" s="42">
        <f t="shared" ref="BE11" si="36">SUM(BE5:BE9)</f>
        <v>720</v>
      </c>
      <c r="BF11" s="45"/>
      <c r="BG11" s="3">
        <f>IF(AND(BG5&gt;=BF5,BG6&gt;=BF6,BG7&gt;=BF7,BG8&gt;=BF8,BG9&gt;=BF9,BG10&gt;=BF10),SUM(BG5:BG10),0)</f>
        <v>0</v>
      </c>
      <c r="BH11" s="18"/>
      <c r="BI11" s="105" t="s">
        <v>110</v>
      </c>
      <c r="BJ11" s="489" t="str">
        <f>IF(BD11=0,"",IF(AND(BD5&gt;=BC5*0.4,BD6&gt;=BC6*0.4,BD7&gt;=BC7*0.4,BD8&gt;=BC8*0.4,BD9&gt;=BC9*0.4),LOOKUP(BD11,'الصحيفة النهائية'!$BO$8:$BP$13),"ضعيف ويحتاج الى اهتمام في المواد"))</f>
        <v/>
      </c>
      <c r="BK11" s="490"/>
      <c r="BL11" s="25"/>
      <c r="BO11">
        <f>BN3*0.65</f>
        <v>218.4</v>
      </c>
      <c r="BP11" t="s">
        <v>5</v>
      </c>
    </row>
    <row r="12" spans="1:68" ht="29.25" customHeight="1" thickBot="1" x14ac:dyDescent="0.3">
      <c r="A12" s="566" t="s">
        <v>120</v>
      </c>
      <c r="B12" s="567"/>
      <c r="C12" s="568">
        <f>IFERROR(VLOOKUP(M16,اسماء,65,0),"")</f>
        <v>120171166454</v>
      </c>
      <c r="D12" s="568" t="str">
        <f>IFERROR(VLOOKUP(H19,اسماء,8,0),"")</f>
        <v/>
      </c>
      <c r="E12" s="568" t="str">
        <f>IFERROR(VLOOKUP(I19,اسماء,8,0),"")</f>
        <v/>
      </c>
      <c r="F12" s="568" t="str">
        <f>IFERROR(VLOOKUP(J19,اسماء,8,0),"")</f>
        <v/>
      </c>
      <c r="G12" s="568" t="str">
        <f>IFERROR(VLOOKUP(K19,اسماء,8,0),"")</f>
        <v/>
      </c>
      <c r="H12" s="580" t="s">
        <v>157</v>
      </c>
      <c r="I12" s="581"/>
      <c r="J12" s="470" t="str">
        <f>IF(K11=0,"",IF(AND(K5&gt;=J5*0.4,K6&gt;=J6*0.4,K7&gt;=J7*0.4,K8&gt;=J8*0.4,K9&gt;=J9*0.4,K10&gt;=J10*0.4),LOOKUP(K11,'الصحيفة النهائية'!$BO$2:$BP$6),"ضعيف ويحتاج الى اهتمام في المواد"))</f>
        <v/>
      </c>
      <c r="K12" s="470"/>
      <c r="L12" s="31"/>
      <c r="M12" s="106" t="str">
        <f>IF(H5=0,"",IF(H5&lt;G5*0.4,A5,""))</f>
        <v/>
      </c>
      <c r="N12" s="154" t="str">
        <f>IF(H6=0,"",IF(H6&lt;G6*0.4,A6,""))</f>
        <v/>
      </c>
      <c r="O12" s="155" t="str">
        <f>IF(H7=0,"",IF(H7&lt;G7*0.4,A7,""))</f>
        <v/>
      </c>
      <c r="P12" s="120"/>
      <c r="Q12" s="566" t="s">
        <v>120</v>
      </c>
      <c r="R12" s="567"/>
      <c r="S12" s="568">
        <f>IFERROR(VLOOKUP(AC16,اسماء,65,0),"")</f>
        <v>120171178433</v>
      </c>
      <c r="T12" s="568" t="str">
        <f>IFERROR(VLOOKUP(X19,اسماء,8,0),"")</f>
        <v/>
      </c>
      <c r="U12" s="568" t="str">
        <f>IFERROR(VLOOKUP(Y19,اسماء,8,0),"")</f>
        <v/>
      </c>
      <c r="V12" s="568" t="str">
        <f>IFERROR(VLOOKUP(Z19,اسماء,8,0),"")</f>
        <v/>
      </c>
      <c r="W12" s="568" t="str">
        <f>IFERROR(VLOOKUP(AA19,اسماء,8,0),"")</f>
        <v/>
      </c>
      <c r="X12" s="580" t="s">
        <v>157</v>
      </c>
      <c r="Y12" s="581"/>
      <c r="Z12" s="470" t="str">
        <f>IF(AA11=0,"",IF(AND(AA5&gt;=Z5*0.4,AA6&gt;=Z6*0.4,AA7&gt;=Z7*0.4,AA8&gt;=Z8*0.4,AA9&gt;=Z9*0.4,AA10&gt;=Z10*0.4),LOOKUP(AA11,'الصحيفة النهائية'!$BO$2:$BP$6),"ضعيف ويحتاج الى اهتمام في المواد"))</f>
        <v/>
      </c>
      <c r="AA12" s="470"/>
      <c r="AB12" s="31"/>
      <c r="AC12" s="106" t="str">
        <f>IF(X5=0,"",IF(X5&lt;W5*0.4,Q5,""))</f>
        <v/>
      </c>
      <c r="AD12" s="154" t="str">
        <f>IF(X6=0,"",IF(X6&lt;W6*0.4,Q6,""))</f>
        <v/>
      </c>
      <c r="AE12" s="155" t="str">
        <f>IF(X7=0,"",IF(X7&lt;W7*0.4,Q7,""))</f>
        <v/>
      </c>
      <c r="AF12" s="120"/>
      <c r="AG12" s="566" t="s">
        <v>120</v>
      </c>
      <c r="AH12" s="567"/>
      <c r="AI12" s="568">
        <f>IFERROR(VLOOKUP(AS16,اسماء,65,0),"")</f>
        <v>220170068259</v>
      </c>
      <c r="AJ12" s="568" t="str">
        <f>IFERROR(VLOOKUP(AN19,اسماء,8,0),"")</f>
        <v/>
      </c>
      <c r="AK12" s="568" t="str">
        <f>IFERROR(VLOOKUP(AO19,اسماء,8,0),"")</f>
        <v/>
      </c>
      <c r="AL12" s="568" t="str">
        <f>IFERROR(VLOOKUP(AP19,اسماء,8,0),"")</f>
        <v/>
      </c>
      <c r="AM12" s="568" t="str">
        <f>IFERROR(VLOOKUP(AQ19,اسماء,8,0),"")</f>
        <v/>
      </c>
      <c r="AN12" s="580" t="s">
        <v>157</v>
      </c>
      <c r="AO12" s="581"/>
      <c r="AP12" s="470" t="str">
        <f>IF(AQ11=0,"",IF(AND(AQ5&gt;=AP5*0.4,AQ6&gt;=AP6*0.4,AQ7&gt;=AP7*0.4,AQ8&gt;=AP8*0.4,AQ9&gt;=AP9*0.4,AQ10&gt;=AP10*0.4),LOOKUP(AQ11,'الصحيفة النهائية'!$BO$2:$BP$6),"ضعيف ويحتاج الى اهتمام في المواد"))</f>
        <v/>
      </c>
      <c r="AQ12" s="470"/>
      <c r="AR12" s="31"/>
      <c r="AS12" s="106" t="str">
        <f>IF(AN5=0,"",IF(AN5&lt;AM5*0.4,AG5,""))</f>
        <v/>
      </c>
      <c r="AT12" s="154" t="str">
        <f>IF(AN6=0,"",IF(AN6&lt;AM6*0.4,AG6,""))</f>
        <v/>
      </c>
      <c r="AU12" s="155" t="str">
        <f>IF(AN7=0,"",IF(AN7&lt;AM7*0.4,AG7,""))</f>
        <v/>
      </c>
      <c r="AV12" s="65"/>
      <c r="AW12" s="566" t="s">
        <v>120</v>
      </c>
      <c r="AX12" s="567"/>
      <c r="AY12" s="568">
        <f>IFERROR(VLOOKUP(BI16,اسماء,65,0),"")</f>
        <v>220171103360</v>
      </c>
      <c r="AZ12" s="568" t="str">
        <f>IFERROR(VLOOKUP(BD19,اسماء,8,0),"")</f>
        <v/>
      </c>
      <c r="BA12" s="568" t="str">
        <f>IFERROR(VLOOKUP(BE19,اسماء,8,0),"")</f>
        <v/>
      </c>
      <c r="BB12" s="568" t="str">
        <f>IFERROR(VLOOKUP(BF19,اسماء,8,0),"")</f>
        <v/>
      </c>
      <c r="BC12" s="568" t="str">
        <f>IFERROR(VLOOKUP(BG19,اسماء,8,0),"")</f>
        <v/>
      </c>
      <c r="BD12" s="580" t="s">
        <v>157</v>
      </c>
      <c r="BE12" s="581"/>
      <c r="BF12" s="470" t="str">
        <f>IF(BG11=0,"",IF(AND(BG5&gt;=BF5*0.4,BG6&gt;=BF6*0.4,BG7&gt;=BF7*0.4,BG8&gt;=BF8*0.4,BG9&gt;=BF9*0.4,BG10&gt;=BF10*0.4),LOOKUP(BG11,'الصحيفة النهائية'!$BO$2:$BP$6),"ضعيف ويحتاج الى اهتمام في المواد"))</f>
        <v/>
      </c>
      <c r="BG12" s="470"/>
      <c r="BH12" s="31"/>
      <c r="BI12" s="106" t="str">
        <f>IF(BD5=0,"",IF(BD5&lt;BC5*0.4,AW5,""))</f>
        <v/>
      </c>
      <c r="BJ12" s="154" t="str">
        <f>IF(BD6=0,"",IF(BD6&lt;BC6*0.4,AW6,""))</f>
        <v/>
      </c>
      <c r="BK12" s="155" t="str">
        <f>IF(BD7=0,"",IF(BD7&lt;BC7*0.4,AW7,""))</f>
        <v/>
      </c>
      <c r="BL12" s="25"/>
      <c r="BO12">
        <f>BN3*0.75</f>
        <v>252</v>
      </c>
      <c r="BP12" t="s">
        <v>104</v>
      </c>
    </row>
    <row r="13" spans="1:68" ht="24.9" customHeight="1" x14ac:dyDescent="0.25">
      <c r="A13" s="373" t="str">
        <f>ادخال1!$M$8</f>
        <v>التربية الفنية</v>
      </c>
      <c r="B13" s="375">
        <f>ادخال1!$M$7</f>
        <v>1</v>
      </c>
      <c r="C13" s="491" t="str">
        <f>IFERROR(VLOOKUP(M16,اسماء,12,0),"")</f>
        <v>جيد جداً</v>
      </c>
      <c r="D13" s="491"/>
      <c r="E13" s="491" t="str">
        <f>IFERROR(VLOOKUP(M16,اسماء,13,0),"")</f>
        <v>جيد جداً</v>
      </c>
      <c r="F13" s="491"/>
      <c r="G13" s="491">
        <f>IFERROR(VLOOKUP(M16,اسماء,14,0),"")</f>
        <v>0</v>
      </c>
      <c r="H13" s="491"/>
      <c r="I13" s="433"/>
      <c r="J13" s="445"/>
      <c r="K13" s="562"/>
      <c r="L13" s="33"/>
      <c r="M13" s="106" t="str">
        <f>IF(H8=0,"",IF(H8&lt;G8*0.4,A8,""))</f>
        <v/>
      </c>
      <c r="N13" s="154" t="str">
        <f>IF(H9=0,"",IF(H9&lt;G9*0.4,A9,""))</f>
        <v/>
      </c>
      <c r="O13" s="155"/>
      <c r="P13" s="120"/>
      <c r="Q13" s="373" t="str">
        <f>ادخال1!$M$8</f>
        <v>التربية الفنية</v>
      </c>
      <c r="R13" s="375">
        <f>ادخال1!$M$7</f>
        <v>1</v>
      </c>
      <c r="S13" s="491" t="str">
        <f>IFERROR(VLOOKUP(AC16,اسماء,12,0),"")</f>
        <v>جيد جداً</v>
      </c>
      <c r="T13" s="491"/>
      <c r="U13" s="491" t="str">
        <f>IFERROR(VLOOKUP(AC16,اسماء,13,0),"")</f>
        <v>جيد جداً</v>
      </c>
      <c r="V13" s="491"/>
      <c r="W13" s="491">
        <f>IFERROR(VLOOKUP(AC16,اسماء,14,0),"")</f>
        <v>0</v>
      </c>
      <c r="X13" s="491"/>
      <c r="Y13" s="433"/>
      <c r="Z13" s="445"/>
      <c r="AA13" s="562"/>
      <c r="AB13" s="33"/>
      <c r="AC13" s="106" t="str">
        <f>IF(X8=0,"",IF(X8&lt;W8*0.4,Q8,""))</f>
        <v/>
      </c>
      <c r="AD13" s="154" t="str">
        <f>IF(X9=0,"",IF(X9&lt;W9*0.4,Q9,""))</f>
        <v/>
      </c>
      <c r="AE13" s="155"/>
      <c r="AG13" s="373" t="str">
        <f>ادخال1!$M$8</f>
        <v>التربية الفنية</v>
      </c>
      <c r="AH13" s="375">
        <f>ادخال1!$M$7</f>
        <v>1</v>
      </c>
      <c r="AI13" s="491" t="str">
        <f>IFERROR(VLOOKUP(AS16,اسماء,12,0),"")</f>
        <v>جيد جداً</v>
      </c>
      <c r="AJ13" s="491"/>
      <c r="AK13" s="491" t="str">
        <f>IFERROR(VLOOKUP(AS16,اسماء,13,0),"")</f>
        <v>جيد جداً</v>
      </c>
      <c r="AL13" s="491"/>
      <c r="AM13" s="491">
        <f>IFERROR(VLOOKUP(AS16,اسماء,14,0),"")</f>
        <v>0</v>
      </c>
      <c r="AN13" s="491"/>
      <c r="AO13" s="433"/>
      <c r="AP13" s="445"/>
      <c r="AQ13" s="562"/>
      <c r="AR13" s="33"/>
      <c r="AS13" s="106" t="str">
        <f>IF(AN8=0,"",IF(AN8&lt;AM8*0.4,AG8,""))</f>
        <v/>
      </c>
      <c r="AT13" s="154" t="str">
        <f>IF(AN9=0,"",IF(AN9&lt;AM9*0.4,AG9,""))</f>
        <v/>
      </c>
      <c r="AU13" s="155"/>
      <c r="AW13" s="373" t="str">
        <f>ادخال1!$M$8</f>
        <v>التربية الفنية</v>
      </c>
      <c r="AX13" s="375">
        <f>ادخال1!$M$7</f>
        <v>1</v>
      </c>
      <c r="AY13" s="491" t="str">
        <f>IFERROR(VLOOKUP(BI16,اسماء,12,0),"")</f>
        <v>جيد جداً</v>
      </c>
      <c r="AZ13" s="491"/>
      <c r="BA13" s="491" t="str">
        <f>IFERROR(VLOOKUP(BI16,اسماء,13,0),"")</f>
        <v>جيد جداً</v>
      </c>
      <c r="BB13" s="491"/>
      <c r="BC13" s="491">
        <f>IFERROR(VLOOKUP(BI16,اسماء,14,0),"")</f>
        <v>0</v>
      </c>
      <c r="BD13" s="491"/>
      <c r="BE13" s="433"/>
      <c r="BF13" s="445"/>
      <c r="BG13" s="562"/>
      <c r="BH13" s="33"/>
      <c r="BI13" s="106" t="str">
        <f>IF(BD8=0,"",IF(BD8&lt;BC8*0.4,AW8,""))</f>
        <v/>
      </c>
      <c r="BJ13" s="154" t="str">
        <f>IF(BD9=0,"",IF(BD9&lt;BC9*0.4,AW9,""))</f>
        <v/>
      </c>
      <c r="BK13" s="155"/>
      <c r="BL13" s="25"/>
      <c r="BO13">
        <f>BN3*0.85</f>
        <v>285.59999999999997</v>
      </c>
      <c r="BP13" t="s">
        <v>6</v>
      </c>
    </row>
    <row r="14" spans="1:68" ht="24.9" customHeight="1" thickBot="1" x14ac:dyDescent="0.3">
      <c r="A14" s="374" t="str">
        <f>ادخال1!$N$8</f>
        <v>التربية البدنية</v>
      </c>
      <c r="B14" s="376">
        <f>ادخال1!$N$7</f>
        <v>2</v>
      </c>
      <c r="C14" s="435">
        <f>IFERROR(VLOOKUP(M16,اسماء,23,0),"")</f>
        <v>0</v>
      </c>
      <c r="D14" s="435"/>
      <c r="E14" s="435">
        <f>IFERROR(VLOOKUP(M16,اسماء,24,0),"")</f>
        <v>0</v>
      </c>
      <c r="F14" s="435"/>
      <c r="G14" s="435">
        <f>IFERROR(VLOOKUP(M16,اسماء,25,0),"")</f>
        <v>0</v>
      </c>
      <c r="H14" s="435"/>
      <c r="I14" s="499"/>
      <c r="J14" s="500"/>
      <c r="K14" s="501"/>
      <c r="L14" s="33"/>
      <c r="M14" s="280"/>
      <c r="N14" s="281"/>
      <c r="O14" s="281"/>
      <c r="P14" s="120"/>
      <c r="Q14" s="374" t="str">
        <f>ادخال1!$N$8</f>
        <v>التربية البدنية</v>
      </c>
      <c r="R14" s="376">
        <f>ادخال1!$N$7</f>
        <v>2</v>
      </c>
      <c r="S14" s="435">
        <f>IFERROR(VLOOKUP(AC16,اسماء,23,0),"")</f>
        <v>0</v>
      </c>
      <c r="T14" s="435"/>
      <c r="U14" s="435">
        <f>IFERROR(VLOOKUP(AC16,اسماء,24,0),"")</f>
        <v>0</v>
      </c>
      <c r="V14" s="435"/>
      <c r="W14" s="435">
        <f>IFERROR(VLOOKUP(AC16,اسماء,25,0),"")</f>
        <v>0</v>
      </c>
      <c r="X14" s="435"/>
      <c r="Y14" s="499"/>
      <c r="Z14" s="500"/>
      <c r="AA14" s="501"/>
      <c r="AB14" s="33"/>
      <c r="AC14" s="280"/>
      <c r="AD14" s="281"/>
      <c r="AE14" s="281"/>
      <c r="AG14" s="374" t="str">
        <f>ادخال1!$N$8</f>
        <v>التربية البدنية</v>
      </c>
      <c r="AH14" s="376">
        <f>ادخال1!$N$7</f>
        <v>2</v>
      </c>
      <c r="AI14" s="435">
        <f>IFERROR(VLOOKUP(AS16,اسماء,23,0),"")</f>
        <v>0</v>
      </c>
      <c r="AJ14" s="435"/>
      <c r="AK14" s="435">
        <f>IFERROR(VLOOKUP(AS16,اسماء,24,0),"")</f>
        <v>0</v>
      </c>
      <c r="AL14" s="435"/>
      <c r="AM14" s="435">
        <f>IFERROR(VLOOKUP(AS16,اسماء,25,0),"")</f>
        <v>0</v>
      </c>
      <c r="AN14" s="435"/>
      <c r="AO14" s="499"/>
      <c r="AP14" s="500"/>
      <c r="AQ14" s="501"/>
      <c r="AR14" s="33"/>
      <c r="AS14" s="280"/>
      <c r="AT14" s="281"/>
      <c r="AU14" s="281"/>
      <c r="AW14" s="374" t="str">
        <f>ادخال1!$N$8</f>
        <v>التربية البدنية</v>
      </c>
      <c r="AX14" s="376">
        <f>ادخال1!$N$7</f>
        <v>2</v>
      </c>
      <c r="AY14" s="435">
        <f>IFERROR(VLOOKUP(BI16,اسماء,23,0),"")</f>
        <v>0</v>
      </c>
      <c r="AZ14" s="435"/>
      <c r="BA14" s="435">
        <f>IFERROR(VLOOKUP(BI16,اسماء,24,0),"")</f>
        <v>0</v>
      </c>
      <c r="BB14" s="435"/>
      <c r="BC14" s="435">
        <f>IFERROR(VLOOKUP(BI16,اسماء,25,0),"")</f>
        <v>0</v>
      </c>
      <c r="BD14" s="435"/>
      <c r="BE14" s="499"/>
      <c r="BF14" s="500"/>
      <c r="BG14" s="501"/>
      <c r="BH14" s="33"/>
      <c r="BI14" s="280"/>
      <c r="BJ14" s="281"/>
      <c r="BK14" s="281"/>
      <c r="BL14" s="25"/>
    </row>
    <row r="15" spans="1:68" ht="24.9" customHeight="1" thickBot="1" x14ac:dyDescent="0.3">
      <c r="A15" s="377" t="str">
        <f>ادخال1!$O$8</f>
        <v>مكتبة</v>
      </c>
      <c r="B15" s="378">
        <f>ادخال1!O7</f>
        <v>1</v>
      </c>
      <c r="C15" s="435">
        <f>IFERROR(VLOOKUP(M16,اسماء,34,0),"")</f>
        <v>0</v>
      </c>
      <c r="D15" s="435"/>
      <c r="E15" s="435">
        <f>IFERROR(VLOOKUP(M16,اسماء,35,0),"")</f>
        <v>0</v>
      </c>
      <c r="F15" s="435"/>
      <c r="G15" s="435">
        <f>IFERROR(VLOOKUP(M16,اسماء,36,0),"")</f>
        <v>0</v>
      </c>
      <c r="H15" s="435"/>
      <c r="I15" s="547" t="s">
        <v>33</v>
      </c>
      <c r="J15" s="547"/>
      <c r="K15" s="547"/>
      <c r="L15" s="31"/>
      <c r="M15" s="502" t="s">
        <v>57</v>
      </c>
      <c r="N15" s="503"/>
      <c r="O15" s="504"/>
      <c r="Q15" s="377" t="str">
        <f>ادخال1!$O$8</f>
        <v>مكتبة</v>
      </c>
      <c r="R15" s="378">
        <f>ادخال1!AE7</f>
        <v>1</v>
      </c>
      <c r="S15" s="435">
        <f>IFERROR(VLOOKUP(AC16,اسماء,34,0),"")</f>
        <v>0</v>
      </c>
      <c r="T15" s="435"/>
      <c r="U15" s="435">
        <f>IFERROR(VLOOKUP(AC16,اسماء,35,0),"")</f>
        <v>0</v>
      </c>
      <c r="V15" s="435"/>
      <c r="W15" s="435">
        <f>IFERROR(VLOOKUP(AC16,اسماء,36,0),"")</f>
        <v>0</v>
      </c>
      <c r="X15" s="435"/>
      <c r="Y15" s="547" t="s">
        <v>33</v>
      </c>
      <c r="Z15" s="547"/>
      <c r="AA15" s="547"/>
      <c r="AB15" s="31"/>
      <c r="AC15" s="502" t="s">
        <v>57</v>
      </c>
      <c r="AD15" s="503"/>
      <c r="AE15" s="504"/>
      <c r="AG15" s="377" t="str">
        <f>ادخال1!$O$8</f>
        <v>مكتبة</v>
      </c>
      <c r="AH15" s="378">
        <f>ادخال1!AU7</f>
        <v>0</v>
      </c>
      <c r="AI15" s="435">
        <f>IFERROR(VLOOKUP(AS16,اسماء,34,0),"")</f>
        <v>0</v>
      </c>
      <c r="AJ15" s="435"/>
      <c r="AK15" s="435">
        <f>IFERROR(VLOOKUP(AS16,اسماء,35,0),"")</f>
        <v>0</v>
      </c>
      <c r="AL15" s="435"/>
      <c r="AM15" s="435">
        <f>IFERROR(VLOOKUP(AS16,اسماء,36,0),"")</f>
        <v>0</v>
      </c>
      <c r="AN15" s="435"/>
      <c r="AO15" s="547" t="s">
        <v>33</v>
      </c>
      <c r="AP15" s="547"/>
      <c r="AQ15" s="547"/>
      <c r="AR15" s="31"/>
      <c r="AS15" s="502" t="s">
        <v>57</v>
      </c>
      <c r="AT15" s="503"/>
      <c r="AU15" s="504"/>
      <c r="AW15" s="377" t="str">
        <f>ادخال1!$O$8</f>
        <v>مكتبة</v>
      </c>
      <c r="AX15" s="378">
        <f>ادخال1!BK7</f>
        <v>0</v>
      </c>
      <c r="AY15" s="435">
        <f>IFERROR(VLOOKUP(BI16,اسماء,34,0),"")</f>
        <v>0</v>
      </c>
      <c r="AZ15" s="435"/>
      <c r="BA15" s="435">
        <f>IFERROR(VLOOKUP(BI16,اسماء,35,0),"")</f>
        <v>0</v>
      </c>
      <c r="BB15" s="435"/>
      <c r="BC15" s="435">
        <f>IFERROR(VLOOKUP(BI16,اسماء,36,0),"")</f>
        <v>0</v>
      </c>
      <c r="BD15" s="435"/>
      <c r="BE15" s="547" t="s">
        <v>33</v>
      </c>
      <c r="BF15" s="547"/>
      <c r="BG15" s="547"/>
      <c r="BH15" s="31"/>
      <c r="BI15" s="502" t="s">
        <v>57</v>
      </c>
      <c r="BJ15" s="503"/>
      <c r="BK15" s="504"/>
      <c r="BL15" s="25"/>
      <c r="BO15">
        <v>0</v>
      </c>
      <c r="BP15" t="s">
        <v>7</v>
      </c>
    </row>
    <row r="16" spans="1:68" ht="24.9" customHeight="1" x14ac:dyDescent="0.25">
      <c r="A16" s="491" t="s">
        <v>58</v>
      </c>
      <c r="B16" s="491"/>
      <c r="C16" s="491">
        <f>IFERROR(VLOOKUP(M16,اسماء,37,0),"")</f>
        <v>0</v>
      </c>
      <c r="D16" s="491"/>
      <c r="E16" s="491">
        <f>IFERROR(VLOOKUP(M16,اسماء,38,0),"")</f>
        <v>0</v>
      </c>
      <c r="F16" s="491"/>
      <c r="G16" s="491">
        <f>IFERROR(VLOOKUP(M16,اسماء,39,0),"")</f>
        <v>0</v>
      </c>
      <c r="H16" s="491"/>
      <c r="I16" s="492">
        <f>IFERROR(VLOOKUP(M16,اسماء,42,0),"")</f>
        <v>0</v>
      </c>
      <c r="J16" s="493"/>
      <c r="K16" s="494"/>
      <c r="L16" s="33"/>
      <c r="M16" s="548" t="str">
        <f>INDEX(عمود2,MATCH(O1,عمود1))</f>
        <v>امجد عمر عبداللطيف سلطان</v>
      </c>
      <c r="N16" s="549"/>
      <c r="O16" s="550"/>
      <c r="Q16" s="491" t="s">
        <v>58</v>
      </c>
      <c r="R16" s="491"/>
      <c r="S16" s="491">
        <f>IFERROR(VLOOKUP(AC16,اسماء,37,0),"")</f>
        <v>0</v>
      </c>
      <c r="T16" s="491"/>
      <c r="U16" s="491">
        <f>IFERROR(VLOOKUP(AC16,اسماء,38,0),"")</f>
        <v>0</v>
      </c>
      <c r="V16" s="491"/>
      <c r="W16" s="491">
        <f>IFERROR(VLOOKUP(AC16,اسماء,39,0),"")</f>
        <v>0</v>
      </c>
      <c r="X16" s="491"/>
      <c r="Y16" s="492">
        <f>IFERROR(VLOOKUP(AC16,اسماء,42,0),"")</f>
        <v>0</v>
      </c>
      <c r="Z16" s="493"/>
      <c r="AA16" s="494"/>
      <c r="AB16" s="33"/>
      <c r="AC16" s="548" t="str">
        <f>INDEX(عمود2,MATCH(AE1,عمود1))</f>
        <v>عبد العاطى احمد محمود محمد</v>
      </c>
      <c r="AD16" s="549"/>
      <c r="AE16" s="550"/>
      <c r="AG16" s="491" t="s">
        <v>58</v>
      </c>
      <c r="AH16" s="491"/>
      <c r="AI16" s="491">
        <f>IFERROR(VLOOKUP(AS16,اسماء,37,0),"")</f>
        <v>0</v>
      </c>
      <c r="AJ16" s="491"/>
      <c r="AK16" s="491">
        <f>IFERROR(VLOOKUP(AS16,اسماء,38,0),"")</f>
        <v>0</v>
      </c>
      <c r="AL16" s="491"/>
      <c r="AM16" s="491">
        <f>IFERROR(VLOOKUP(AS16,اسماء,39,0),"")</f>
        <v>0</v>
      </c>
      <c r="AN16" s="491"/>
      <c r="AO16" s="492">
        <f>IFERROR(VLOOKUP(AS16,اسماء,42,0),"")</f>
        <v>0</v>
      </c>
      <c r="AP16" s="493"/>
      <c r="AQ16" s="494"/>
      <c r="AR16" s="33"/>
      <c r="AS16" s="548" t="str">
        <f>INDEX(عمود2,MATCH(AU1,عمود1))</f>
        <v>مريم سامى محمد النفاتى</v>
      </c>
      <c r="AT16" s="549"/>
      <c r="AU16" s="550"/>
      <c r="AW16" s="491" t="s">
        <v>58</v>
      </c>
      <c r="AX16" s="491"/>
      <c r="AY16" s="491">
        <f>IFERROR(VLOOKUP(BI16,اسماء,37,0),"")</f>
        <v>0</v>
      </c>
      <c r="AZ16" s="491"/>
      <c r="BA16" s="491">
        <f>IFERROR(VLOOKUP(BI16,اسماء,38,0),"")</f>
        <v>0</v>
      </c>
      <c r="BB16" s="491"/>
      <c r="BC16" s="491">
        <f>IFERROR(VLOOKUP(BI16,اسماء,39,0),"")</f>
        <v>0</v>
      </c>
      <c r="BD16" s="491"/>
      <c r="BE16" s="492">
        <f>IFERROR(VLOOKUP(BI16,اسماء,42,0),"")</f>
        <v>0</v>
      </c>
      <c r="BF16" s="493"/>
      <c r="BG16" s="494"/>
      <c r="BH16" s="33"/>
      <c r="BI16" s="548" t="str">
        <f>INDEX(عمود2,MATCH(BK1,عمود1))</f>
        <v>ريم احمد ابوبكر النفاتى</v>
      </c>
      <c r="BJ16" s="549"/>
      <c r="BK16" s="550"/>
      <c r="BL16" s="25"/>
      <c r="BO16">
        <f>BN2*0.5</f>
        <v>126</v>
      </c>
      <c r="BP16" t="s">
        <v>4</v>
      </c>
    </row>
    <row r="17" spans="1:68" ht="24.9" customHeight="1" x14ac:dyDescent="0.25">
      <c r="A17" s="435" t="s">
        <v>59</v>
      </c>
      <c r="B17" s="435"/>
      <c r="C17" s="435">
        <f>IFERROR(VLOOKUP(M16,اسماء,40,0),"")</f>
        <v>0</v>
      </c>
      <c r="D17" s="435"/>
      <c r="E17" s="435">
        <f>IFERROR(VLOOKUP(M16,اسماء,42,0),"")</f>
        <v>0</v>
      </c>
      <c r="F17" s="435"/>
      <c r="G17" s="435">
        <f>IFERROR(VLOOKUP(M16,اسماء,44,0),"")</f>
        <v>0</v>
      </c>
      <c r="H17" s="435"/>
      <c r="I17" s="437"/>
      <c r="J17" s="435"/>
      <c r="K17" s="514"/>
      <c r="L17" s="33"/>
      <c r="M17" s="551" t="str">
        <f>IF(I16="غائب","يبقى سنة اخرى في الصف",IF(K11&gt;0,"ناجحاً ومنقولاً الى الصف ","يرحل الى الصف"))</f>
        <v>يرحل الى الصف</v>
      </c>
      <c r="N17" s="552"/>
      <c r="O17" s="553"/>
      <c r="Q17" s="435" t="s">
        <v>59</v>
      </c>
      <c r="R17" s="435"/>
      <c r="S17" s="435">
        <f>IFERROR(VLOOKUP(AC16,اسماء,40,0),"")</f>
        <v>0</v>
      </c>
      <c r="T17" s="435"/>
      <c r="U17" s="435">
        <f>IFERROR(VLOOKUP(AC16,اسماء,42,0),"")</f>
        <v>0</v>
      </c>
      <c r="V17" s="435"/>
      <c r="W17" s="435">
        <f>IFERROR(VLOOKUP(AC16,اسماء,44,0),"")</f>
        <v>0</v>
      </c>
      <c r="X17" s="435"/>
      <c r="Y17" s="437"/>
      <c r="Z17" s="435"/>
      <c r="AA17" s="514"/>
      <c r="AB17" s="33"/>
      <c r="AC17" s="551" t="str">
        <f>IF(Y16="غائب","يبقى سنة اخرى في الصف",IF(AA11&gt;0,"ناجحاً ومنقولاً الى الصف ","يرحل الى الصف"))</f>
        <v>يرحل الى الصف</v>
      </c>
      <c r="AD17" s="552"/>
      <c r="AE17" s="553"/>
      <c r="AG17" s="435" t="s">
        <v>59</v>
      </c>
      <c r="AH17" s="435"/>
      <c r="AI17" s="435">
        <f>IFERROR(VLOOKUP(AS16,اسماء,40,0),"")</f>
        <v>0</v>
      </c>
      <c r="AJ17" s="435"/>
      <c r="AK17" s="435">
        <f>IFERROR(VLOOKUP(AS16,اسماء,42,0),"")</f>
        <v>0</v>
      </c>
      <c r="AL17" s="435"/>
      <c r="AM17" s="435">
        <f>IFERROR(VLOOKUP(AS16,اسماء,44,0),"")</f>
        <v>0</v>
      </c>
      <c r="AN17" s="435"/>
      <c r="AO17" s="437"/>
      <c r="AP17" s="435"/>
      <c r="AQ17" s="514"/>
      <c r="AR17" s="33"/>
      <c r="AS17" s="551" t="str">
        <f>IF(AO16="غائب","يبقى سنة اخرى في الصف",IF(AQ11&gt;0,"ناجحاً ومنقولاً الى الصف ","يرحل الى الصف"))</f>
        <v>يرحل الى الصف</v>
      </c>
      <c r="AT17" s="552"/>
      <c r="AU17" s="553"/>
      <c r="AW17" s="435" t="s">
        <v>59</v>
      </c>
      <c r="AX17" s="435"/>
      <c r="AY17" s="435">
        <f>IFERROR(VLOOKUP(BI16,اسماء,40,0),"")</f>
        <v>0</v>
      </c>
      <c r="AZ17" s="435"/>
      <c r="BA17" s="435">
        <f>IFERROR(VLOOKUP(BI16,اسماء,42,0),"")</f>
        <v>0</v>
      </c>
      <c r="BB17" s="435"/>
      <c r="BC17" s="435">
        <f>IFERROR(VLOOKUP(BI16,اسماء,44,0),"")</f>
        <v>0</v>
      </c>
      <c r="BD17" s="435"/>
      <c r="BE17" s="437"/>
      <c r="BF17" s="435"/>
      <c r="BG17" s="514"/>
      <c r="BH17" s="33"/>
      <c r="BI17" s="551" t="str">
        <f>IF(BE16="غائب","يبقى سنة اخرى في الصف",IF(BG11&gt;0,"ناجحاً ومنقولاً الى الصف ","يرحل الى الصف"))</f>
        <v>يرحل الى الصف</v>
      </c>
      <c r="BJ17" s="552"/>
      <c r="BK17" s="553"/>
      <c r="BL17" s="25"/>
      <c r="BO17">
        <f>BN2*0.65</f>
        <v>163.80000000000001</v>
      </c>
      <c r="BP17" t="s">
        <v>5</v>
      </c>
    </row>
    <row r="18" spans="1:68" ht="24.9" customHeight="1" thickBot="1" x14ac:dyDescent="0.3">
      <c r="A18" s="498" t="s">
        <v>60</v>
      </c>
      <c r="B18" s="498"/>
      <c r="C18" s="435">
        <f>IFERROR(VLOOKUP(M16,اسماء,41,0),"")</f>
        <v>0</v>
      </c>
      <c r="D18" s="435"/>
      <c r="E18" s="435">
        <f>IFERROR(VLOOKUP(M16,اسماء,43,0),"")</f>
        <v>0</v>
      </c>
      <c r="F18" s="435"/>
      <c r="G18" s="435">
        <f>IFERROR(VLOOKUP(M16,اسماء,45,0),"")</f>
        <v>0</v>
      </c>
      <c r="H18" s="435"/>
      <c r="I18" s="441"/>
      <c r="J18" s="456"/>
      <c r="K18" s="495"/>
      <c r="L18" s="33"/>
      <c r="M18" s="505" t="str">
        <f>IF(I16="غائب",D1,IF(D1="الأول","الثاني",IF(D1="الثاني","الثالث",IF(D1="الثالث","الرابع",IF(D1="الرابع","الخامس",IF(D1="الخامس","السادس"))))))</f>
        <v>الرابع</v>
      </c>
      <c r="N18" s="505"/>
      <c r="O18" s="505"/>
      <c r="P18" s="65"/>
      <c r="Q18" s="498" t="s">
        <v>60</v>
      </c>
      <c r="R18" s="498"/>
      <c r="S18" s="435">
        <f>IFERROR(VLOOKUP(AC16,اسماء,41,0),"")</f>
        <v>0</v>
      </c>
      <c r="T18" s="435"/>
      <c r="U18" s="435">
        <f>IFERROR(VLOOKUP(AC16,اسماء,43,0),"")</f>
        <v>0</v>
      </c>
      <c r="V18" s="435"/>
      <c r="W18" s="435">
        <f>IFERROR(VLOOKUP(AC16,اسماء,45,0),"")</f>
        <v>0</v>
      </c>
      <c r="X18" s="435"/>
      <c r="Y18" s="441"/>
      <c r="Z18" s="456"/>
      <c r="AA18" s="495"/>
      <c r="AB18" s="33"/>
      <c r="AC18" s="505" t="str">
        <f>IF(Y16="غائب",T1,IF(T1="الأول","الثاني",IF(T1="الثاني","الثالث",IF(T1="الثالث","الرابع",IF(T1="الرابع","الخامس",IF(T1="الخامس","السادس"))))))</f>
        <v>الرابع</v>
      </c>
      <c r="AD18" s="505"/>
      <c r="AE18" s="505"/>
      <c r="AG18" s="498" t="s">
        <v>60</v>
      </c>
      <c r="AH18" s="498"/>
      <c r="AI18" s="435">
        <f>IFERROR(VLOOKUP(AS16,اسماء,41,0),"")</f>
        <v>0</v>
      </c>
      <c r="AJ18" s="435"/>
      <c r="AK18" s="435">
        <f>IFERROR(VLOOKUP(AS16,اسماء,43,0),"")</f>
        <v>0</v>
      </c>
      <c r="AL18" s="435"/>
      <c r="AM18" s="435">
        <f>IFERROR(VLOOKUP(AS16,اسماء,45,0),"")</f>
        <v>0</v>
      </c>
      <c r="AN18" s="435"/>
      <c r="AO18" s="441"/>
      <c r="AP18" s="456"/>
      <c r="AQ18" s="495"/>
      <c r="AR18" s="33"/>
      <c r="AS18" s="505" t="str">
        <f>IF(AO16="غائب",AJ1,IF(AJ1="الأول","الثاني",IF(AJ1="الثاني","الثالث",IF(AJ1="الثالث","الرابع",IF(AJ1="الرابع","الخامس",IF(AJ1="الخامس","السادس"))))))</f>
        <v>الرابع</v>
      </c>
      <c r="AT18" s="505"/>
      <c r="AU18" s="505"/>
      <c r="AV18" s="65"/>
      <c r="AW18" s="498" t="s">
        <v>60</v>
      </c>
      <c r="AX18" s="498"/>
      <c r="AY18" s="435">
        <f>IFERROR(VLOOKUP(BI16,اسماء,41,0),"")</f>
        <v>0</v>
      </c>
      <c r="AZ18" s="435"/>
      <c r="BA18" s="435">
        <f>IFERROR(VLOOKUP(BI16,اسماء,43,0),"")</f>
        <v>0</v>
      </c>
      <c r="BB18" s="435"/>
      <c r="BC18" s="435">
        <f>IFERROR(VLOOKUP(BI16,اسماء,45,0),"")</f>
        <v>0</v>
      </c>
      <c r="BD18" s="435"/>
      <c r="BE18" s="441"/>
      <c r="BF18" s="456"/>
      <c r="BG18" s="495"/>
      <c r="BH18" s="33"/>
      <c r="BI18" s="505" t="str">
        <f>IF(BE16="غائب",AZ1,IF(AZ1="الأول","الثاني",IF(AZ1="الثاني","الثالث",IF(AZ1="الثالث","الرابع",IF(AZ1="الرابع","الخامس",IF(AZ1="الخامس","السادس"))))))</f>
        <v>الرابع</v>
      </c>
      <c r="BJ18" s="505"/>
      <c r="BK18" s="505"/>
      <c r="BL18" s="25"/>
      <c r="BO18">
        <f>BN2*0.75</f>
        <v>189</v>
      </c>
      <c r="BP18" t="s">
        <v>104</v>
      </c>
    </row>
    <row r="19" spans="1:68" ht="12.6" customHeight="1" thickBot="1" x14ac:dyDescent="0.3">
      <c r="A19" s="135"/>
      <c r="B19" s="149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107"/>
      <c r="N19" s="107"/>
      <c r="O19" s="107"/>
      <c r="P19" s="65"/>
      <c r="Q19" s="135"/>
      <c r="R19" s="149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107"/>
      <c r="AD19" s="107"/>
      <c r="AE19" s="107"/>
      <c r="AG19" s="135"/>
      <c r="AH19" s="149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107"/>
      <c r="AT19" s="107"/>
      <c r="AU19" s="107"/>
      <c r="AW19" s="135"/>
      <c r="AX19" s="149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07"/>
      <c r="BJ19" s="107"/>
      <c r="BK19" s="107"/>
      <c r="BL19" s="25"/>
      <c r="BO19">
        <f>BN2*0.85</f>
        <v>214.2</v>
      </c>
      <c r="BP19" t="s">
        <v>6</v>
      </c>
    </row>
    <row r="20" spans="1:68" ht="18.75" customHeight="1" thickBot="1" x14ac:dyDescent="0.3">
      <c r="A20" s="136" t="s">
        <v>14</v>
      </c>
      <c r="B20" s="506" t="s">
        <v>64</v>
      </c>
      <c r="C20" s="506"/>
      <c r="D20" s="506" t="s">
        <v>66</v>
      </c>
      <c r="E20" s="506"/>
      <c r="F20" s="507"/>
      <c r="G20" s="508" t="s">
        <v>86</v>
      </c>
      <c r="H20" s="509"/>
      <c r="I20" s="571" t="s">
        <v>63</v>
      </c>
      <c r="J20" s="571"/>
      <c r="K20" s="571"/>
      <c r="L20" s="571"/>
      <c r="M20" s="571"/>
      <c r="N20" s="571"/>
      <c r="O20" s="571"/>
      <c r="P20" s="65"/>
      <c r="Q20" s="136" t="s">
        <v>14</v>
      </c>
      <c r="R20" s="506" t="s">
        <v>64</v>
      </c>
      <c r="S20" s="506"/>
      <c r="T20" s="506" t="s">
        <v>66</v>
      </c>
      <c r="U20" s="506"/>
      <c r="V20" s="507"/>
      <c r="W20" s="508" t="s">
        <v>86</v>
      </c>
      <c r="X20" s="509"/>
      <c r="Y20" s="571" t="s">
        <v>63</v>
      </c>
      <c r="Z20" s="571"/>
      <c r="AA20" s="571"/>
      <c r="AB20" s="571"/>
      <c r="AC20" s="571"/>
      <c r="AD20" s="571"/>
      <c r="AE20" s="571"/>
      <c r="AG20" s="136" t="s">
        <v>14</v>
      </c>
      <c r="AH20" s="506" t="s">
        <v>64</v>
      </c>
      <c r="AI20" s="506"/>
      <c r="AJ20" s="506" t="s">
        <v>66</v>
      </c>
      <c r="AK20" s="506"/>
      <c r="AL20" s="507"/>
      <c r="AM20" s="508" t="s">
        <v>86</v>
      </c>
      <c r="AN20" s="509"/>
      <c r="AO20" s="571" t="s">
        <v>63</v>
      </c>
      <c r="AP20" s="571"/>
      <c r="AQ20" s="571"/>
      <c r="AR20" s="571"/>
      <c r="AS20" s="571"/>
      <c r="AT20" s="571"/>
      <c r="AU20" s="571"/>
      <c r="AW20" s="136" t="s">
        <v>14</v>
      </c>
      <c r="AX20" s="506" t="s">
        <v>64</v>
      </c>
      <c r="AY20" s="506"/>
      <c r="AZ20" s="506" t="s">
        <v>66</v>
      </c>
      <c r="BA20" s="506"/>
      <c r="BB20" s="507"/>
      <c r="BC20" s="508" t="s">
        <v>86</v>
      </c>
      <c r="BD20" s="509"/>
      <c r="BE20" s="571" t="s">
        <v>63</v>
      </c>
      <c r="BF20" s="571"/>
      <c r="BG20" s="571"/>
      <c r="BH20" s="571"/>
      <c r="BI20" s="571"/>
      <c r="BJ20" s="571"/>
      <c r="BK20" s="571"/>
    </row>
    <row r="21" spans="1:68" s="63" customFormat="1" ht="24.9" customHeight="1" x14ac:dyDescent="0.25">
      <c r="A21" s="134" t="s">
        <v>87</v>
      </c>
      <c r="B21" s="445"/>
      <c r="C21" s="445"/>
      <c r="D21" s="445"/>
      <c r="E21" s="445"/>
      <c r="F21" s="445"/>
      <c r="G21" s="445"/>
      <c r="H21" s="562"/>
      <c r="I21" s="510" t="s">
        <v>65</v>
      </c>
      <c r="J21" s="510"/>
      <c r="K21" s="511" t="str">
        <f>ادخال1!$BJ$5</f>
        <v>د. عبدالرحمن خليفة العريبي</v>
      </c>
      <c r="L21" s="511"/>
      <c r="M21" s="511"/>
      <c r="N21" s="511"/>
      <c r="O21" s="511"/>
      <c r="P21" s="66"/>
      <c r="Q21" s="134" t="s">
        <v>87</v>
      </c>
      <c r="R21" s="445"/>
      <c r="S21" s="445"/>
      <c r="T21" s="445"/>
      <c r="U21" s="445"/>
      <c r="V21" s="445"/>
      <c r="W21" s="445"/>
      <c r="X21" s="562"/>
      <c r="Y21" s="510" t="s">
        <v>65</v>
      </c>
      <c r="Z21" s="510"/>
      <c r="AA21" s="511" t="str">
        <f>ادخال1!$BJ$5</f>
        <v>د. عبدالرحمن خليفة العريبي</v>
      </c>
      <c r="AB21" s="511"/>
      <c r="AC21" s="511"/>
      <c r="AD21" s="511"/>
      <c r="AE21" s="511"/>
      <c r="AG21" s="134" t="s">
        <v>87</v>
      </c>
      <c r="AH21" s="445"/>
      <c r="AI21" s="445"/>
      <c r="AJ21" s="445"/>
      <c r="AK21" s="445"/>
      <c r="AL21" s="445"/>
      <c r="AM21" s="445"/>
      <c r="AN21" s="562"/>
      <c r="AO21" s="510" t="s">
        <v>65</v>
      </c>
      <c r="AP21" s="510"/>
      <c r="AQ21" s="511" t="str">
        <f>ادخال1!$BJ$5</f>
        <v>د. عبدالرحمن خليفة العريبي</v>
      </c>
      <c r="AR21" s="511"/>
      <c r="AS21" s="511"/>
      <c r="AT21" s="511"/>
      <c r="AU21" s="511"/>
      <c r="AW21" s="134" t="s">
        <v>87</v>
      </c>
      <c r="AX21" s="445"/>
      <c r="AY21" s="445"/>
      <c r="AZ21" s="445"/>
      <c r="BA21" s="445"/>
      <c r="BB21" s="445"/>
      <c r="BC21" s="445"/>
      <c r="BD21" s="562"/>
      <c r="BE21" s="510" t="s">
        <v>65</v>
      </c>
      <c r="BF21" s="510"/>
      <c r="BG21" s="511" t="str">
        <f>ادخال1!$BJ$5</f>
        <v>د. عبدالرحمن خليفة العريبي</v>
      </c>
      <c r="BH21" s="511"/>
      <c r="BI21" s="511"/>
      <c r="BJ21" s="511"/>
      <c r="BK21" s="511"/>
    </row>
    <row r="22" spans="1:68" s="63" customFormat="1" ht="24.9" customHeight="1" x14ac:dyDescent="0.25">
      <c r="A22" s="57" t="s">
        <v>15</v>
      </c>
      <c r="B22" s="435"/>
      <c r="C22" s="435"/>
      <c r="D22" s="435"/>
      <c r="E22" s="435"/>
      <c r="F22" s="435"/>
      <c r="G22" s="435"/>
      <c r="H22" s="514"/>
      <c r="I22" s="563" t="s">
        <v>67</v>
      </c>
      <c r="J22" s="563"/>
      <c r="K22" s="563"/>
      <c r="L22" s="64"/>
      <c r="M22" s="564">
        <f ca="1">TODAY()</f>
        <v>46009</v>
      </c>
      <c r="N22" s="564"/>
      <c r="O22" s="564"/>
      <c r="P22" s="66"/>
      <c r="Q22" s="57" t="s">
        <v>15</v>
      </c>
      <c r="R22" s="435"/>
      <c r="S22" s="435"/>
      <c r="T22" s="435"/>
      <c r="U22" s="435"/>
      <c r="V22" s="435"/>
      <c r="W22" s="435"/>
      <c r="X22" s="514"/>
      <c r="Y22" s="563" t="s">
        <v>67</v>
      </c>
      <c r="Z22" s="563"/>
      <c r="AA22" s="563"/>
      <c r="AB22" s="64"/>
      <c r="AC22" s="564">
        <f ca="1">TODAY()</f>
        <v>46009</v>
      </c>
      <c r="AD22" s="564"/>
      <c r="AE22" s="564"/>
      <c r="AG22" s="57" t="s">
        <v>15</v>
      </c>
      <c r="AH22" s="435"/>
      <c r="AI22" s="435"/>
      <c r="AJ22" s="435"/>
      <c r="AK22" s="435"/>
      <c r="AL22" s="435"/>
      <c r="AM22" s="435"/>
      <c r="AN22" s="514"/>
      <c r="AO22" s="563" t="s">
        <v>67</v>
      </c>
      <c r="AP22" s="563"/>
      <c r="AQ22" s="563"/>
      <c r="AR22" s="64"/>
      <c r="AS22" s="564">
        <f ca="1">TODAY()</f>
        <v>46009</v>
      </c>
      <c r="AT22" s="564"/>
      <c r="AU22" s="564"/>
      <c r="AW22" s="57" t="s">
        <v>15</v>
      </c>
      <c r="AX22" s="435"/>
      <c r="AY22" s="435"/>
      <c r="AZ22" s="435"/>
      <c r="BA22" s="435"/>
      <c r="BB22" s="435"/>
      <c r="BC22" s="435"/>
      <c r="BD22" s="514"/>
      <c r="BE22" s="563" t="s">
        <v>67</v>
      </c>
      <c r="BF22" s="563"/>
      <c r="BG22" s="563"/>
      <c r="BH22" s="64"/>
      <c r="BI22" s="564">
        <f ca="1">TODAY()</f>
        <v>46009</v>
      </c>
      <c r="BJ22" s="564"/>
      <c r="BK22" s="564"/>
    </row>
    <row r="23" spans="1:68" s="63" customFormat="1" ht="24.9" customHeight="1" thickBot="1" x14ac:dyDescent="0.3">
      <c r="A23" s="137" t="s">
        <v>88</v>
      </c>
      <c r="B23" s="456"/>
      <c r="C23" s="456"/>
      <c r="D23" s="456"/>
      <c r="E23" s="456"/>
      <c r="F23" s="456"/>
      <c r="G23" s="456"/>
      <c r="H23" s="495"/>
      <c r="I23" s="496" t="s">
        <v>69</v>
      </c>
      <c r="J23" s="496"/>
      <c r="K23" s="496"/>
      <c r="L23" s="496"/>
      <c r="M23" s="496"/>
      <c r="N23" s="496"/>
      <c r="O23" s="497"/>
      <c r="Q23" s="137" t="s">
        <v>88</v>
      </c>
      <c r="R23" s="456"/>
      <c r="S23" s="456"/>
      <c r="T23" s="456"/>
      <c r="U23" s="456"/>
      <c r="V23" s="456"/>
      <c r="W23" s="456"/>
      <c r="X23" s="495"/>
      <c r="Y23" s="496" t="s">
        <v>69</v>
      </c>
      <c r="Z23" s="496"/>
      <c r="AA23" s="496"/>
      <c r="AB23" s="496"/>
      <c r="AC23" s="496"/>
      <c r="AD23" s="496"/>
      <c r="AE23" s="497"/>
      <c r="AG23" s="137" t="s">
        <v>88</v>
      </c>
      <c r="AH23" s="456"/>
      <c r="AI23" s="456"/>
      <c r="AJ23" s="456"/>
      <c r="AK23" s="456"/>
      <c r="AL23" s="456"/>
      <c r="AM23" s="456"/>
      <c r="AN23" s="495"/>
      <c r="AO23" s="496" t="s">
        <v>69</v>
      </c>
      <c r="AP23" s="496"/>
      <c r="AQ23" s="496"/>
      <c r="AR23" s="496"/>
      <c r="AS23" s="496"/>
      <c r="AT23" s="496"/>
      <c r="AU23" s="497"/>
      <c r="AW23" s="137" t="s">
        <v>88</v>
      </c>
      <c r="AX23" s="456"/>
      <c r="AY23" s="456"/>
      <c r="AZ23" s="456"/>
      <c r="BA23" s="456"/>
      <c r="BB23" s="456"/>
      <c r="BC23" s="456"/>
      <c r="BD23" s="495"/>
      <c r="BE23" s="496" t="s">
        <v>69</v>
      </c>
      <c r="BF23" s="496"/>
      <c r="BG23" s="496"/>
      <c r="BH23" s="496"/>
      <c r="BI23" s="496"/>
      <c r="BJ23" s="496"/>
      <c r="BK23" s="497"/>
    </row>
    <row r="24" spans="1:68" ht="16.350000000000001" customHeight="1" thickBot="1" x14ac:dyDescent="0.3">
      <c r="A24" s="138"/>
      <c r="I24" s="34"/>
      <c r="J24" s="34"/>
      <c r="K24" s="34"/>
      <c r="L24" s="34"/>
      <c r="M24" s="108"/>
      <c r="N24" s="156"/>
      <c r="O24" s="157"/>
      <c r="Q24" s="138"/>
      <c r="Y24" s="34"/>
      <c r="Z24" s="34"/>
      <c r="AA24" s="34"/>
      <c r="AB24" s="34"/>
      <c r="AC24" s="108"/>
      <c r="AD24" s="108"/>
      <c r="AE24" s="109"/>
      <c r="AG24" s="138"/>
      <c r="AO24" s="34"/>
      <c r="AP24" s="34"/>
      <c r="AQ24" s="34"/>
      <c r="AR24" s="34"/>
      <c r="AS24" s="108"/>
      <c r="AT24" s="108"/>
      <c r="AU24" s="109"/>
      <c r="AW24" s="138"/>
      <c r="BE24" s="34"/>
      <c r="BF24" s="34"/>
      <c r="BG24" s="34"/>
      <c r="BH24" s="34"/>
      <c r="BI24" s="108"/>
      <c r="BJ24" s="108"/>
      <c r="BK24" s="109"/>
    </row>
    <row r="25" spans="1:68" ht="16.350000000000001" customHeight="1" thickTop="1" x14ac:dyDescent="0.25">
      <c r="A25" s="545" t="s">
        <v>83</v>
      </c>
      <c r="B25" s="546"/>
      <c r="C25" s="546"/>
      <c r="D25" s="546"/>
      <c r="E25" s="35"/>
      <c r="F25" s="35"/>
      <c r="G25" s="36"/>
      <c r="H25" s="6"/>
      <c r="I25" s="516" t="s">
        <v>70</v>
      </c>
      <c r="J25" s="517"/>
      <c r="K25" s="517"/>
      <c r="L25" s="517"/>
      <c r="M25" s="517"/>
      <c r="N25" s="517"/>
      <c r="O25" s="518"/>
      <c r="Q25" s="545" t="s">
        <v>83</v>
      </c>
      <c r="R25" s="546"/>
      <c r="S25" s="546"/>
      <c r="T25" s="546"/>
      <c r="U25" s="35"/>
      <c r="V25" s="35"/>
      <c r="W25" s="36"/>
      <c r="X25" s="6"/>
      <c r="Y25" s="516" t="s">
        <v>70</v>
      </c>
      <c r="Z25" s="517"/>
      <c r="AA25" s="517"/>
      <c r="AB25" s="517"/>
      <c r="AC25" s="517"/>
      <c r="AD25" s="517"/>
      <c r="AE25" s="518"/>
      <c r="AG25" s="545" t="s">
        <v>83</v>
      </c>
      <c r="AH25" s="546"/>
      <c r="AI25" s="546"/>
      <c r="AJ25" s="546"/>
      <c r="AK25" s="35"/>
      <c r="AL25" s="35"/>
      <c r="AM25" s="36"/>
      <c r="AN25" s="6"/>
      <c r="AO25" s="516" t="s">
        <v>70</v>
      </c>
      <c r="AP25" s="517"/>
      <c r="AQ25" s="517"/>
      <c r="AR25" s="517"/>
      <c r="AS25" s="517"/>
      <c r="AT25" s="517"/>
      <c r="AU25" s="518"/>
      <c r="AW25" s="545" t="s">
        <v>83</v>
      </c>
      <c r="AX25" s="546"/>
      <c r="AY25" s="546"/>
      <c r="AZ25" s="546"/>
      <c r="BA25" s="35"/>
      <c r="BB25" s="35"/>
      <c r="BC25" s="36"/>
      <c r="BD25" s="6"/>
      <c r="BE25" s="516" t="s">
        <v>70</v>
      </c>
      <c r="BF25" s="517"/>
      <c r="BG25" s="517"/>
      <c r="BH25" s="517"/>
      <c r="BI25" s="517"/>
      <c r="BJ25" s="517"/>
      <c r="BK25" s="518"/>
    </row>
    <row r="26" spans="1:68" ht="16.350000000000001" customHeight="1" x14ac:dyDescent="0.25">
      <c r="A26" s="536" t="s">
        <v>71</v>
      </c>
      <c r="B26" s="537"/>
      <c r="C26" s="537"/>
      <c r="D26" s="537"/>
      <c r="E26" s="537"/>
      <c r="F26" s="537"/>
      <c r="G26" s="538"/>
      <c r="H26" s="6"/>
      <c r="I26" s="539" t="s">
        <v>84</v>
      </c>
      <c r="J26" s="540"/>
      <c r="K26" s="540"/>
      <c r="L26" s="540"/>
      <c r="M26" s="540"/>
      <c r="N26" s="540"/>
      <c r="O26" s="541"/>
      <c r="Q26" s="536" t="s">
        <v>71</v>
      </c>
      <c r="R26" s="537"/>
      <c r="S26" s="537"/>
      <c r="T26" s="537"/>
      <c r="U26" s="537"/>
      <c r="V26" s="537"/>
      <c r="W26" s="538"/>
      <c r="X26" s="6"/>
      <c r="Y26" s="539" t="s">
        <v>84</v>
      </c>
      <c r="Z26" s="540"/>
      <c r="AA26" s="540"/>
      <c r="AB26" s="540"/>
      <c r="AC26" s="540"/>
      <c r="AD26" s="540"/>
      <c r="AE26" s="541"/>
      <c r="AG26" s="536" t="s">
        <v>71</v>
      </c>
      <c r="AH26" s="537"/>
      <c r="AI26" s="537"/>
      <c r="AJ26" s="537"/>
      <c r="AK26" s="537"/>
      <c r="AL26" s="537"/>
      <c r="AM26" s="538"/>
      <c r="AN26" s="6"/>
      <c r="AO26" s="539" t="s">
        <v>84</v>
      </c>
      <c r="AP26" s="540"/>
      <c r="AQ26" s="540"/>
      <c r="AR26" s="540"/>
      <c r="AS26" s="540"/>
      <c r="AT26" s="540"/>
      <c r="AU26" s="541"/>
      <c r="AW26" s="536" t="s">
        <v>71</v>
      </c>
      <c r="AX26" s="537"/>
      <c r="AY26" s="537"/>
      <c r="AZ26" s="537"/>
      <c r="BA26" s="537"/>
      <c r="BB26" s="537"/>
      <c r="BC26" s="538"/>
      <c r="BD26" s="6"/>
      <c r="BE26" s="539" t="s">
        <v>84</v>
      </c>
      <c r="BF26" s="540"/>
      <c r="BG26" s="540"/>
      <c r="BH26" s="540"/>
      <c r="BI26" s="540"/>
      <c r="BJ26" s="540"/>
      <c r="BK26" s="541"/>
    </row>
    <row r="27" spans="1:68" ht="16.350000000000001" customHeight="1" x14ac:dyDescent="0.25">
      <c r="A27" s="536"/>
      <c r="B27" s="537"/>
      <c r="C27" s="537"/>
      <c r="D27" s="537"/>
      <c r="E27" s="537"/>
      <c r="F27" s="537"/>
      <c r="G27" s="538"/>
      <c r="H27" s="6"/>
      <c r="I27" s="539"/>
      <c r="J27" s="540"/>
      <c r="K27" s="540"/>
      <c r="L27" s="540"/>
      <c r="M27" s="540"/>
      <c r="N27" s="540"/>
      <c r="O27" s="541"/>
      <c r="Q27" s="536"/>
      <c r="R27" s="537"/>
      <c r="S27" s="537"/>
      <c r="T27" s="537"/>
      <c r="U27" s="537"/>
      <c r="V27" s="537"/>
      <c r="W27" s="538"/>
      <c r="X27" s="6"/>
      <c r="Y27" s="539"/>
      <c r="Z27" s="540"/>
      <c r="AA27" s="540"/>
      <c r="AB27" s="540"/>
      <c r="AC27" s="540"/>
      <c r="AD27" s="540"/>
      <c r="AE27" s="541"/>
      <c r="AG27" s="536"/>
      <c r="AH27" s="537"/>
      <c r="AI27" s="537"/>
      <c r="AJ27" s="537"/>
      <c r="AK27" s="537"/>
      <c r="AL27" s="537"/>
      <c r="AM27" s="538"/>
      <c r="AN27" s="6"/>
      <c r="AO27" s="539"/>
      <c r="AP27" s="540"/>
      <c r="AQ27" s="540"/>
      <c r="AR27" s="540"/>
      <c r="AS27" s="540"/>
      <c r="AT27" s="540"/>
      <c r="AU27" s="541"/>
      <c r="AW27" s="536"/>
      <c r="AX27" s="537"/>
      <c r="AY27" s="537"/>
      <c r="AZ27" s="537"/>
      <c r="BA27" s="537"/>
      <c r="BB27" s="537"/>
      <c r="BC27" s="538"/>
      <c r="BD27" s="6"/>
      <c r="BE27" s="539"/>
      <c r="BF27" s="540"/>
      <c r="BG27" s="540"/>
      <c r="BH27" s="540"/>
      <c r="BI27" s="540"/>
      <c r="BJ27" s="540"/>
      <c r="BK27" s="541"/>
    </row>
    <row r="28" spans="1:68" ht="16.350000000000001" customHeight="1" x14ac:dyDescent="0.25">
      <c r="A28" s="536"/>
      <c r="B28" s="537"/>
      <c r="C28" s="537"/>
      <c r="D28" s="537"/>
      <c r="E28" s="537"/>
      <c r="F28" s="537"/>
      <c r="G28" s="538"/>
      <c r="H28" s="6"/>
      <c r="I28" s="539"/>
      <c r="J28" s="540"/>
      <c r="K28" s="540"/>
      <c r="L28" s="540"/>
      <c r="M28" s="540"/>
      <c r="N28" s="540"/>
      <c r="O28" s="541"/>
      <c r="Q28" s="536"/>
      <c r="R28" s="537"/>
      <c r="S28" s="537"/>
      <c r="T28" s="537"/>
      <c r="U28" s="537"/>
      <c r="V28" s="537"/>
      <c r="W28" s="538"/>
      <c r="X28" s="6"/>
      <c r="Y28" s="539"/>
      <c r="Z28" s="540"/>
      <c r="AA28" s="540"/>
      <c r="AB28" s="540"/>
      <c r="AC28" s="540"/>
      <c r="AD28" s="540"/>
      <c r="AE28" s="541"/>
      <c r="AG28" s="536"/>
      <c r="AH28" s="537"/>
      <c r="AI28" s="537"/>
      <c r="AJ28" s="537"/>
      <c r="AK28" s="537"/>
      <c r="AL28" s="537"/>
      <c r="AM28" s="538"/>
      <c r="AN28" s="6"/>
      <c r="AO28" s="539"/>
      <c r="AP28" s="540"/>
      <c r="AQ28" s="540"/>
      <c r="AR28" s="540"/>
      <c r="AS28" s="540"/>
      <c r="AT28" s="540"/>
      <c r="AU28" s="541"/>
      <c r="AW28" s="536"/>
      <c r="AX28" s="537"/>
      <c r="AY28" s="537"/>
      <c r="AZ28" s="537"/>
      <c r="BA28" s="537"/>
      <c r="BB28" s="537"/>
      <c r="BC28" s="538"/>
      <c r="BD28" s="6"/>
      <c r="BE28" s="539"/>
      <c r="BF28" s="540"/>
      <c r="BG28" s="540"/>
      <c r="BH28" s="540"/>
      <c r="BI28" s="540"/>
      <c r="BJ28" s="540"/>
      <c r="BK28" s="541"/>
    </row>
    <row r="29" spans="1:68" ht="5.25" customHeight="1" x14ac:dyDescent="0.25">
      <c r="A29" s="536"/>
      <c r="B29" s="537"/>
      <c r="C29" s="537"/>
      <c r="D29" s="537"/>
      <c r="E29" s="537"/>
      <c r="F29" s="537"/>
      <c r="G29" s="538"/>
      <c r="H29" s="6"/>
      <c r="I29" s="539"/>
      <c r="J29" s="540"/>
      <c r="K29" s="540"/>
      <c r="L29" s="540"/>
      <c r="M29" s="540"/>
      <c r="N29" s="540"/>
      <c r="O29" s="541"/>
      <c r="Q29" s="536"/>
      <c r="R29" s="537"/>
      <c r="S29" s="537"/>
      <c r="T29" s="537"/>
      <c r="U29" s="537"/>
      <c r="V29" s="537"/>
      <c r="W29" s="538"/>
      <c r="X29" s="6"/>
      <c r="Y29" s="539"/>
      <c r="Z29" s="540"/>
      <c r="AA29" s="540"/>
      <c r="AB29" s="540"/>
      <c r="AC29" s="540"/>
      <c r="AD29" s="540"/>
      <c r="AE29" s="541"/>
      <c r="AG29" s="536"/>
      <c r="AH29" s="537"/>
      <c r="AI29" s="537"/>
      <c r="AJ29" s="537"/>
      <c r="AK29" s="537"/>
      <c r="AL29" s="537"/>
      <c r="AM29" s="538"/>
      <c r="AN29" s="6"/>
      <c r="AO29" s="539"/>
      <c r="AP29" s="540"/>
      <c r="AQ29" s="540"/>
      <c r="AR29" s="540"/>
      <c r="AS29" s="540"/>
      <c r="AT29" s="540"/>
      <c r="AU29" s="541"/>
      <c r="AW29" s="536"/>
      <c r="AX29" s="537"/>
      <c r="AY29" s="537"/>
      <c r="AZ29" s="537"/>
      <c r="BA29" s="537"/>
      <c r="BB29" s="537"/>
      <c r="BC29" s="538"/>
      <c r="BD29" s="6"/>
      <c r="BE29" s="539"/>
      <c r="BF29" s="540"/>
      <c r="BG29" s="540"/>
      <c r="BH29" s="540"/>
      <c r="BI29" s="540"/>
      <c r="BJ29" s="540"/>
      <c r="BK29" s="541"/>
    </row>
    <row r="30" spans="1:68" ht="16.350000000000001" customHeight="1" x14ac:dyDescent="0.25">
      <c r="A30" s="536" t="s">
        <v>72</v>
      </c>
      <c r="B30" s="537"/>
      <c r="C30" s="537"/>
      <c r="D30" s="537"/>
      <c r="E30" s="537"/>
      <c r="F30" s="537"/>
      <c r="G30" s="538"/>
      <c r="H30" s="6"/>
      <c r="I30" s="539"/>
      <c r="J30" s="540"/>
      <c r="K30" s="540"/>
      <c r="L30" s="540"/>
      <c r="M30" s="540"/>
      <c r="N30" s="540"/>
      <c r="O30" s="541"/>
      <c r="Q30" s="536" t="s">
        <v>72</v>
      </c>
      <c r="R30" s="537"/>
      <c r="S30" s="537"/>
      <c r="T30" s="537"/>
      <c r="U30" s="537"/>
      <c r="V30" s="537"/>
      <c r="W30" s="538"/>
      <c r="X30" s="6"/>
      <c r="Y30" s="539"/>
      <c r="Z30" s="540"/>
      <c r="AA30" s="540"/>
      <c r="AB30" s="540"/>
      <c r="AC30" s="540"/>
      <c r="AD30" s="540"/>
      <c r="AE30" s="541"/>
      <c r="AG30" s="536" t="s">
        <v>72</v>
      </c>
      <c r="AH30" s="537"/>
      <c r="AI30" s="537"/>
      <c r="AJ30" s="537"/>
      <c r="AK30" s="537"/>
      <c r="AL30" s="537"/>
      <c r="AM30" s="538"/>
      <c r="AN30" s="6"/>
      <c r="AO30" s="539"/>
      <c r="AP30" s="540"/>
      <c r="AQ30" s="540"/>
      <c r="AR30" s="540"/>
      <c r="AS30" s="540"/>
      <c r="AT30" s="540"/>
      <c r="AU30" s="541"/>
      <c r="AW30" s="536" t="s">
        <v>72</v>
      </c>
      <c r="AX30" s="537"/>
      <c r="AY30" s="537"/>
      <c r="AZ30" s="537"/>
      <c r="BA30" s="537"/>
      <c r="BB30" s="537"/>
      <c r="BC30" s="538"/>
      <c r="BD30" s="6"/>
      <c r="BE30" s="539"/>
      <c r="BF30" s="540"/>
      <c r="BG30" s="540"/>
      <c r="BH30" s="540"/>
      <c r="BI30" s="540"/>
      <c r="BJ30" s="540"/>
      <c r="BK30" s="541"/>
    </row>
    <row r="31" spans="1:68" ht="15" customHeight="1" thickBot="1" x14ac:dyDescent="0.3">
      <c r="A31" s="542"/>
      <c r="B31" s="543"/>
      <c r="C31" s="543"/>
      <c r="D31" s="543"/>
      <c r="E31" s="543"/>
      <c r="F31" s="543"/>
      <c r="G31" s="544"/>
      <c r="H31" s="6"/>
      <c r="I31" s="521" t="s">
        <v>73</v>
      </c>
      <c r="J31" s="522"/>
      <c r="K31" s="522"/>
      <c r="L31" s="522"/>
      <c r="M31" s="522"/>
      <c r="N31" s="522"/>
      <c r="O31" s="523"/>
      <c r="Q31" s="542"/>
      <c r="R31" s="543"/>
      <c r="S31" s="543"/>
      <c r="T31" s="543"/>
      <c r="U31" s="543"/>
      <c r="V31" s="543"/>
      <c r="W31" s="544"/>
      <c r="X31" s="6"/>
      <c r="Y31" s="521" t="s">
        <v>73</v>
      </c>
      <c r="Z31" s="522"/>
      <c r="AA31" s="522"/>
      <c r="AB31" s="522"/>
      <c r="AC31" s="522"/>
      <c r="AD31" s="522"/>
      <c r="AE31" s="523"/>
      <c r="AG31" s="542"/>
      <c r="AH31" s="543"/>
      <c r="AI31" s="543"/>
      <c r="AJ31" s="543"/>
      <c r="AK31" s="543"/>
      <c r="AL31" s="543"/>
      <c r="AM31" s="544"/>
      <c r="AN31" s="6"/>
      <c r="AO31" s="521" t="s">
        <v>73</v>
      </c>
      <c r="AP31" s="522"/>
      <c r="AQ31" s="522"/>
      <c r="AR31" s="522"/>
      <c r="AS31" s="522"/>
      <c r="AT31" s="522"/>
      <c r="AU31" s="523"/>
      <c r="AW31" s="542"/>
      <c r="AX31" s="543"/>
      <c r="AY31" s="543"/>
      <c r="AZ31" s="543"/>
      <c r="BA31" s="543"/>
      <c r="BB31" s="543"/>
      <c r="BC31" s="544"/>
      <c r="BD31" s="6"/>
      <c r="BE31" s="521" t="s">
        <v>73</v>
      </c>
      <c r="BF31" s="522"/>
      <c r="BG31" s="522"/>
      <c r="BH31" s="522"/>
      <c r="BI31" s="522"/>
      <c r="BJ31" s="522"/>
      <c r="BK31" s="523"/>
    </row>
    <row r="32" spans="1:68" ht="16.350000000000001" customHeight="1" thickTop="1" x14ac:dyDescent="0.25">
      <c r="A32" s="139"/>
      <c r="B32" s="151"/>
      <c r="C32" s="6"/>
      <c r="D32" s="6"/>
      <c r="E32" s="6"/>
      <c r="F32" s="6"/>
      <c r="G32" s="6"/>
      <c r="H32" s="6"/>
      <c r="I32" s="527" t="s">
        <v>74</v>
      </c>
      <c r="J32" s="528"/>
      <c r="K32" s="528"/>
      <c r="L32" s="528"/>
      <c r="M32" s="528"/>
      <c r="N32" s="528"/>
      <c r="O32" s="529"/>
      <c r="Q32" s="139"/>
      <c r="R32" s="6"/>
      <c r="S32" s="6"/>
      <c r="T32" s="6"/>
      <c r="U32" s="6"/>
      <c r="V32" s="6"/>
      <c r="W32" s="6"/>
      <c r="X32" s="6"/>
      <c r="Y32" s="527" t="s">
        <v>74</v>
      </c>
      <c r="Z32" s="528"/>
      <c r="AA32" s="528"/>
      <c r="AB32" s="528"/>
      <c r="AC32" s="528"/>
      <c r="AD32" s="528"/>
      <c r="AE32" s="529"/>
      <c r="AG32" s="139"/>
      <c r="AH32" s="6"/>
      <c r="AI32" s="6"/>
      <c r="AJ32" s="6"/>
      <c r="AK32" s="6"/>
      <c r="AL32" s="6"/>
      <c r="AM32" s="6"/>
      <c r="AN32" s="6"/>
      <c r="AO32" s="527" t="s">
        <v>74</v>
      </c>
      <c r="AP32" s="528"/>
      <c r="AQ32" s="528"/>
      <c r="AR32" s="528"/>
      <c r="AS32" s="528"/>
      <c r="AT32" s="528"/>
      <c r="AU32" s="529"/>
      <c r="AW32" s="139"/>
      <c r="AX32" s="6"/>
      <c r="AY32" s="6"/>
      <c r="AZ32" s="6"/>
      <c r="BA32" s="6"/>
      <c r="BB32" s="6"/>
      <c r="BC32" s="6"/>
      <c r="BD32" s="6"/>
      <c r="BE32" s="527" t="s">
        <v>74</v>
      </c>
      <c r="BF32" s="528"/>
      <c r="BG32" s="528"/>
      <c r="BH32" s="528"/>
      <c r="BI32" s="528"/>
      <c r="BJ32" s="528"/>
      <c r="BK32" s="529"/>
    </row>
    <row r="33" spans="1:63" ht="16.350000000000001" customHeight="1" thickBot="1" x14ac:dyDescent="0.3">
      <c r="A33" s="139"/>
      <c r="B33" s="151"/>
      <c r="C33" s="6"/>
      <c r="D33" s="6"/>
      <c r="E33" s="6"/>
      <c r="F33" s="6"/>
      <c r="G33" s="6"/>
      <c r="H33" s="67"/>
      <c r="I33" s="527"/>
      <c r="J33" s="528"/>
      <c r="K33" s="528"/>
      <c r="L33" s="528"/>
      <c r="M33" s="528"/>
      <c r="N33" s="528"/>
      <c r="O33" s="529"/>
      <c r="Q33" s="139"/>
      <c r="R33" s="6"/>
      <c r="S33" s="6"/>
      <c r="T33" s="6"/>
      <c r="U33" s="6"/>
      <c r="V33" s="6"/>
      <c r="W33" s="6"/>
      <c r="X33" s="67"/>
      <c r="Y33" s="527"/>
      <c r="Z33" s="528"/>
      <c r="AA33" s="528"/>
      <c r="AB33" s="528"/>
      <c r="AC33" s="528"/>
      <c r="AD33" s="528"/>
      <c r="AE33" s="529"/>
      <c r="AG33" s="139"/>
      <c r="AH33" s="6"/>
      <c r="AI33" s="6"/>
      <c r="AJ33" s="6"/>
      <c r="AK33" s="6"/>
      <c r="AL33" s="6"/>
      <c r="AM33" s="6"/>
      <c r="AN33" s="67"/>
      <c r="AO33" s="527"/>
      <c r="AP33" s="528"/>
      <c r="AQ33" s="528"/>
      <c r="AR33" s="528"/>
      <c r="AS33" s="528"/>
      <c r="AT33" s="528"/>
      <c r="AU33" s="529"/>
      <c r="AW33" s="139"/>
      <c r="AX33" s="6"/>
      <c r="AY33" s="6"/>
      <c r="AZ33" s="6"/>
      <c r="BA33" s="6"/>
      <c r="BB33" s="6"/>
      <c r="BC33" s="6"/>
      <c r="BD33" s="67"/>
      <c r="BE33" s="527"/>
      <c r="BF33" s="528"/>
      <c r="BG33" s="528"/>
      <c r="BH33" s="528"/>
      <c r="BI33" s="528"/>
      <c r="BJ33" s="528"/>
      <c r="BK33" s="529"/>
    </row>
    <row r="34" spans="1:63" ht="16.350000000000001" customHeight="1" thickTop="1" x14ac:dyDescent="0.25">
      <c r="A34" s="139"/>
      <c r="B34" s="519" t="s">
        <v>75</v>
      </c>
      <c r="C34" s="520"/>
      <c r="D34" s="520"/>
      <c r="E34" s="520"/>
      <c r="F34" s="35"/>
      <c r="G34" s="35"/>
      <c r="H34" s="36"/>
      <c r="I34" s="521" t="s">
        <v>76</v>
      </c>
      <c r="J34" s="522"/>
      <c r="K34" s="522"/>
      <c r="L34" s="522"/>
      <c r="M34" s="522"/>
      <c r="N34" s="522"/>
      <c r="O34" s="523"/>
      <c r="Q34" s="139"/>
      <c r="R34" s="519" t="s">
        <v>75</v>
      </c>
      <c r="S34" s="520"/>
      <c r="T34" s="520"/>
      <c r="U34" s="520"/>
      <c r="V34" s="35"/>
      <c r="W34" s="35"/>
      <c r="X34" s="36"/>
      <c r="Y34" s="521" t="s">
        <v>76</v>
      </c>
      <c r="Z34" s="522"/>
      <c r="AA34" s="522"/>
      <c r="AB34" s="522"/>
      <c r="AC34" s="522"/>
      <c r="AD34" s="522"/>
      <c r="AE34" s="523"/>
      <c r="AG34" s="139"/>
      <c r="AH34" s="519" t="s">
        <v>75</v>
      </c>
      <c r="AI34" s="520"/>
      <c r="AJ34" s="520"/>
      <c r="AK34" s="520"/>
      <c r="AL34" s="35"/>
      <c r="AM34" s="35"/>
      <c r="AN34" s="36"/>
      <c r="AO34" s="521" t="s">
        <v>76</v>
      </c>
      <c r="AP34" s="522"/>
      <c r="AQ34" s="522"/>
      <c r="AR34" s="522"/>
      <c r="AS34" s="522"/>
      <c r="AT34" s="522"/>
      <c r="AU34" s="523"/>
      <c r="AW34" s="139"/>
      <c r="AX34" s="519" t="s">
        <v>75</v>
      </c>
      <c r="AY34" s="520"/>
      <c r="AZ34" s="520"/>
      <c r="BA34" s="520"/>
      <c r="BB34" s="35"/>
      <c r="BC34" s="35"/>
      <c r="BD34" s="36"/>
      <c r="BE34" s="521" t="s">
        <v>76</v>
      </c>
      <c r="BF34" s="522"/>
      <c r="BG34" s="522"/>
      <c r="BH34" s="522"/>
      <c r="BI34" s="522"/>
      <c r="BJ34" s="522"/>
      <c r="BK34" s="523"/>
    </row>
    <row r="35" spans="1:63" ht="16.350000000000001" customHeight="1" x14ac:dyDescent="0.25">
      <c r="A35" s="139"/>
      <c r="B35" s="524" t="s">
        <v>77</v>
      </c>
      <c r="C35" s="525"/>
      <c r="D35" s="525"/>
      <c r="E35" s="525"/>
      <c r="F35" s="525"/>
      <c r="G35" s="525"/>
      <c r="H35" s="526"/>
      <c r="I35" s="527" t="s">
        <v>78</v>
      </c>
      <c r="J35" s="528"/>
      <c r="K35" s="528"/>
      <c r="L35" s="528"/>
      <c r="M35" s="528"/>
      <c r="N35" s="528"/>
      <c r="O35" s="529"/>
      <c r="Q35" s="139"/>
      <c r="R35" s="524" t="s">
        <v>77</v>
      </c>
      <c r="S35" s="525"/>
      <c r="T35" s="525"/>
      <c r="U35" s="525"/>
      <c r="V35" s="525"/>
      <c r="W35" s="525"/>
      <c r="X35" s="526"/>
      <c r="Y35" s="527" t="s">
        <v>78</v>
      </c>
      <c r="Z35" s="528"/>
      <c r="AA35" s="528"/>
      <c r="AB35" s="528"/>
      <c r="AC35" s="528"/>
      <c r="AD35" s="528"/>
      <c r="AE35" s="529"/>
      <c r="AG35" s="139"/>
      <c r="AH35" s="524" t="s">
        <v>77</v>
      </c>
      <c r="AI35" s="525"/>
      <c r="AJ35" s="525"/>
      <c r="AK35" s="525"/>
      <c r="AL35" s="525"/>
      <c r="AM35" s="525"/>
      <c r="AN35" s="526"/>
      <c r="AO35" s="527" t="s">
        <v>78</v>
      </c>
      <c r="AP35" s="528"/>
      <c r="AQ35" s="528"/>
      <c r="AR35" s="528"/>
      <c r="AS35" s="528"/>
      <c r="AT35" s="528"/>
      <c r="AU35" s="529"/>
      <c r="AW35" s="139"/>
      <c r="AX35" s="524" t="s">
        <v>77</v>
      </c>
      <c r="AY35" s="525"/>
      <c r="AZ35" s="525"/>
      <c r="BA35" s="525"/>
      <c r="BB35" s="525"/>
      <c r="BC35" s="525"/>
      <c r="BD35" s="526"/>
      <c r="BE35" s="527" t="s">
        <v>78</v>
      </c>
      <c r="BF35" s="528"/>
      <c r="BG35" s="528"/>
      <c r="BH35" s="528"/>
      <c r="BI35" s="528"/>
      <c r="BJ35" s="528"/>
      <c r="BK35" s="529"/>
    </row>
    <row r="36" spans="1:63" ht="16.350000000000001" customHeight="1" x14ac:dyDescent="0.25">
      <c r="A36" s="139"/>
      <c r="B36" s="530" t="s">
        <v>90</v>
      </c>
      <c r="C36" s="471"/>
      <c r="D36" s="471"/>
      <c r="E36" s="471"/>
      <c r="F36" s="471"/>
      <c r="G36" s="471"/>
      <c r="H36" s="472"/>
      <c r="I36" s="527"/>
      <c r="J36" s="528"/>
      <c r="K36" s="528"/>
      <c r="L36" s="528"/>
      <c r="M36" s="528"/>
      <c r="N36" s="528"/>
      <c r="O36" s="529"/>
      <c r="Q36" s="139"/>
      <c r="R36" s="530" t="s">
        <v>90</v>
      </c>
      <c r="S36" s="471"/>
      <c r="T36" s="471"/>
      <c r="U36" s="471"/>
      <c r="V36" s="471"/>
      <c r="W36" s="471"/>
      <c r="X36" s="472"/>
      <c r="Y36" s="527"/>
      <c r="Z36" s="528"/>
      <c r="AA36" s="528"/>
      <c r="AB36" s="528"/>
      <c r="AC36" s="528"/>
      <c r="AD36" s="528"/>
      <c r="AE36" s="529"/>
      <c r="AG36" s="139"/>
      <c r="AH36" s="530" t="s">
        <v>90</v>
      </c>
      <c r="AI36" s="471"/>
      <c r="AJ36" s="471"/>
      <c r="AK36" s="471"/>
      <c r="AL36" s="471"/>
      <c r="AM36" s="471"/>
      <c r="AN36" s="472"/>
      <c r="AO36" s="527"/>
      <c r="AP36" s="528"/>
      <c r="AQ36" s="528"/>
      <c r="AR36" s="528"/>
      <c r="AS36" s="528"/>
      <c r="AT36" s="528"/>
      <c r="AU36" s="529"/>
      <c r="AW36" s="139"/>
      <c r="AX36" s="530" t="s">
        <v>90</v>
      </c>
      <c r="AY36" s="471"/>
      <c r="AZ36" s="471"/>
      <c r="BA36" s="471"/>
      <c r="BB36" s="471"/>
      <c r="BC36" s="471"/>
      <c r="BD36" s="472"/>
      <c r="BE36" s="527"/>
      <c r="BF36" s="528"/>
      <c r="BG36" s="528"/>
      <c r="BH36" s="528"/>
      <c r="BI36" s="528"/>
      <c r="BJ36" s="528"/>
      <c r="BK36" s="529"/>
    </row>
    <row r="37" spans="1:63" ht="16.350000000000001" customHeight="1" x14ac:dyDescent="0.25">
      <c r="A37" s="139"/>
      <c r="B37" s="530"/>
      <c r="C37" s="471"/>
      <c r="D37" s="471"/>
      <c r="E37" s="471"/>
      <c r="F37" s="471"/>
      <c r="G37" s="471"/>
      <c r="H37" s="472"/>
      <c r="I37" s="528" t="s">
        <v>79</v>
      </c>
      <c r="J37" s="528"/>
      <c r="K37" s="528"/>
      <c r="L37" s="528"/>
      <c r="M37" s="528"/>
      <c r="N37" s="528"/>
      <c r="O37" s="529"/>
      <c r="Q37" s="139"/>
      <c r="R37" s="530"/>
      <c r="S37" s="471"/>
      <c r="T37" s="471"/>
      <c r="U37" s="471"/>
      <c r="V37" s="471"/>
      <c r="W37" s="471"/>
      <c r="X37" s="472"/>
      <c r="Y37" s="528" t="s">
        <v>79</v>
      </c>
      <c r="Z37" s="528"/>
      <c r="AA37" s="528"/>
      <c r="AB37" s="528"/>
      <c r="AC37" s="528"/>
      <c r="AD37" s="528"/>
      <c r="AE37" s="529"/>
      <c r="AG37" s="139"/>
      <c r="AH37" s="530"/>
      <c r="AI37" s="471"/>
      <c r="AJ37" s="471"/>
      <c r="AK37" s="471"/>
      <c r="AL37" s="471"/>
      <c r="AM37" s="471"/>
      <c r="AN37" s="472"/>
      <c r="AO37" s="528" t="s">
        <v>79</v>
      </c>
      <c r="AP37" s="528"/>
      <c r="AQ37" s="528"/>
      <c r="AR37" s="528"/>
      <c r="AS37" s="528"/>
      <c r="AT37" s="528"/>
      <c r="AU37" s="529"/>
      <c r="AW37" s="139"/>
      <c r="AX37" s="530"/>
      <c r="AY37" s="471"/>
      <c r="AZ37" s="471"/>
      <c r="BA37" s="471"/>
      <c r="BB37" s="471"/>
      <c r="BC37" s="471"/>
      <c r="BD37" s="472"/>
      <c r="BE37" s="528" t="s">
        <v>79</v>
      </c>
      <c r="BF37" s="528"/>
      <c r="BG37" s="528"/>
      <c r="BH37" s="528"/>
      <c r="BI37" s="528"/>
      <c r="BJ37" s="528"/>
      <c r="BK37" s="529"/>
    </row>
    <row r="38" spans="1:63" ht="16.350000000000001" customHeight="1" thickBot="1" x14ac:dyDescent="0.3">
      <c r="A38" s="139"/>
      <c r="B38" s="531"/>
      <c r="C38" s="532"/>
      <c r="D38" s="532"/>
      <c r="E38" s="532"/>
      <c r="F38" s="532"/>
      <c r="G38" s="532"/>
      <c r="H38" s="533"/>
      <c r="I38" s="534"/>
      <c r="J38" s="534"/>
      <c r="K38" s="534"/>
      <c r="L38" s="534"/>
      <c r="M38" s="534"/>
      <c r="N38" s="534"/>
      <c r="O38" s="535"/>
      <c r="Q38" s="139"/>
      <c r="R38" s="531"/>
      <c r="S38" s="532"/>
      <c r="T38" s="532"/>
      <c r="U38" s="532"/>
      <c r="V38" s="532"/>
      <c r="W38" s="532"/>
      <c r="X38" s="533"/>
      <c r="Y38" s="534"/>
      <c r="Z38" s="534"/>
      <c r="AA38" s="534"/>
      <c r="AB38" s="534"/>
      <c r="AC38" s="534"/>
      <c r="AD38" s="534"/>
      <c r="AE38" s="535"/>
      <c r="AG38" s="139"/>
      <c r="AH38" s="531"/>
      <c r="AI38" s="532"/>
      <c r="AJ38" s="532"/>
      <c r="AK38" s="532"/>
      <c r="AL38" s="532"/>
      <c r="AM38" s="532"/>
      <c r="AN38" s="533"/>
      <c r="AO38" s="534"/>
      <c r="AP38" s="534"/>
      <c r="AQ38" s="534"/>
      <c r="AR38" s="534"/>
      <c r="AS38" s="534"/>
      <c r="AT38" s="534"/>
      <c r="AU38" s="535"/>
      <c r="AW38" s="139"/>
      <c r="AX38" s="531"/>
      <c r="AY38" s="532"/>
      <c r="AZ38" s="532"/>
      <c r="BA38" s="532"/>
      <c r="BB38" s="532"/>
      <c r="BC38" s="532"/>
      <c r="BD38" s="533"/>
      <c r="BE38" s="534"/>
      <c r="BF38" s="534"/>
      <c r="BG38" s="534"/>
      <c r="BH38" s="534"/>
      <c r="BI38" s="534"/>
      <c r="BJ38" s="534"/>
      <c r="BK38" s="535"/>
    </row>
    <row r="39" spans="1:63" ht="16.350000000000001" customHeight="1" thickTop="1" thickBot="1" x14ac:dyDescent="0.3">
      <c r="A39" s="140"/>
      <c r="B39" s="152"/>
      <c r="C39" s="515"/>
      <c r="D39" s="515"/>
      <c r="E39" s="515"/>
      <c r="F39" s="515"/>
      <c r="G39" s="515"/>
      <c r="H39" s="37"/>
      <c r="I39" s="38"/>
      <c r="J39" s="38"/>
      <c r="K39" s="38"/>
      <c r="L39" s="38"/>
      <c r="M39" s="110"/>
      <c r="N39" s="158"/>
      <c r="O39" s="159"/>
      <c r="P39" s="65"/>
      <c r="Q39" s="140"/>
      <c r="R39" s="37"/>
      <c r="S39" s="515"/>
      <c r="T39" s="515"/>
      <c r="U39" s="515"/>
      <c r="V39" s="515"/>
      <c r="W39" s="515"/>
      <c r="X39" s="37"/>
      <c r="Y39" s="38"/>
      <c r="Z39" s="38"/>
      <c r="AA39" s="38"/>
      <c r="AB39" s="38"/>
      <c r="AC39" s="110"/>
      <c r="AD39" s="110"/>
      <c r="AE39" s="111"/>
      <c r="AG39" s="140"/>
      <c r="AH39" s="37"/>
      <c r="AI39" s="515"/>
      <c r="AJ39" s="515"/>
      <c r="AK39" s="515"/>
      <c r="AL39" s="515"/>
      <c r="AM39" s="515"/>
      <c r="AN39" s="37"/>
      <c r="AO39" s="38"/>
      <c r="AP39" s="38"/>
      <c r="AQ39" s="38"/>
      <c r="AR39" s="38"/>
      <c r="AS39" s="110"/>
      <c r="AT39" s="110"/>
      <c r="AU39" s="111"/>
      <c r="AW39" s="140"/>
      <c r="AX39" s="37"/>
      <c r="AY39" s="515"/>
      <c r="AZ39" s="515"/>
      <c r="BA39" s="515"/>
      <c r="BB39" s="515"/>
      <c r="BC39" s="515"/>
      <c r="BD39" s="37"/>
      <c r="BE39" s="38"/>
      <c r="BF39" s="38"/>
      <c r="BG39" s="38"/>
      <c r="BH39" s="38"/>
      <c r="BI39" s="110"/>
      <c r="BJ39" s="110"/>
      <c r="BK39" s="111"/>
    </row>
    <row r="40" spans="1:63" ht="16.2" thickTop="1" thickBot="1" x14ac:dyDescent="0.3">
      <c r="D40" s="61"/>
      <c r="E40" s="61"/>
      <c r="T40" s="61"/>
      <c r="U40" s="61"/>
      <c r="AJ40" s="61"/>
      <c r="AK40" s="61"/>
      <c r="AZ40" s="61"/>
      <c r="BA40" s="61"/>
    </row>
    <row r="41" spans="1:63" ht="24.9" customHeight="1" thickTop="1" x14ac:dyDescent="0.25">
      <c r="A41" s="569" t="s">
        <v>80</v>
      </c>
      <c r="B41" s="570"/>
      <c r="C41" s="570"/>
      <c r="D41" s="466" t="str">
        <f>ادخال1!$L$4</f>
        <v>الثالث</v>
      </c>
      <c r="E41" s="466"/>
      <c r="F41" s="554" t="s">
        <v>81</v>
      </c>
      <c r="G41" s="554"/>
      <c r="H41" s="554"/>
      <c r="I41" s="11"/>
      <c r="J41" s="11"/>
      <c r="K41" s="11"/>
      <c r="L41" s="11"/>
      <c r="M41" s="103"/>
      <c r="N41" s="103"/>
      <c r="O41" s="104">
        <f>O1+1</f>
        <v>2</v>
      </c>
      <c r="Q41" s="569" t="s">
        <v>80</v>
      </c>
      <c r="R41" s="570"/>
      <c r="S41" s="570"/>
      <c r="T41" s="466" t="str">
        <f>ادخال1!$L$4</f>
        <v>الثالث</v>
      </c>
      <c r="U41" s="466"/>
      <c r="V41" s="554" t="s">
        <v>81</v>
      </c>
      <c r="W41" s="554"/>
      <c r="X41" s="554"/>
      <c r="Y41" s="11"/>
      <c r="Z41" s="11"/>
      <c r="AA41" s="11"/>
      <c r="AB41" s="11"/>
      <c r="AC41" s="103"/>
      <c r="AD41" s="103"/>
      <c r="AE41" s="104">
        <f>AE1+1</f>
        <v>7</v>
      </c>
      <c r="AG41" s="569" t="s">
        <v>80</v>
      </c>
      <c r="AH41" s="570"/>
      <c r="AI41" s="570"/>
      <c r="AJ41" s="466" t="str">
        <f>ادخال1!$L$4</f>
        <v>الثالث</v>
      </c>
      <c r="AK41" s="466"/>
      <c r="AL41" s="554" t="s">
        <v>81</v>
      </c>
      <c r="AM41" s="554"/>
      <c r="AN41" s="554"/>
      <c r="AO41" s="11"/>
      <c r="AP41" s="11"/>
      <c r="AQ41" s="11"/>
      <c r="AR41" s="11"/>
      <c r="AS41" s="103"/>
      <c r="AT41" s="103"/>
      <c r="AU41" s="104">
        <f>AU1+1</f>
        <v>12</v>
      </c>
      <c r="AW41" s="569" t="s">
        <v>80</v>
      </c>
      <c r="AX41" s="570"/>
      <c r="AY41" s="570"/>
      <c r="AZ41" s="466" t="str">
        <f>ادخال1!$L$4</f>
        <v>الثالث</v>
      </c>
      <c r="BA41" s="466"/>
      <c r="BB41" s="554" t="s">
        <v>81</v>
      </c>
      <c r="BC41" s="554"/>
      <c r="BD41" s="554"/>
      <c r="BE41" s="11"/>
      <c r="BF41" s="11"/>
      <c r="BG41" s="11"/>
      <c r="BH41" s="11"/>
      <c r="BI41" s="103"/>
      <c r="BJ41" s="103"/>
      <c r="BK41" s="104">
        <f>BK1+1</f>
        <v>17</v>
      </c>
    </row>
    <row r="42" spans="1:63" ht="24.9" customHeight="1" thickBot="1" x14ac:dyDescent="0.3">
      <c r="A42" s="260" t="s">
        <v>153</v>
      </c>
      <c r="B42" s="488" t="str">
        <f>ادخال1!$B$5</f>
        <v>سهول العلم للتعليم الخاص</v>
      </c>
      <c r="C42" s="488"/>
      <c r="D42" s="488"/>
      <c r="E42" s="488"/>
      <c r="F42" s="488"/>
      <c r="G42" s="488"/>
      <c r="H42" s="555" t="s">
        <v>9</v>
      </c>
      <c r="I42" s="555"/>
      <c r="J42" s="556" t="str">
        <f>M56</f>
        <v>إيلاف نورالدين عياد حسين</v>
      </c>
      <c r="K42" s="556"/>
      <c r="L42" s="556"/>
      <c r="M42" s="556"/>
      <c r="N42" s="556"/>
      <c r="O42" s="153"/>
      <c r="Q42" s="260" t="s">
        <v>153</v>
      </c>
      <c r="R42" s="488" t="str">
        <f>ادخال1!$B$5</f>
        <v>سهول العلم للتعليم الخاص</v>
      </c>
      <c r="S42" s="488"/>
      <c r="T42" s="488"/>
      <c r="U42" s="488"/>
      <c r="V42" s="488"/>
      <c r="W42" s="488"/>
      <c r="X42" s="555" t="s">
        <v>9</v>
      </c>
      <c r="Y42" s="555"/>
      <c r="Z42" s="556" t="str">
        <f>AC56</f>
        <v>عبدالقدوس عزالدين سالم ادريدر</v>
      </c>
      <c r="AA42" s="556"/>
      <c r="AB42" s="556"/>
      <c r="AC42" s="556"/>
      <c r="AD42" s="556"/>
      <c r="AE42" s="153"/>
      <c r="AG42" s="260" t="s">
        <v>153</v>
      </c>
      <c r="AH42" s="488" t="str">
        <f>ادخال1!$B$5</f>
        <v>سهول العلم للتعليم الخاص</v>
      </c>
      <c r="AI42" s="488"/>
      <c r="AJ42" s="488"/>
      <c r="AK42" s="488"/>
      <c r="AL42" s="488"/>
      <c r="AM42" s="488"/>
      <c r="AN42" s="555" t="s">
        <v>9</v>
      </c>
      <c r="AO42" s="555"/>
      <c r="AP42" s="556" t="str">
        <f>AS56</f>
        <v>مناف عبد اللطيف ضويلة القنوش</v>
      </c>
      <c r="AQ42" s="556"/>
      <c r="AR42" s="556"/>
      <c r="AS42" s="556"/>
      <c r="AT42" s="556"/>
      <c r="AU42" s="153"/>
      <c r="AW42" s="260" t="s">
        <v>153</v>
      </c>
      <c r="AX42" s="488" t="str">
        <f>ادخال1!$B$5</f>
        <v>سهول العلم للتعليم الخاص</v>
      </c>
      <c r="AY42" s="488"/>
      <c r="AZ42" s="488"/>
      <c r="BA42" s="488"/>
      <c r="BB42" s="488"/>
      <c r="BC42" s="488"/>
      <c r="BD42" s="555" t="s">
        <v>9</v>
      </c>
      <c r="BE42" s="555"/>
      <c r="BF42" s="556">
        <f>BI56</f>
        <v>0</v>
      </c>
      <c r="BG42" s="556"/>
      <c r="BH42" s="556"/>
      <c r="BI42" s="556"/>
      <c r="BJ42" s="556"/>
      <c r="BK42" s="153"/>
    </row>
    <row r="43" spans="1:63" ht="18.600000000000001" customHeight="1" thickBot="1" x14ac:dyDescent="0.3">
      <c r="A43" s="132" t="s">
        <v>45</v>
      </c>
      <c r="B43" s="512" t="s">
        <v>12</v>
      </c>
      <c r="C43" s="557" t="s">
        <v>46</v>
      </c>
      <c r="D43" s="558"/>
      <c r="E43" s="559" t="s">
        <v>47</v>
      </c>
      <c r="F43" s="559"/>
      <c r="G43" s="560" t="s">
        <v>48</v>
      </c>
      <c r="H43" s="561"/>
      <c r="I43" s="575" t="s">
        <v>49</v>
      </c>
      <c r="J43" s="576"/>
      <c r="K43" s="577"/>
      <c r="L43" s="26"/>
      <c r="M43" s="572" t="s">
        <v>50</v>
      </c>
      <c r="N43" s="573"/>
      <c r="O43" s="574"/>
      <c r="Q43" s="132" t="s">
        <v>45</v>
      </c>
      <c r="R43" s="512" t="s">
        <v>12</v>
      </c>
      <c r="S43" s="557" t="s">
        <v>46</v>
      </c>
      <c r="T43" s="558"/>
      <c r="U43" s="559" t="s">
        <v>47</v>
      </c>
      <c r="V43" s="559"/>
      <c r="W43" s="560" t="s">
        <v>48</v>
      </c>
      <c r="X43" s="561"/>
      <c r="Y43" s="575" t="s">
        <v>49</v>
      </c>
      <c r="Z43" s="576"/>
      <c r="AA43" s="577"/>
      <c r="AB43" s="26"/>
      <c r="AC43" s="572" t="s">
        <v>50</v>
      </c>
      <c r="AD43" s="573"/>
      <c r="AE43" s="574"/>
      <c r="AG43" s="132" t="s">
        <v>45</v>
      </c>
      <c r="AH43" s="512" t="s">
        <v>12</v>
      </c>
      <c r="AI43" s="557" t="s">
        <v>46</v>
      </c>
      <c r="AJ43" s="558"/>
      <c r="AK43" s="559" t="s">
        <v>47</v>
      </c>
      <c r="AL43" s="559"/>
      <c r="AM43" s="560" t="s">
        <v>48</v>
      </c>
      <c r="AN43" s="561"/>
      <c r="AO43" s="575" t="s">
        <v>49</v>
      </c>
      <c r="AP43" s="576"/>
      <c r="AQ43" s="577"/>
      <c r="AR43" s="26"/>
      <c r="AS43" s="572" t="s">
        <v>50</v>
      </c>
      <c r="AT43" s="573"/>
      <c r="AU43" s="574"/>
      <c r="AW43" s="132" t="s">
        <v>45</v>
      </c>
      <c r="AX43" s="512" t="s">
        <v>12</v>
      </c>
      <c r="AY43" s="557" t="s">
        <v>46</v>
      </c>
      <c r="AZ43" s="558"/>
      <c r="BA43" s="559" t="s">
        <v>47</v>
      </c>
      <c r="BB43" s="559"/>
      <c r="BC43" s="560" t="s">
        <v>48</v>
      </c>
      <c r="BD43" s="561"/>
      <c r="BE43" s="575" t="s">
        <v>49</v>
      </c>
      <c r="BF43" s="576"/>
      <c r="BG43" s="577"/>
      <c r="BH43" s="26"/>
      <c r="BI43" s="572" t="s">
        <v>50</v>
      </c>
      <c r="BJ43" s="573"/>
      <c r="BK43" s="574"/>
    </row>
    <row r="44" spans="1:63" ht="24.9" customHeight="1" x14ac:dyDescent="0.25">
      <c r="A44" s="56" t="s">
        <v>2</v>
      </c>
      <c r="B44" s="513"/>
      <c r="C44" s="51" t="s">
        <v>51</v>
      </c>
      <c r="D44" s="52" t="s">
        <v>52</v>
      </c>
      <c r="E44" s="53" t="s">
        <v>51</v>
      </c>
      <c r="F44" s="54" t="s">
        <v>52</v>
      </c>
      <c r="G44" s="51" t="s">
        <v>51</v>
      </c>
      <c r="H44" s="52" t="s">
        <v>52</v>
      </c>
      <c r="I44" s="51" t="s">
        <v>53</v>
      </c>
      <c r="J44" s="55" t="s">
        <v>54</v>
      </c>
      <c r="K44" s="52" t="s">
        <v>52</v>
      </c>
      <c r="L44" s="10"/>
      <c r="M44" s="119" t="s">
        <v>109</v>
      </c>
      <c r="N44" s="489" t="str">
        <f>IF(D51=0,"",IF(AND(D45&gt;=C45*0.4,D46&gt;=C46*0.4,D47&gt;=C47*0.4,D48&gt;=C48*0.4,D49&gt;=C49*0.4),LOOKUP(D51,$BO$15:$BP$19),"ضعيف ويحتاج الى اهتمام في المواد"))</f>
        <v>ممتاز</v>
      </c>
      <c r="O44" s="565"/>
      <c r="Q44" s="56" t="s">
        <v>2</v>
      </c>
      <c r="R44" s="513"/>
      <c r="S44" s="51" t="s">
        <v>51</v>
      </c>
      <c r="T44" s="52" t="s">
        <v>52</v>
      </c>
      <c r="U44" s="53" t="s">
        <v>51</v>
      </c>
      <c r="V44" s="54" t="s">
        <v>52</v>
      </c>
      <c r="W44" s="51" t="s">
        <v>51</v>
      </c>
      <c r="X44" s="52" t="s">
        <v>52</v>
      </c>
      <c r="Y44" s="51" t="s">
        <v>53</v>
      </c>
      <c r="Z44" s="55" t="s">
        <v>54</v>
      </c>
      <c r="AA44" s="52" t="s">
        <v>52</v>
      </c>
      <c r="AB44" s="10"/>
      <c r="AC44" s="119" t="s">
        <v>109</v>
      </c>
      <c r="AD44" s="489" t="str">
        <f>IF(T51=0,"",IF(AND(T45&gt;=S45*0.4,T46&gt;=S46*0.4,T47&gt;=S47*0.4,T48&gt;=S48*0.4,T49&gt;=S49*0.4),LOOKUP(T51,$BO$15:$BP$19),"ضعيف ويحتاج الى اهتمام في المواد"))</f>
        <v>ممتاز</v>
      </c>
      <c r="AE44" s="565"/>
      <c r="AG44" s="56" t="s">
        <v>2</v>
      </c>
      <c r="AH44" s="513"/>
      <c r="AI44" s="51" t="s">
        <v>51</v>
      </c>
      <c r="AJ44" s="52" t="s">
        <v>52</v>
      </c>
      <c r="AK44" s="53" t="s">
        <v>51</v>
      </c>
      <c r="AL44" s="54" t="s">
        <v>52</v>
      </c>
      <c r="AM44" s="51" t="s">
        <v>51</v>
      </c>
      <c r="AN44" s="52" t="s">
        <v>52</v>
      </c>
      <c r="AO44" s="51" t="s">
        <v>53</v>
      </c>
      <c r="AP44" s="55" t="s">
        <v>54</v>
      </c>
      <c r="AQ44" s="52" t="s">
        <v>52</v>
      </c>
      <c r="AR44" s="10"/>
      <c r="AS44" s="119" t="s">
        <v>109</v>
      </c>
      <c r="AT44" s="489" t="str">
        <f>IF(AJ51=0,"",IF(AND(AJ45&gt;=AI45*0.4,AJ46&gt;=AI46*0.4,AJ47&gt;=AI47*0.4,AJ48&gt;=AI48*0.4,AJ49&gt;=AI49*0.4),LOOKUP(AJ51,$BO$15:$BP$19),"ضعيف ويحتاج الى اهتمام في المواد"))</f>
        <v>ممتاز</v>
      </c>
      <c r="AU44" s="565"/>
      <c r="AW44" s="56" t="s">
        <v>2</v>
      </c>
      <c r="AX44" s="513"/>
      <c r="AY44" s="51" t="s">
        <v>51</v>
      </c>
      <c r="AZ44" s="52" t="s">
        <v>52</v>
      </c>
      <c r="BA44" s="53" t="s">
        <v>51</v>
      </c>
      <c r="BB44" s="54" t="s">
        <v>52</v>
      </c>
      <c r="BC44" s="51" t="s">
        <v>51</v>
      </c>
      <c r="BD44" s="52" t="s">
        <v>52</v>
      </c>
      <c r="BE44" s="51" t="s">
        <v>53</v>
      </c>
      <c r="BF44" s="55" t="s">
        <v>54</v>
      </c>
      <c r="BG44" s="52" t="s">
        <v>52</v>
      </c>
      <c r="BH44" s="10"/>
      <c r="BI44" s="119" t="s">
        <v>109</v>
      </c>
      <c r="BJ44" s="489" t="str">
        <f>IF(AZ51=0,"",IF(AND(AZ45&gt;=AY45*0.4,AZ46&gt;=AY46*0.4,AZ47&gt;=AY47*0.4,AZ48&gt;=AY48*0.4,AZ49&gt;=AY49*0.4),LOOKUP(AZ51,$BO$15:$BP$19),"ضعيف ويحتاج الى اهتمام في المواد"))</f>
        <v/>
      </c>
      <c r="BK44" s="565"/>
    </row>
    <row r="45" spans="1:63" ht="25.2" customHeight="1" x14ac:dyDescent="0.25">
      <c r="A45" s="115" t="str">
        <f>ادخال1!$F$9</f>
        <v>التربية الإسلامية</v>
      </c>
      <c r="B45" s="145">
        <f>ادخال1!$F$7</f>
        <v>3</v>
      </c>
      <c r="C45" s="41">
        <f t="shared" ref="C45:C46" si="37">40*B45*0.3</f>
        <v>36</v>
      </c>
      <c r="D45" s="2">
        <f xml:space="preserve"> IFERROR(VLOOKUP(M56,اسماء,5,0),"")</f>
        <v>36</v>
      </c>
      <c r="E45" s="43">
        <f t="shared" ref="E45:E46" si="38">40*B45*0.3</f>
        <v>36</v>
      </c>
      <c r="F45" s="2">
        <f>IFERROR(VLOOKUP(M56,اسماء,16,0),"")</f>
        <v>0</v>
      </c>
      <c r="G45" s="41">
        <f t="shared" ref="G45:G46" si="39">40*B45*0.4</f>
        <v>48</v>
      </c>
      <c r="H45" s="2">
        <f>IFERROR(VLOOKUP(M56,اسماء,27,0),"")</f>
        <v>0</v>
      </c>
      <c r="I45" s="41">
        <f t="shared" ref="I45:I46" si="40">SUM(C45,E45,G45)</f>
        <v>120</v>
      </c>
      <c r="J45" s="44">
        <f t="shared" ref="J45:J46" si="41">0.4*I45</f>
        <v>48</v>
      </c>
      <c r="K45" s="2">
        <f t="shared" ref="K45:K46" si="42">SUM(D45,F45,H45)</f>
        <v>36</v>
      </c>
      <c r="L45" s="18"/>
      <c r="M45" s="106" t="str">
        <f>IF(D45=0,"",IF(D45&lt;C45*0.4,A45,""))</f>
        <v/>
      </c>
      <c r="N45" s="154" t="str">
        <f>IF(D46=0,"",IF(D46&lt;C46*0.4,A46,""))</f>
        <v/>
      </c>
      <c r="O45" s="155" t="str">
        <f>IF(D47=0,"",IF(D47&lt;C47*0.4,A47,""))</f>
        <v/>
      </c>
      <c r="Q45" s="115" t="str">
        <f>ادخال1!$F$9</f>
        <v>التربية الإسلامية</v>
      </c>
      <c r="R45" s="145">
        <f>ادخال1!$F$7</f>
        <v>3</v>
      </c>
      <c r="S45" s="41">
        <f t="shared" ref="S45:S46" si="43">40*R45*0.3</f>
        <v>36</v>
      </c>
      <c r="T45" s="2">
        <f xml:space="preserve"> IFERROR(VLOOKUP(AC56,اسماء,5,0),"")</f>
        <v>29</v>
      </c>
      <c r="U45" s="43">
        <f t="shared" ref="U45:U46" si="44">40*R45*0.3</f>
        <v>36</v>
      </c>
      <c r="V45" s="2">
        <f>IFERROR(VLOOKUP(AC56,اسماء,16,0),"")</f>
        <v>0</v>
      </c>
      <c r="W45" s="41">
        <f t="shared" ref="W45:W46" si="45">40*R45*0.4</f>
        <v>48</v>
      </c>
      <c r="X45" s="2">
        <f>IFERROR(VLOOKUP(AC56,اسماء,27,0),"")</f>
        <v>0</v>
      </c>
      <c r="Y45" s="41">
        <f t="shared" ref="Y45:Y46" si="46">SUM(S45,U45,W45)</f>
        <v>120</v>
      </c>
      <c r="Z45" s="44">
        <f t="shared" ref="Z45:Z46" si="47">0.4*Y45</f>
        <v>48</v>
      </c>
      <c r="AA45" s="2">
        <f t="shared" ref="AA45:AA46" si="48">SUM(T45,V45,X45)</f>
        <v>29</v>
      </c>
      <c r="AB45" s="18"/>
      <c r="AC45" s="106" t="str">
        <f>IF(T45=0,"",IF(T45&lt;S45*0.4,Q45,""))</f>
        <v/>
      </c>
      <c r="AD45" s="154" t="str">
        <f>IF(T46=0,"",IF(T46&lt;S46*0.4,Q46,""))</f>
        <v/>
      </c>
      <c r="AE45" s="155" t="str">
        <f>IF(T47=0,"",IF(T47&lt;S47*0.4,Q47,""))</f>
        <v/>
      </c>
      <c r="AG45" s="115" t="str">
        <f>ادخال1!$F$9</f>
        <v>التربية الإسلامية</v>
      </c>
      <c r="AH45" s="145">
        <f>ادخال1!$F$7</f>
        <v>3</v>
      </c>
      <c r="AI45" s="41">
        <f t="shared" ref="AI45:AI46" si="49">40*AH45*0.3</f>
        <v>36</v>
      </c>
      <c r="AJ45" s="2">
        <f xml:space="preserve"> IFERROR(VLOOKUP(AS56,اسماء,5,0),"")</f>
        <v>35</v>
      </c>
      <c r="AK45" s="43">
        <f t="shared" ref="AK45:AK46" si="50">40*AH45*0.3</f>
        <v>36</v>
      </c>
      <c r="AL45" s="2">
        <f>IFERROR(VLOOKUP(AS56,اسماء,16,0),"")</f>
        <v>0</v>
      </c>
      <c r="AM45" s="41">
        <f t="shared" ref="AM45:AM46" si="51">40*AH45*0.4</f>
        <v>48</v>
      </c>
      <c r="AN45" s="2">
        <f>IFERROR(VLOOKUP(AS56,اسماء,27,0),"")</f>
        <v>0</v>
      </c>
      <c r="AO45" s="41">
        <f t="shared" ref="AO45:AO46" si="52">SUM(AI45,AK45,AM45)</f>
        <v>120</v>
      </c>
      <c r="AP45" s="44">
        <f t="shared" ref="AP45:AP46" si="53">0.4*AO45</f>
        <v>48</v>
      </c>
      <c r="AQ45" s="2">
        <f t="shared" ref="AQ45:AQ46" si="54">SUM(AJ45,AL45,AN45)</f>
        <v>35</v>
      </c>
      <c r="AR45" s="18"/>
      <c r="AS45" s="106" t="str">
        <f>IF(AJ45=0,"",IF(AJ45&lt;AI45*0.4,AG45,""))</f>
        <v/>
      </c>
      <c r="AT45" s="154" t="str">
        <f>IF(AJ46=0,"",IF(AJ46&lt;AI46*0.4,AG46,""))</f>
        <v/>
      </c>
      <c r="AU45" s="155" t="str">
        <f>IF(AJ47=0,"",IF(AJ47&lt;AI47*0.4,AG47,""))</f>
        <v/>
      </c>
      <c r="AW45" s="115" t="str">
        <f>ادخال1!$F$9</f>
        <v>التربية الإسلامية</v>
      </c>
      <c r="AX45" s="145">
        <f>ادخال1!$F$7</f>
        <v>3</v>
      </c>
      <c r="AY45" s="41">
        <f t="shared" ref="AY45:AY46" si="55">40*AX45*0.3</f>
        <v>36</v>
      </c>
      <c r="AZ45" s="2" t="str">
        <f xml:space="preserve"> IFERROR(VLOOKUP(BI56,اسماء,5,0),"")</f>
        <v/>
      </c>
      <c r="BA45" s="43">
        <f t="shared" ref="BA45:BA46" si="56">40*AX45*0.3</f>
        <v>36</v>
      </c>
      <c r="BB45" s="2" t="str">
        <f>IFERROR(VLOOKUP(BI56,اسماء,16,0),"")</f>
        <v/>
      </c>
      <c r="BC45" s="41">
        <f t="shared" ref="BC45:BC46" si="57">40*AX45*0.4</f>
        <v>48</v>
      </c>
      <c r="BD45" s="2" t="str">
        <f>IFERROR(VLOOKUP(BI56,اسماء,27,0),"")</f>
        <v/>
      </c>
      <c r="BE45" s="41">
        <f t="shared" ref="BE45:BE46" si="58">SUM(AY45,BA45,BC45)</f>
        <v>120</v>
      </c>
      <c r="BF45" s="44">
        <f t="shared" ref="BF45:BF46" si="59">0.4*BE45</f>
        <v>48</v>
      </c>
      <c r="BG45" s="2">
        <f t="shared" ref="BG45:BG46" si="60">SUM(AZ45,BB45,BD45)</f>
        <v>0</v>
      </c>
      <c r="BH45" s="18"/>
      <c r="BI45" s="106" t="str">
        <f>IF(AZ45=0,"",IF(AZ45&lt;AY45*0.4,AW45,""))</f>
        <v/>
      </c>
      <c r="BJ45" s="154" t="str">
        <f>IF(AZ46=0,"",IF(AZ46&lt;AY46*0.4,AW46,""))</f>
        <v/>
      </c>
      <c r="BK45" s="155" t="str">
        <f>IF(AZ47=0,"",IF(AZ47&lt;AY47*0.4,AW47,""))</f>
        <v/>
      </c>
    </row>
    <row r="46" spans="1:63" ht="25.2" customHeight="1" thickBot="1" x14ac:dyDescent="0.3">
      <c r="A46" s="133" t="str">
        <f>ادخال1!$G$9</f>
        <v>اللغة العربية</v>
      </c>
      <c r="B46" s="146">
        <f>ادخال1!$G$7</f>
        <v>6</v>
      </c>
      <c r="C46" s="41">
        <f t="shared" si="37"/>
        <v>72</v>
      </c>
      <c r="D46" s="2">
        <f>IFERROR(VLOOKUP(M56,اسماء,6,0),"")</f>
        <v>69</v>
      </c>
      <c r="E46" s="43">
        <f t="shared" si="38"/>
        <v>72</v>
      </c>
      <c r="F46" s="2">
        <f>IFERROR(VLOOKUP(M56,اسماء,17,0),"")</f>
        <v>0</v>
      </c>
      <c r="G46" s="41">
        <f t="shared" si="39"/>
        <v>96</v>
      </c>
      <c r="H46" s="2">
        <f>IFERROR(VLOOKUP(M56,اسماء,28,0),"")</f>
        <v>0</v>
      </c>
      <c r="I46" s="41">
        <f t="shared" si="40"/>
        <v>240</v>
      </c>
      <c r="J46" s="44">
        <f t="shared" si="41"/>
        <v>96</v>
      </c>
      <c r="K46" s="2">
        <f t="shared" si="42"/>
        <v>69</v>
      </c>
      <c r="L46" s="18"/>
      <c r="M46" s="106" t="str">
        <f>IF(D48=0,"",IF(D48&lt;C48*0.4,A48,""))</f>
        <v/>
      </c>
      <c r="N46" s="154" t="str">
        <f>IF(D49=0,"",IF(D49&lt;C49*0.4,A49,""))</f>
        <v/>
      </c>
      <c r="O46" s="155" t="str">
        <f>IF(D50=0,"",IF(D50&lt;C50*0.4,A50,""))</f>
        <v/>
      </c>
      <c r="Q46" s="133" t="str">
        <f>ادخال1!$G$9</f>
        <v>اللغة العربية</v>
      </c>
      <c r="R46" s="146">
        <f>ادخال1!$G$7</f>
        <v>6</v>
      </c>
      <c r="S46" s="41">
        <f t="shared" si="43"/>
        <v>72</v>
      </c>
      <c r="T46" s="2">
        <f>IFERROR(VLOOKUP(AC56,اسماء,6,0),"")</f>
        <v>64</v>
      </c>
      <c r="U46" s="43">
        <f t="shared" si="44"/>
        <v>72</v>
      </c>
      <c r="V46" s="2">
        <f>IFERROR(VLOOKUP(AC56,اسماء,17,0),"")</f>
        <v>0</v>
      </c>
      <c r="W46" s="41">
        <f t="shared" si="45"/>
        <v>96</v>
      </c>
      <c r="X46" s="2">
        <f>IFERROR(VLOOKUP(AC56,اسماء,28,0),"")</f>
        <v>0</v>
      </c>
      <c r="Y46" s="41">
        <f t="shared" si="46"/>
        <v>240</v>
      </c>
      <c r="Z46" s="44">
        <f t="shared" si="47"/>
        <v>96</v>
      </c>
      <c r="AA46" s="2">
        <f t="shared" si="48"/>
        <v>64</v>
      </c>
      <c r="AB46" s="18"/>
      <c r="AC46" s="106" t="str">
        <f>IF(T48=0,"",IF(T48&lt;S48*0.4,Q48,""))</f>
        <v/>
      </c>
      <c r="AD46" s="154" t="str">
        <f>IF(T49=0,"",IF(T49&lt;S49*0.4,Q49,""))</f>
        <v/>
      </c>
      <c r="AE46" s="155" t="str">
        <f>IF(T50=0,"",IF(T50&lt;S50*0.4,Q50,""))</f>
        <v/>
      </c>
      <c r="AG46" s="133" t="str">
        <f>ادخال1!$G$9</f>
        <v>اللغة العربية</v>
      </c>
      <c r="AH46" s="146">
        <f>ادخال1!$G$7</f>
        <v>6</v>
      </c>
      <c r="AI46" s="41">
        <f t="shared" si="49"/>
        <v>72</v>
      </c>
      <c r="AJ46" s="2">
        <f>IFERROR(VLOOKUP(AS56,اسماء,6,0),"")</f>
        <v>70</v>
      </c>
      <c r="AK46" s="43">
        <f t="shared" si="50"/>
        <v>72</v>
      </c>
      <c r="AL46" s="2">
        <f>IFERROR(VLOOKUP(AS56,اسماء,17,0),"")</f>
        <v>0</v>
      </c>
      <c r="AM46" s="41">
        <f t="shared" si="51"/>
        <v>96</v>
      </c>
      <c r="AN46" s="2">
        <f>IFERROR(VLOOKUP(AS56,اسماء,28,0),"")</f>
        <v>0</v>
      </c>
      <c r="AO46" s="41">
        <f t="shared" si="52"/>
        <v>240</v>
      </c>
      <c r="AP46" s="44">
        <f t="shared" si="53"/>
        <v>96</v>
      </c>
      <c r="AQ46" s="2">
        <f t="shared" si="54"/>
        <v>70</v>
      </c>
      <c r="AR46" s="18"/>
      <c r="AS46" s="106" t="str">
        <f>IF(AJ48=0,"",IF(AJ48&lt;AI48*0.4,AG48,""))</f>
        <v/>
      </c>
      <c r="AT46" s="154" t="str">
        <f>IF(AJ49=0,"",IF(AJ49&lt;AI49*0.4,AG49,""))</f>
        <v/>
      </c>
      <c r="AU46" s="155" t="str">
        <f>IF(AJ50=0,"",IF(AJ50&lt;AI50*0.4,AG50,""))</f>
        <v/>
      </c>
      <c r="AW46" s="133" t="str">
        <f>ادخال1!$G$9</f>
        <v>اللغة العربية</v>
      </c>
      <c r="AX46" s="146">
        <f>ادخال1!$G$7</f>
        <v>6</v>
      </c>
      <c r="AY46" s="41">
        <f t="shared" si="55"/>
        <v>72</v>
      </c>
      <c r="AZ46" s="2" t="str">
        <f>IFERROR(VLOOKUP(BI56,اسماء,6,0),"")</f>
        <v/>
      </c>
      <c r="BA46" s="43">
        <f t="shared" si="56"/>
        <v>72</v>
      </c>
      <c r="BB46" s="2" t="str">
        <f>IFERROR(VLOOKUP(BI56,اسماء,17,0),"")</f>
        <v/>
      </c>
      <c r="BC46" s="41">
        <f t="shared" si="57"/>
        <v>96</v>
      </c>
      <c r="BD46" s="2" t="str">
        <f>IFERROR(VLOOKUP(BI56,اسماء,28,0),"")</f>
        <v/>
      </c>
      <c r="BE46" s="41">
        <f t="shared" si="58"/>
        <v>240</v>
      </c>
      <c r="BF46" s="44">
        <f t="shared" si="59"/>
        <v>96</v>
      </c>
      <c r="BG46" s="2">
        <f t="shared" si="60"/>
        <v>0</v>
      </c>
      <c r="BH46" s="18"/>
      <c r="BI46" s="106" t="str">
        <f>IF(AZ48=0,"",IF(AZ48&lt;AY48*0.4,AW48,""))</f>
        <v/>
      </c>
      <c r="BJ46" s="154" t="str">
        <f>IF(AZ49=0,"",IF(AZ49&lt;AY49*0.4,AW49,""))</f>
        <v/>
      </c>
      <c r="BK46" s="155" t="str">
        <f>IF(AZ50=0,"",IF(AZ50&lt;AY50*0.4,AW50,""))</f>
        <v/>
      </c>
    </row>
    <row r="47" spans="1:63" ht="25.2" customHeight="1" x14ac:dyDescent="0.25">
      <c r="A47" s="133" t="str">
        <f>ادخال1!$H$9</f>
        <v>اللغة الإنجليزية</v>
      </c>
      <c r="B47" s="146">
        <f>ادخال1!$H$7</f>
        <v>3</v>
      </c>
      <c r="C47" s="41">
        <f>40*B47*0.3</f>
        <v>36</v>
      </c>
      <c r="D47" s="2">
        <f>IFERROR(VLOOKUP(M56,اسماء,7,0),"")</f>
        <v>32</v>
      </c>
      <c r="E47" s="43">
        <f>40*B47*0.3</f>
        <v>36</v>
      </c>
      <c r="F47" s="2">
        <f>IFERROR(VLOOKUP(M56,اسماء,18,0),"")</f>
        <v>0</v>
      </c>
      <c r="G47" s="41">
        <f>40*B47*0.4</f>
        <v>48</v>
      </c>
      <c r="H47" s="2">
        <f>IFERROR(VLOOKUP(M56,اسماء,29,0),"")</f>
        <v>0</v>
      </c>
      <c r="I47" s="41">
        <f>SUM(C47,E47,G47)</f>
        <v>120</v>
      </c>
      <c r="J47" s="44">
        <f>0.4*I47</f>
        <v>48</v>
      </c>
      <c r="K47" s="2">
        <f>SUM(D47,F47,H47)</f>
        <v>32</v>
      </c>
      <c r="L47" s="18"/>
      <c r="M47" s="105" t="s">
        <v>82</v>
      </c>
      <c r="N47" s="489" t="str">
        <f>IF(F51=0,"",IF(AND(F45&gt;=E45*0.4,F46&gt;=E46*0.4,F47&gt;=E47*0.4,F48&gt;=E48*0.4,F49&gt;=E49*0.4),LOOKUP(F51,'الصحيفة النهائية'!$BO$15:$BP$19),"ضعيف ويحتاج الى اهتمام في المواد"))</f>
        <v/>
      </c>
      <c r="O47" s="565"/>
      <c r="Q47" s="133" t="str">
        <f>ادخال1!$H$9</f>
        <v>اللغة الإنجليزية</v>
      </c>
      <c r="R47" s="146">
        <f>ادخال1!$H$7</f>
        <v>3</v>
      </c>
      <c r="S47" s="41">
        <f>40*R47*0.3</f>
        <v>36</v>
      </c>
      <c r="T47" s="2">
        <f>IFERROR(VLOOKUP(AC56,اسماء,7,0),"")</f>
        <v>29</v>
      </c>
      <c r="U47" s="43">
        <f>40*R47*0.3</f>
        <v>36</v>
      </c>
      <c r="V47" s="2">
        <f>IFERROR(VLOOKUP(AC56,اسماء,18,0),"")</f>
        <v>0</v>
      </c>
      <c r="W47" s="41">
        <f>40*R47*0.4</f>
        <v>48</v>
      </c>
      <c r="X47" s="2">
        <f>IFERROR(VLOOKUP(AC56,اسماء,29,0),"")</f>
        <v>0</v>
      </c>
      <c r="Y47" s="41">
        <f>SUM(S47,U47,W47)</f>
        <v>120</v>
      </c>
      <c r="Z47" s="44">
        <f>0.4*Y47</f>
        <v>48</v>
      </c>
      <c r="AA47" s="2">
        <f>SUM(T47,V47,X47)</f>
        <v>29</v>
      </c>
      <c r="AB47" s="18"/>
      <c r="AC47" s="105" t="s">
        <v>82</v>
      </c>
      <c r="AD47" s="489" t="str">
        <f>IF(V51=0,"",IF(AND(V45&gt;=U45*0.4,V46&gt;=U46*0.4,V47&gt;=U47*0.4,V48&gt;=U48*0.4,V49&gt;=U49*0.4),LOOKUP(V51,'الصحيفة النهائية'!$BO$15:$BP$19),"ضعيف ويحتاج الى اهتمام في المواد"))</f>
        <v/>
      </c>
      <c r="AE47" s="565"/>
      <c r="AG47" s="133" t="str">
        <f>ادخال1!$H$9</f>
        <v>اللغة الإنجليزية</v>
      </c>
      <c r="AH47" s="146">
        <f>ادخال1!$H$7</f>
        <v>3</v>
      </c>
      <c r="AI47" s="41">
        <f>40*AH47*0.3</f>
        <v>36</v>
      </c>
      <c r="AJ47" s="2">
        <f>IFERROR(VLOOKUP(AS56,اسماء,7,0),"")</f>
        <v>36</v>
      </c>
      <c r="AK47" s="43">
        <f>40*AH47*0.3</f>
        <v>36</v>
      </c>
      <c r="AL47" s="2">
        <f>IFERROR(VLOOKUP(AS56,اسماء,18,0),"")</f>
        <v>0</v>
      </c>
      <c r="AM47" s="41">
        <f>40*AH47*0.4</f>
        <v>48</v>
      </c>
      <c r="AN47" s="2">
        <f>IFERROR(VLOOKUP(AS56,اسماء,29,0),"")</f>
        <v>0</v>
      </c>
      <c r="AO47" s="41">
        <f>SUM(AI47,AK47,AM47)</f>
        <v>120</v>
      </c>
      <c r="AP47" s="44">
        <f>0.4*AO47</f>
        <v>48</v>
      </c>
      <c r="AQ47" s="2">
        <f>SUM(AJ47,AL47,AN47)</f>
        <v>36</v>
      </c>
      <c r="AR47" s="18"/>
      <c r="AS47" s="105" t="s">
        <v>82</v>
      </c>
      <c r="AT47" s="489" t="str">
        <f>IF(AL51=0,"",IF(AND(AL45&gt;=AK45*0.4,AL46&gt;=AK46*0.4,AL47&gt;=AK47*0.4,AL48&gt;=AK48*0.4,AL49&gt;=AK49*0.4),LOOKUP(AL51,'الصحيفة النهائية'!$BO$15:$BP$19),"ضعيف ويحتاج الى اهتمام في المواد"))</f>
        <v/>
      </c>
      <c r="AU47" s="565"/>
      <c r="AW47" s="133" t="str">
        <f>ادخال1!$H$9</f>
        <v>اللغة الإنجليزية</v>
      </c>
      <c r="AX47" s="146">
        <f>ادخال1!$H$7</f>
        <v>3</v>
      </c>
      <c r="AY47" s="41">
        <f>40*AX47*0.3</f>
        <v>36</v>
      </c>
      <c r="AZ47" s="2" t="str">
        <f>IFERROR(VLOOKUP(BI56,اسماء,7,0),"")</f>
        <v/>
      </c>
      <c r="BA47" s="43">
        <f>40*AX47*0.3</f>
        <v>36</v>
      </c>
      <c r="BB47" s="2" t="str">
        <f>IFERROR(VLOOKUP(BI56,اسماء,18,0),"")</f>
        <v/>
      </c>
      <c r="BC47" s="41">
        <f>40*AX47*0.4</f>
        <v>48</v>
      </c>
      <c r="BD47" s="2" t="str">
        <f>IFERROR(VLOOKUP(BI56,اسماء,29,0),"")</f>
        <v/>
      </c>
      <c r="BE47" s="41">
        <f>SUM(AY47,BA47,BC47)</f>
        <v>120</v>
      </c>
      <c r="BF47" s="44">
        <f>0.4*BE47</f>
        <v>48</v>
      </c>
      <c r="BG47" s="2">
        <f>SUM(AZ47,BB47,BD47)</f>
        <v>0</v>
      </c>
      <c r="BH47" s="18"/>
      <c r="BI47" s="105" t="s">
        <v>82</v>
      </c>
      <c r="BJ47" s="489" t="str">
        <f>IF(BB51=0,"",IF(AND(BB45&gt;=BA45*0.4,BB46&gt;=BA46*0.4,BB47&gt;=BA47*0.4,BB48&gt;=BA48*0.4,BB49&gt;=BA49*0.4),LOOKUP(BB51,'الصحيفة النهائية'!$BO$15:$BP$19),"ضعيف ويحتاج الى اهتمام في المواد"))</f>
        <v/>
      </c>
      <c r="BK47" s="565"/>
    </row>
    <row r="48" spans="1:63" ht="25.2" customHeight="1" x14ac:dyDescent="0.25">
      <c r="A48" s="133" t="str">
        <f>ادخال1!$I$9</f>
        <v>الحاسوب</v>
      </c>
      <c r="B48" s="146">
        <f>ادخال1!$I$7</f>
        <v>1</v>
      </c>
      <c r="C48" s="41">
        <f>40*B48*0.3</f>
        <v>12</v>
      </c>
      <c r="D48" s="2">
        <f>IFERROR(VLOOKUP(M56,اسماء,8,0),"")</f>
        <v>12</v>
      </c>
      <c r="E48" s="43">
        <f>40*B48*0.3</f>
        <v>12</v>
      </c>
      <c r="F48" s="2">
        <f>IFERROR(VLOOKUP(M56,اسماء,19,0),"")</f>
        <v>0</v>
      </c>
      <c r="G48" s="41">
        <f>40*B48*0.4</f>
        <v>16</v>
      </c>
      <c r="H48" s="2">
        <f>IFERROR(VLOOKUP(M56,اسماء,30,0),"")</f>
        <v>0</v>
      </c>
      <c r="I48" s="41">
        <f>SUM(C48,E48,G48)</f>
        <v>40</v>
      </c>
      <c r="J48" s="44">
        <f>0.4*I48</f>
        <v>16</v>
      </c>
      <c r="K48" s="2">
        <f>SUM(D48,F48,H48)</f>
        <v>12</v>
      </c>
      <c r="L48" s="18"/>
      <c r="M48" s="106" t="str">
        <f>IF(F45=0,"",IF(F45&lt;E45*0.4,A45,""))</f>
        <v/>
      </c>
      <c r="N48" s="154" t="str">
        <f>IF(F46=0,"",IF(F46&lt;E46*0.4,A46,""))</f>
        <v/>
      </c>
      <c r="O48" s="155" t="str">
        <f>IF(F47=0,"",IF(F47&lt;E47*0.4,A47,""))</f>
        <v/>
      </c>
      <c r="Q48" s="133" t="str">
        <f>ادخال1!$I$9</f>
        <v>الحاسوب</v>
      </c>
      <c r="R48" s="146">
        <f>ادخال1!$I$7</f>
        <v>1</v>
      </c>
      <c r="S48" s="41">
        <f>40*R48*0.3</f>
        <v>12</v>
      </c>
      <c r="T48" s="2">
        <f>IFERROR(VLOOKUP(AC56,اسماء,8,0),"")</f>
        <v>11</v>
      </c>
      <c r="U48" s="43">
        <f>40*R48*0.3</f>
        <v>12</v>
      </c>
      <c r="V48" s="2">
        <f>IFERROR(VLOOKUP(AC56,اسماء,19,0),"")</f>
        <v>0</v>
      </c>
      <c r="W48" s="41">
        <f>40*R48*0.4</f>
        <v>16</v>
      </c>
      <c r="X48" s="2">
        <f>IFERROR(VLOOKUP(AC56,اسماء,30,0),"")</f>
        <v>0</v>
      </c>
      <c r="Y48" s="41">
        <f>SUM(S48,U48,W48)</f>
        <v>40</v>
      </c>
      <c r="Z48" s="44">
        <f>0.4*Y48</f>
        <v>16</v>
      </c>
      <c r="AA48" s="2">
        <f>SUM(T48,V48,X48)</f>
        <v>11</v>
      </c>
      <c r="AB48" s="18"/>
      <c r="AC48" s="106" t="str">
        <f>IF(V45=0,"",IF(V45&lt;U45*0.4,Q45,""))</f>
        <v/>
      </c>
      <c r="AD48" s="154" t="str">
        <f>IF(V46=0,"",IF(V46&lt;U46*0.4,Q46,""))</f>
        <v/>
      </c>
      <c r="AE48" s="155" t="str">
        <f>IF(V47=0,"",IF(V47&lt;U47*0.4,Q47,""))</f>
        <v/>
      </c>
      <c r="AG48" s="133" t="str">
        <f>ادخال1!$I$9</f>
        <v>الحاسوب</v>
      </c>
      <c r="AH48" s="146">
        <f>ادخال1!$I$7</f>
        <v>1</v>
      </c>
      <c r="AI48" s="41">
        <f>40*AH48*0.3</f>
        <v>12</v>
      </c>
      <c r="AJ48" s="2">
        <f>IFERROR(VLOOKUP(AS56,اسماء,8,0),"")</f>
        <v>12</v>
      </c>
      <c r="AK48" s="43">
        <f>40*AH48*0.3</f>
        <v>12</v>
      </c>
      <c r="AL48" s="2">
        <f>IFERROR(VLOOKUP(AS56,اسماء,19,0),"")</f>
        <v>0</v>
      </c>
      <c r="AM48" s="41">
        <f>40*AH48*0.4</f>
        <v>16</v>
      </c>
      <c r="AN48" s="2">
        <f>IFERROR(VLOOKUP(AS56,اسماء,30,0),"")</f>
        <v>0</v>
      </c>
      <c r="AO48" s="41">
        <f>SUM(AI48,AK48,AM48)</f>
        <v>40</v>
      </c>
      <c r="AP48" s="44">
        <f>0.4*AO48</f>
        <v>16</v>
      </c>
      <c r="AQ48" s="2">
        <f>SUM(AJ48,AL48,AN48)</f>
        <v>12</v>
      </c>
      <c r="AR48" s="18"/>
      <c r="AS48" s="106" t="str">
        <f>IF(AL45=0,"",IF(AL45&lt;AK45*0.4,AG45,""))</f>
        <v/>
      </c>
      <c r="AT48" s="154" t="str">
        <f>IF(AL46=0,"",IF(AL46&lt;AK46*0.4,AG46,""))</f>
        <v/>
      </c>
      <c r="AU48" s="155" t="str">
        <f>IF(AL47=0,"",IF(AL47&lt;AK47*0.4,AG47,""))</f>
        <v/>
      </c>
      <c r="AW48" s="133" t="str">
        <f>ادخال1!$I$9</f>
        <v>الحاسوب</v>
      </c>
      <c r="AX48" s="146">
        <f>ادخال1!$I$7</f>
        <v>1</v>
      </c>
      <c r="AY48" s="41">
        <f>40*AX48*0.3</f>
        <v>12</v>
      </c>
      <c r="AZ48" s="2" t="str">
        <f>IFERROR(VLOOKUP(BI56,اسماء,8,0),"")</f>
        <v/>
      </c>
      <c r="BA48" s="43">
        <f>40*AX48*0.3</f>
        <v>12</v>
      </c>
      <c r="BB48" s="2" t="str">
        <f>IFERROR(VLOOKUP(BI56,اسماء,19,0),"")</f>
        <v/>
      </c>
      <c r="BC48" s="41">
        <f>40*AX48*0.4</f>
        <v>16</v>
      </c>
      <c r="BD48" s="2" t="str">
        <f>IFERROR(VLOOKUP(BI56,اسماء,30,0),"")</f>
        <v/>
      </c>
      <c r="BE48" s="41">
        <f>SUM(AY48,BA48,BC48)</f>
        <v>40</v>
      </c>
      <c r="BF48" s="44">
        <f>0.4*BE48</f>
        <v>16</v>
      </c>
      <c r="BG48" s="2">
        <f>SUM(AZ48,BB48,BD48)</f>
        <v>0</v>
      </c>
      <c r="BH48" s="18"/>
      <c r="BI48" s="106" t="str">
        <f>IF(BB45=0,"",IF(BB45&lt;BA45*0.4,AW45,""))</f>
        <v/>
      </c>
      <c r="BJ48" s="154" t="str">
        <f>IF(BB46=0,"",IF(BB46&lt;BA46*0.4,AW46,""))</f>
        <v/>
      </c>
      <c r="BK48" s="155" t="str">
        <f>IF(BB47=0,"",IF(BB47&lt;BA47*0.4,AW47,""))</f>
        <v/>
      </c>
    </row>
    <row r="49" spans="1:64" ht="25.2" customHeight="1" x14ac:dyDescent="0.25">
      <c r="A49" s="113" t="str">
        <f>ادخال1!$J$9</f>
        <v>الرياضيات</v>
      </c>
      <c r="B49" s="147">
        <f>ادخال1!$J$7</f>
        <v>5</v>
      </c>
      <c r="C49" s="41">
        <f>40*B49*0.3</f>
        <v>60</v>
      </c>
      <c r="D49" s="2">
        <f>IFERROR(VLOOKUP(M56,اسماء,9,0),"")</f>
        <v>59</v>
      </c>
      <c r="E49" s="43">
        <f>40*B49*0.3</f>
        <v>60</v>
      </c>
      <c r="F49" s="2">
        <f>IFERROR(VLOOKUP(M56,اسماء,20,0),"")</f>
        <v>0</v>
      </c>
      <c r="G49" s="41">
        <f>40*B49*0.4</f>
        <v>80</v>
      </c>
      <c r="H49" s="2">
        <f>IFERROR(VLOOKUP(M56,اسماء,31,0),"")</f>
        <v>0</v>
      </c>
      <c r="I49" s="41">
        <f>SUM(C49,E49,G49)</f>
        <v>200</v>
      </c>
      <c r="J49" s="44">
        <f>0.4*I49</f>
        <v>80</v>
      </c>
      <c r="K49" s="2">
        <f>SUM(D49,F49,H49)</f>
        <v>59</v>
      </c>
      <c r="L49" s="18"/>
      <c r="M49" s="106" t="str">
        <f>IF(F48=0,"",IF(F48&lt;E48*0.4,A48,""))</f>
        <v/>
      </c>
      <c r="N49" s="154" t="str">
        <f>IF(F49=0,"",IF(F49&lt;E49*0.4,A49,""))</f>
        <v/>
      </c>
      <c r="O49" s="154" t="str">
        <f>IF(F50=0,"",IF(F50&lt;E50*0.4,A50,""))</f>
        <v/>
      </c>
      <c r="Q49" s="113" t="str">
        <f>ادخال1!$J$9</f>
        <v>الرياضيات</v>
      </c>
      <c r="R49" s="147">
        <f>ادخال1!$J$7</f>
        <v>5</v>
      </c>
      <c r="S49" s="41">
        <f>40*R49*0.3</f>
        <v>60</v>
      </c>
      <c r="T49" s="2">
        <f>IFERROR(VLOOKUP(AC56,اسماء,9,0),"")</f>
        <v>55</v>
      </c>
      <c r="U49" s="43">
        <f>40*R49*0.3</f>
        <v>60</v>
      </c>
      <c r="V49" s="2">
        <f>IFERROR(VLOOKUP(AC56,اسماء,20,0),"")</f>
        <v>0</v>
      </c>
      <c r="W49" s="41">
        <f>40*R49*0.4</f>
        <v>80</v>
      </c>
      <c r="X49" s="2">
        <f>IFERROR(VLOOKUP(AC56,اسماء,31,0),"")</f>
        <v>0</v>
      </c>
      <c r="Y49" s="41">
        <f>SUM(S49,U49,W49)</f>
        <v>200</v>
      </c>
      <c r="Z49" s="44">
        <f>0.4*Y49</f>
        <v>80</v>
      </c>
      <c r="AA49" s="2">
        <f>SUM(T49,V49,X49)</f>
        <v>55</v>
      </c>
      <c r="AB49" s="18"/>
      <c r="AC49" s="106" t="str">
        <f>IF(V48=0,"",IF(V48&lt;U48*0.4,Q48,""))</f>
        <v/>
      </c>
      <c r="AD49" s="154" t="str">
        <f>IF(V49=0,"",IF(V49&lt;U49*0.4,Q49,""))</f>
        <v/>
      </c>
      <c r="AE49" s="154" t="str">
        <f>IF(V50=0,"",IF(V50&lt;U50*0.4,Q50,""))</f>
        <v/>
      </c>
      <c r="AG49" s="113" t="str">
        <f>ادخال1!$J$9</f>
        <v>الرياضيات</v>
      </c>
      <c r="AH49" s="147">
        <f>ادخال1!$J$7</f>
        <v>5</v>
      </c>
      <c r="AI49" s="41">
        <f>40*AH49*0.3</f>
        <v>60</v>
      </c>
      <c r="AJ49" s="2">
        <f>IFERROR(VLOOKUP(AS56,اسماء,9,0),"")</f>
        <v>51</v>
      </c>
      <c r="AK49" s="43">
        <f>40*AH49*0.3</f>
        <v>60</v>
      </c>
      <c r="AL49" s="2">
        <f>IFERROR(VLOOKUP(AS56,اسماء,20,0),"")</f>
        <v>0</v>
      </c>
      <c r="AM49" s="41">
        <f>40*AH49*0.4</f>
        <v>80</v>
      </c>
      <c r="AN49" s="2">
        <f>IFERROR(VLOOKUP(AS56,اسماء,31,0),"")</f>
        <v>0</v>
      </c>
      <c r="AO49" s="41">
        <f>SUM(AI49,AK49,AM49)</f>
        <v>200</v>
      </c>
      <c r="AP49" s="44">
        <f>0.4*AO49</f>
        <v>80</v>
      </c>
      <c r="AQ49" s="2">
        <f>SUM(AJ49,AL49,AN49)</f>
        <v>51</v>
      </c>
      <c r="AR49" s="18"/>
      <c r="AS49" s="106" t="str">
        <f>IF(AL48=0,"",IF(AL48&lt;AK48*0.4,AG48,""))</f>
        <v/>
      </c>
      <c r="AT49" s="154" t="str">
        <f>IF(AL49=0,"",IF(AL49&lt;AK49*0.4,AG49,""))</f>
        <v/>
      </c>
      <c r="AU49" s="154" t="str">
        <f>IF(AL50=0,"",IF(AL50&lt;AK50*0.4,AG50,""))</f>
        <v/>
      </c>
      <c r="AW49" s="113" t="str">
        <f>ادخال1!$J$9</f>
        <v>الرياضيات</v>
      </c>
      <c r="AX49" s="147">
        <f>ادخال1!$J$7</f>
        <v>5</v>
      </c>
      <c r="AY49" s="41">
        <f>40*AX49*0.3</f>
        <v>60</v>
      </c>
      <c r="AZ49" s="2" t="str">
        <f>IFERROR(VLOOKUP(BI56,اسماء,9,0),"")</f>
        <v/>
      </c>
      <c r="BA49" s="43">
        <f>40*AX49*0.3</f>
        <v>60</v>
      </c>
      <c r="BB49" s="2" t="str">
        <f>IFERROR(VLOOKUP(BI56,اسماء,20,0),"")</f>
        <v/>
      </c>
      <c r="BC49" s="41">
        <f>40*AX49*0.4</f>
        <v>80</v>
      </c>
      <c r="BD49" s="2" t="str">
        <f>IFERROR(VLOOKUP(BI56,اسماء,31,0),"")</f>
        <v/>
      </c>
      <c r="BE49" s="41">
        <f>SUM(AY49,BA49,BC49)</f>
        <v>200</v>
      </c>
      <c r="BF49" s="44">
        <f>0.4*BE49</f>
        <v>80</v>
      </c>
      <c r="BG49" s="2">
        <f>SUM(AZ49,BB49,BD49)</f>
        <v>0</v>
      </c>
      <c r="BH49" s="18"/>
      <c r="BI49" s="106" t="str">
        <f>IF(BB48=0,"",IF(BB48&lt;BA48*0.4,AW48,""))</f>
        <v/>
      </c>
      <c r="BJ49" s="154" t="str">
        <f>IF(BB49=0,"",IF(BB49&lt;BA49*0.4,AW49,""))</f>
        <v/>
      </c>
      <c r="BK49" s="154" t="str">
        <f>IF(BB50=0,"",IF(BB50&lt;BA50*0.4,AW50,""))</f>
        <v/>
      </c>
    </row>
    <row r="50" spans="1:64" ht="25.2" customHeight="1" thickBot="1" x14ac:dyDescent="0.3">
      <c r="A50" s="113" t="str">
        <f>ادخال1!$K$9</f>
        <v>العلوم</v>
      </c>
      <c r="B50" s="147">
        <f>ادخال1!$K$7</f>
        <v>3</v>
      </c>
      <c r="C50" s="41">
        <f>40*B50*0.3</f>
        <v>36</v>
      </c>
      <c r="D50" s="2">
        <f>IFERROR(VLOOKUP(M56,اسماء,10,0),"")</f>
        <v>36</v>
      </c>
      <c r="E50" s="43">
        <f>40*B50*0.3</f>
        <v>36</v>
      </c>
      <c r="F50" s="2">
        <f>IFERROR(VLOOKUP(M56,اسماء,21,0),"")</f>
        <v>0</v>
      </c>
      <c r="G50" s="41">
        <f>40*B50*0.4</f>
        <v>48</v>
      </c>
      <c r="H50" s="2">
        <f>IFERROR(VLOOKUP(M56,اسماء,32,0),"")</f>
        <v>0</v>
      </c>
      <c r="I50" s="41">
        <f>SUM(C50,E50,G50)</f>
        <v>120</v>
      </c>
      <c r="J50" s="44">
        <f>0.4*I50</f>
        <v>48</v>
      </c>
      <c r="K50" s="2">
        <f>SUM(D50,F50,H50)</f>
        <v>36</v>
      </c>
      <c r="L50" s="18"/>
      <c r="M50" s="106" t="str">
        <f>IF(F49=0,"",IF(F49&lt;E49*0.4,A49,""))</f>
        <v/>
      </c>
      <c r="N50" s="154" t="str">
        <f>IF(F50=0,"",IF(F50&lt;E50*0.4,A50,""))</f>
        <v/>
      </c>
      <c r="O50" s="155"/>
      <c r="Q50" s="113" t="str">
        <f>ادخال1!$K$9</f>
        <v>العلوم</v>
      </c>
      <c r="R50" s="147">
        <f>ادخال1!$K$7</f>
        <v>3</v>
      </c>
      <c r="S50" s="41">
        <f>40*R50*0.3</f>
        <v>36</v>
      </c>
      <c r="T50" s="2">
        <f>IFERROR(VLOOKUP(AC56,اسماء,10,0),"")</f>
        <v>36</v>
      </c>
      <c r="U50" s="43">
        <f>40*R50*0.3</f>
        <v>36</v>
      </c>
      <c r="V50" s="2">
        <f>IFERROR(VLOOKUP(AC56,اسماء,21,0),"")</f>
        <v>0</v>
      </c>
      <c r="W50" s="41">
        <f>40*R50*0.4</f>
        <v>48</v>
      </c>
      <c r="X50" s="2">
        <f>IFERROR(VLOOKUP(AC56,اسماء,32,0),"")</f>
        <v>0</v>
      </c>
      <c r="Y50" s="41">
        <f>SUM(S50,U50,W50)</f>
        <v>120</v>
      </c>
      <c r="Z50" s="44">
        <f>0.4*Y50</f>
        <v>48</v>
      </c>
      <c r="AA50" s="2">
        <f>SUM(T50,V50,X50)</f>
        <v>36</v>
      </c>
      <c r="AB50" s="18"/>
      <c r="AC50" s="106" t="str">
        <f>IF(V49=0,"",IF(V49&lt;U49*0.4,Q49,""))</f>
        <v/>
      </c>
      <c r="AD50" s="154" t="str">
        <f>IF(V50=0,"",IF(V50&lt;U50*0.4,Q50,""))</f>
        <v/>
      </c>
      <c r="AE50" s="155"/>
      <c r="AG50" s="113" t="str">
        <f>ادخال1!$K$9</f>
        <v>العلوم</v>
      </c>
      <c r="AH50" s="147">
        <f>ادخال1!$K$7</f>
        <v>3</v>
      </c>
      <c r="AI50" s="41">
        <f>40*AH50*0.3</f>
        <v>36</v>
      </c>
      <c r="AJ50" s="2">
        <f>IFERROR(VLOOKUP(AS56,اسماء,10,0),"")</f>
        <v>35</v>
      </c>
      <c r="AK50" s="43">
        <f>40*AH50*0.3</f>
        <v>36</v>
      </c>
      <c r="AL50" s="2">
        <f>IFERROR(VLOOKUP(AS56,اسماء,21,0),"")</f>
        <v>0</v>
      </c>
      <c r="AM50" s="41">
        <f>40*AH50*0.4</f>
        <v>48</v>
      </c>
      <c r="AN50" s="2">
        <f>IFERROR(VLOOKUP(AS56,اسماء,32,0),"")</f>
        <v>0</v>
      </c>
      <c r="AO50" s="41">
        <f>SUM(AI50,AK50,AM50)</f>
        <v>120</v>
      </c>
      <c r="AP50" s="44">
        <f>0.4*AO50</f>
        <v>48</v>
      </c>
      <c r="AQ50" s="2">
        <f>SUM(AJ50,AL50,AN50)</f>
        <v>35</v>
      </c>
      <c r="AR50" s="18"/>
      <c r="AS50" s="106" t="str">
        <f>IF(AL49=0,"",IF(AL49&lt;AK49*0.4,AG49,""))</f>
        <v/>
      </c>
      <c r="AT50" s="154" t="str">
        <f>IF(AL50=0,"",IF(AL50&lt;AK50*0.4,AG50,""))</f>
        <v/>
      </c>
      <c r="AU50" s="155"/>
      <c r="AW50" s="113" t="str">
        <f>ادخال1!$K$9</f>
        <v>العلوم</v>
      </c>
      <c r="AX50" s="147">
        <f>ادخال1!$K$7</f>
        <v>3</v>
      </c>
      <c r="AY50" s="41">
        <f>40*AX50*0.3</f>
        <v>36</v>
      </c>
      <c r="AZ50" s="2" t="str">
        <f>IFERROR(VLOOKUP(BI56,اسماء,10,0),"")</f>
        <v/>
      </c>
      <c r="BA50" s="43">
        <f>40*AX50*0.3</f>
        <v>36</v>
      </c>
      <c r="BB50" s="2" t="str">
        <f>IFERROR(VLOOKUP(BI56,اسماء,21,0),"")</f>
        <v/>
      </c>
      <c r="BC50" s="41">
        <f>40*AX50*0.4</f>
        <v>48</v>
      </c>
      <c r="BD50" s="2" t="str">
        <f>IFERROR(VLOOKUP(BI56,اسماء,32,0),"")</f>
        <v/>
      </c>
      <c r="BE50" s="41">
        <f>SUM(AY50,BA50,BC50)</f>
        <v>120</v>
      </c>
      <c r="BF50" s="44">
        <f>0.4*BE50</f>
        <v>48</v>
      </c>
      <c r="BG50" s="2">
        <f>SUM(AZ50,BB50,BD50)</f>
        <v>0</v>
      </c>
      <c r="BH50" s="18"/>
      <c r="BI50" s="106" t="str">
        <f>IF(BB49=0,"",IF(BB49&lt;BA49*0.4,AW49,""))</f>
        <v/>
      </c>
      <c r="BJ50" s="154" t="str">
        <f>IF(BB50=0,"",IF(BB50&lt;BA50*0.4,AW50,""))</f>
        <v/>
      </c>
      <c r="BK50" s="155"/>
    </row>
    <row r="51" spans="1:64" ht="24.9" customHeight="1" thickBot="1" x14ac:dyDescent="0.3">
      <c r="A51" s="58" t="s">
        <v>56</v>
      </c>
      <c r="B51" s="148"/>
      <c r="C51" s="42">
        <f t="shared" ref="C51" si="61">SUM(C45:C49)</f>
        <v>216</v>
      </c>
      <c r="D51" s="114">
        <f>SUM(D45:D50)</f>
        <v>244</v>
      </c>
      <c r="E51" s="42">
        <f t="shared" ref="E51" si="62">SUM(E45:E49)</f>
        <v>216</v>
      </c>
      <c r="F51" s="114">
        <f>SUM(F45:F50)</f>
        <v>0</v>
      </c>
      <c r="G51" s="42">
        <f t="shared" ref="G51" si="63">SUM(G45:G49)</f>
        <v>288</v>
      </c>
      <c r="H51" s="114">
        <f>SUM(H45:H50)</f>
        <v>0</v>
      </c>
      <c r="I51" s="42">
        <f t="shared" ref="I51" si="64">SUM(I45:I49)</f>
        <v>720</v>
      </c>
      <c r="J51" s="45"/>
      <c r="K51" s="3">
        <f>IF(AND(K45&gt;=J45,K46&gt;=J46,K47&gt;=J47,K48&gt;=J48,K49&gt;=J49,K50&gt;=J50),SUM(K45:K50),0)</f>
        <v>0</v>
      </c>
      <c r="L51" s="18"/>
      <c r="M51" s="105" t="s">
        <v>110</v>
      </c>
      <c r="N51" s="489" t="str">
        <f>IF(H51=0,"",IF(AND(H45&gt;=G45*0.4,H46&gt;=G46*0.4,H47&gt;=G47*0.4,H48&gt;=G48*0.4,H49&gt;=G49*0.4),LOOKUP(H51,'الصحيفة النهائية'!$BO$8:$BP$13),"ضعيف ويحتاج الى اهتمام في المواد"))</f>
        <v/>
      </c>
      <c r="O51" s="490"/>
      <c r="Q51" s="58" t="s">
        <v>56</v>
      </c>
      <c r="R51" s="148"/>
      <c r="S51" s="42">
        <f t="shared" ref="S51" si="65">SUM(S45:S49)</f>
        <v>216</v>
      </c>
      <c r="T51" s="114">
        <f>SUM(T45:T50)</f>
        <v>224</v>
      </c>
      <c r="U51" s="42">
        <f t="shared" ref="U51" si="66">SUM(U45:U49)</f>
        <v>216</v>
      </c>
      <c r="V51" s="114">
        <f>SUM(V45:V50)</f>
        <v>0</v>
      </c>
      <c r="W51" s="42">
        <f t="shared" ref="W51" si="67">SUM(W45:W49)</f>
        <v>288</v>
      </c>
      <c r="X51" s="114">
        <f>SUM(X45:X50)</f>
        <v>0</v>
      </c>
      <c r="Y51" s="42">
        <f t="shared" ref="Y51" si="68">SUM(Y45:Y49)</f>
        <v>720</v>
      </c>
      <c r="Z51" s="45"/>
      <c r="AA51" s="3">
        <f>IF(AND(AA45&gt;=Z45,AA46&gt;=Z46,AA47&gt;=Z47,AA48&gt;=Z48,AA49&gt;=Z49,AA50&gt;=Z50),SUM(AA45:AA50),0)</f>
        <v>0</v>
      </c>
      <c r="AB51" s="18"/>
      <c r="AC51" s="105" t="s">
        <v>110</v>
      </c>
      <c r="AD51" s="489" t="str">
        <f>IF(X51=0,"",IF(AND(X45&gt;=W45*0.4,X46&gt;=W46*0.4,X47&gt;=W47*0.4,X48&gt;=W48*0.4,X49&gt;=W49*0.4),LOOKUP(X51,'الصحيفة النهائية'!$BO$8:$BP$13),"ضعيف ويحتاج الى اهتمام في المواد"))</f>
        <v/>
      </c>
      <c r="AE51" s="490"/>
      <c r="AF51" s="65"/>
      <c r="AG51" s="58" t="s">
        <v>56</v>
      </c>
      <c r="AH51" s="148"/>
      <c r="AI51" s="42">
        <f t="shared" ref="AI51" si="69">SUM(AI45:AI49)</f>
        <v>216</v>
      </c>
      <c r="AJ51" s="114">
        <f>SUM(AJ45:AJ50)</f>
        <v>239</v>
      </c>
      <c r="AK51" s="42">
        <f t="shared" ref="AK51" si="70">SUM(AK45:AK49)</f>
        <v>216</v>
      </c>
      <c r="AL51" s="114">
        <f>SUM(AL45:AL50)</f>
        <v>0</v>
      </c>
      <c r="AM51" s="42">
        <f t="shared" ref="AM51" si="71">SUM(AM45:AM49)</f>
        <v>288</v>
      </c>
      <c r="AN51" s="114">
        <f>SUM(AN45:AN50)</f>
        <v>0</v>
      </c>
      <c r="AO51" s="42">
        <f t="shared" ref="AO51" si="72">SUM(AO45:AO49)</f>
        <v>720</v>
      </c>
      <c r="AP51" s="45"/>
      <c r="AQ51" s="3">
        <f>IF(AND(AQ45&gt;=AP45,AQ46&gt;=AP46,AQ47&gt;=AP47,AQ48&gt;=AP48,AQ49&gt;=AP49,AQ50&gt;=AP50),SUM(AQ45:AQ50),0)</f>
        <v>0</v>
      </c>
      <c r="AR51" s="18"/>
      <c r="AS51" s="105" t="s">
        <v>110</v>
      </c>
      <c r="AT51" s="489" t="str">
        <f>IF(AN51=0,"",IF(AND(AN45&gt;=AM45*0.4,AN46&gt;=AM46*0.4,AN47&gt;=AM47*0.4,AN48&gt;=AM48*0.4,AN49&gt;=AM49*0.4),LOOKUP(AN51,'الصحيفة النهائية'!$BO$8:$BP$13),"ضعيف ويحتاج الى اهتمام في المواد"))</f>
        <v/>
      </c>
      <c r="AU51" s="490"/>
      <c r="AV51" s="120"/>
      <c r="AW51" s="58" t="s">
        <v>56</v>
      </c>
      <c r="AX51" s="148"/>
      <c r="AY51" s="42">
        <f t="shared" ref="AY51" si="73">SUM(AY45:AY49)</f>
        <v>216</v>
      </c>
      <c r="AZ51" s="114">
        <f>SUM(AZ45:AZ50)</f>
        <v>0</v>
      </c>
      <c r="BA51" s="42">
        <f t="shared" ref="BA51" si="74">SUM(BA45:BA49)</f>
        <v>216</v>
      </c>
      <c r="BB51" s="114">
        <f>SUM(BB45:BB50)</f>
        <v>0</v>
      </c>
      <c r="BC51" s="42">
        <f t="shared" ref="BC51" si="75">SUM(BC45:BC49)</f>
        <v>288</v>
      </c>
      <c r="BD51" s="114">
        <f>SUM(BD45:BD50)</f>
        <v>0</v>
      </c>
      <c r="BE51" s="42">
        <f t="shared" ref="BE51" si="76">SUM(BE45:BE49)</f>
        <v>720</v>
      </c>
      <c r="BF51" s="45"/>
      <c r="BG51" s="3">
        <f>IF(AND(BG45&gt;=BF45,BG46&gt;=BF46,BG47&gt;=BF47,BG48&gt;=BF48,BG49&gt;=BF49,BG50&gt;=BF50),SUM(BG45:BG50),0)</f>
        <v>0</v>
      </c>
      <c r="BH51" s="18"/>
      <c r="BI51" s="105" t="s">
        <v>110</v>
      </c>
      <c r="BJ51" s="489" t="str">
        <f>IF(BD51=0,"",IF(AND(BD45&gt;=BC45*0.4,BD46&gt;=BC46*0.4,BD47&gt;=BC47*0.4,BD48&gt;=BC48*0.4,BD49&gt;=BC49*0.4),LOOKUP(BD51,'الصحيفة النهائية'!$BO$8:$BP$13),"ضعيف ويحتاج الى اهتمام في المواد"))</f>
        <v/>
      </c>
      <c r="BK51" s="490"/>
      <c r="BL51" s="25"/>
    </row>
    <row r="52" spans="1:64" ht="24.9" customHeight="1" thickBot="1" x14ac:dyDescent="0.3">
      <c r="A52" s="566" t="s">
        <v>120</v>
      </c>
      <c r="B52" s="567"/>
      <c r="C52" s="568">
        <f>IFERROR(VLOOKUP(M56,اسماء,65,0),"")</f>
        <v>220170565774</v>
      </c>
      <c r="D52" s="568" t="str">
        <f>IFERROR(VLOOKUP(H59,اسماء,8,0),"")</f>
        <v/>
      </c>
      <c r="E52" s="568" t="str">
        <f>IFERROR(VLOOKUP(I59,اسماء,8,0),"")</f>
        <v/>
      </c>
      <c r="F52" s="568" t="str">
        <f>IFERROR(VLOOKUP(J59,اسماء,8,0),"")</f>
        <v/>
      </c>
      <c r="G52" s="568" t="str">
        <f>IFERROR(VLOOKUP(K59,اسماء,8,0),"")</f>
        <v/>
      </c>
      <c r="H52" s="580" t="s">
        <v>157</v>
      </c>
      <c r="I52" s="581"/>
      <c r="J52" s="470" t="str">
        <f>IF(K51=0,"",IF(AND(K45&gt;=J45*0.4,K46&gt;=J46*0.4,K47&gt;=J47*0.4,K48&gt;=J48*0.4,K49&gt;=J49*0.4,K50&gt;=J50*0.4),LOOKUP(K51,'الصحيفة النهائية'!$BO$2:$BP$6),"ضعيف ويحتاج الى اهتمام في المواد"))</f>
        <v/>
      </c>
      <c r="K52" s="470"/>
      <c r="L52" s="31"/>
      <c r="M52" s="106" t="str">
        <f>IF(H45=0,"",IF(H45&lt;G45*0.4,A45,""))</f>
        <v/>
      </c>
      <c r="N52" s="154" t="str">
        <f>IF(H46=0,"",IF(H46&lt;G46*0.4,A46,""))</f>
        <v/>
      </c>
      <c r="O52" s="155" t="str">
        <f>IF(H47=0,"",IF(H47&lt;G47*0.4,A47,""))</f>
        <v/>
      </c>
      <c r="Q52" s="566" t="s">
        <v>120</v>
      </c>
      <c r="R52" s="567"/>
      <c r="S52" s="568">
        <f>IFERROR(VLOOKUP(AC56,اسماء,65,0),"")</f>
        <v>120170679056</v>
      </c>
      <c r="T52" s="568" t="str">
        <f>IFERROR(VLOOKUP(X59,اسماء,8,0),"")</f>
        <v/>
      </c>
      <c r="U52" s="568" t="str">
        <f>IFERROR(VLOOKUP(Y59,اسماء,8,0),"")</f>
        <v/>
      </c>
      <c r="V52" s="568" t="str">
        <f>IFERROR(VLOOKUP(Z59,اسماء,8,0),"")</f>
        <v/>
      </c>
      <c r="W52" s="568" t="str">
        <f>IFERROR(VLOOKUP(AA59,اسماء,8,0),"")</f>
        <v/>
      </c>
      <c r="X52" s="580" t="s">
        <v>157</v>
      </c>
      <c r="Y52" s="581"/>
      <c r="Z52" s="470" t="str">
        <f>IF(AA51=0,"",IF(AND(AA45&gt;=Z45*0.4,AA46&gt;=Z46*0.4,AA47&gt;=Z47*0.4,AA48&gt;=Z48*0.4,AA49&gt;=Z49*0.4,AA50&gt;=Z50*0.4),LOOKUP(AA51,'الصحيفة النهائية'!$BO$2:$BP$6),"ضعيف ويحتاج الى اهتمام في المواد"))</f>
        <v/>
      </c>
      <c r="AA52" s="470"/>
      <c r="AB52" s="31"/>
      <c r="AC52" s="106" t="str">
        <f>IF(X45=0,"",IF(X45&lt;W45*0.4,Q45,""))</f>
        <v/>
      </c>
      <c r="AD52" s="154" t="str">
        <f>IF(X46=0,"",IF(X46&lt;W46*0.4,Q46,""))</f>
        <v/>
      </c>
      <c r="AE52" s="155" t="str">
        <f>IF(X47=0,"",IF(X47&lt;W47*0.4,Q47,""))</f>
        <v/>
      </c>
      <c r="AG52" s="566" t="s">
        <v>120</v>
      </c>
      <c r="AH52" s="567"/>
      <c r="AI52" s="568">
        <f>IFERROR(VLOOKUP(AS56,اسماء,65,0),"")</f>
        <v>120170156010</v>
      </c>
      <c r="AJ52" s="568" t="str">
        <f>IFERROR(VLOOKUP(AN59,اسماء,8,0),"")</f>
        <v/>
      </c>
      <c r="AK52" s="568" t="str">
        <f>IFERROR(VLOOKUP(AO59,اسماء,8,0),"")</f>
        <v/>
      </c>
      <c r="AL52" s="568" t="str">
        <f>IFERROR(VLOOKUP(AP59,اسماء,8,0),"")</f>
        <v/>
      </c>
      <c r="AM52" s="568" t="str">
        <f>IFERROR(VLOOKUP(AQ59,اسماء,8,0),"")</f>
        <v/>
      </c>
      <c r="AN52" s="580" t="s">
        <v>157</v>
      </c>
      <c r="AO52" s="581"/>
      <c r="AP52" s="470" t="str">
        <f>IF(AQ51=0,"",IF(AND(AQ45&gt;=AP45*0.4,AQ46&gt;=AP46*0.4,AQ47&gt;=AP47*0.4,AQ48&gt;=AP48*0.4,AQ49&gt;=AP49*0.4,AQ50&gt;=AP50*0.4),LOOKUP(AQ51,'الصحيفة النهائية'!$BO$2:$BP$6),"ضعيف ويحتاج الى اهتمام في المواد"))</f>
        <v/>
      </c>
      <c r="AQ52" s="470"/>
      <c r="AR52" s="31"/>
      <c r="AS52" s="106" t="str">
        <f>IF(AN45=0,"",IF(AN45&lt;AM45*0.4,AG45,""))</f>
        <v/>
      </c>
      <c r="AT52" s="154" t="str">
        <f>IF(AN46=0,"",IF(AN46&lt;AM46*0.4,AG46,""))</f>
        <v/>
      </c>
      <c r="AU52" s="155" t="str">
        <f>IF(AN47=0,"",IF(AN47&lt;AM47*0.4,AG47,""))</f>
        <v/>
      </c>
      <c r="AW52" s="566" t="s">
        <v>120</v>
      </c>
      <c r="AX52" s="567"/>
      <c r="AY52" s="568" t="str">
        <f>IFERROR(VLOOKUP(BI56,اسماء,65,0),"")</f>
        <v/>
      </c>
      <c r="AZ52" s="568" t="str">
        <f>IFERROR(VLOOKUP(BD59,اسماء,8,0),"")</f>
        <v/>
      </c>
      <c r="BA52" s="568" t="str">
        <f>IFERROR(VLOOKUP(BE59,اسماء,8,0),"")</f>
        <v/>
      </c>
      <c r="BB52" s="568" t="str">
        <f>IFERROR(VLOOKUP(BF59,اسماء,8,0),"")</f>
        <v/>
      </c>
      <c r="BC52" s="568" t="str">
        <f>IFERROR(VLOOKUP(BG59,اسماء,8,0),"")</f>
        <v/>
      </c>
      <c r="BD52" s="580" t="s">
        <v>157</v>
      </c>
      <c r="BE52" s="581"/>
      <c r="BF52" s="470" t="str">
        <f>IF(BG51=0,"",IF(AND(BG45&gt;=BF45*0.4,BG46&gt;=BF46*0.4,BG47&gt;=BF47*0.4,BG48&gt;=BF48*0.4,BG49&gt;=BF49*0.4,BG50&gt;=BF50*0.4),LOOKUP(BG51,'الصحيفة النهائية'!$BO$2:$BP$6),"ضعيف ويحتاج الى اهتمام في المواد"))</f>
        <v/>
      </c>
      <c r="BG52" s="470"/>
      <c r="BH52" s="31"/>
      <c r="BI52" s="106" t="str">
        <f>IF(BD45=0,"",IF(BD45&lt;BC45*0.4,AW45,""))</f>
        <v/>
      </c>
      <c r="BJ52" s="154" t="str">
        <f>IF(BD46=0,"",IF(BD46&lt;BC46*0.4,AW46,""))</f>
        <v/>
      </c>
      <c r="BK52" s="155" t="str">
        <f>IF(BD47=0,"",IF(BD47&lt;BC47*0.4,AW47,""))</f>
        <v/>
      </c>
    </row>
    <row r="53" spans="1:64" ht="24.9" customHeight="1" x14ac:dyDescent="0.25">
      <c r="A53" s="373" t="str">
        <f>ادخال1!$M$8</f>
        <v>التربية الفنية</v>
      </c>
      <c r="B53" s="375">
        <f>ادخال1!$M$7</f>
        <v>1</v>
      </c>
      <c r="C53" s="491" t="str">
        <f>IFERROR(VLOOKUP(M56,اسماء,12,0),"")</f>
        <v>جيد جداً</v>
      </c>
      <c r="D53" s="491"/>
      <c r="E53" s="491" t="str">
        <f>IFERROR(VLOOKUP(M56,اسماء,13,0),"")</f>
        <v>جيد جداً</v>
      </c>
      <c r="F53" s="491"/>
      <c r="G53" s="491">
        <f>IFERROR(VLOOKUP(M56,اسماء,14,0),"")</f>
        <v>0</v>
      </c>
      <c r="H53" s="491"/>
      <c r="I53" s="433"/>
      <c r="J53" s="445"/>
      <c r="K53" s="562"/>
      <c r="L53" s="33"/>
      <c r="M53" s="106" t="str">
        <f>IF(H48=0,"",IF(H48&lt;G48*0.4,A48,""))</f>
        <v/>
      </c>
      <c r="N53" s="154" t="str">
        <f>IF(H49=0,"",IF(H49&lt;G49*0.4,A49,""))</f>
        <v/>
      </c>
      <c r="O53" s="155"/>
      <c r="Q53" s="373" t="str">
        <f>ادخال1!$M$8</f>
        <v>التربية الفنية</v>
      </c>
      <c r="R53" s="375">
        <f>ادخال1!$M$7</f>
        <v>1</v>
      </c>
      <c r="S53" s="491" t="str">
        <f>IFERROR(VLOOKUP(AC56,اسماء,12,0),"")</f>
        <v>جيد جداً</v>
      </c>
      <c r="T53" s="491"/>
      <c r="U53" s="491" t="str">
        <f>IFERROR(VLOOKUP(AC56,اسماء,13,0),"")</f>
        <v>جيد جداً</v>
      </c>
      <c r="V53" s="491"/>
      <c r="W53" s="491">
        <f>IFERROR(VLOOKUP(AC56,اسماء,14,0),"")</f>
        <v>0</v>
      </c>
      <c r="X53" s="491"/>
      <c r="Y53" s="433"/>
      <c r="Z53" s="445"/>
      <c r="AA53" s="562"/>
      <c r="AB53" s="33"/>
      <c r="AC53" s="106" t="str">
        <f>IF(X48=0,"",IF(X48&lt;W48*0.4,Q48,""))</f>
        <v/>
      </c>
      <c r="AD53" s="154" t="str">
        <f>IF(X49=0,"",IF(X49&lt;W49*0.4,Q49,""))</f>
        <v/>
      </c>
      <c r="AE53" s="155"/>
      <c r="AG53" s="373" t="str">
        <f>ادخال1!$M$8</f>
        <v>التربية الفنية</v>
      </c>
      <c r="AH53" s="375">
        <f>ادخال1!$M$7</f>
        <v>1</v>
      </c>
      <c r="AI53" s="491" t="str">
        <f>IFERROR(VLOOKUP(AS56,اسماء,12,0),"")</f>
        <v>جيد جداً</v>
      </c>
      <c r="AJ53" s="491"/>
      <c r="AK53" s="491" t="str">
        <f>IFERROR(VLOOKUP(AS56,اسماء,13,0),"")</f>
        <v>جيد جداً</v>
      </c>
      <c r="AL53" s="491"/>
      <c r="AM53" s="491">
        <f>IFERROR(VLOOKUP(AS56,اسماء,14,0),"")</f>
        <v>0</v>
      </c>
      <c r="AN53" s="491"/>
      <c r="AO53" s="433"/>
      <c r="AP53" s="445"/>
      <c r="AQ53" s="562"/>
      <c r="AR53" s="33"/>
      <c r="AS53" s="106" t="str">
        <f>IF(AN48=0,"",IF(AN48&lt;AM48*0.4,AG48,""))</f>
        <v/>
      </c>
      <c r="AT53" s="154" t="str">
        <f>IF(AN49=0,"",IF(AN49&lt;AM49*0.4,AG49,""))</f>
        <v/>
      </c>
      <c r="AU53" s="155"/>
      <c r="AW53" s="373" t="str">
        <f>ادخال1!$M$8</f>
        <v>التربية الفنية</v>
      </c>
      <c r="AX53" s="375">
        <f>ادخال1!$M$7</f>
        <v>1</v>
      </c>
      <c r="AY53" s="491" t="str">
        <f>IFERROR(VLOOKUP(BI56,اسماء,12,0),"")</f>
        <v/>
      </c>
      <c r="AZ53" s="491"/>
      <c r="BA53" s="491" t="str">
        <f>IFERROR(VLOOKUP(BI56,اسماء,13,0),"")</f>
        <v/>
      </c>
      <c r="BB53" s="491"/>
      <c r="BC53" s="491" t="str">
        <f>IFERROR(VLOOKUP(BI56,اسماء,14,0),"")</f>
        <v/>
      </c>
      <c r="BD53" s="491"/>
      <c r="BE53" s="433"/>
      <c r="BF53" s="445"/>
      <c r="BG53" s="562"/>
      <c r="BH53" s="33"/>
      <c r="BI53" s="106" t="str">
        <f>IF(BD48=0,"",IF(BD48&lt;BC48*0.4,AW48,""))</f>
        <v/>
      </c>
      <c r="BJ53" s="154" t="str">
        <f>IF(BD49=0,"",IF(BD49&lt;BC49*0.4,AW49,""))</f>
        <v/>
      </c>
      <c r="BK53" s="155"/>
    </row>
    <row r="54" spans="1:64" ht="24.9" customHeight="1" thickBot="1" x14ac:dyDescent="0.3">
      <c r="A54" s="374" t="str">
        <f>ادخال1!$N$8</f>
        <v>التربية البدنية</v>
      </c>
      <c r="B54" s="376">
        <f>ادخال1!$N$7</f>
        <v>2</v>
      </c>
      <c r="C54" s="435">
        <f>IFERROR(VLOOKUP(M56,اسماء,23,0),"")</f>
        <v>0</v>
      </c>
      <c r="D54" s="435"/>
      <c r="E54" s="435">
        <f>IFERROR(VLOOKUP(M56,اسماء,24,0),"")</f>
        <v>0</v>
      </c>
      <c r="F54" s="435"/>
      <c r="G54" s="435">
        <f>IFERROR(VLOOKUP(M56,اسماء,25,0),"")</f>
        <v>0</v>
      </c>
      <c r="H54" s="435"/>
      <c r="I54" s="499"/>
      <c r="J54" s="500"/>
      <c r="K54" s="501"/>
      <c r="L54" s="33"/>
      <c r="M54" s="280"/>
      <c r="N54" s="281"/>
      <c r="O54" s="281"/>
      <c r="Q54" s="374" t="str">
        <f>ادخال1!$N$8</f>
        <v>التربية البدنية</v>
      </c>
      <c r="R54" s="376">
        <f>ادخال1!$N$7</f>
        <v>2</v>
      </c>
      <c r="S54" s="435">
        <f>IFERROR(VLOOKUP(AC56,اسماء,23,0),"")</f>
        <v>0</v>
      </c>
      <c r="T54" s="435"/>
      <c r="U54" s="435">
        <f>IFERROR(VLOOKUP(AC56,اسماء,24,0),"")</f>
        <v>0</v>
      </c>
      <c r="V54" s="435"/>
      <c r="W54" s="435">
        <f>IFERROR(VLOOKUP(AC56,اسماء,25,0),"")</f>
        <v>0</v>
      </c>
      <c r="X54" s="435"/>
      <c r="Y54" s="499"/>
      <c r="Z54" s="500"/>
      <c r="AA54" s="501"/>
      <c r="AB54" s="33"/>
      <c r="AC54" s="280"/>
      <c r="AD54" s="281"/>
      <c r="AE54" s="281"/>
      <c r="AG54" s="374" t="str">
        <f>ادخال1!$N$8</f>
        <v>التربية البدنية</v>
      </c>
      <c r="AH54" s="376">
        <f>ادخال1!$N$7</f>
        <v>2</v>
      </c>
      <c r="AI54" s="435">
        <f>IFERROR(VLOOKUP(AS56,اسماء,23,0),"")</f>
        <v>0</v>
      </c>
      <c r="AJ54" s="435"/>
      <c r="AK54" s="435">
        <f>IFERROR(VLOOKUP(AS56,اسماء,24,0),"")</f>
        <v>0</v>
      </c>
      <c r="AL54" s="435"/>
      <c r="AM54" s="435">
        <f>IFERROR(VLOOKUP(AS56,اسماء,25,0),"")</f>
        <v>0</v>
      </c>
      <c r="AN54" s="435"/>
      <c r="AO54" s="499"/>
      <c r="AP54" s="500"/>
      <c r="AQ54" s="501"/>
      <c r="AR54" s="33"/>
      <c r="AS54" s="280"/>
      <c r="AT54" s="281"/>
      <c r="AU54" s="281"/>
      <c r="AW54" s="374" t="str">
        <f>ادخال1!$N$8</f>
        <v>التربية البدنية</v>
      </c>
      <c r="AX54" s="376">
        <f>ادخال1!$N$7</f>
        <v>2</v>
      </c>
      <c r="AY54" s="435" t="str">
        <f>IFERROR(VLOOKUP(BI56,اسماء,23,0),"")</f>
        <v/>
      </c>
      <c r="AZ54" s="435"/>
      <c r="BA54" s="435" t="str">
        <f>IFERROR(VLOOKUP(BI56,اسماء,24,0),"")</f>
        <v/>
      </c>
      <c r="BB54" s="435"/>
      <c r="BC54" s="435" t="str">
        <f>IFERROR(VLOOKUP(BI56,اسماء,25,0),"")</f>
        <v/>
      </c>
      <c r="BD54" s="435"/>
      <c r="BE54" s="499"/>
      <c r="BF54" s="500"/>
      <c r="BG54" s="501"/>
      <c r="BH54" s="33"/>
      <c r="BI54" s="280"/>
      <c r="BJ54" s="281"/>
      <c r="BK54" s="281"/>
    </row>
    <row r="55" spans="1:64" ht="24.9" customHeight="1" thickBot="1" x14ac:dyDescent="0.3">
      <c r="A55" s="377" t="str">
        <f>ادخال1!$O$8</f>
        <v>مكتبة</v>
      </c>
      <c r="B55" s="378">
        <f>ادخال1!O47</f>
        <v>0</v>
      </c>
      <c r="C55" s="435">
        <f>IFERROR(VLOOKUP(M56,اسماء,34,0),"")</f>
        <v>0</v>
      </c>
      <c r="D55" s="435"/>
      <c r="E55" s="435">
        <f>IFERROR(VLOOKUP(M56,اسماء,35,0),"")</f>
        <v>0</v>
      </c>
      <c r="F55" s="435"/>
      <c r="G55" s="435">
        <f>IFERROR(VLOOKUP(M56,اسماء,36,0),"")</f>
        <v>0</v>
      </c>
      <c r="H55" s="435"/>
      <c r="I55" s="547" t="s">
        <v>33</v>
      </c>
      <c r="J55" s="547"/>
      <c r="K55" s="547"/>
      <c r="L55" s="31"/>
      <c r="M55" s="502" t="s">
        <v>57</v>
      </c>
      <c r="N55" s="503"/>
      <c r="O55" s="504"/>
      <c r="Q55" s="377" t="str">
        <f>ادخال1!$O$8</f>
        <v>مكتبة</v>
      </c>
      <c r="R55" s="378">
        <f>ادخال1!AE47</f>
        <v>0</v>
      </c>
      <c r="S55" s="435">
        <f>IFERROR(VLOOKUP(AC56,اسماء,34,0),"")</f>
        <v>0</v>
      </c>
      <c r="T55" s="435"/>
      <c r="U55" s="435">
        <f>IFERROR(VLOOKUP(AC56,اسماء,35,0),"")</f>
        <v>0</v>
      </c>
      <c r="V55" s="435"/>
      <c r="W55" s="435">
        <f>IFERROR(VLOOKUP(AC56,اسماء,36,0),"")</f>
        <v>0</v>
      </c>
      <c r="X55" s="435"/>
      <c r="Y55" s="547" t="s">
        <v>33</v>
      </c>
      <c r="Z55" s="547"/>
      <c r="AA55" s="547"/>
      <c r="AB55" s="31"/>
      <c r="AC55" s="502" t="s">
        <v>57</v>
      </c>
      <c r="AD55" s="503"/>
      <c r="AE55" s="504"/>
      <c r="AG55" s="377" t="str">
        <f>ادخال1!$O$8</f>
        <v>مكتبة</v>
      </c>
      <c r="AH55" s="378">
        <f>ادخال1!AU47</f>
        <v>4.6999999999999999E-6</v>
      </c>
      <c r="AI55" s="435">
        <f>IFERROR(VLOOKUP(AS56,اسماء,34,0),"")</f>
        <v>0</v>
      </c>
      <c r="AJ55" s="435"/>
      <c r="AK55" s="435">
        <f>IFERROR(VLOOKUP(AS56,اسماء,35,0),"")</f>
        <v>0</v>
      </c>
      <c r="AL55" s="435"/>
      <c r="AM55" s="435">
        <f>IFERROR(VLOOKUP(AS56,اسماء,36,0),"")</f>
        <v>0</v>
      </c>
      <c r="AN55" s="435"/>
      <c r="AO55" s="547" t="s">
        <v>33</v>
      </c>
      <c r="AP55" s="547"/>
      <c r="AQ55" s="547"/>
      <c r="AR55" s="31"/>
      <c r="AS55" s="502" t="s">
        <v>57</v>
      </c>
      <c r="AT55" s="503"/>
      <c r="AU55" s="504"/>
      <c r="AW55" s="377" t="str">
        <f>ادخال1!$O$8</f>
        <v>مكتبة</v>
      </c>
      <c r="AX55" s="378">
        <f>ادخال1!BK47</f>
        <v>0</v>
      </c>
      <c r="AY55" s="435" t="str">
        <f>IFERROR(VLOOKUP(BI56,اسماء,34,0),"")</f>
        <v/>
      </c>
      <c r="AZ55" s="435"/>
      <c r="BA55" s="435" t="str">
        <f>IFERROR(VLOOKUP(BI56,اسماء,35,0),"")</f>
        <v/>
      </c>
      <c r="BB55" s="435"/>
      <c r="BC55" s="435" t="str">
        <f>IFERROR(VLOOKUP(BI56,اسماء,36,0),"")</f>
        <v/>
      </c>
      <c r="BD55" s="435"/>
      <c r="BE55" s="547" t="s">
        <v>33</v>
      </c>
      <c r="BF55" s="547"/>
      <c r="BG55" s="547"/>
      <c r="BH55" s="31"/>
      <c r="BI55" s="502" t="s">
        <v>57</v>
      </c>
      <c r="BJ55" s="503"/>
      <c r="BK55" s="504"/>
    </row>
    <row r="56" spans="1:64" ht="22.2" customHeight="1" x14ac:dyDescent="0.25">
      <c r="A56" s="491" t="s">
        <v>58</v>
      </c>
      <c r="B56" s="491"/>
      <c r="C56" s="491">
        <f>IFERROR(VLOOKUP(M56,اسماء,37,0),"")</f>
        <v>0</v>
      </c>
      <c r="D56" s="491"/>
      <c r="E56" s="491">
        <f>IFERROR(VLOOKUP(M56,اسماء,38,0),"")</f>
        <v>0</v>
      </c>
      <c r="F56" s="491"/>
      <c r="G56" s="491">
        <f>IFERROR(VLOOKUP(M56,اسماء,39,0),"")</f>
        <v>0</v>
      </c>
      <c r="H56" s="491"/>
      <c r="I56" s="492">
        <f>IFERROR(VLOOKUP(M56,اسماء,42,0),"")</f>
        <v>0</v>
      </c>
      <c r="J56" s="493"/>
      <c r="K56" s="494"/>
      <c r="L56" s="33"/>
      <c r="M56" s="548" t="str">
        <f>INDEX(عمود2,MATCH(O41,عمود1))</f>
        <v>إيلاف نورالدين عياد حسين</v>
      </c>
      <c r="N56" s="549"/>
      <c r="O56" s="550"/>
      <c r="Q56" s="491" t="s">
        <v>58</v>
      </c>
      <c r="R56" s="491"/>
      <c r="S56" s="491">
        <f>IFERROR(VLOOKUP(AC56,اسماء,37,0),"")</f>
        <v>0</v>
      </c>
      <c r="T56" s="491"/>
      <c r="U56" s="491">
        <f>IFERROR(VLOOKUP(AC56,اسماء,38,0),"")</f>
        <v>0</v>
      </c>
      <c r="V56" s="491"/>
      <c r="W56" s="491">
        <f>IFERROR(VLOOKUP(AC56,اسماء,39,0),"")</f>
        <v>0</v>
      </c>
      <c r="X56" s="491"/>
      <c r="Y56" s="492">
        <f>IFERROR(VLOOKUP(AC56,اسماء,42,0),"")</f>
        <v>0</v>
      </c>
      <c r="Z56" s="493"/>
      <c r="AA56" s="494"/>
      <c r="AB56" s="33"/>
      <c r="AC56" s="548" t="str">
        <f>INDEX(عمود2,MATCH(AE41,عمود1))</f>
        <v>عبدالقدوس عزالدين سالم ادريدر</v>
      </c>
      <c r="AD56" s="549"/>
      <c r="AE56" s="550"/>
      <c r="AG56" s="491" t="s">
        <v>58</v>
      </c>
      <c r="AH56" s="491"/>
      <c r="AI56" s="491">
        <f>IFERROR(VLOOKUP(AS56,اسماء,37,0),"")</f>
        <v>0</v>
      </c>
      <c r="AJ56" s="491"/>
      <c r="AK56" s="491">
        <f>IFERROR(VLOOKUP(AS56,اسماء,38,0),"")</f>
        <v>0</v>
      </c>
      <c r="AL56" s="491"/>
      <c r="AM56" s="491">
        <f>IFERROR(VLOOKUP(AS56,اسماء,39,0),"")</f>
        <v>0</v>
      </c>
      <c r="AN56" s="491"/>
      <c r="AO56" s="492">
        <f>IFERROR(VLOOKUP(AS56,اسماء,42,0),"")</f>
        <v>0</v>
      </c>
      <c r="AP56" s="493"/>
      <c r="AQ56" s="494"/>
      <c r="AR56" s="33"/>
      <c r="AS56" s="548" t="str">
        <f>INDEX(عمود2,MATCH(AU41,عمود1))</f>
        <v>مناف عبد اللطيف ضويلة القنوش</v>
      </c>
      <c r="AT56" s="549"/>
      <c r="AU56" s="550"/>
      <c r="AW56" s="491" t="s">
        <v>58</v>
      </c>
      <c r="AX56" s="491"/>
      <c r="AY56" s="491" t="str">
        <f>IFERROR(VLOOKUP(BI56,اسماء,37,0),"")</f>
        <v/>
      </c>
      <c r="AZ56" s="491"/>
      <c r="BA56" s="491" t="str">
        <f>IFERROR(VLOOKUP(BI56,اسماء,38,0),"")</f>
        <v/>
      </c>
      <c r="BB56" s="491"/>
      <c r="BC56" s="491" t="str">
        <f>IFERROR(VLOOKUP(BI56,اسماء,39,0),"")</f>
        <v/>
      </c>
      <c r="BD56" s="491"/>
      <c r="BE56" s="492" t="str">
        <f>IFERROR(VLOOKUP(BI56,اسماء,42,0),"")</f>
        <v/>
      </c>
      <c r="BF56" s="493"/>
      <c r="BG56" s="494"/>
      <c r="BH56" s="33"/>
      <c r="BI56" s="548">
        <f>INDEX(عمود2,MATCH(BK41,عمود1))</f>
        <v>0</v>
      </c>
      <c r="BJ56" s="549"/>
      <c r="BK56" s="550"/>
    </row>
    <row r="57" spans="1:64" ht="22.2" customHeight="1" x14ac:dyDescent="0.25">
      <c r="A57" s="435" t="s">
        <v>59</v>
      </c>
      <c r="B57" s="435"/>
      <c r="C57" s="435">
        <f>IFERROR(VLOOKUP(M56,اسماء,40,0),"")</f>
        <v>0</v>
      </c>
      <c r="D57" s="435"/>
      <c r="E57" s="435">
        <f>IFERROR(VLOOKUP(M56,اسماء,42,0),"")</f>
        <v>0</v>
      </c>
      <c r="F57" s="435"/>
      <c r="G57" s="435">
        <f>IFERROR(VLOOKUP(M56,اسماء,44,0),"")</f>
        <v>0</v>
      </c>
      <c r="H57" s="435"/>
      <c r="I57" s="437"/>
      <c r="J57" s="435"/>
      <c r="K57" s="514"/>
      <c r="L57" s="33"/>
      <c r="M57" s="551" t="str">
        <f>IF(I56="غائب","يبقى سنة اخرى في الصف",IF(K51&gt;0,"ناجحاً ومنقولاً الى الصف ","يرحل الى الصف"))</f>
        <v>يرحل الى الصف</v>
      </c>
      <c r="N57" s="552"/>
      <c r="O57" s="553"/>
      <c r="Q57" s="435" t="s">
        <v>59</v>
      </c>
      <c r="R57" s="435"/>
      <c r="S57" s="435">
        <f>IFERROR(VLOOKUP(AC56,اسماء,40,0),"")</f>
        <v>0</v>
      </c>
      <c r="T57" s="435"/>
      <c r="U57" s="435">
        <f>IFERROR(VLOOKUP(AC56,اسماء,42,0),"")</f>
        <v>0</v>
      </c>
      <c r="V57" s="435"/>
      <c r="W57" s="435">
        <f>IFERROR(VLOOKUP(AC56,اسماء,44,0),"")</f>
        <v>0</v>
      </c>
      <c r="X57" s="435"/>
      <c r="Y57" s="437"/>
      <c r="Z57" s="435"/>
      <c r="AA57" s="514"/>
      <c r="AB57" s="33"/>
      <c r="AC57" s="551" t="str">
        <f>IF(Y56="غائب","يبقى سنة اخرى في الصف",IF(AA51&gt;0,"ناجحاً ومنقولاً الى الصف ","يرحل الى الصف"))</f>
        <v>يرحل الى الصف</v>
      </c>
      <c r="AD57" s="552"/>
      <c r="AE57" s="553"/>
      <c r="AG57" s="435" t="s">
        <v>59</v>
      </c>
      <c r="AH57" s="435"/>
      <c r="AI57" s="435">
        <f>IFERROR(VLOOKUP(AS56,اسماء,40,0),"")</f>
        <v>0</v>
      </c>
      <c r="AJ57" s="435"/>
      <c r="AK57" s="435">
        <f>IFERROR(VLOOKUP(AS56,اسماء,42,0),"")</f>
        <v>0</v>
      </c>
      <c r="AL57" s="435"/>
      <c r="AM57" s="435">
        <f>IFERROR(VLOOKUP(AS56,اسماء,44,0),"")</f>
        <v>0</v>
      </c>
      <c r="AN57" s="435"/>
      <c r="AO57" s="437"/>
      <c r="AP57" s="435"/>
      <c r="AQ57" s="514"/>
      <c r="AR57" s="33"/>
      <c r="AS57" s="551" t="str">
        <f>IF(AO56="غائب","يبقى سنة اخرى في الصف",IF(AQ51&gt;0,"ناجحاً ومنقولاً الى الصف ","يرحل الى الصف"))</f>
        <v>يرحل الى الصف</v>
      </c>
      <c r="AT57" s="552"/>
      <c r="AU57" s="553"/>
      <c r="AW57" s="435" t="s">
        <v>59</v>
      </c>
      <c r="AX57" s="435"/>
      <c r="AY57" s="435" t="str">
        <f>IFERROR(VLOOKUP(BI56,اسماء,40,0),"")</f>
        <v/>
      </c>
      <c r="AZ57" s="435"/>
      <c r="BA57" s="435" t="str">
        <f>IFERROR(VLOOKUP(BI56,اسماء,42,0),"")</f>
        <v/>
      </c>
      <c r="BB57" s="435"/>
      <c r="BC57" s="435" t="str">
        <f>IFERROR(VLOOKUP(BI56,اسماء,44,0),"")</f>
        <v/>
      </c>
      <c r="BD57" s="435"/>
      <c r="BE57" s="437"/>
      <c r="BF57" s="435"/>
      <c r="BG57" s="514"/>
      <c r="BH57" s="33"/>
      <c r="BI57" s="551" t="str">
        <f>IF(BE56="غائب","يبقى سنة اخرى في الصف",IF(BG51&gt;0,"ناجحاً ومنقولاً الى الصف ","يرحل الى الصف"))</f>
        <v>يرحل الى الصف</v>
      </c>
      <c r="BJ57" s="552"/>
      <c r="BK57" s="553"/>
    </row>
    <row r="58" spans="1:64" ht="22.2" customHeight="1" thickBot="1" x14ac:dyDescent="0.3">
      <c r="A58" s="498" t="s">
        <v>60</v>
      </c>
      <c r="B58" s="498"/>
      <c r="C58" s="435">
        <f>IFERROR(VLOOKUP(M56,اسماء,41,0),"")</f>
        <v>0</v>
      </c>
      <c r="D58" s="435"/>
      <c r="E58" s="435">
        <f>IFERROR(VLOOKUP(M56,اسماء,43,0),"")</f>
        <v>0</v>
      </c>
      <c r="F58" s="435"/>
      <c r="G58" s="435">
        <f>IFERROR(VLOOKUP(M56,اسماء,45,0),"")</f>
        <v>0</v>
      </c>
      <c r="H58" s="435"/>
      <c r="I58" s="441"/>
      <c r="J58" s="456"/>
      <c r="K58" s="495"/>
      <c r="L58" s="33"/>
      <c r="M58" s="505" t="str">
        <f>IF(I56="غائب",D41,IF(D41="الأول","الثاني",IF(D41="الثاني","الثالث",IF(D41="الثالث","الرابع",IF(D41="الرابع","الخامس",IF(D41="الخامس","السادس"))))))</f>
        <v>الرابع</v>
      </c>
      <c r="N58" s="505"/>
      <c r="O58" s="505"/>
      <c r="P58" s="65"/>
      <c r="Q58" s="498" t="s">
        <v>60</v>
      </c>
      <c r="R58" s="498"/>
      <c r="S58" s="435">
        <f>IFERROR(VLOOKUP(AC56,اسماء,41,0),"")</f>
        <v>0</v>
      </c>
      <c r="T58" s="435"/>
      <c r="U58" s="435">
        <f>IFERROR(VLOOKUP(AC56,اسماء,43,0),"")</f>
        <v>0</v>
      </c>
      <c r="V58" s="435"/>
      <c r="W58" s="435">
        <f>IFERROR(VLOOKUP(AC56,اسماء,45,0),"")</f>
        <v>0</v>
      </c>
      <c r="X58" s="435"/>
      <c r="Y58" s="441"/>
      <c r="Z58" s="456"/>
      <c r="AA58" s="495"/>
      <c r="AB58" s="33"/>
      <c r="AC58" s="505" t="str">
        <f>IF(Y56="غائب",T41,IF(T41="الأول","الثاني",IF(T41="الثاني","الثالث",IF(T41="الثالث","الرابع",IF(T41="الرابع","الخامس",IF(T41="الخامس","السادس"))))))</f>
        <v>الرابع</v>
      </c>
      <c r="AD58" s="505"/>
      <c r="AE58" s="505"/>
      <c r="AF58" s="65"/>
      <c r="AG58" s="498" t="s">
        <v>60</v>
      </c>
      <c r="AH58" s="498"/>
      <c r="AI58" s="435">
        <f>IFERROR(VLOOKUP(AS56,اسماء,41,0),"")</f>
        <v>0</v>
      </c>
      <c r="AJ58" s="435"/>
      <c r="AK58" s="435">
        <f>IFERROR(VLOOKUP(AS56,اسماء,43,0),"")</f>
        <v>0</v>
      </c>
      <c r="AL58" s="435"/>
      <c r="AM58" s="435">
        <f>IFERROR(VLOOKUP(AS56,اسماء,45,0),"")</f>
        <v>0</v>
      </c>
      <c r="AN58" s="435"/>
      <c r="AO58" s="441"/>
      <c r="AP58" s="456"/>
      <c r="AQ58" s="495"/>
      <c r="AR58" s="33"/>
      <c r="AS58" s="505" t="str">
        <f>IF(AO56="غائب",AJ41,IF(AJ41="الأول","الثاني",IF(AJ41="الثاني","الثالث",IF(AJ41="الثالث","الرابع",IF(AJ41="الرابع","الخامس",IF(AJ41="الخامس","السادس"))))))</f>
        <v>الرابع</v>
      </c>
      <c r="AT58" s="505"/>
      <c r="AU58" s="505"/>
      <c r="AV58" s="65"/>
      <c r="AW58" s="498" t="s">
        <v>60</v>
      </c>
      <c r="AX58" s="498"/>
      <c r="AY58" s="435" t="str">
        <f>IFERROR(VLOOKUP(BI56,اسماء,41,0),"")</f>
        <v/>
      </c>
      <c r="AZ58" s="435"/>
      <c r="BA58" s="435" t="str">
        <f>IFERROR(VLOOKUP(BI56,اسماء,43,0),"")</f>
        <v/>
      </c>
      <c r="BB58" s="435"/>
      <c r="BC58" s="435" t="str">
        <f>IFERROR(VLOOKUP(BI56,اسماء,45,0),"")</f>
        <v/>
      </c>
      <c r="BD58" s="435"/>
      <c r="BE58" s="441"/>
      <c r="BF58" s="456"/>
      <c r="BG58" s="495"/>
      <c r="BH58" s="33"/>
      <c r="BI58" s="505" t="str">
        <f>IF(BE56="غائب",AZ41,IF(AZ41="الأول","الثاني",IF(AZ41="الثاني","الثالث",IF(AZ41="الثالث","الرابع",IF(AZ41="الرابع","الخامس",IF(AZ41="الخامس","السادس"))))))</f>
        <v>الرابع</v>
      </c>
      <c r="BJ58" s="505"/>
      <c r="BK58" s="505"/>
    </row>
    <row r="59" spans="1:64" ht="24.9" customHeight="1" thickBot="1" x14ac:dyDescent="0.3">
      <c r="A59" s="135"/>
      <c r="B59" s="149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107"/>
      <c r="N59" s="107"/>
      <c r="O59" s="107"/>
      <c r="Q59" s="135"/>
      <c r="R59" s="149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107"/>
      <c r="AD59" s="107"/>
      <c r="AE59" s="107"/>
      <c r="AG59" s="135"/>
      <c r="AH59" s="149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107"/>
      <c r="AT59" s="107"/>
      <c r="AU59" s="107"/>
      <c r="AW59" s="135"/>
      <c r="AX59" s="149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107"/>
      <c r="BJ59" s="107"/>
      <c r="BK59" s="107"/>
    </row>
    <row r="60" spans="1:64" ht="24.9" customHeight="1" thickBot="1" x14ac:dyDescent="0.3">
      <c r="A60" s="136" t="s">
        <v>14</v>
      </c>
      <c r="B60" s="506" t="s">
        <v>64</v>
      </c>
      <c r="C60" s="506"/>
      <c r="D60" s="506" t="s">
        <v>66</v>
      </c>
      <c r="E60" s="506"/>
      <c r="F60" s="507"/>
      <c r="G60" s="508" t="s">
        <v>86</v>
      </c>
      <c r="H60" s="509"/>
      <c r="I60" s="571" t="s">
        <v>63</v>
      </c>
      <c r="J60" s="571"/>
      <c r="K60" s="571"/>
      <c r="L60" s="571"/>
      <c r="M60" s="571"/>
      <c r="N60" s="571"/>
      <c r="O60" s="571"/>
      <c r="Q60" s="136" t="s">
        <v>14</v>
      </c>
      <c r="R60" s="506" t="s">
        <v>64</v>
      </c>
      <c r="S60" s="506"/>
      <c r="T60" s="506" t="s">
        <v>66</v>
      </c>
      <c r="U60" s="506"/>
      <c r="V60" s="507"/>
      <c r="W60" s="508" t="s">
        <v>86</v>
      </c>
      <c r="X60" s="509"/>
      <c r="Y60" s="571" t="s">
        <v>63</v>
      </c>
      <c r="Z60" s="571"/>
      <c r="AA60" s="571"/>
      <c r="AB60" s="571"/>
      <c r="AC60" s="571"/>
      <c r="AD60" s="571"/>
      <c r="AE60" s="571"/>
      <c r="AG60" s="136" t="s">
        <v>14</v>
      </c>
      <c r="AH60" s="506" t="s">
        <v>64</v>
      </c>
      <c r="AI60" s="506"/>
      <c r="AJ60" s="506" t="s">
        <v>66</v>
      </c>
      <c r="AK60" s="506"/>
      <c r="AL60" s="507"/>
      <c r="AM60" s="508" t="s">
        <v>86</v>
      </c>
      <c r="AN60" s="509"/>
      <c r="AO60" s="571" t="s">
        <v>63</v>
      </c>
      <c r="AP60" s="571"/>
      <c r="AQ60" s="571"/>
      <c r="AR60" s="571"/>
      <c r="AS60" s="571"/>
      <c r="AT60" s="571"/>
      <c r="AU60" s="571"/>
      <c r="AW60" s="136" t="s">
        <v>14</v>
      </c>
      <c r="AX60" s="506" t="s">
        <v>64</v>
      </c>
      <c r="AY60" s="506"/>
      <c r="AZ60" s="506" t="s">
        <v>66</v>
      </c>
      <c r="BA60" s="506"/>
      <c r="BB60" s="507"/>
      <c r="BC60" s="508" t="s">
        <v>86</v>
      </c>
      <c r="BD60" s="509"/>
      <c r="BE60" s="571" t="s">
        <v>63</v>
      </c>
      <c r="BF60" s="571"/>
      <c r="BG60" s="571"/>
      <c r="BH60" s="571"/>
      <c r="BI60" s="571"/>
      <c r="BJ60" s="571"/>
      <c r="BK60" s="571"/>
    </row>
    <row r="61" spans="1:64" ht="24.9" customHeight="1" x14ac:dyDescent="0.25">
      <c r="A61" s="134" t="s">
        <v>87</v>
      </c>
      <c r="B61" s="445"/>
      <c r="C61" s="445"/>
      <c r="D61" s="445"/>
      <c r="E61" s="445"/>
      <c r="F61" s="445"/>
      <c r="G61" s="445"/>
      <c r="H61" s="562"/>
      <c r="I61" s="510" t="s">
        <v>65</v>
      </c>
      <c r="J61" s="510"/>
      <c r="K61" s="511" t="str">
        <f>ادخال1!$BJ$5</f>
        <v>د. عبدالرحمن خليفة العريبي</v>
      </c>
      <c r="L61" s="511"/>
      <c r="M61" s="511"/>
      <c r="N61" s="511"/>
      <c r="O61" s="511"/>
      <c r="Q61" s="134" t="s">
        <v>87</v>
      </c>
      <c r="R61" s="445"/>
      <c r="S61" s="445"/>
      <c r="T61" s="445"/>
      <c r="U61" s="445"/>
      <c r="V61" s="445"/>
      <c r="W61" s="445"/>
      <c r="X61" s="562"/>
      <c r="Y61" s="510" t="s">
        <v>65</v>
      </c>
      <c r="Z61" s="510"/>
      <c r="AA61" s="511" t="str">
        <f>ادخال1!$BJ$5</f>
        <v>د. عبدالرحمن خليفة العريبي</v>
      </c>
      <c r="AB61" s="511"/>
      <c r="AC61" s="511"/>
      <c r="AD61" s="511"/>
      <c r="AE61" s="511"/>
      <c r="AG61" s="134" t="s">
        <v>87</v>
      </c>
      <c r="AH61" s="445"/>
      <c r="AI61" s="445"/>
      <c r="AJ61" s="445"/>
      <c r="AK61" s="445"/>
      <c r="AL61" s="445"/>
      <c r="AM61" s="445"/>
      <c r="AN61" s="562"/>
      <c r="AO61" s="510" t="s">
        <v>65</v>
      </c>
      <c r="AP61" s="510"/>
      <c r="AQ61" s="511" t="str">
        <f>ادخال1!$BJ$5</f>
        <v>د. عبدالرحمن خليفة العريبي</v>
      </c>
      <c r="AR61" s="511"/>
      <c r="AS61" s="511"/>
      <c r="AT61" s="511"/>
      <c r="AU61" s="511"/>
      <c r="AW61" s="134" t="s">
        <v>87</v>
      </c>
      <c r="AX61" s="445"/>
      <c r="AY61" s="445"/>
      <c r="AZ61" s="445"/>
      <c r="BA61" s="445"/>
      <c r="BB61" s="445"/>
      <c r="BC61" s="445"/>
      <c r="BD61" s="562"/>
      <c r="BE61" s="510" t="s">
        <v>65</v>
      </c>
      <c r="BF61" s="510"/>
      <c r="BG61" s="511" t="str">
        <f>ادخال1!$BJ$5</f>
        <v>د. عبدالرحمن خليفة العريبي</v>
      </c>
      <c r="BH61" s="511"/>
      <c r="BI61" s="511"/>
      <c r="BJ61" s="511"/>
      <c r="BK61" s="511"/>
    </row>
    <row r="62" spans="1:64" ht="24.9" customHeight="1" x14ac:dyDescent="0.25">
      <c r="A62" s="57" t="s">
        <v>15</v>
      </c>
      <c r="B62" s="435"/>
      <c r="C62" s="435"/>
      <c r="D62" s="435"/>
      <c r="E62" s="435"/>
      <c r="F62" s="435"/>
      <c r="G62" s="435"/>
      <c r="H62" s="514"/>
      <c r="I62" s="563" t="s">
        <v>67</v>
      </c>
      <c r="J62" s="563"/>
      <c r="K62" s="563"/>
      <c r="L62" s="64"/>
      <c r="M62" s="564">
        <f ca="1">TODAY()</f>
        <v>46009</v>
      </c>
      <c r="N62" s="564"/>
      <c r="O62" s="564"/>
      <c r="Q62" s="57" t="s">
        <v>15</v>
      </c>
      <c r="R62" s="435"/>
      <c r="S62" s="435"/>
      <c r="T62" s="435"/>
      <c r="U62" s="435"/>
      <c r="V62" s="435"/>
      <c r="W62" s="435"/>
      <c r="X62" s="514"/>
      <c r="Y62" s="563" t="s">
        <v>67</v>
      </c>
      <c r="Z62" s="563"/>
      <c r="AA62" s="563"/>
      <c r="AB62" s="64"/>
      <c r="AC62" s="564">
        <f ca="1">TODAY()</f>
        <v>46009</v>
      </c>
      <c r="AD62" s="564"/>
      <c r="AE62" s="564"/>
      <c r="AG62" s="57" t="s">
        <v>15</v>
      </c>
      <c r="AH62" s="435"/>
      <c r="AI62" s="435"/>
      <c r="AJ62" s="435"/>
      <c r="AK62" s="435"/>
      <c r="AL62" s="435"/>
      <c r="AM62" s="435"/>
      <c r="AN62" s="514"/>
      <c r="AO62" s="563" t="s">
        <v>67</v>
      </c>
      <c r="AP62" s="563"/>
      <c r="AQ62" s="563"/>
      <c r="AR62" s="64"/>
      <c r="AS62" s="564">
        <f ca="1">TODAY()</f>
        <v>46009</v>
      </c>
      <c r="AT62" s="564"/>
      <c r="AU62" s="564"/>
      <c r="AW62" s="57" t="s">
        <v>15</v>
      </c>
      <c r="AX62" s="435"/>
      <c r="AY62" s="435"/>
      <c r="AZ62" s="435"/>
      <c r="BA62" s="435"/>
      <c r="BB62" s="435"/>
      <c r="BC62" s="435"/>
      <c r="BD62" s="514"/>
      <c r="BE62" s="563" t="s">
        <v>67</v>
      </c>
      <c r="BF62" s="563"/>
      <c r="BG62" s="563"/>
      <c r="BH62" s="64"/>
      <c r="BI62" s="564">
        <f ca="1">TODAY()</f>
        <v>46009</v>
      </c>
      <c r="BJ62" s="564"/>
      <c r="BK62" s="564"/>
    </row>
    <row r="63" spans="1:64" ht="15.6" thickBot="1" x14ac:dyDescent="0.3">
      <c r="A63" s="137" t="s">
        <v>88</v>
      </c>
      <c r="B63" s="456"/>
      <c r="C63" s="456"/>
      <c r="D63" s="456"/>
      <c r="E63" s="456"/>
      <c r="F63" s="456"/>
      <c r="G63" s="456"/>
      <c r="H63" s="495"/>
      <c r="I63" s="496" t="s">
        <v>69</v>
      </c>
      <c r="J63" s="496"/>
      <c r="K63" s="496"/>
      <c r="L63" s="496"/>
      <c r="M63" s="496"/>
      <c r="N63" s="496"/>
      <c r="O63" s="497"/>
      <c r="Q63" s="137" t="s">
        <v>88</v>
      </c>
      <c r="R63" s="456"/>
      <c r="S63" s="456"/>
      <c r="T63" s="456"/>
      <c r="U63" s="456"/>
      <c r="V63" s="456"/>
      <c r="W63" s="456"/>
      <c r="X63" s="495"/>
      <c r="Y63" s="496" t="s">
        <v>69</v>
      </c>
      <c r="Z63" s="496"/>
      <c r="AA63" s="496"/>
      <c r="AB63" s="496"/>
      <c r="AC63" s="496"/>
      <c r="AD63" s="496"/>
      <c r="AE63" s="497"/>
      <c r="AG63" s="137" t="s">
        <v>88</v>
      </c>
      <c r="AH63" s="456"/>
      <c r="AI63" s="456"/>
      <c r="AJ63" s="456"/>
      <c r="AK63" s="456"/>
      <c r="AL63" s="456"/>
      <c r="AM63" s="456"/>
      <c r="AN63" s="495"/>
      <c r="AO63" s="496" t="s">
        <v>69</v>
      </c>
      <c r="AP63" s="496"/>
      <c r="AQ63" s="496"/>
      <c r="AR63" s="496"/>
      <c r="AS63" s="496"/>
      <c r="AT63" s="496"/>
      <c r="AU63" s="497"/>
      <c r="AW63" s="137" t="s">
        <v>88</v>
      </c>
      <c r="AX63" s="456"/>
      <c r="AY63" s="456"/>
      <c r="AZ63" s="456"/>
      <c r="BA63" s="456"/>
      <c r="BB63" s="456"/>
      <c r="BC63" s="456"/>
      <c r="BD63" s="495"/>
      <c r="BE63" s="496" t="s">
        <v>69</v>
      </c>
      <c r="BF63" s="496"/>
      <c r="BG63" s="496"/>
      <c r="BH63" s="496"/>
      <c r="BI63" s="496"/>
      <c r="BJ63" s="496"/>
      <c r="BK63" s="497"/>
    </row>
    <row r="64" spans="1:64" thickTop="1" x14ac:dyDescent="0.25">
      <c r="A64" s="545" t="s">
        <v>83</v>
      </c>
      <c r="B64" s="546"/>
      <c r="C64" s="546"/>
      <c r="D64" s="546"/>
      <c r="E64" s="35"/>
      <c r="F64" s="35"/>
      <c r="G64" s="36"/>
      <c r="H64" s="6"/>
      <c r="I64" s="516" t="s">
        <v>70</v>
      </c>
      <c r="J64" s="517"/>
      <c r="K64" s="517"/>
      <c r="L64" s="517"/>
      <c r="M64" s="517"/>
      <c r="N64" s="517"/>
      <c r="O64" s="518"/>
      <c r="Q64" s="545" t="s">
        <v>83</v>
      </c>
      <c r="R64" s="546"/>
      <c r="S64" s="546"/>
      <c r="T64" s="546"/>
      <c r="U64" s="35"/>
      <c r="V64" s="35"/>
      <c r="W64" s="36"/>
      <c r="X64" s="6"/>
      <c r="Y64" s="516" t="s">
        <v>70</v>
      </c>
      <c r="Z64" s="517"/>
      <c r="AA64" s="517"/>
      <c r="AB64" s="517"/>
      <c r="AC64" s="517"/>
      <c r="AD64" s="517"/>
      <c r="AE64" s="518"/>
      <c r="AG64" s="545" t="s">
        <v>83</v>
      </c>
      <c r="AH64" s="546"/>
      <c r="AI64" s="546"/>
      <c r="AJ64" s="546"/>
      <c r="AK64" s="35"/>
      <c r="AL64" s="35"/>
      <c r="AM64" s="36"/>
      <c r="AN64" s="6"/>
      <c r="AO64" s="516" t="s">
        <v>70</v>
      </c>
      <c r="AP64" s="517"/>
      <c r="AQ64" s="517"/>
      <c r="AR64" s="517"/>
      <c r="AS64" s="517"/>
      <c r="AT64" s="517"/>
      <c r="AU64" s="518"/>
      <c r="AW64" s="545" t="s">
        <v>83</v>
      </c>
      <c r="AX64" s="546"/>
      <c r="AY64" s="546"/>
      <c r="AZ64" s="546"/>
      <c r="BA64" s="35"/>
      <c r="BB64" s="35"/>
      <c r="BC64" s="36"/>
      <c r="BD64" s="6"/>
      <c r="BE64" s="516" t="s">
        <v>70</v>
      </c>
      <c r="BF64" s="517"/>
      <c r="BG64" s="517"/>
      <c r="BH64" s="517"/>
      <c r="BI64" s="517"/>
      <c r="BJ64" s="517"/>
      <c r="BK64" s="518"/>
    </row>
    <row r="65" spans="1:63" ht="14.25" customHeight="1" x14ac:dyDescent="0.25">
      <c r="A65" s="536" t="s">
        <v>71</v>
      </c>
      <c r="B65" s="537"/>
      <c r="C65" s="537"/>
      <c r="D65" s="537"/>
      <c r="E65" s="537"/>
      <c r="F65" s="537"/>
      <c r="G65" s="538"/>
      <c r="H65" s="6"/>
      <c r="I65" s="539" t="s">
        <v>84</v>
      </c>
      <c r="J65" s="540"/>
      <c r="K65" s="540"/>
      <c r="L65" s="540"/>
      <c r="M65" s="540"/>
      <c r="N65" s="540"/>
      <c r="O65" s="541"/>
      <c r="Q65" s="536" t="s">
        <v>71</v>
      </c>
      <c r="R65" s="537"/>
      <c r="S65" s="537"/>
      <c r="T65" s="537"/>
      <c r="U65" s="537"/>
      <c r="V65" s="537"/>
      <c r="W65" s="538"/>
      <c r="X65" s="6"/>
      <c r="Y65" s="539" t="s">
        <v>84</v>
      </c>
      <c r="Z65" s="540"/>
      <c r="AA65" s="540"/>
      <c r="AB65" s="540"/>
      <c r="AC65" s="540"/>
      <c r="AD65" s="540"/>
      <c r="AE65" s="541"/>
      <c r="AG65" s="536" t="s">
        <v>71</v>
      </c>
      <c r="AH65" s="537"/>
      <c r="AI65" s="537"/>
      <c r="AJ65" s="537"/>
      <c r="AK65" s="537"/>
      <c r="AL65" s="537"/>
      <c r="AM65" s="538"/>
      <c r="AN65" s="6"/>
      <c r="AO65" s="539" t="s">
        <v>84</v>
      </c>
      <c r="AP65" s="540"/>
      <c r="AQ65" s="540"/>
      <c r="AR65" s="540"/>
      <c r="AS65" s="540"/>
      <c r="AT65" s="540"/>
      <c r="AU65" s="541"/>
      <c r="AW65" s="536" t="s">
        <v>71</v>
      </c>
      <c r="AX65" s="537"/>
      <c r="AY65" s="537"/>
      <c r="AZ65" s="537"/>
      <c r="BA65" s="537"/>
      <c r="BB65" s="537"/>
      <c r="BC65" s="538"/>
      <c r="BD65" s="6"/>
      <c r="BE65" s="539" t="s">
        <v>84</v>
      </c>
      <c r="BF65" s="540"/>
      <c r="BG65" s="540"/>
      <c r="BH65" s="540"/>
      <c r="BI65" s="540"/>
      <c r="BJ65" s="540"/>
      <c r="BK65" s="541"/>
    </row>
    <row r="66" spans="1:63" ht="13.8" x14ac:dyDescent="0.25">
      <c r="A66" s="536"/>
      <c r="B66" s="537"/>
      <c r="C66" s="537"/>
      <c r="D66" s="537"/>
      <c r="E66" s="537"/>
      <c r="F66" s="537"/>
      <c r="G66" s="538"/>
      <c r="H66" s="6"/>
      <c r="I66" s="539"/>
      <c r="J66" s="540"/>
      <c r="K66" s="540"/>
      <c r="L66" s="540"/>
      <c r="M66" s="540"/>
      <c r="N66" s="540"/>
      <c r="O66" s="541"/>
      <c r="Q66" s="536"/>
      <c r="R66" s="537"/>
      <c r="S66" s="537"/>
      <c r="T66" s="537"/>
      <c r="U66" s="537"/>
      <c r="V66" s="537"/>
      <c r="W66" s="538"/>
      <c r="X66" s="6"/>
      <c r="Y66" s="539"/>
      <c r="Z66" s="540"/>
      <c r="AA66" s="540"/>
      <c r="AB66" s="540"/>
      <c r="AC66" s="540"/>
      <c r="AD66" s="540"/>
      <c r="AE66" s="541"/>
      <c r="AG66" s="536"/>
      <c r="AH66" s="537"/>
      <c r="AI66" s="537"/>
      <c r="AJ66" s="537"/>
      <c r="AK66" s="537"/>
      <c r="AL66" s="537"/>
      <c r="AM66" s="538"/>
      <c r="AN66" s="6"/>
      <c r="AO66" s="539"/>
      <c r="AP66" s="540"/>
      <c r="AQ66" s="540"/>
      <c r="AR66" s="540"/>
      <c r="AS66" s="540"/>
      <c r="AT66" s="540"/>
      <c r="AU66" s="541"/>
      <c r="AW66" s="536"/>
      <c r="AX66" s="537"/>
      <c r="AY66" s="537"/>
      <c r="AZ66" s="537"/>
      <c r="BA66" s="537"/>
      <c r="BB66" s="537"/>
      <c r="BC66" s="538"/>
      <c r="BD66" s="6"/>
      <c r="BE66" s="539"/>
      <c r="BF66" s="540"/>
      <c r="BG66" s="540"/>
      <c r="BH66" s="540"/>
      <c r="BI66" s="540"/>
      <c r="BJ66" s="540"/>
      <c r="BK66" s="541"/>
    </row>
    <row r="67" spans="1:63" ht="13.8" x14ac:dyDescent="0.25">
      <c r="A67" s="536"/>
      <c r="B67" s="537"/>
      <c r="C67" s="537"/>
      <c r="D67" s="537"/>
      <c r="E67" s="537"/>
      <c r="F67" s="537"/>
      <c r="G67" s="538"/>
      <c r="H67" s="6"/>
      <c r="I67" s="539"/>
      <c r="J67" s="540"/>
      <c r="K67" s="540"/>
      <c r="L67" s="540"/>
      <c r="M67" s="540"/>
      <c r="N67" s="540"/>
      <c r="O67" s="541"/>
      <c r="Q67" s="536"/>
      <c r="R67" s="537"/>
      <c r="S67" s="537"/>
      <c r="T67" s="537"/>
      <c r="U67" s="537"/>
      <c r="V67" s="537"/>
      <c r="W67" s="538"/>
      <c r="X67" s="6"/>
      <c r="Y67" s="539"/>
      <c r="Z67" s="540"/>
      <c r="AA67" s="540"/>
      <c r="AB67" s="540"/>
      <c r="AC67" s="540"/>
      <c r="AD67" s="540"/>
      <c r="AE67" s="541"/>
      <c r="AG67" s="536"/>
      <c r="AH67" s="537"/>
      <c r="AI67" s="537"/>
      <c r="AJ67" s="537"/>
      <c r="AK67" s="537"/>
      <c r="AL67" s="537"/>
      <c r="AM67" s="538"/>
      <c r="AN67" s="6"/>
      <c r="AO67" s="539"/>
      <c r="AP67" s="540"/>
      <c r="AQ67" s="540"/>
      <c r="AR67" s="540"/>
      <c r="AS67" s="540"/>
      <c r="AT67" s="540"/>
      <c r="AU67" s="541"/>
      <c r="AW67" s="536"/>
      <c r="AX67" s="537"/>
      <c r="AY67" s="537"/>
      <c r="AZ67" s="537"/>
      <c r="BA67" s="537"/>
      <c r="BB67" s="537"/>
      <c r="BC67" s="538"/>
      <c r="BD67" s="6"/>
      <c r="BE67" s="539"/>
      <c r="BF67" s="540"/>
      <c r="BG67" s="540"/>
      <c r="BH67" s="540"/>
      <c r="BI67" s="540"/>
      <c r="BJ67" s="540"/>
      <c r="BK67" s="541"/>
    </row>
    <row r="68" spans="1:63" ht="13.8" x14ac:dyDescent="0.25">
      <c r="A68" s="536"/>
      <c r="B68" s="537"/>
      <c r="C68" s="537"/>
      <c r="D68" s="537"/>
      <c r="E68" s="537"/>
      <c r="F68" s="537"/>
      <c r="G68" s="538"/>
      <c r="H68" s="6"/>
      <c r="I68" s="539"/>
      <c r="J68" s="540"/>
      <c r="K68" s="540"/>
      <c r="L68" s="540"/>
      <c r="M68" s="540"/>
      <c r="N68" s="540"/>
      <c r="O68" s="541"/>
      <c r="Q68" s="536"/>
      <c r="R68" s="537"/>
      <c r="S68" s="537"/>
      <c r="T68" s="537"/>
      <c r="U68" s="537"/>
      <c r="V68" s="537"/>
      <c r="W68" s="538"/>
      <c r="X68" s="6"/>
      <c r="Y68" s="539"/>
      <c r="Z68" s="540"/>
      <c r="AA68" s="540"/>
      <c r="AB68" s="540"/>
      <c r="AC68" s="540"/>
      <c r="AD68" s="540"/>
      <c r="AE68" s="541"/>
      <c r="AG68" s="536"/>
      <c r="AH68" s="537"/>
      <c r="AI68" s="537"/>
      <c r="AJ68" s="537"/>
      <c r="AK68" s="537"/>
      <c r="AL68" s="537"/>
      <c r="AM68" s="538"/>
      <c r="AN68" s="6"/>
      <c r="AO68" s="539"/>
      <c r="AP68" s="540"/>
      <c r="AQ68" s="540"/>
      <c r="AR68" s="540"/>
      <c r="AS68" s="540"/>
      <c r="AT68" s="540"/>
      <c r="AU68" s="541"/>
      <c r="AW68" s="536"/>
      <c r="AX68" s="537"/>
      <c r="AY68" s="537"/>
      <c r="AZ68" s="537"/>
      <c r="BA68" s="537"/>
      <c r="BB68" s="537"/>
      <c r="BC68" s="538"/>
      <c r="BD68" s="6"/>
      <c r="BE68" s="539"/>
      <c r="BF68" s="540"/>
      <c r="BG68" s="540"/>
      <c r="BH68" s="540"/>
      <c r="BI68" s="540"/>
      <c r="BJ68" s="540"/>
      <c r="BK68" s="541"/>
    </row>
    <row r="69" spans="1:63" ht="14.25" customHeight="1" x14ac:dyDescent="0.25">
      <c r="A69" s="536" t="s">
        <v>72</v>
      </c>
      <c r="B69" s="537"/>
      <c r="C69" s="537"/>
      <c r="D69" s="537"/>
      <c r="E69" s="537"/>
      <c r="F69" s="537"/>
      <c r="G69" s="538"/>
      <c r="H69" s="6"/>
      <c r="I69" s="539"/>
      <c r="J69" s="540"/>
      <c r="K69" s="540"/>
      <c r="L69" s="540"/>
      <c r="M69" s="540"/>
      <c r="N69" s="540"/>
      <c r="O69" s="541"/>
      <c r="Q69" s="536" t="s">
        <v>72</v>
      </c>
      <c r="R69" s="537"/>
      <c r="S69" s="537"/>
      <c r="T69" s="537"/>
      <c r="U69" s="537"/>
      <c r="V69" s="537"/>
      <c r="W69" s="538"/>
      <c r="X69" s="6"/>
      <c r="Y69" s="539"/>
      <c r="Z69" s="540"/>
      <c r="AA69" s="540"/>
      <c r="AB69" s="540"/>
      <c r="AC69" s="540"/>
      <c r="AD69" s="540"/>
      <c r="AE69" s="541"/>
      <c r="AG69" s="536" t="s">
        <v>72</v>
      </c>
      <c r="AH69" s="537"/>
      <c r="AI69" s="537"/>
      <c r="AJ69" s="537"/>
      <c r="AK69" s="537"/>
      <c r="AL69" s="537"/>
      <c r="AM69" s="538"/>
      <c r="AN69" s="6"/>
      <c r="AO69" s="539"/>
      <c r="AP69" s="540"/>
      <c r="AQ69" s="540"/>
      <c r="AR69" s="540"/>
      <c r="AS69" s="540"/>
      <c r="AT69" s="540"/>
      <c r="AU69" s="541"/>
      <c r="AW69" s="536" t="s">
        <v>72</v>
      </c>
      <c r="AX69" s="537"/>
      <c r="AY69" s="537"/>
      <c r="AZ69" s="537"/>
      <c r="BA69" s="537"/>
      <c r="BB69" s="537"/>
      <c r="BC69" s="538"/>
      <c r="BD69" s="6"/>
      <c r="BE69" s="539"/>
      <c r="BF69" s="540"/>
      <c r="BG69" s="540"/>
      <c r="BH69" s="540"/>
      <c r="BI69" s="540"/>
      <c r="BJ69" s="540"/>
      <c r="BK69" s="541"/>
    </row>
    <row r="70" spans="1:63" thickBot="1" x14ac:dyDescent="0.3">
      <c r="A70" s="542"/>
      <c r="B70" s="543"/>
      <c r="C70" s="543"/>
      <c r="D70" s="543"/>
      <c r="E70" s="543"/>
      <c r="F70" s="543"/>
      <c r="G70" s="544"/>
      <c r="H70" s="6"/>
      <c r="I70" s="521" t="s">
        <v>73</v>
      </c>
      <c r="J70" s="522"/>
      <c r="K70" s="522"/>
      <c r="L70" s="522"/>
      <c r="M70" s="522"/>
      <c r="N70" s="522"/>
      <c r="O70" s="523"/>
      <c r="Q70" s="542"/>
      <c r="R70" s="543"/>
      <c r="S70" s="543"/>
      <c r="T70" s="543"/>
      <c r="U70" s="543"/>
      <c r="V70" s="543"/>
      <c r="W70" s="544"/>
      <c r="X70" s="6"/>
      <c r="Y70" s="521" t="s">
        <v>73</v>
      </c>
      <c r="Z70" s="522"/>
      <c r="AA70" s="522"/>
      <c r="AB70" s="522"/>
      <c r="AC70" s="522"/>
      <c r="AD70" s="522"/>
      <c r="AE70" s="523"/>
      <c r="AG70" s="542"/>
      <c r="AH70" s="543"/>
      <c r="AI70" s="543"/>
      <c r="AJ70" s="543"/>
      <c r="AK70" s="543"/>
      <c r="AL70" s="543"/>
      <c r="AM70" s="544"/>
      <c r="AN70" s="6"/>
      <c r="AO70" s="521" t="s">
        <v>73</v>
      </c>
      <c r="AP70" s="522"/>
      <c r="AQ70" s="522"/>
      <c r="AR70" s="522"/>
      <c r="AS70" s="522"/>
      <c r="AT70" s="522"/>
      <c r="AU70" s="523"/>
      <c r="AW70" s="542"/>
      <c r="AX70" s="543"/>
      <c r="AY70" s="543"/>
      <c r="AZ70" s="543"/>
      <c r="BA70" s="543"/>
      <c r="BB70" s="543"/>
      <c r="BC70" s="544"/>
      <c r="BD70" s="6"/>
      <c r="BE70" s="521" t="s">
        <v>73</v>
      </c>
      <c r="BF70" s="522"/>
      <c r="BG70" s="522"/>
      <c r="BH70" s="522"/>
      <c r="BI70" s="522"/>
      <c r="BJ70" s="522"/>
      <c r="BK70" s="523"/>
    </row>
    <row r="71" spans="1:63" ht="15" customHeight="1" thickTop="1" x14ac:dyDescent="0.25">
      <c r="A71" s="139"/>
      <c r="B71" s="151"/>
      <c r="C71" s="6"/>
      <c r="D71" s="6"/>
      <c r="E71" s="6"/>
      <c r="F71" s="6"/>
      <c r="G71" s="6"/>
      <c r="H71" s="6"/>
      <c r="I71" s="527" t="s">
        <v>74</v>
      </c>
      <c r="J71" s="528"/>
      <c r="K71" s="528"/>
      <c r="L71" s="528"/>
      <c r="M71" s="528"/>
      <c r="N71" s="528"/>
      <c r="O71" s="529"/>
      <c r="Q71" s="139"/>
      <c r="R71" s="6"/>
      <c r="S71" s="6"/>
      <c r="T71" s="6"/>
      <c r="U71" s="6"/>
      <c r="V71" s="6"/>
      <c r="W71" s="6"/>
      <c r="X71" s="6"/>
      <c r="Y71" s="527" t="s">
        <v>74</v>
      </c>
      <c r="Z71" s="528"/>
      <c r="AA71" s="528"/>
      <c r="AB71" s="528"/>
      <c r="AC71" s="528"/>
      <c r="AD71" s="528"/>
      <c r="AE71" s="529"/>
      <c r="AG71" s="139"/>
      <c r="AH71" s="6"/>
      <c r="AI71" s="6"/>
      <c r="AJ71" s="6"/>
      <c r="AK71" s="6"/>
      <c r="AL71" s="6"/>
      <c r="AM71" s="6"/>
      <c r="AN71" s="6"/>
      <c r="AO71" s="527" t="s">
        <v>74</v>
      </c>
      <c r="AP71" s="528"/>
      <c r="AQ71" s="528"/>
      <c r="AR71" s="528"/>
      <c r="AS71" s="528"/>
      <c r="AT71" s="528"/>
      <c r="AU71" s="529"/>
      <c r="AW71" s="139"/>
      <c r="AX71" s="6"/>
      <c r="AY71" s="6"/>
      <c r="AZ71" s="6"/>
      <c r="BA71" s="6"/>
      <c r="BB71" s="6"/>
      <c r="BC71" s="6"/>
      <c r="BD71" s="6"/>
      <c r="BE71" s="527" t="s">
        <v>74</v>
      </c>
      <c r="BF71" s="528"/>
      <c r="BG71" s="528"/>
      <c r="BH71" s="528"/>
      <c r="BI71" s="528"/>
      <c r="BJ71" s="528"/>
      <c r="BK71" s="529"/>
    </row>
    <row r="72" spans="1:63" ht="15" customHeight="1" thickBot="1" x14ac:dyDescent="0.3">
      <c r="A72" s="139"/>
      <c r="B72" s="151"/>
      <c r="C72" s="6"/>
      <c r="D72" s="6"/>
      <c r="E72" s="6"/>
      <c r="F72" s="6"/>
      <c r="G72" s="6"/>
      <c r="H72" s="67"/>
      <c r="I72" s="527"/>
      <c r="J72" s="528"/>
      <c r="K72" s="528"/>
      <c r="L72" s="528"/>
      <c r="M72" s="528"/>
      <c r="N72" s="528"/>
      <c r="O72" s="529"/>
      <c r="Q72" s="139"/>
      <c r="R72" s="6"/>
      <c r="S72" s="6"/>
      <c r="T72" s="6"/>
      <c r="U72" s="6"/>
      <c r="V72" s="6"/>
      <c r="W72" s="6"/>
      <c r="X72" s="67"/>
      <c r="Y72" s="527"/>
      <c r="Z72" s="528"/>
      <c r="AA72" s="528"/>
      <c r="AB72" s="528"/>
      <c r="AC72" s="528"/>
      <c r="AD72" s="528"/>
      <c r="AE72" s="529"/>
      <c r="AG72" s="139"/>
      <c r="AH72" s="6"/>
      <c r="AI72" s="6"/>
      <c r="AJ72" s="6"/>
      <c r="AK72" s="6"/>
      <c r="AL72" s="6"/>
      <c r="AM72" s="6"/>
      <c r="AN72" s="67"/>
      <c r="AO72" s="527"/>
      <c r="AP72" s="528"/>
      <c r="AQ72" s="528"/>
      <c r="AR72" s="528"/>
      <c r="AS72" s="528"/>
      <c r="AT72" s="528"/>
      <c r="AU72" s="529"/>
      <c r="AW72" s="139"/>
      <c r="AX72" s="6"/>
      <c r="AY72" s="6"/>
      <c r="AZ72" s="6"/>
      <c r="BA72" s="6"/>
      <c r="BB72" s="6"/>
      <c r="BC72" s="6"/>
      <c r="BD72" s="67"/>
      <c r="BE72" s="527"/>
      <c r="BF72" s="528"/>
      <c r="BG72" s="528"/>
      <c r="BH72" s="528"/>
      <c r="BI72" s="528"/>
      <c r="BJ72" s="528"/>
      <c r="BK72" s="529"/>
    </row>
    <row r="73" spans="1:63" ht="18" customHeight="1" thickTop="1" x14ac:dyDescent="0.25">
      <c r="A73" s="139"/>
      <c r="B73" s="519" t="s">
        <v>75</v>
      </c>
      <c r="C73" s="520"/>
      <c r="D73" s="520"/>
      <c r="E73" s="520"/>
      <c r="F73" s="35"/>
      <c r="G73" s="35"/>
      <c r="H73" s="36"/>
      <c r="I73" s="521" t="s">
        <v>76</v>
      </c>
      <c r="J73" s="522"/>
      <c r="K73" s="522"/>
      <c r="L73" s="522"/>
      <c r="M73" s="522"/>
      <c r="N73" s="522"/>
      <c r="O73" s="523"/>
      <c r="Q73" s="139"/>
      <c r="R73" s="519" t="s">
        <v>75</v>
      </c>
      <c r="S73" s="520"/>
      <c r="T73" s="520"/>
      <c r="U73" s="520"/>
      <c r="V73" s="35"/>
      <c r="W73" s="35"/>
      <c r="X73" s="36"/>
      <c r="Y73" s="521" t="s">
        <v>76</v>
      </c>
      <c r="Z73" s="522"/>
      <c r="AA73" s="522"/>
      <c r="AB73" s="522"/>
      <c r="AC73" s="522"/>
      <c r="AD73" s="522"/>
      <c r="AE73" s="523"/>
      <c r="AG73" s="139"/>
      <c r="AH73" s="519" t="s">
        <v>75</v>
      </c>
      <c r="AI73" s="520"/>
      <c r="AJ73" s="520"/>
      <c r="AK73" s="520"/>
      <c r="AL73" s="35"/>
      <c r="AM73" s="35"/>
      <c r="AN73" s="36"/>
      <c r="AO73" s="521" t="s">
        <v>76</v>
      </c>
      <c r="AP73" s="522"/>
      <c r="AQ73" s="522"/>
      <c r="AR73" s="522"/>
      <c r="AS73" s="522"/>
      <c r="AT73" s="522"/>
      <c r="AU73" s="523"/>
      <c r="AW73" s="139"/>
      <c r="AX73" s="519" t="s">
        <v>75</v>
      </c>
      <c r="AY73" s="520"/>
      <c r="AZ73" s="520"/>
      <c r="BA73" s="520"/>
      <c r="BB73" s="35"/>
      <c r="BC73" s="35"/>
      <c r="BD73" s="36"/>
      <c r="BE73" s="521" t="s">
        <v>76</v>
      </c>
      <c r="BF73" s="522"/>
      <c r="BG73" s="522"/>
      <c r="BH73" s="522"/>
      <c r="BI73" s="522"/>
      <c r="BJ73" s="522"/>
      <c r="BK73" s="523"/>
    </row>
    <row r="74" spans="1:63" ht="15" customHeight="1" x14ac:dyDescent="0.25">
      <c r="A74" s="139"/>
      <c r="B74" s="524" t="s">
        <v>77</v>
      </c>
      <c r="C74" s="525"/>
      <c r="D74" s="525"/>
      <c r="E74" s="525"/>
      <c r="F74" s="525"/>
      <c r="G74" s="525"/>
      <c r="H74" s="526"/>
      <c r="I74" s="527" t="s">
        <v>78</v>
      </c>
      <c r="J74" s="528"/>
      <c r="K74" s="528"/>
      <c r="L74" s="528"/>
      <c r="M74" s="528"/>
      <c r="N74" s="528"/>
      <c r="O74" s="529"/>
      <c r="Q74" s="139"/>
      <c r="R74" s="524" t="s">
        <v>77</v>
      </c>
      <c r="S74" s="525"/>
      <c r="T74" s="525"/>
      <c r="U74" s="525"/>
      <c r="V74" s="525"/>
      <c r="W74" s="525"/>
      <c r="X74" s="526"/>
      <c r="Y74" s="527" t="s">
        <v>78</v>
      </c>
      <c r="Z74" s="528"/>
      <c r="AA74" s="528"/>
      <c r="AB74" s="528"/>
      <c r="AC74" s="528"/>
      <c r="AD74" s="528"/>
      <c r="AE74" s="529"/>
      <c r="AG74" s="139"/>
      <c r="AH74" s="524" t="s">
        <v>77</v>
      </c>
      <c r="AI74" s="525"/>
      <c r="AJ74" s="525"/>
      <c r="AK74" s="525"/>
      <c r="AL74" s="525"/>
      <c r="AM74" s="525"/>
      <c r="AN74" s="526"/>
      <c r="AO74" s="527" t="s">
        <v>78</v>
      </c>
      <c r="AP74" s="528"/>
      <c r="AQ74" s="528"/>
      <c r="AR74" s="528"/>
      <c r="AS74" s="528"/>
      <c r="AT74" s="528"/>
      <c r="AU74" s="529"/>
      <c r="AW74" s="139"/>
      <c r="AX74" s="524" t="s">
        <v>77</v>
      </c>
      <c r="AY74" s="525"/>
      <c r="AZ74" s="525"/>
      <c r="BA74" s="525"/>
      <c r="BB74" s="525"/>
      <c r="BC74" s="525"/>
      <c r="BD74" s="526"/>
      <c r="BE74" s="527" t="s">
        <v>78</v>
      </c>
      <c r="BF74" s="528"/>
      <c r="BG74" s="528"/>
      <c r="BH74" s="528"/>
      <c r="BI74" s="528"/>
      <c r="BJ74" s="528"/>
      <c r="BK74" s="529"/>
    </row>
    <row r="75" spans="1:63" ht="14.25" customHeight="1" x14ac:dyDescent="0.25">
      <c r="A75" s="139"/>
      <c r="B75" s="530" t="s">
        <v>90</v>
      </c>
      <c r="C75" s="471"/>
      <c r="D75" s="471"/>
      <c r="E75" s="471"/>
      <c r="F75" s="471"/>
      <c r="G75" s="471"/>
      <c r="H75" s="472"/>
      <c r="I75" s="527"/>
      <c r="J75" s="528"/>
      <c r="K75" s="528"/>
      <c r="L75" s="528"/>
      <c r="M75" s="528"/>
      <c r="N75" s="528"/>
      <c r="O75" s="529"/>
      <c r="Q75" s="139"/>
      <c r="R75" s="530" t="s">
        <v>90</v>
      </c>
      <c r="S75" s="471"/>
      <c r="T75" s="471"/>
      <c r="U75" s="471"/>
      <c r="V75" s="471"/>
      <c r="W75" s="471"/>
      <c r="X75" s="472"/>
      <c r="Y75" s="527"/>
      <c r="Z75" s="528"/>
      <c r="AA75" s="528"/>
      <c r="AB75" s="528"/>
      <c r="AC75" s="528"/>
      <c r="AD75" s="528"/>
      <c r="AE75" s="529"/>
      <c r="AG75" s="139"/>
      <c r="AH75" s="530" t="s">
        <v>90</v>
      </c>
      <c r="AI75" s="471"/>
      <c r="AJ75" s="471"/>
      <c r="AK75" s="471"/>
      <c r="AL75" s="471"/>
      <c r="AM75" s="471"/>
      <c r="AN75" s="472"/>
      <c r="AO75" s="527"/>
      <c r="AP75" s="528"/>
      <c r="AQ75" s="528"/>
      <c r="AR75" s="528"/>
      <c r="AS75" s="528"/>
      <c r="AT75" s="528"/>
      <c r="AU75" s="529"/>
      <c r="AW75" s="139"/>
      <c r="AX75" s="530" t="s">
        <v>90</v>
      </c>
      <c r="AY75" s="471"/>
      <c r="AZ75" s="471"/>
      <c r="BA75" s="471"/>
      <c r="BB75" s="471"/>
      <c r="BC75" s="471"/>
      <c r="BD75" s="472"/>
      <c r="BE75" s="527"/>
      <c r="BF75" s="528"/>
      <c r="BG75" s="528"/>
      <c r="BH75" s="528"/>
      <c r="BI75" s="528"/>
      <c r="BJ75" s="528"/>
      <c r="BK75" s="529"/>
    </row>
    <row r="76" spans="1:63" ht="14.25" customHeight="1" x14ac:dyDescent="0.25">
      <c r="A76" s="139"/>
      <c r="B76" s="530"/>
      <c r="C76" s="471"/>
      <c r="D76" s="471"/>
      <c r="E76" s="471"/>
      <c r="F76" s="471"/>
      <c r="G76" s="471"/>
      <c r="H76" s="472"/>
      <c r="I76" s="528" t="s">
        <v>79</v>
      </c>
      <c r="J76" s="528"/>
      <c r="K76" s="528"/>
      <c r="L76" s="528"/>
      <c r="M76" s="528"/>
      <c r="N76" s="528"/>
      <c r="O76" s="529"/>
      <c r="Q76" s="139"/>
      <c r="R76" s="530"/>
      <c r="S76" s="471"/>
      <c r="T76" s="471"/>
      <c r="U76" s="471"/>
      <c r="V76" s="471"/>
      <c r="W76" s="471"/>
      <c r="X76" s="472"/>
      <c r="Y76" s="528" t="s">
        <v>79</v>
      </c>
      <c r="Z76" s="528"/>
      <c r="AA76" s="528"/>
      <c r="AB76" s="528"/>
      <c r="AC76" s="528"/>
      <c r="AD76" s="528"/>
      <c r="AE76" s="529"/>
      <c r="AG76" s="139"/>
      <c r="AH76" s="530"/>
      <c r="AI76" s="471"/>
      <c r="AJ76" s="471"/>
      <c r="AK76" s="471"/>
      <c r="AL76" s="471"/>
      <c r="AM76" s="471"/>
      <c r="AN76" s="472"/>
      <c r="AO76" s="528" t="s">
        <v>79</v>
      </c>
      <c r="AP76" s="528"/>
      <c r="AQ76" s="528"/>
      <c r="AR76" s="528"/>
      <c r="AS76" s="528"/>
      <c r="AT76" s="528"/>
      <c r="AU76" s="529"/>
      <c r="AW76" s="139"/>
      <c r="AX76" s="530"/>
      <c r="AY76" s="471"/>
      <c r="AZ76" s="471"/>
      <c r="BA76" s="471"/>
      <c r="BB76" s="471"/>
      <c r="BC76" s="471"/>
      <c r="BD76" s="472"/>
      <c r="BE76" s="528" t="s">
        <v>79</v>
      </c>
      <c r="BF76" s="528"/>
      <c r="BG76" s="528"/>
      <c r="BH76" s="528"/>
      <c r="BI76" s="528"/>
      <c r="BJ76" s="528"/>
      <c r="BK76" s="529"/>
    </row>
    <row r="77" spans="1:63" ht="15" customHeight="1" thickBot="1" x14ac:dyDescent="0.3">
      <c r="A77" s="139"/>
      <c r="B77" s="531"/>
      <c r="C77" s="532"/>
      <c r="D77" s="532"/>
      <c r="E77" s="532"/>
      <c r="F77" s="532"/>
      <c r="G77" s="532"/>
      <c r="H77" s="533"/>
      <c r="I77" s="534"/>
      <c r="J77" s="534"/>
      <c r="K77" s="534"/>
      <c r="L77" s="534"/>
      <c r="M77" s="534"/>
      <c r="N77" s="534"/>
      <c r="O77" s="535"/>
      <c r="Q77" s="139"/>
      <c r="R77" s="531"/>
      <c r="S77" s="532"/>
      <c r="T77" s="532"/>
      <c r="U77" s="532"/>
      <c r="V77" s="532"/>
      <c r="W77" s="532"/>
      <c r="X77" s="533"/>
      <c r="Y77" s="534"/>
      <c r="Z77" s="534"/>
      <c r="AA77" s="534"/>
      <c r="AB77" s="534"/>
      <c r="AC77" s="534"/>
      <c r="AD77" s="534"/>
      <c r="AE77" s="535"/>
      <c r="AG77" s="139"/>
      <c r="AH77" s="531"/>
      <c r="AI77" s="532"/>
      <c r="AJ77" s="532"/>
      <c r="AK77" s="532"/>
      <c r="AL77" s="532"/>
      <c r="AM77" s="532"/>
      <c r="AN77" s="533"/>
      <c r="AO77" s="534"/>
      <c r="AP77" s="534"/>
      <c r="AQ77" s="534"/>
      <c r="AR77" s="534"/>
      <c r="AS77" s="534"/>
      <c r="AT77" s="534"/>
      <c r="AU77" s="535"/>
      <c r="AW77" s="139"/>
      <c r="AX77" s="531"/>
      <c r="AY77" s="532"/>
      <c r="AZ77" s="532"/>
      <c r="BA77" s="532"/>
      <c r="BB77" s="532"/>
      <c r="BC77" s="532"/>
      <c r="BD77" s="533"/>
      <c r="BE77" s="534"/>
      <c r="BF77" s="534"/>
      <c r="BG77" s="534"/>
      <c r="BH77" s="534"/>
      <c r="BI77" s="534"/>
      <c r="BJ77" s="534"/>
      <c r="BK77" s="535"/>
    </row>
    <row r="78" spans="1:63" ht="16.2" thickTop="1" thickBot="1" x14ac:dyDescent="0.3">
      <c r="A78" s="140"/>
      <c r="B78" s="152"/>
      <c r="C78" s="515"/>
      <c r="D78" s="515"/>
      <c r="E78" s="515"/>
      <c r="F78" s="515"/>
      <c r="G78" s="515"/>
      <c r="H78" s="37"/>
      <c r="I78" s="38"/>
      <c r="J78" s="38"/>
      <c r="K78" s="38"/>
      <c r="L78" s="38"/>
      <c r="M78" s="110"/>
      <c r="N78" s="158"/>
      <c r="O78" s="159"/>
      <c r="Q78" s="140"/>
      <c r="R78" s="37"/>
      <c r="S78" s="515"/>
      <c r="T78" s="515"/>
      <c r="U78" s="515"/>
      <c r="V78" s="515"/>
      <c r="W78" s="515"/>
      <c r="X78" s="37"/>
      <c r="Y78" s="38"/>
      <c r="Z78" s="38"/>
      <c r="AA78" s="38"/>
      <c r="AB78" s="38"/>
      <c r="AC78" s="110"/>
      <c r="AD78" s="110"/>
      <c r="AE78" s="111"/>
      <c r="AG78" s="140"/>
      <c r="AH78" s="37"/>
      <c r="AI78" s="515"/>
      <c r="AJ78" s="515"/>
      <c r="AK78" s="515"/>
      <c r="AL78" s="515"/>
      <c r="AM78" s="515"/>
      <c r="AN78" s="37"/>
      <c r="AO78" s="38"/>
      <c r="AP78" s="38"/>
      <c r="AQ78" s="38"/>
      <c r="AR78" s="38"/>
      <c r="AS78" s="110"/>
      <c r="AT78" s="110"/>
      <c r="AU78" s="111"/>
      <c r="AW78" s="140"/>
      <c r="AX78" s="37"/>
      <c r="AY78" s="515"/>
      <c r="AZ78" s="515"/>
      <c r="BA78" s="515"/>
      <c r="BB78" s="515"/>
      <c r="BC78" s="515"/>
      <c r="BD78" s="37"/>
      <c r="BE78" s="38"/>
      <c r="BF78" s="38"/>
      <c r="BG78" s="38"/>
      <c r="BH78" s="38"/>
      <c r="BI78" s="110"/>
      <c r="BJ78" s="110"/>
      <c r="BK78" s="111"/>
    </row>
    <row r="79" spans="1:63" ht="16.2" thickTop="1" thickBot="1" x14ac:dyDescent="0.3"/>
    <row r="80" spans="1:63" ht="24.9" customHeight="1" thickTop="1" x14ac:dyDescent="0.25">
      <c r="A80" s="569" t="s">
        <v>80</v>
      </c>
      <c r="B80" s="570"/>
      <c r="C80" s="570"/>
      <c r="D80" s="466" t="str">
        <f>ادخال1!$L$4</f>
        <v>الثالث</v>
      </c>
      <c r="E80" s="466"/>
      <c r="F80" s="554" t="s">
        <v>81</v>
      </c>
      <c r="G80" s="554"/>
      <c r="H80" s="554"/>
      <c r="I80" s="11"/>
      <c r="J80" s="11"/>
      <c r="K80" s="11"/>
      <c r="L80" s="11"/>
      <c r="M80" s="103"/>
      <c r="N80" s="103"/>
      <c r="O80" s="104">
        <f>O41+1</f>
        <v>3</v>
      </c>
      <c r="Q80" s="569" t="s">
        <v>80</v>
      </c>
      <c r="R80" s="570"/>
      <c r="S80" s="570"/>
      <c r="T80" s="466" t="str">
        <f>ادخال1!$L$4</f>
        <v>الثالث</v>
      </c>
      <c r="U80" s="466"/>
      <c r="V80" s="554" t="s">
        <v>81</v>
      </c>
      <c r="W80" s="554"/>
      <c r="X80" s="554"/>
      <c r="Y80" s="11"/>
      <c r="Z80" s="11"/>
      <c r="AA80" s="11"/>
      <c r="AB80" s="11"/>
      <c r="AC80" s="103"/>
      <c r="AD80" s="103"/>
      <c r="AE80" s="104">
        <f>AE41+1</f>
        <v>8</v>
      </c>
      <c r="AG80" s="569" t="s">
        <v>80</v>
      </c>
      <c r="AH80" s="570"/>
      <c r="AI80" s="570"/>
      <c r="AJ80" s="466" t="str">
        <f>ادخال1!$L$4</f>
        <v>الثالث</v>
      </c>
      <c r="AK80" s="466"/>
      <c r="AL80" s="554" t="s">
        <v>81</v>
      </c>
      <c r="AM80" s="554"/>
      <c r="AN80" s="554"/>
      <c r="AO80" s="11"/>
      <c r="AP80" s="11"/>
      <c r="AQ80" s="11"/>
      <c r="AR80" s="11"/>
      <c r="AS80" s="103"/>
      <c r="AT80" s="103"/>
      <c r="AU80" s="104">
        <f>AU41+1</f>
        <v>13</v>
      </c>
      <c r="AW80" s="569" t="s">
        <v>80</v>
      </c>
      <c r="AX80" s="570"/>
      <c r="AY80" s="570"/>
      <c r="AZ80" s="466" t="str">
        <f>ادخال1!$L$4</f>
        <v>الثالث</v>
      </c>
      <c r="BA80" s="466"/>
      <c r="BB80" s="554" t="s">
        <v>81</v>
      </c>
      <c r="BC80" s="554"/>
      <c r="BD80" s="554"/>
      <c r="BE80" s="11"/>
      <c r="BF80" s="11"/>
      <c r="BG80" s="11"/>
      <c r="BH80" s="11"/>
      <c r="BI80" s="103"/>
      <c r="BJ80" s="103"/>
      <c r="BK80" s="104">
        <f>BK41+1</f>
        <v>18</v>
      </c>
    </row>
    <row r="81" spans="1:64" ht="24.9" customHeight="1" thickBot="1" x14ac:dyDescent="0.3">
      <c r="A81" s="260" t="s">
        <v>153</v>
      </c>
      <c r="B81" s="488" t="str">
        <f>ادخال1!$B$5</f>
        <v>سهول العلم للتعليم الخاص</v>
      </c>
      <c r="C81" s="488"/>
      <c r="D81" s="488"/>
      <c r="E81" s="488"/>
      <c r="F81" s="488"/>
      <c r="G81" s="488"/>
      <c r="H81" s="555" t="s">
        <v>9</v>
      </c>
      <c r="I81" s="555"/>
      <c r="J81" s="556" t="str">
        <f>M95</f>
        <v>الحارث مبروك محمد الزوي</v>
      </c>
      <c r="K81" s="556"/>
      <c r="L81" s="556"/>
      <c r="M81" s="556"/>
      <c r="N81" s="556"/>
      <c r="O81" s="153"/>
      <c r="Q81" s="260" t="s">
        <v>153</v>
      </c>
      <c r="R81" s="488" t="str">
        <f>ادخال1!$B$5</f>
        <v>سهول العلم للتعليم الخاص</v>
      </c>
      <c r="S81" s="488"/>
      <c r="T81" s="488"/>
      <c r="U81" s="488"/>
      <c r="V81" s="488"/>
      <c r="W81" s="488"/>
      <c r="X81" s="555" t="s">
        <v>9</v>
      </c>
      <c r="Y81" s="555"/>
      <c r="Z81" s="556" t="str">
        <f>AC95</f>
        <v>على عبد السلام شعبان بي</v>
      </c>
      <c r="AA81" s="556"/>
      <c r="AB81" s="556"/>
      <c r="AC81" s="556"/>
      <c r="AD81" s="556"/>
      <c r="AE81" s="153"/>
      <c r="AG81" s="260" t="s">
        <v>153</v>
      </c>
      <c r="AH81" s="488" t="str">
        <f>ادخال1!$B$5</f>
        <v>سهول العلم للتعليم الخاص</v>
      </c>
      <c r="AI81" s="488"/>
      <c r="AJ81" s="488"/>
      <c r="AK81" s="488"/>
      <c r="AL81" s="488"/>
      <c r="AM81" s="488"/>
      <c r="AN81" s="555" t="s">
        <v>9</v>
      </c>
      <c r="AO81" s="555"/>
      <c r="AP81" s="556" t="str">
        <f>AS95</f>
        <v>يزن عبد السلام على الأطوش</v>
      </c>
      <c r="AQ81" s="556"/>
      <c r="AR81" s="556"/>
      <c r="AS81" s="556"/>
      <c r="AT81" s="556"/>
      <c r="AU81" s="153"/>
      <c r="AW81" s="260" t="s">
        <v>153</v>
      </c>
      <c r="AX81" s="488" t="str">
        <f>ادخال1!$B$5</f>
        <v>سهول العلم للتعليم الخاص</v>
      </c>
      <c r="AY81" s="488"/>
      <c r="AZ81" s="488"/>
      <c r="BA81" s="488"/>
      <c r="BB81" s="488"/>
      <c r="BC81" s="488"/>
      <c r="BD81" s="555" t="s">
        <v>9</v>
      </c>
      <c r="BE81" s="555"/>
      <c r="BF81" s="556">
        <f>BI95</f>
        <v>0</v>
      </c>
      <c r="BG81" s="556"/>
      <c r="BH81" s="556"/>
      <c r="BI81" s="556"/>
      <c r="BJ81" s="556"/>
      <c r="BK81" s="153"/>
    </row>
    <row r="82" spans="1:64" ht="15.6" customHeight="1" thickTop="1" thickBot="1" x14ac:dyDescent="0.3">
      <c r="A82" s="132" t="s">
        <v>45</v>
      </c>
      <c r="B82" s="512" t="s">
        <v>12</v>
      </c>
      <c r="C82" s="557" t="s">
        <v>46</v>
      </c>
      <c r="D82" s="558"/>
      <c r="E82" s="559" t="s">
        <v>47</v>
      </c>
      <c r="F82" s="559"/>
      <c r="G82" s="560" t="s">
        <v>48</v>
      </c>
      <c r="H82" s="561"/>
      <c r="I82" s="575" t="s">
        <v>49</v>
      </c>
      <c r="J82" s="576"/>
      <c r="K82" s="577"/>
      <c r="L82" s="26"/>
      <c r="M82" s="572" t="s">
        <v>50</v>
      </c>
      <c r="N82" s="573"/>
      <c r="O82" s="574"/>
      <c r="Q82" s="132" t="s">
        <v>45</v>
      </c>
      <c r="R82" s="512" t="s">
        <v>12</v>
      </c>
      <c r="S82" s="557" t="s">
        <v>46</v>
      </c>
      <c r="T82" s="558"/>
      <c r="U82" s="559" t="s">
        <v>47</v>
      </c>
      <c r="V82" s="559"/>
      <c r="W82" s="560" t="s">
        <v>48</v>
      </c>
      <c r="X82" s="561"/>
      <c r="Y82" s="575" t="s">
        <v>49</v>
      </c>
      <c r="Z82" s="576"/>
      <c r="AA82" s="577"/>
      <c r="AB82" s="26"/>
      <c r="AC82" s="572" t="s">
        <v>50</v>
      </c>
      <c r="AD82" s="573"/>
      <c r="AE82" s="574"/>
      <c r="AG82" s="132" t="s">
        <v>45</v>
      </c>
      <c r="AH82" s="512" t="s">
        <v>12</v>
      </c>
      <c r="AI82" s="557" t="s">
        <v>46</v>
      </c>
      <c r="AJ82" s="558"/>
      <c r="AK82" s="559" t="s">
        <v>47</v>
      </c>
      <c r="AL82" s="559"/>
      <c r="AM82" s="560" t="s">
        <v>48</v>
      </c>
      <c r="AN82" s="561"/>
      <c r="AO82" s="575" t="s">
        <v>49</v>
      </c>
      <c r="AP82" s="576"/>
      <c r="AQ82" s="577"/>
      <c r="AR82" s="26"/>
      <c r="AS82" s="572" t="s">
        <v>50</v>
      </c>
      <c r="AT82" s="573"/>
      <c r="AU82" s="574"/>
      <c r="AV82" s="121"/>
      <c r="AW82" s="132" t="s">
        <v>45</v>
      </c>
      <c r="AX82" s="512" t="s">
        <v>12</v>
      </c>
      <c r="AY82" s="557" t="s">
        <v>46</v>
      </c>
      <c r="AZ82" s="558"/>
      <c r="BA82" s="559" t="s">
        <v>47</v>
      </c>
      <c r="BB82" s="559"/>
      <c r="BC82" s="560" t="s">
        <v>48</v>
      </c>
      <c r="BD82" s="561"/>
      <c r="BE82" s="575" t="s">
        <v>49</v>
      </c>
      <c r="BF82" s="576"/>
      <c r="BG82" s="577"/>
      <c r="BH82" s="26"/>
      <c r="BI82" s="572" t="s">
        <v>50</v>
      </c>
      <c r="BJ82" s="573"/>
      <c r="BK82" s="574"/>
    </row>
    <row r="83" spans="1:64" ht="24.9" customHeight="1" x14ac:dyDescent="0.25">
      <c r="A83" s="56" t="s">
        <v>2</v>
      </c>
      <c r="B83" s="513"/>
      <c r="C83" s="51" t="s">
        <v>51</v>
      </c>
      <c r="D83" s="52" t="s">
        <v>52</v>
      </c>
      <c r="E83" s="53" t="s">
        <v>51</v>
      </c>
      <c r="F83" s="54" t="s">
        <v>52</v>
      </c>
      <c r="G83" s="51" t="s">
        <v>51</v>
      </c>
      <c r="H83" s="52" t="s">
        <v>52</v>
      </c>
      <c r="I83" s="51" t="s">
        <v>53</v>
      </c>
      <c r="J83" s="55" t="s">
        <v>54</v>
      </c>
      <c r="K83" s="52" t="s">
        <v>52</v>
      </c>
      <c r="L83" s="10"/>
      <c r="M83" s="119" t="s">
        <v>109</v>
      </c>
      <c r="N83" s="489" t="str">
        <f>IF(D90=0,"",IF(AND(D84&gt;=C84*0.4,D85&gt;=C85*0.4,D86&gt;=C86*0.4,D87&gt;=C87*0.4,D88&gt;=C88*0.4),LOOKUP(D90,$BO$15:$BP$19),"ضعيف ويحتاج الى اهتمام في المواد"))</f>
        <v>ممتاز</v>
      </c>
      <c r="O83" s="565"/>
      <c r="P83" s="65"/>
      <c r="Q83" s="56" t="s">
        <v>2</v>
      </c>
      <c r="R83" s="513"/>
      <c r="S83" s="51" t="s">
        <v>51</v>
      </c>
      <c r="T83" s="52" t="s">
        <v>52</v>
      </c>
      <c r="U83" s="53" t="s">
        <v>51</v>
      </c>
      <c r="V83" s="54" t="s">
        <v>52</v>
      </c>
      <c r="W83" s="51" t="s">
        <v>51</v>
      </c>
      <c r="X83" s="52" t="s">
        <v>52</v>
      </c>
      <c r="Y83" s="51" t="s">
        <v>53</v>
      </c>
      <c r="Z83" s="55" t="s">
        <v>54</v>
      </c>
      <c r="AA83" s="52" t="s">
        <v>52</v>
      </c>
      <c r="AB83" s="10"/>
      <c r="AC83" s="119" t="s">
        <v>109</v>
      </c>
      <c r="AD83" s="489" t="str">
        <f>IF(T90=0,"",IF(AND(T84&gt;=S84*0.4,T85&gt;=S85*0.4,T86&gt;=S86*0.4,T87&gt;=S87*0.4,T88&gt;=S88*0.4),LOOKUP(T90,$BO$15:$BP$19),"ضعيف ويحتاج الى اهتمام في المواد"))</f>
        <v>جيدجداً</v>
      </c>
      <c r="AE83" s="565"/>
      <c r="AG83" s="56" t="s">
        <v>2</v>
      </c>
      <c r="AH83" s="513"/>
      <c r="AI83" s="51" t="s">
        <v>51</v>
      </c>
      <c r="AJ83" s="52" t="s">
        <v>52</v>
      </c>
      <c r="AK83" s="53" t="s">
        <v>51</v>
      </c>
      <c r="AL83" s="54" t="s">
        <v>52</v>
      </c>
      <c r="AM83" s="51" t="s">
        <v>51</v>
      </c>
      <c r="AN83" s="52" t="s">
        <v>52</v>
      </c>
      <c r="AO83" s="51" t="s">
        <v>53</v>
      </c>
      <c r="AP83" s="55" t="s">
        <v>54</v>
      </c>
      <c r="AQ83" s="52" t="s">
        <v>52</v>
      </c>
      <c r="AR83" s="10"/>
      <c r="AS83" s="119" t="s">
        <v>109</v>
      </c>
      <c r="AT83" s="489" t="str">
        <f>IF(AJ90=0,"",IF(AND(AJ84&gt;=AI84*0.4,AJ85&gt;=AI85*0.4,AJ86&gt;=AI86*0.4,AJ87&gt;=AI87*0.4,AJ88&gt;=AI88*0.4),LOOKUP(AJ90,$BO$15:$BP$19),"ضعيف ويحتاج الى اهتمام في المواد"))</f>
        <v>ممتاز</v>
      </c>
      <c r="AU83" s="565"/>
      <c r="AV83" s="120"/>
      <c r="AW83" s="56" t="s">
        <v>2</v>
      </c>
      <c r="AX83" s="513"/>
      <c r="AY83" s="51" t="s">
        <v>51</v>
      </c>
      <c r="AZ83" s="52" t="s">
        <v>52</v>
      </c>
      <c r="BA83" s="53" t="s">
        <v>51</v>
      </c>
      <c r="BB83" s="54" t="s">
        <v>52</v>
      </c>
      <c r="BC83" s="51" t="s">
        <v>51</v>
      </c>
      <c r="BD83" s="52" t="s">
        <v>52</v>
      </c>
      <c r="BE83" s="51" t="s">
        <v>53</v>
      </c>
      <c r="BF83" s="55" t="s">
        <v>54</v>
      </c>
      <c r="BG83" s="52" t="s">
        <v>52</v>
      </c>
      <c r="BH83" s="10"/>
      <c r="BI83" s="119" t="s">
        <v>109</v>
      </c>
      <c r="BJ83" s="489" t="str">
        <f>IF(AZ90=0,"",IF(AND(AZ84&gt;=AY84*0.4,AZ85&gt;=AY85*0.4,AZ86&gt;=AY86*0.4,AZ87&gt;=AY87*0.4,AZ88&gt;=AY88*0.4),LOOKUP(AZ90,$BO$15:$BP$19),"ضعيف ويحتاج الى اهتمام في المواد"))</f>
        <v/>
      </c>
      <c r="BK83" s="565"/>
      <c r="BL83" s="25"/>
    </row>
    <row r="84" spans="1:64" ht="24.9" customHeight="1" x14ac:dyDescent="0.25">
      <c r="A84" s="115" t="str">
        <f>ادخال1!$F$9</f>
        <v>التربية الإسلامية</v>
      </c>
      <c r="B84" s="145">
        <f>ادخال1!$F$7</f>
        <v>3</v>
      </c>
      <c r="C84" s="41">
        <f t="shared" ref="C84:C85" si="77">40*B84*0.3</f>
        <v>36</v>
      </c>
      <c r="D84" s="2">
        <f xml:space="preserve"> IFERROR(VLOOKUP(M95,اسماء,5,0),"")</f>
        <v>36</v>
      </c>
      <c r="E84" s="43">
        <f t="shared" ref="E84:E85" si="78">40*B84*0.3</f>
        <v>36</v>
      </c>
      <c r="F84" s="2">
        <f>IFERROR(VLOOKUP(M95,اسماء,16,0),"")</f>
        <v>0</v>
      </c>
      <c r="G84" s="41">
        <f t="shared" ref="G84:G85" si="79">40*B84*0.4</f>
        <v>48</v>
      </c>
      <c r="H84" s="2">
        <f>IFERROR(VLOOKUP(M95,اسماء,27,0),"")</f>
        <v>0</v>
      </c>
      <c r="I84" s="41">
        <f t="shared" ref="I84:I85" si="80">SUM(C84,E84,G84)</f>
        <v>120</v>
      </c>
      <c r="J84" s="44">
        <f t="shared" ref="J84:J85" si="81">0.4*I84</f>
        <v>48</v>
      </c>
      <c r="K84" s="2">
        <f t="shared" ref="K84:K85" si="82">SUM(D84,F84,H84)</f>
        <v>36</v>
      </c>
      <c r="L84" s="18"/>
      <c r="M84" s="106" t="str">
        <f>IF(D84=0,"",IF(D84&lt;C84*0.4,A84,""))</f>
        <v/>
      </c>
      <c r="N84" s="154" t="str">
        <f>IF(D85=0,"",IF(D85&lt;C85*0.4,A85,""))</f>
        <v/>
      </c>
      <c r="O84" s="155" t="str">
        <f>IF(D86=0,"",IF(D86&lt;C86*0.4,A86,""))</f>
        <v/>
      </c>
      <c r="P84" s="65"/>
      <c r="Q84" s="115" t="str">
        <f>ادخال1!$F$9</f>
        <v>التربية الإسلامية</v>
      </c>
      <c r="R84" s="145">
        <f>ادخال1!$F$7</f>
        <v>3</v>
      </c>
      <c r="S84" s="41">
        <f t="shared" ref="S84:S85" si="83">40*R84*0.3</f>
        <v>36</v>
      </c>
      <c r="T84" s="2">
        <f xml:space="preserve"> IFERROR(VLOOKUP(AC95,اسماء,5,0),"")</f>
        <v>28</v>
      </c>
      <c r="U84" s="43">
        <f t="shared" ref="U84:U85" si="84">40*R84*0.3</f>
        <v>36</v>
      </c>
      <c r="V84" s="2">
        <f>IFERROR(VLOOKUP(AC95,اسماء,16,0),"")</f>
        <v>0</v>
      </c>
      <c r="W84" s="41">
        <f t="shared" ref="W84:W85" si="85">40*R84*0.4</f>
        <v>48</v>
      </c>
      <c r="X84" s="2">
        <f>IFERROR(VLOOKUP(AC95,اسماء,27,0),"")</f>
        <v>0</v>
      </c>
      <c r="Y84" s="41">
        <f t="shared" ref="Y84:Y85" si="86">SUM(S84,U84,W84)</f>
        <v>120</v>
      </c>
      <c r="Z84" s="44">
        <f t="shared" ref="Z84:Z85" si="87">0.4*Y84</f>
        <v>48</v>
      </c>
      <c r="AA84" s="2">
        <f t="shared" ref="AA84:AA85" si="88">SUM(T84,V84,X84)</f>
        <v>28</v>
      </c>
      <c r="AB84" s="18"/>
      <c r="AC84" s="106" t="str">
        <f>IF(T84=0,"",IF(T84&lt;S84*0.4,Q84,""))</f>
        <v/>
      </c>
      <c r="AD84" s="154" t="str">
        <f>IF(T85=0,"",IF(T85&lt;S85*0.4,Q85,""))</f>
        <v/>
      </c>
      <c r="AE84" s="155" t="str">
        <f>IF(T86=0,"",IF(T86&lt;S86*0.4,Q86,""))</f>
        <v/>
      </c>
      <c r="AG84" s="115" t="str">
        <f>ادخال1!$F$9</f>
        <v>التربية الإسلامية</v>
      </c>
      <c r="AH84" s="145">
        <f>ادخال1!$F$7</f>
        <v>3</v>
      </c>
      <c r="AI84" s="41">
        <f t="shared" ref="AI84:AI85" si="89">40*AH84*0.3</f>
        <v>36</v>
      </c>
      <c r="AJ84" s="2">
        <f xml:space="preserve"> IFERROR(VLOOKUP(AS95,اسماء,5,0),"")</f>
        <v>36</v>
      </c>
      <c r="AK84" s="43">
        <f t="shared" ref="AK84:AK85" si="90">40*AH84*0.3</f>
        <v>36</v>
      </c>
      <c r="AL84" s="2">
        <f>IFERROR(VLOOKUP(AS95,اسماء,16,0),"")</f>
        <v>0</v>
      </c>
      <c r="AM84" s="41">
        <f t="shared" ref="AM84:AM85" si="91">40*AH84*0.4</f>
        <v>48</v>
      </c>
      <c r="AN84" s="2">
        <f>IFERROR(VLOOKUP(AS95,اسماء,27,0),"")</f>
        <v>0</v>
      </c>
      <c r="AO84" s="41">
        <f t="shared" ref="AO84:AO85" si="92">SUM(AI84,AK84,AM84)</f>
        <v>120</v>
      </c>
      <c r="AP84" s="44">
        <f t="shared" ref="AP84:AP85" si="93">0.4*AO84</f>
        <v>48</v>
      </c>
      <c r="AQ84" s="2">
        <f t="shared" ref="AQ84:AQ85" si="94">SUM(AJ84,AL84,AN84)</f>
        <v>36</v>
      </c>
      <c r="AR84" s="18"/>
      <c r="AS84" s="106" t="str">
        <f>IF(AJ84=0,"",IF(AJ84&lt;AI84*0.4,AG84,""))</f>
        <v/>
      </c>
      <c r="AT84" s="154" t="str">
        <f>IF(AJ85=0,"",IF(AJ85&lt;AI85*0.4,AG85,""))</f>
        <v/>
      </c>
      <c r="AU84" s="155" t="str">
        <f>IF(AJ86=0,"",IF(AJ86&lt;AI86*0.4,AG86,""))</f>
        <v/>
      </c>
      <c r="AV84" s="120"/>
      <c r="AW84" s="115" t="str">
        <f>ادخال1!$F$9</f>
        <v>التربية الإسلامية</v>
      </c>
      <c r="AX84" s="145">
        <f>ادخال1!$F$7</f>
        <v>3</v>
      </c>
      <c r="AY84" s="41">
        <f t="shared" ref="AY84:AY85" si="95">40*AX84*0.3</f>
        <v>36</v>
      </c>
      <c r="AZ84" s="2" t="str">
        <f xml:space="preserve"> IFERROR(VLOOKUP(BI95,اسماء,5,0),"")</f>
        <v/>
      </c>
      <c r="BA84" s="43">
        <f t="shared" ref="BA84:BA85" si="96">40*AX84*0.3</f>
        <v>36</v>
      </c>
      <c r="BB84" s="2" t="str">
        <f>IFERROR(VLOOKUP(BI95,اسماء,16,0),"")</f>
        <v/>
      </c>
      <c r="BC84" s="41">
        <f t="shared" ref="BC84:BC85" si="97">40*AX84*0.4</f>
        <v>48</v>
      </c>
      <c r="BD84" s="2" t="str">
        <f>IFERROR(VLOOKUP(BI95,اسماء,27,0),"")</f>
        <v/>
      </c>
      <c r="BE84" s="41">
        <f t="shared" ref="BE84:BE85" si="98">SUM(AY84,BA84,BC84)</f>
        <v>120</v>
      </c>
      <c r="BF84" s="44">
        <f t="shared" ref="BF84:BF85" si="99">0.4*BE84</f>
        <v>48</v>
      </c>
      <c r="BG84" s="2">
        <f t="shared" ref="BG84:BG85" si="100">SUM(AZ84,BB84,BD84)</f>
        <v>0</v>
      </c>
      <c r="BH84" s="18"/>
      <c r="BI84" s="106" t="str">
        <f>IF(AZ84=0,"",IF(AZ84&lt;AY84*0.4,AW84,""))</f>
        <v/>
      </c>
      <c r="BJ84" s="154" t="str">
        <f>IF(AZ85=0,"",IF(AZ85&lt;AY85*0.4,AW85,""))</f>
        <v/>
      </c>
      <c r="BK84" s="155" t="str">
        <f>IF(AZ86=0,"",IF(AZ86&lt;AY86*0.4,AW86,""))</f>
        <v/>
      </c>
      <c r="BL84" s="25"/>
    </row>
    <row r="85" spans="1:64" ht="24.9" customHeight="1" thickBot="1" x14ac:dyDescent="0.3">
      <c r="A85" s="133" t="str">
        <f>ادخال1!$G$9</f>
        <v>اللغة العربية</v>
      </c>
      <c r="B85" s="146">
        <f>ادخال1!$G$7</f>
        <v>6</v>
      </c>
      <c r="C85" s="41">
        <f t="shared" si="77"/>
        <v>72</v>
      </c>
      <c r="D85" s="2">
        <f>IFERROR(VLOOKUP(M95,اسماء,6,0),"")</f>
        <v>71</v>
      </c>
      <c r="E85" s="43">
        <f t="shared" si="78"/>
        <v>72</v>
      </c>
      <c r="F85" s="2">
        <f>IFERROR(VLOOKUP(M95,اسماء,17,0),"")</f>
        <v>0</v>
      </c>
      <c r="G85" s="41">
        <f t="shared" si="79"/>
        <v>96</v>
      </c>
      <c r="H85" s="2">
        <f>IFERROR(VLOOKUP(M95,اسماء,28,0),"")</f>
        <v>0</v>
      </c>
      <c r="I85" s="41">
        <f t="shared" si="80"/>
        <v>240</v>
      </c>
      <c r="J85" s="44">
        <f t="shared" si="81"/>
        <v>96</v>
      </c>
      <c r="K85" s="2">
        <f t="shared" si="82"/>
        <v>71</v>
      </c>
      <c r="L85" s="18"/>
      <c r="M85" s="106" t="str">
        <f>IF(D87=0,"",IF(D87&lt;C87*0.4,A87,""))</f>
        <v/>
      </c>
      <c r="N85" s="154" t="str">
        <f>IF(D88=0,"",IF(D88&lt;C88*0.4,A88,""))</f>
        <v/>
      </c>
      <c r="O85" s="155" t="str">
        <f>IF(D89=0,"",IF(D89&lt;C89*0.4,A89,""))</f>
        <v/>
      </c>
      <c r="Q85" s="133" t="str">
        <f>ادخال1!$G$9</f>
        <v>اللغة العربية</v>
      </c>
      <c r="R85" s="146">
        <f>ادخال1!$G$7</f>
        <v>6</v>
      </c>
      <c r="S85" s="41">
        <f t="shared" si="83"/>
        <v>72</v>
      </c>
      <c r="T85" s="2">
        <f>IFERROR(VLOOKUP(AC95,اسماء,6,0),"")</f>
        <v>64</v>
      </c>
      <c r="U85" s="43">
        <f t="shared" si="84"/>
        <v>72</v>
      </c>
      <c r="V85" s="2">
        <f>IFERROR(VLOOKUP(AC95,اسماء,17,0),"")</f>
        <v>0</v>
      </c>
      <c r="W85" s="41">
        <f t="shared" si="85"/>
        <v>96</v>
      </c>
      <c r="X85" s="2">
        <f>IFERROR(VLOOKUP(AC95,اسماء,28,0),"")</f>
        <v>0</v>
      </c>
      <c r="Y85" s="41">
        <f t="shared" si="86"/>
        <v>240</v>
      </c>
      <c r="Z85" s="44">
        <f t="shared" si="87"/>
        <v>96</v>
      </c>
      <c r="AA85" s="2">
        <f t="shared" si="88"/>
        <v>64</v>
      </c>
      <c r="AB85" s="18"/>
      <c r="AC85" s="106" t="str">
        <f>IF(T87=0,"",IF(T87&lt;S87*0.4,Q87,""))</f>
        <v/>
      </c>
      <c r="AD85" s="154" t="str">
        <f>IF(T88=0,"",IF(T88&lt;S88*0.4,Q88,""))</f>
        <v/>
      </c>
      <c r="AE85" s="155" t="str">
        <f>IF(T89=0,"",IF(T89&lt;S89*0.4,Q89,""))</f>
        <v/>
      </c>
      <c r="AG85" s="133" t="str">
        <f>ادخال1!$G$9</f>
        <v>اللغة العربية</v>
      </c>
      <c r="AH85" s="146">
        <f>ادخال1!$G$7</f>
        <v>6</v>
      </c>
      <c r="AI85" s="41">
        <f t="shared" si="89"/>
        <v>72</v>
      </c>
      <c r="AJ85" s="2">
        <f>IFERROR(VLOOKUP(AS95,اسماء,6,0),"")</f>
        <v>71</v>
      </c>
      <c r="AK85" s="43">
        <f t="shared" si="90"/>
        <v>72</v>
      </c>
      <c r="AL85" s="2">
        <f>IFERROR(VLOOKUP(AS95,اسماء,17,0),"")</f>
        <v>0</v>
      </c>
      <c r="AM85" s="41">
        <f t="shared" si="91"/>
        <v>96</v>
      </c>
      <c r="AN85" s="2">
        <f>IFERROR(VLOOKUP(AS95,اسماء,28,0),"")</f>
        <v>0</v>
      </c>
      <c r="AO85" s="41">
        <f t="shared" si="92"/>
        <v>240</v>
      </c>
      <c r="AP85" s="44">
        <f t="shared" si="93"/>
        <v>96</v>
      </c>
      <c r="AQ85" s="2">
        <f t="shared" si="94"/>
        <v>71</v>
      </c>
      <c r="AR85" s="18"/>
      <c r="AS85" s="106" t="str">
        <f>IF(AJ87=0,"",IF(AJ87&lt;AI87*0.4,AG87,""))</f>
        <v/>
      </c>
      <c r="AT85" s="154" t="str">
        <f>IF(AJ88=0,"",IF(AJ88&lt;AI88*0.4,AG88,""))</f>
        <v/>
      </c>
      <c r="AU85" s="155" t="str">
        <f>IF(AJ89=0,"",IF(AJ89&lt;AI89*0.4,AG89,""))</f>
        <v/>
      </c>
      <c r="AV85" s="120"/>
      <c r="AW85" s="133" t="str">
        <f>ادخال1!$G$9</f>
        <v>اللغة العربية</v>
      </c>
      <c r="AX85" s="146">
        <f>ادخال1!$G$7</f>
        <v>6</v>
      </c>
      <c r="AY85" s="41">
        <f t="shared" si="95"/>
        <v>72</v>
      </c>
      <c r="AZ85" s="2" t="str">
        <f>IFERROR(VLOOKUP(BI95,اسماء,6,0),"")</f>
        <v/>
      </c>
      <c r="BA85" s="43">
        <f t="shared" si="96"/>
        <v>72</v>
      </c>
      <c r="BB85" s="2" t="str">
        <f>IFERROR(VLOOKUP(BI95,اسماء,17,0),"")</f>
        <v/>
      </c>
      <c r="BC85" s="41">
        <f t="shared" si="97"/>
        <v>96</v>
      </c>
      <c r="BD85" s="2" t="str">
        <f>IFERROR(VLOOKUP(BI95,اسماء,28,0),"")</f>
        <v/>
      </c>
      <c r="BE85" s="41">
        <f t="shared" si="98"/>
        <v>240</v>
      </c>
      <c r="BF85" s="44">
        <f t="shared" si="99"/>
        <v>96</v>
      </c>
      <c r="BG85" s="2">
        <f t="shared" si="100"/>
        <v>0</v>
      </c>
      <c r="BH85" s="18"/>
      <c r="BI85" s="106" t="str">
        <f>IF(AZ87=0,"",IF(AZ87&lt;AY87*0.4,AW87,""))</f>
        <v/>
      </c>
      <c r="BJ85" s="154" t="str">
        <f>IF(AZ88=0,"",IF(AZ88&lt;AY88*0.4,AW88,""))</f>
        <v/>
      </c>
      <c r="BK85" s="155" t="str">
        <f>IF(AZ89=0,"",IF(AZ89&lt;AY89*0.4,AW89,""))</f>
        <v/>
      </c>
      <c r="BL85" s="25"/>
    </row>
    <row r="86" spans="1:64" ht="24.9" customHeight="1" x14ac:dyDescent="0.25">
      <c r="A86" s="133" t="str">
        <f>ادخال1!$H$9</f>
        <v>اللغة الإنجليزية</v>
      </c>
      <c r="B86" s="146">
        <f>ادخال1!$H$7</f>
        <v>3</v>
      </c>
      <c r="C86" s="41">
        <f>40*B86*0.3</f>
        <v>36</v>
      </c>
      <c r="D86" s="2">
        <f>IFERROR(VLOOKUP(M95,اسماء,7,0),"")</f>
        <v>36</v>
      </c>
      <c r="E86" s="43">
        <f>40*B86*0.3</f>
        <v>36</v>
      </c>
      <c r="F86" s="2">
        <f>IFERROR(VLOOKUP(M95,اسماء,18,0),"")</f>
        <v>0</v>
      </c>
      <c r="G86" s="41">
        <f>40*B86*0.4</f>
        <v>48</v>
      </c>
      <c r="H86" s="2">
        <f>IFERROR(VLOOKUP(M95,اسماء,29,0),"")</f>
        <v>0</v>
      </c>
      <c r="I86" s="41">
        <f>SUM(C86,E86,G86)</f>
        <v>120</v>
      </c>
      <c r="J86" s="44">
        <f>0.4*I86</f>
        <v>48</v>
      </c>
      <c r="K86" s="2">
        <f>SUM(D86,F86,H86)</f>
        <v>36</v>
      </c>
      <c r="L86" s="18"/>
      <c r="M86" s="105" t="s">
        <v>82</v>
      </c>
      <c r="N86" s="489" t="str">
        <f>IF(F90=0,"",IF(AND(F84&gt;=E84*0.4,F85&gt;=E85*0.4,F86&gt;=E86*0.4,F87&gt;=E87*0.4,F88&gt;=E88*0.4),LOOKUP(F90,'الصحيفة النهائية'!$BO$15:$BP$19),"ضعيف ويحتاج الى اهتمام في المواد"))</f>
        <v/>
      </c>
      <c r="O86" s="565"/>
      <c r="Q86" s="133" t="str">
        <f>ادخال1!$H$9</f>
        <v>اللغة الإنجليزية</v>
      </c>
      <c r="R86" s="146">
        <f>ادخال1!$H$7</f>
        <v>3</v>
      </c>
      <c r="S86" s="41">
        <f>40*R86*0.3</f>
        <v>36</v>
      </c>
      <c r="T86" s="2">
        <f>IFERROR(VLOOKUP(AC95,اسماء,7,0),"")</f>
        <v>25</v>
      </c>
      <c r="U86" s="43">
        <f>40*R86*0.3</f>
        <v>36</v>
      </c>
      <c r="V86" s="2">
        <f>IFERROR(VLOOKUP(AC95,اسماء,18,0),"")</f>
        <v>0</v>
      </c>
      <c r="W86" s="41">
        <f>40*R86*0.4</f>
        <v>48</v>
      </c>
      <c r="X86" s="2">
        <f>IFERROR(VLOOKUP(AC95,اسماء,29,0),"")</f>
        <v>0</v>
      </c>
      <c r="Y86" s="41">
        <f>SUM(S86,U86,W86)</f>
        <v>120</v>
      </c>
      <c r="Z86" s="44">
        <f>0.4*Y86</f>
        <v>48</v>
      </c>
      <c r="AA86" s="2">
        <f>SUM(T86,V86,X86)</f>
        <v>25</v>
      </c>
      <c r="AB86" s="18"/>
      <c r="AC86" s="105" t="s">
        <v>82</v>
      </c>
      <c r="AD86" s="489" t="str">
        <f>IF(V90=0,"",IF(AND(V84&gt;=U84*0.4,V85&gt;=U85*0.4,V86&gt;=U86*0.4,V87&gt;=U87*0.4,V88&gt;=U88*0.4),LOOKUP(V90,'الصحيفة النهائية'!$BO$15:$BP$19),"ضعيف ويحتاج الى اهتمام في المواد"))</f>
        <v/>
      </c>
      <c r="AE86" s="565"/>
      <c r="AG86" s="133" t="str">
        <f>ادخال1!$H$9</f>
        <v>اللغة الإنجليزية</v>
      </c>
      <c r="AH86" s="146">
        <f>ادخال1!$H$7</f>
        <v>3</v>
      </c>
      <c r="AI86" s="41">
        <f>40*AH86*0.3</f>
        <v>36</v>
      </c>
      <c r="AJ86" s="2">
        <f>IFERROR(VLOOKUP(AS95,اسماء,7,0),"")</f>
        <v>36</v>
      </c>
      <c r="AK86" s="43">
        <f>40*AH86*0.3</f>
        <v>36</v>
      </c>
      <c r="AL86" s="2">
        <f>IFERROR(VLOOKUP(AS95,اسماء,18,0),"")</f>
        <v>0</v>
      </c>
      <c r="AM86" s="41">
        <f>40*AH86*0.4</f>
        <v>48</v>
      </c>
      <c r="AN86" s="2">
        <f>IFERROR(VLOOKUP(AS95,اسماء,29,0),"")</f>
        <v>0</v>
      </c>
      <c r="AO86" s="41">
        <f>SUM(AI86,AK86,AM86)</f>
        <v>120</v>
      </c>
      <c r="AP86" s="44">
        <f>0.4*AO86</f>
        <v>48</v>
      </c>
      <c r="AQ86" s="2">
        <f>SUM(AJ86,AL86,AN86)</f>
        <v>36</v>
      </c>
      <c r="AR86" s="18"/>
      <c r="AS86" s="105" t="s">
        <v>82</v>
      </c>
      <c r="AT86" s="489" t="str">
        <f>IF(AL90=0,"",IF(AND(AL84&gt;=AK84*0.4,AL85&gt;=AK85*0.4,AL86&gt;=AK86*0.4,AL87&gt;=AK87*0.4,AL88&gt;=AK88*0.4),LOOKUP(AL90,'الصحيفة النهائية'!$BO$15:$BP$19),"ضعيف ويحتاج الى اهتمام في المواد"))</f>
        <v/>
      </c>
      <c r="AU86" s="565"/>
      <c r="AV86" s="120"/>
      <c r="AW86" s="133" t="str">
        <f>ادخال1!$H$9</f>
        <v>اللغة الإنجليزية</v>
      </c>
      <c r="AX86" s="146">
        <f>ادخال1!$H$7</f>
        <v>3</v>
      </c>
      <c r="AY86" s="41">
        <f>40*AX86*0.3</f>
        <v>36</v>
      </c>
      <c r="AZ86" s="2" t="str">
        <f>IFERROR(VLOOKUP(BI95,اسماء,7,0),"")</f>
        <v/>
      </c>
      <c r="BA86" s="43">
        <f>40*AX86*0.3</f>
        <v>36</v>
      </c>
      <c r="BB86" s="2" t="str">
        <f>IFERROR(VLOOKUP(BI95,اسماء,18,0),"")</f>
        <v/>
      </c>
      <c r="BC86" s="41">
        <f>40*AX86*0.4</f>
        <v>48</v>
      </c>
      <c r="BD86" s="2" t="str">
        <f>IFERROR(VLOOKUP(BI95,اسماء,29,0),"")</f>
        <v/>
      </c>
      <c r="BE86" s="41">
        <f>SUM(AY86,BA86,BC86)</f>
        <v>120</v>
      </c>
      <c r="BF86" s="44">
        <f>0.4*BE86</f>
        <v>48</v>
      </c>
      <c r="BG86" s="2">
        <f>SUM(AZ86,BB86,BD86)</f>
        <v>0</v>
      </c>
      <c r="BH86" s="18"/>
      <c r="BI86" s="105" t="s">
        <v>82</v>
      </c>
      <c r="BJ86" s="489" t="str">
        <f>IF(BB90=0,"",IF(AND(BB84&gt;=BA84*0.4,BB85&gt;=BA85*0.4,BB86&gt;=BA86*0.4,BB87&gt;=BA87*0.4,BB88&gt;=BA88*0.4),LOOKUP(BB90,'الصحيفة النهائية'!$BO$15:$BP$19),"ضعيف ويحتاج الى اهتمام في المواد"))</f>
        <v/>
      </c>
      <c r="BK86" s="565"/>
      <c r="BL86" s="25"/>
    </row>
    <row r="87" spans="1:64" ht="24.9" customHeight="1" x14ac:dyDescent="0.25">
      <c r="A87" s="133" t="str">
        <f>ادخال1!$I$9</f>
        <v>الحاسوب</v>
      </c>
      <c r="B87" s="146">
        <f>ادخال1!$I$7</f>
        <v>1</v>
      </c>
      <c r="C87" s="41">
        <f>40*B87*0.3</f>
        <v>12</v>
      </c>
      <c r="D87" s="2">
        <f>IFERROR(VLOOKUP(M95,اسماء,8,0),"")</f>
        <v>12</v>
      </c>
      <c r="E87" s="43">
        <f>40*B87*0.3</f>
        <v>12</v>
      </c>
      <c r="F87" s="2">
        <f>IFERROR(VLOOKUP(M95,اسماء,19,0),"")</f>
        <v>0</v>
      </c>
      <c r="G87" s="41">
        <f>40*B87*0.4</f>
        <v>16</v>
      </c>
      <c r="H87" s="2">
        <f>IFERROR(VLOOKUP(M95,اسماء,30,0),"")</f>
        <v>0</v>
      </c>
      <c r="I87" s="41">
        <f>SUM(C87,E87,G87)</f>
        <v>40</v>
      </c>
      <c r="J87" s="44">
        <f>0.4*I87</f>
        <v>16</v>
      </c>
      <c r="K87" s="2">
        <f>SUM(D87,F87,H87)</f>
        <v>12</v>
      </c>
      <c r="L87" s="18"/>
      <c r="M87" s="106" t="str">
        <f>IF(F84=0,"",IF(F84&lt;E84*0.4,A84,""))</f>
        <v/>
      </c>
      <c r="N87" s="154" t="str">
        <f>IF(F85=0,"",IF(F85&lt;E85*0.4,A85,""))</f>
        <v/>
      </c>
      <c r="O87" s="155" t="str">
        <f>IF(F86=0,"",IF(F86&lt;E86*0.4,A86,""))</f>
        <v/>
      </c>
      <c r="Q87" s="133" t="str">
        <f>ادخال1!$I$9</f>
        <v>الحاسوب</v>
      </c>
      <c r="R87" s="146">
        <f>ادخال1!$I$7</f>
        <v>1</v>
      </c>
      <c r="S87" s="41">
        <f>40*R87*0.3</f>
        <v>12</v>
      </c>
      <c r="T87" s="2">
        <f>IFERROR(VLOOKUP(AC95,اسماء,8,0),"")</f>
        <v>10</v>
      </c>
      <c r="U87" s="43">
        <f>40*R87*0.3</f>
        <v>12</v>
      </c>
      <c r="V87" s="2">
        <f>IFERROR(VLOOKUP(AC95,اسماء,19,0),"")</f>
        <v>0</v>
      </c>
      <c r="W87" s="41">
        <f>40*R87*0.4</f>
        <v>16</v>
      </c>
      <c r="X87" s="2">
        <f>IFERROR(VLOOKUP(AC95,اسماء,30,0),"")</f>
        <v>0</v>
      </c>
      <c r="Y87" s="41">
        <f>SUM(S87,U87,W87)</f>
        <v>40</v>
      </c>
      <c r="Z87" s="44">
        <f>0.4*Y87</f>
        <v>16</v>
      </c>
      <c r="AA87" s="2">
        <f>SUM(T87,V87,X87)</f>
        <v>10</v>
      </c>
      <c r="AB87" s="18"/>
      <c r="AC87" s="106" t="str">
        <f>IF(V84=0,"",IF(V84&lt;U84*0.4,Q84,""))</f>
        <v/>
      </c>
      <c r="AD87" s="154" t="str">
        <f>IF(V85=0,"",IF(V85&lt;U85*0.4,Q85,""))</f>
        <v/>
      </c>
      <c r="AE87" s="155" t="str">
        <f>IF(V86=0,"",IF(V86&lt;U86*0.4,Q86,""))</f>
        <v/>
      </c>
      <c r="AG87" s="133" t="str">
        <f>ادخال1!$I$9</f>
        <v>الحاسوب</v>
      </c>
      <c r="AH87" s="146">
        <f>ادخال1!$I$7</f>
        <v>1</v>
      </c>
      <c r="AI87" s="41">
        <f>40*AH87*0.3</f>
        <v>12</v>
      </c>
      <c r="AJ87" s="2">
        <f>IFERROR(VLOOKUP(AS95,اسماء,8,0),"")</f>
        <v>12</v>
      </c>
      <c r="AK87" s="43">
        <f>40*AH87*0.3</f>
        <v>12</v>
      </c>
      <c r="AL87" s="2">
        <f>IFERROR(VLOOKUP(AS95,اسماء,19,0),"")</f>
        <v>0</v>
      </c>
      <c r="AM87" s="41">
        <f>40*AH87*0.4</f>
        <v>16</v>
      </c>
      <c r="AN87" s="2">
        <f>IFERROR(VLOOKUP(AS95,اسماء,30,0),"")</f>
        <v>0</v>
      </c>
      <c r="AO87" s="41">
        <f>SUM(AI87,AK87,AM87)</f>
        <v>40</v>
      </c>
      <c r="AP87" s="44">
        <f>0.4*AO87</f>
        <v>16</v>
      </c>
      <c r="AQ87" s="2">
        <f>SUM(AJ87,AL87,AN87)</f>
        <v>12</v>
      </c>
      <c r="AR87" s="18"/>
      <c r="AS87" s="106" t="str">
        <f>IF(AL84=0,"",IF(AL84&lt;AK84*0.4,AG84,""))</f>
        <v/>
      </c>
      <c r="AT87" s="154" t="str">
        <f>IF(AL85=0,"",IF(AL85&lt;AK85*0.4,AG85,""))</f>
        <v/>
      </c>
      <c r="AU87" s="155" t="str">
        <f>IF(AL86=0,"",IF(AL86&lt;AK86*0.4,AG86,""))</f>
        <v/>
      </c>
      <c r="AV87" s="120"/>
      <c r="AW87" s="133" t="str">
        <f>ادخال1!$I$9</f>
        <v>الحاسوب</v>
      </c>
      <c r="AX87" s="146">
        <f>ادخال1!$I$7</f>
        <v>1</v>
      </c>
      <c r="AY87" s="41">
        <f>40*AX87*0.3</f>
        <v>12</v>
      </c>
      <c r="AZ87" s="2" t="str">
        <f>IFERROR(VLOOKUP(BI95,اسماء,8,0),"")</f>
        <v/>
      </c>
      <c r="BA87" s="43">
        <f>40*AX87*0.3</f>
        <v>12</v>
      </c>
      <c r="BB87" s="2" t="str">
        <f>IFERROR(VLOOKUP(BI95,اسماء,19,0),"")</f>
        <v/>
      </c>
      <c r="BC87" s="41">
        <f>40*AX87*0.4</f>
        <v>16</v>
      </c>
      <c r="BD87" s="2" t="str">
        <f>IFERROR(VLOOKUP(BI95,اسماء,30,0),"")</f>
        <v/>
      </c>
      <c r="BE87" s="41">
        <f>SUM(AY87,BA87,BC87)</f>
        <v>40</v>
      </c>
      <c r="BF87" s="44">
        <f>0.4*BE87</f>
        <v>16</v>
      </c>
      <c r="BG87" s="2">
        <f>SUM(AZ87,BB87,BD87)</f>
        <v>0</v>
      </c>
      <c r="BH87" s="18"/>
      <c r="BI87" s="106" t="str">
        <f>IF(BB84=0,"",IF(BB84&lt;BA84*0.4,AW84,""))</f>
        <v/>
      </c>
      <c r="BJ87" s="154" t="str">
        <f>IF(BB85=0,"",IF(BB85&lt;BA85*0.4,AW85,""))</f>
        <v/>
      </c>
      <c r="BK87" s="155" t="str">
        <f>IF(BB86=0,"",IF(BB86&lt;BA86*0.4,AW86,""))</f>
        <v/>
      </c>
      <c r="BL87" s="25"/>
    </row>
    <row r="88" spans="1:64" ht="24.9" customHeight="1" x14ac:dyDescent="0.25">
      <c r="A88" s="113" t="str">
        <f>ادخال1!$J$9</f>
        <v>الرياضيات</v>
      </c>
      <c r="B88" s="147">
        <f>ادخال1!$J$7</f>
        <v>5</v>
      </c>
      <c r="C88" s="41">
        <f>40*B88*0.3</f>
        <v>60</v>
      </c>
      <c r="D88" s="2">
        <f>IFERROR(VLOOKUP(M95,اسماء,9,0),"")</f>
        <v>59</v>
      </c>
      <c r="E88" s="43">
        <f>40*B88*0.3</f>
        <v>60</v>
      </c>
      <c r="F88" s="2">
        <f>IFERROR(VLOOKUP(M95,اسماء,20,0),"")</f>
        <v>0</v>
      </c>
      <c r="G88" s="41">
        <f>40*B88*0.4</f>
        <v>80</v>
      </c>
      <c r="H88" s="2">
        <f>IFERROR(VLOOKUP(M95,اسماء,31,0),"")</f>
        <v>0</v>
      </c>
      <c r="I88" s="41">
        <f>SUM(C88,E88,G88)</f>
        <v>200</v>
      </c>
      <c r="J88" s="44">
        <f>0.4*I88</f>
        <v>80</v>
      </c>
      <c r="K88" s="2">
        <f>SUM(D88,F88,H88)</f>
        <v>59</v>
      </c>
      <c r="L88" s="18"/>
      <c r="M88" s="106" t="str">
        <f>IF(F87=0,"",IF(F87&lt;E87*0.4,A87,""))</f>
        <v/>
      </c>
      <c r="N88" s="154" t="str">
        <f>IF(F88=0,"",IF(F88&lt;E88*0.4,A88,""))</f>
        <v/>
      </c>
      <c r="O88" s="154" t="str">
        <f>IF(F89=0,"",IF(F89&lt;E89*0.4,A89,""))</f>
        <v/>
      </c>
      <c r="Q88" s="113" t="str">
        <f>ادخال1!$J$9</f>
        <v>الرياضيات</v>
      </c>
      <c r="R88" s="147">
        <f>ادخال1!$J$7</f>
        <v>5</v>
      </c>
      <c r="S88" s="41">
        <f>40*R88*0.3</f>
        <v>60</v>
      </c>
      <c r="T88" s="2">
        <f>IFERROR(VLOOKUP(AC95,اسماء,9,0),"")</f>
        <v>46</v>
      </c>
      <c r="U88" s="43">
        <f>40*R88*0.3</f>
        <v>60</v>
      </c>
      <c r="V88" s="2">
        <f>IFERROR(VLOOKUP(AC95,اسماء,20,0),"")</f>
        <v>0</v>
      </c>
      <c r="W88" s="41">
        <f>40*R88*0.4</f>
        <v>80</v>
      </c>
      <c r="X88" s="2">
        <f>IFERROR(VLOOKUP(AC95,اسماء,31,0),"")</f>
        <v>0</v>
      </c>
      <c r="Y88" s="41">
        <f>SUM(S88,U88,W88)</f>
        <v>200</v>
      </c>
      <c r="Z88" s="44">
        <f>0.4*Y88</f>
        <v>80</v>
      </c>
      <c r="AA88" s="2">
        <f>SUM(T88,V88,X88)</f>
        <v>46</v>
      </c>
      <c r="AB88" s="18"/>
      <c r="AC88" s="106" t="str">
        <f>IF(V87=0,"",IF(V87&lt;U87*0.4,Q87,""))</f>
        <v/>
      </c>
      <c r="AD88" s="154" t="str">
        <f>IF(V88=0,"",IF(V88&lt;U88*0.4,Q88,""))</f>
        <v/>
      </c>
      <c r="AE88" s="154" t="str">
        <f>IF(V89=0,"",IF(V89&lt;U89*0.4,Q89,""))</f>
        <v/>
      </c>
      <c r="AG88" s="113" t="str">
        <f>ادخال1!$J$9</f>
        <v>الرياضيات</v>
      </c>
      <c r="AH88" s="147">
        <f>ادخال1!$J$7</f>
        <v>5</v>
      </c>
      <c r="AI88" s="41">
        <f>40*AH88*0.3</f>
        <v>60</v>
      </c>
      <c r="AJ88" s="2">
        <f>IFERROR(VLOOKUP(AS95,اسماء,9,0),"")</f>
        <v>60</v>
      </c>
      <c r="AK88" s="43">
        <f>40*AH88*0.3</f>
        <v>60</v>
      </c>
      <c r="AL88" s="2">
        <f>IFERROR(VLOOKUP(AS95,اسماء,20,0),"")</f>
        <v>0</v>
      </c>
      <c r="AM88" s="41">
        <f>40*AH88*0.4</f>
        <v>80</v>
      </c>
      <c r="AN88" s="2">
        <f>IFERROR(VLOOKUP(AS95,اسماء,31,0),"")</f>
        <v>0</v>
      </c>
      <c r="AO88" s="41">
        <f>SUM(AI88,AK88,AM88)</f>
        <v>200</v>
      </c>
      <c r="AP88" s="44">
        <f>0.4*AO88</f>
        <v>80</v>
      </c>
      <c r="AQ88" s="2">
        <f>SUM(AJ88,AL88,AN88)</f>
        <v>60</v>
      </c>
      <c r="AR88" s="18"/>
      <c r="AS88" s="106" t="str">
        <f>IF(AL87=0,"",IF(AL87&lt;AK87*0.4,AG87,""))</f>
        <v/>
      </c>
      <c r="AT88" s="154" t="str">
        <f>IF(AL88=0,"",IF(AL88&lt;AK88*0.4,AG88,""))</f>
        <v/>
      </c>
      <c r="AU88" s="154" t="str">
        <f>IF(AL89=0,"",IF(AL89&lt;AK89*0.4,AG89,""))</f>
        <v/>
      </c>
      <c r="AV88" s="120"/>
      <c r="AW88" s="113" t="str">
        <f>ادخال1!$J$9</f>
        <v>الرياضيات</v>
      </c>
      <c r="AX88" s="147">
        <f>ادخال1!$J$7</f>
        <v>5</v>
      </c>
      <c r="AY88" s="41">
        <f>40*AX88*0.3</f>
        <v>60</v>
      </c>
      <c r="AZ88" s="2" t="str">
        <f>IFERROR(VLOOKUP(BI95,اسماء,9,0),"")</f>
        <v/>
      </c>
      <c r="BA88" s="43">
        <f>40*AX88*0.3</f>
        <v>60</v>
      </c>
      <c r="BB88" s="2" t="str">
        <f>IFERROR(VLOOKUP(BI95,اسماء,20,0),"")</f>
        <v/>
      </c>
      <c r="BC88" s="41">
        <f>40*AX88*0.4</f>
        <v>80</v>
      </c>
      <c r="BD88" s="2" t="str">
        <f>IFERROR(VLOOKUP(BI95,اسماء,31,0),"")</f>
        <v/>
      </c>
      <c r="BE88" s="41">
        <f>SUM(AY88,BA88,BC88)</f>
        <v>200</v>
      </c>
      <c r="BF88" s="44">
        <f>0.4*BE88</f>
        <v>80</v>
      </c>
      <c r="BG88" s="2">
        <f>SUM(AZ88,BB88,BD88)</f>
        <v>0</v>
      </c>
      <c r="BH88" s="18"/>
      <c r="BI88" s="106" t="str">
        <f>IF(BB87=0,"",IF(BB87&lt;BA87*0.4,AW87,""))</f>
        <v/>
      </c>
      <c r="BJ88" s="154" t="str">
        <f>IF(BB88=0,"",IF(BB88&lt;BA88*0.4,AW88,""))</f>
        <v/>
      </c>
      <c r="BK88" s="154" t="str">
        <f>IF(BB89=0,"",IF(BB89&lt;BA89*0.4,AW89,""))</f>
        <v/>
      </c>
      <c r="BL88" s="25"/>
    </row>
    <row r="89" spans="1:64" ht="24.9" customHeight="1" thickBot="1" x14ac:dyDescent="0.3">
      <c r="A89" s="113" t="str">
        <f>ادخال1!$K$9</f>
        <v>العلوم</v>
      </c>
      <c r="B89" s="147">
        <f>ادخال1!$K$7</f>
        <v>3</v>
      </c>
      <c r="C89" s="41">
        <f>40*B89*0.3</f>
        <v>36</v>
      </c>
      <c r="D89" s="2">
        <f>IFERROR(VLOOKUP(M95,اسماء,10,0),"")</f>
        <v>36</v>
      </c>
      <c r="E89" s="43">
        <f>40*B89*0.3</f>
        <v>36</v>
      </c>
      <c r="F89" s="2">
        <f>IFERROR(VLOOKUP(M95,اسماء,21,0),"")</f>
        <v>0</v>
      </c>
      <c r="G89" s="41">
        <f>40*B89*0.4</f>
        <v>48</v>
      </c>
      <c r="H89" s="2">
        <f>IFERROR(VLOOKUP(M95,اسماء,32,0),"")</f>
        <v>0</v>
      </c>
      <c r="I89" s="41">
        <f>SUM(C89,E89,G89)</f>
        <v>120</v>
      </c>
      <c r="J89" s="44">
        <f>0.4*I89</f>
        <v>48</v>
      </c>
      <c r="K89" s="2">
        <f>SUM(D89,F89,H89)</f>
        <v>36</v>
      </c>
      <c r="L89" s="18"/>
      <c r="M89" s="106" t="str">
        <f>IF(F88=0,"",IF(F88&lt;E88*0.4,A88,""))</f>
        <v/>
      </c>
      <c r="N89" s="154" t="str">
        <f>IF(F89=0,"",IF(F89&lt;E89*0.4,A89,""))</f>
        <v/>
      </c>
      <c r="O89" s="155"/>
      <c r="Q89" s="113" t="str">
        <f>ادخال1!$K$9</f>
        <v>العلوم</v>
      </c>
      <c r="R89" s="147">
        <f>ادخال1!$K$7</f>
        <v>3</v>
      </c>
      <c r="S89" s="41">
        <f>40*R89*0.3</f>
        <v>36</v>
      </c>
      <c r="T89" s="2">
        <f>IFERROR(VLOOKUP(AC95,اسماء,10,0),"")</f>
        <v>27</v>
      </c>
      <c r="U89" s="43">
        <f>40*R89*0.3</f>
        <v>36</v>
      </c>
      <c r="V89" s="2">
        <f>IFERROR(VLOOKUP(AC95,اسماء,21,0),"")</f>
        <v>0</v>
      </c>
      <c r="W89" s="41">
        <f>40*R89*0.4</f>
        <v>48</v>
      </c>
      <c r="X89" s="2">
        <f>IFERROR(VLOOKUP(AC95,اسماء,32,0),"")</f>
        <v>0</v>
      </c>
      <c r="Y89" s="41">
        <f>SUM(S89,U89,W89)</f>
        <v>120</v>
      </c>
      <c r="Z89" s="44">
        <f>0.4*Y89</f>
        <v>48</v>
      </c>
      <c r="AA89" s="2">
        <f>SUM(T89,V89,X89)</f>
        <v>27</v>
      </c>
      <c r="AB89" s="18"/>
      <c r="AC89" s="106" t="str">
        <f>IF(V88=0,"",IF(V88&lt;U88*0.4,Q88,""))</f>
        <v/>
      </c>
      <c r="AD89" s="154" t="str">
        <f>IF(V89=0,"",IF(V89&lt;U89*0.4,Q89,""))</f>
        <v/>
      </c>
      <c r="AE89" s="155"/>
      <c r="AG89" s="113" t="str">
        <f>ادخال1!$K$9</f>
        <v>العلوم</v>
      </c>
      <c r="AH89" s="147">
        <f>ادخال1!$K$7</f>
        <v>3</v>
      </c>
      <c r="AI89" s="41">
        <f>40*AH89*0.3</f>
        <v>36</v>
      </c>
      <c r="AJ89" s="2">
        <f>IFERROR(VLOOKUP(AS95,اسماء,10,0),"")</f>
        <v>36</v>
      </c>
      <c r="AK89" s="43">
        <f>40*AH89*0.3</f>
        <v>36</v>
      </c>
      <c r="AL89" s="2">
        <f>IFERROR(VLOOKUP(AS95,اسماء,21,0),"")</f>
        <v>0</v>
      </c>
      <c r="AM89" s="41">
        <f>40*AH89*0.4</f>
        <v>48</v>
      </c>
      <c r="AN89" s="2">
        <f>IFERROR(VLOOKUP(AS95,اسماء,32,0),"")</f>
        <v>0</v>
      </c>
      <c r="AO89" s="41">
        <f>SUM(AI89,AK89,AM89)</f>
        <v>120</v>
      </c>
      <c r="AP89" s="44">
        <f>0.4*AO89</f>
        <v>48</v>
      </c>
      <c r="AQ89" s="2">
        <f>SUM(AJ89,AL89,AN89)</f>
        <v>36</v>
      </c>
      <c r="AR89" s="18"/>
      <c r="AS89" s="106" t="str">
        <f>IF(AL88=0,"",IF(AL88&lt;AK88*0.4,AG88,""))</f>
        <v/>
      </c>
      <c r="AT89" s="154" t="str">
        <f>IF(AL89=0,"",IF(AL89&lt;AK89*0.4,AG89,""))</f>
        <v/>
      </c>
      <c r="AU89" s="155"/>
      <c r="AV89" s="120"/>
      <c r="AW89" s="113" t="str">
        <f>ادخال1!$K$9</f>
        <v>العلوم</v>
      </c>
      <c r="AX89" s="147">
        <f>ادخال1!$K$7</f>
        <v>3</v>
      </c>
      <c r="AY89" s="41">
        <f>40*AX89*0.3</f>
        <v>36</v>
      </c>
      <c r="AZ89" s="2" t="str">
        <f>IFERROR(VLOOKUP(BI95,اسماء,10,0),"")</f>
        <v/>
      </c>
      <c r="BA89" s="43">
        <f>40*AX89*0.3</f>
        <v>36</v>
      </c>
      <c r="BB89" s="2" t="str">
        <f>IFERROR(VLOOKUP(BI95,اسماء,21,0),"")</f>
        <v/>
      </c>
      <c r="BC89" s="41">
        <f>40*AX89*0.4</f>
        <v>48</v>
      </c>
      <c r="BD89" s="2" t="str">
        <f>IFERROR(VLOOKUP(BI95,اسماء,32,0),"")</f>
        <v/>
      </c>
      <c r="BE89" s="41">
        <f>SUM(AY89,BA89,BC89)</f>
        <v>120</v>
      </c>
      <c r="BF89" s="44">
        <f>0.4*BE89</f>
        <v>48</v>
      </c>
      <c r="BG89" s="2">
        <f>SUM(AZ89,BB89,BD89)</f>
        <v>0</v>
      </c>
      <c r="BH89" s="18"/>
      <c r="BI89" s="106" t="str">
        <f>IF(BB88=0,"",IF(BB88&lt;BA88*0.4,AW88,""))</f>
        <v/>
      </c>
      <c r="BJ89" s="154" t="str">
        <f>IF(BB89=0,"",IF(BB89&lt;BA89*0.4,AW89,""))</f>
        <v/>
      </c>
      <c r="BK89" s="155"/>
      <c r="BL89" s="25"/>
    </row>
    <row r="90" spans="1:64" ht="30" customHeight="1" thickBot="1" x14ac:dyDescent="0.3">
      <c r="A90" s="58" t="s">
        <v>56</v>
      </c>
      <c r="B90" s="148"/>
      <c r="C90" s="42">
        <f t="shared" ref="C90" si="101">SUM(C84:C88)</f>
        <v>216</v>
      </c>
      <c r="D90" s="114">
        <f>SUM(D84:D89)</f>
        <v>250</v>
      </c>
      <c r="E90" s="42">
        <f t="shared" ref="E90" si="102">SUM(E84:E88)</f>
        <v>216</v>
      </c>
      <c r="F90" s="114">
        <f>SUM(F84:F89)</f>
        <v>0</v>
      </c>
      <c r="G90" s="42">
        <f t="shared" ref="G90" si="103">SUM(G84:G88)</f>
        <v>288</v>
      </c>
      <c r="H90" s="114">
        <f>SUM(H84:H89)</f>
        <v>0</v>
      </c>
      <c r="I90" s="42">
        <f t="shared" ref="I90" si="104">SUM(I84:I88)</f>
        <v>720</v>
      </c>
      <c r="J90" s="45"/>
      <c r="K90" s="3">
        <f>IF(AND(K84&gt;=J84,K85&gt;=J85,K86&gt;=J86,K87&gt;=J87,K88&gt;=J88,K89&gt;=J89),SUM(K84:K89),0)</f>
        <v>0</v>
      </c>
      <c r="L90" s="18"/>
      <c r="M90" s="105" t="s">
        <v>110</v>
      </c>
      <c r="N90" s="489" t="str">
        <f>IF(H90=0,"",IF(AND(H84&gt;=G84*0.4,H85&gt;=G85*0.4,H86&gt;=G86*0.4,H87&gt;=G87*0.4,H88&gt;=G88*0.4),LOOKUP(H90,'الصحيفة النهائية'!$BO$8:$BP$13),"ضعيف ويحتاج الى اهتمام في المواد"))</f>
        <v/>
      </c>
      <c r="O90" s="490"/>
      <c r="Q90" s="58" t="s">
        <v>56</v>
      </c>
      <c r="R90" s="148"/>
      <c r="S90" s="42">
        <f t="shared" ref="S90" si="105">SUM(S84:S88)</f>
        <v>216</v>
      </c>
      <c r="T90" s="114">
        <f>SUM(T84:T89)</f>
        <v>200</v>
      </c>
      <c r="U90" s="42">
        <f t="shared" ref="U90" si="106">SUM(U84:U88)</f>
        <v>216</v>
      </c>
      <c r="V90" s="114">
        <f>SUM(V84:V89)</f>
        <v>0</v>
      </c>
      <c r="W90" s="42">
        <f t="shared" ref="W90" si="107">SUM(W84:W88)</f>
        <v>288</v>
      </c>
      <c r="X90" s="114">
        <f>SUM(X84:X89)</f>
        <v>0</v>
      </c>
      <c r="Y90" s="42">
        <f t="shared" ref="Y90" si="108">SUM(Y84:Y88)</f>
        <v>720</v>
      </c>
      <c r="Z90" s="45"/>
      <c r="AA90" s="3">
        <f>IF(AND(AA84&gt;=Z84,AA85&gt;=Z85,AA86&gt;=Z86,AA87&gt;=Z87,AA88&gt;=Z88,AA89&gt;=Z89),SUM(AA84:AA89),0)</f>
        <v>0</v>
      </c>
      <c r="AB90" s="18"/>
      <c r="AC90" s="105" t="s">
        <v>110</v>
      </c>
      <c r="AD90" s="489" t="str">
        <f>IF(X90=0,"",IF(AND(X84&gt;=W84*0.4,X85&gt;=W85*0.4,X86&gt;=W86*0.4,X87&gt;=W87*0.4,X88&gt;=W88*0.4),LOOKUP(X90,'الصحيفة النهائية'!$BO$8:$BP$13),"ضعيف ويحتاج الى اهتمام في المواد"))</f>
        <v/>
      </c>
      <c r="AE90" s="490"/>
      <c r="AG90" s="58" t="s">
        <v>56</v>
      </c>
      <c r="AH90" s="148"/>
      <c r="AI90" s="42">
        <f t="shared" ref="AI90" si="109">SUM(AI84:AI88)</f>
        <v>216</v>
      </c>
      <c r="AJ90" s="114">
        <f>SUM(AJ84:AJ89)</f>
        <v>251</v>
      </c>
      <c r="AK90" s="42">
        <f t="shared" ref="AK90" si="110">SUM(AK84:AK88)</f>
        <v>216</v>
      </c>
      <c r="AL90" s="114">
        <f>SUM(AL84:AL89)</f>
        <v>0</v>
      </c>
      <c r="AM90" s="42">
        <f t="shared" ref="AM90" si="111">SUM(AM84:AM88)</f>
        <v>288</v>
      </c>
      <c r="AN90" s="114">
        <f>SUM(AN84:AN89)</f>
        <v>0</v>
      </c>
      <c r="AO90" s="42">
        <f t="shared" ref="AO90" si="112">SUM(AO84:AO88)</f>
        <v>720</v>
      </c>
      <c r="AP90" s="45"/>
      <c r="AQ90" s="3">
        <f>IF(AND(AQ84&gt;=AP84,AQ85&gt;=AP85,AQ86&gt;=AP86,AQ87&gt;=AP87,AQ88&gt;=AP88,AQ89&gt;=AP89),SUM(AQ84:AQ89),0)</f>
        <v>0</v>
      </c>
      <c r="AR90" s="18"/>
      <c r="AS90" s="105" t="s">
        <v>110</v>
      </c>
      <c r="AT90" s="489" t="str">
        <f>IF(AN90=0,"",IF(AND(AN84&gt;=AM84*0.4,AN85&gt;=AM85*0.4,AN86&gt;=AM86*0.4,AN87&gt;=AM87*0.4,AN88&gt;=AM88*0.4),LOOKUP(AN90,'الصحيفة النهائية'!$BO$8:$BP$13),"ضعيف ويحتاج الى اهتمام في المواد"))</f>
        <v/>
      </c>
      <c r="AU90" s="490"/>
      <c r="AV90" s="120"/>
      <c r="AW90" s="58" t="s">
        <v>56</v>
      </c>
      <c r="AX90" s="148"/>
      <c r="AY90" s="42">
        <f t="shared" ref="AY90" si="113">SUM(AY84:AY88)</f>
        <v>216</v>
      </c>
      <c r="AZ90" s="114">
        <f>SUM(AZ84:AZ89)</f>
        <v>0</v>
      </c>
      <c r="BA90" s="42">
        <f t="shared" ref="BA90" si="114">SUM(BA84:BA88)</f>
        <v>216</v>
      </c>
      <c r="BB90" s="114">
        <f>SUM(BB84:BB89)</f>
        <v>0</v>
      </c>
      <c r="BC90" s="42">
        <f t="shared" ref="BC90" si="115">SUM(BC84:BC88)</f>
        <v>288</v>
      </c>
      <c r="BD90" s="114">
        <f>SUM(BD84:BD89)</f>
        <v>0</v>
      </c>
      <c r="BE90" s="42">
        <f t="shared" ref="BE90" si="116">SUM(BE84:BE88)</f>
        <v>720</v>
      </c>
      <c r="BF90" s="45"/>
      <c r="BG90" s="3">
        <f>IF(AND(BG84&gt;=BF84,BG85&gt;=BF85,BG86&gt;=BF86,BG87&gt;=BF87,BG88&gt;=BF88,BG89&gt;=BF89),SUM(BG84:BG89),0)</f>
        <v>0</v>
      </c>
      <c r="BH90" s="18"/>
      <c r="BI90" s="105" t="s">
        <v>110</v>
      </c>
      <c r="BJ90" s="489" t="str">
        <f>IF(BD90=0,"",IF(AND(BD84&gt;=BC84*0.4,BD85&gt;=BC85*0.4,BD86&gt;=BC86*0.4,BD87&gt;=BC87*0.4,BD88&gt;=BC88*0.4),LOOKUP(BD90,'الصحيفة النهائية'!$BO$8:$BP$13),"ضعيف ويحتاج الى اهتمام في المواد"))</f>
        <v/>
      </c>
      <c r="BK90" s="490"/>
      <c r="BL90" s="25"/>
    </row>
    <row r="91" spans="1:64" ht="24.9" customHeight="1" thickBot="1" x14ac:dyDescent="0.3">
      <c r="A91" s="566" t="s">
        <v>120</v>
      </c>
      <c r="B91" s="567"/>
      <c r="C91" s="568">
        <f>IFERROR(VLOOKUP(M95,اسماء,65,0),"")</f>
        <v>120170729227</v>
      </c>
      <c r="D91" s="568" t="str">
        <f>IFERROR(VLOOKUP(H98,اسماء,8,0),"")</f>
        <v/>
      </c>
      <c r="E91" s="568" t="str">
        <f>IFERROR(VLOOKUP(I98,اسماء,8,0),"")</f>
        <v/>
      </c>
      <c r="F91" s="568" t="str">
        <f>IFERROR(VLOOKUP(J98,اسماء,8,0),"")</f>
        <v/>
      </c>
      <c r="G91" s="568" t="str">
        <f>IFERROR(VLOOKUP(K98,اسماء,8,0),"")</f>
        <v/>
      </c>
      <c r="H91" s="580" t="s">
        <v>157</v>
      </c>
      <c r="I91" s="581"/>
      <c r="J91" s="470" t="str">
        <f>IF(K90=0,"",IF(AND(K84&gt;=J84*0.4,K85&gt;=J85*0.4,K86&gt;=J86*0.4,K87&gt;=J87*0.4,K88&gt;=J88*0.4,K89&gt;=J89*0.4),LOOKUP(K90,'الصحيفة النهائية'!$BO$2:$BP$6),"ضعيف ويحتاج الى اهتمام في المواد"))</f>
        <v/>
      </c>
      <c r="K91" s="470"/>
      <c r="L91" s="31"/>
      <c r="M91" s="106" t="str">
        <f>IF(H84=0,"",IF(H84&lt;G84*0.4,A84,""))</f>
        <v/>
      </c>
      <c r="N91" s="154" t="str">
        <f>IF(H85=0,"",IF(H85&lt;G85*0.4,A85,""))</f>
        <v/>
      </c>
      <c r="O91" s="155" t="str">
        <f>IF(H86=0,"",IF(H86&lt;G86*0.4,A86,""))</f>
        <v/>
      </c>
      <c r="Q91" s="566" t="s">
        <v>120</v>
      </c>
      <c r="R91" s="567"/>
      <c r="S91" s="568">
        <f>IFERROR(VLOOKUP(AC95,اسماء,65,0),"")</f>
        <v>120170085408</v>
      </c>
      <c r="T91" s="568" t="str">
        <f>IFERROR(VLOOKUP(X98,اسماء,8,0),"")</f>
        <v/>
      </c>
      <c r="U91" s="568" t="str">
        <f>IFERROR(VLOOKUP(Y98,اسماء,8,0),"")</f>
        <v/>
      </c>
      <c r="V91" s="568" t="str">
        <f>IFERROR(VLOOKUP(Z98,اسماء,8,0),"")</f>
        <v/>
      </c>
      <c r="W91" s="568" t="str">
        <f>IFERROR(VLOOKUP(AA98,اسماء,8,0),"")</f>
        <v/>
      </c>
      <c r="X91" s="580" t="s">
        <v>157</v>
      </c>
      <c r="Y91" s="581"/>
      <c r="Z91" s="470" t="str">
        <f>IF(AA90=0,"",IF(AND(AA84&gt;=Z84*0.4,AA85&gt;=Z85*0.4,AA86&gt;=Z86*0.4,AA87&gt;=Z87*0.4,AA88&gt;=Z88*0.4,AA89&gt;=Z89*0.4),LOOKUP(AA90,'الصحيفة النهائية'!$BO$2:$BP$6),"ضعيف ويحتاج الى اهتمام في المواد"))</f>
        <v/>
      </c>
      <c r="AA91" s="470"/>
      <c r="AB91" s="31"/>
      <c r="AC91" s="106" t="str">
        <f>IF(X84=0,"",IF(X84&lt;W84*0.4,Q84,""))</f>
        <v/>
      </c>
      <c r="AD91" s="154" t="str">
        <f>IF(X85=0,"",IF(X85&lt;W85*0.4,Q85,""))</f>
        <v/>
      </c>
      <c r="AE91" s="155" t="str">
        <f>IF(X86=0,"",IF(X86&lt;W86*0.4,Q86,""))</f>
        <v/>
      </c>
      <c r="AF91" s="65"/>
      <c r="AG91" s="566" t="s">
        <v>120</v>
      </c>
      <c r="AH91" s="567"/>
      <c r="AI91" s="568">
        <f>IFERROR(VLOOKUP(AS95,اسماء,65,0),"")</f>
        <v>120170004225</v>
      </c>
      <c r="AJ91" s="568" t="str">
        <f>IFERROR(VLOOKUP(AN98,اسماء,8,0),"")</f>
        <v/>
      </c>
      <c r="AK91" s="568" t="str">
        <f>IFERROR(VLOOKUP(AO98,اسماء,8,0),"")</f>
        <v/>
      </c>
      <c r="AL91" s="568" t="str">
        <f>IFERROR(VLOOKUP(AP98,اسماء,8,0),"")</f>
        <v/>
      </c>
      <c r="AM91" s="568" t="str">
        <f>IFERROR(VLOOKUP(AQ98,اسماء,8,0),"")</f>
        <v/>
      </c>
      <c r="AN91" s="580" t="s">
        <v>157</v>
      </c>
      <c r="AO91" s="581"/>
      <c r="AP91" s="470" t="str">
        <f>IF(AQ90=0,"",IF(AND(AQ84&gt;=AP84*0.4,AQ85&gt;=AP85*0.4,AQ86&gt;=AP86*0.4,AQ87&gt;=AP87*0.4,AQ88&gt;=AP88*0.4,AQ89&gt;=AP89*0.4),LOOKUP(AQ90,'الصحيفة النهائية'!$BO$2:$BP$6),"ضعيف ويحتاج الى اهتمام في المواد"))</f>
        <v/>
      </c>
      <c r="AQ91" s="470"/>
      <c r="AR91" s="31"/>
      <c r="AS91" s="106" t="str">
        <f>IF(AN84=0,"",IF(AN84&lt;AM84*0.4,AG84,""))</f>
        <v/>
      </c>
      <c r="AT91" s="154" t="str">
        <f>IF(AN85=0,"",IF(AN85&lt;AM85*0.4,AG85,""))</f>
        <v/>
      </c>
      <c r="AU91" s="155" t="str">
        <f>IF(AN86=0,"",IF(AN86&lt;AM86*0.4,AG86,""))</f>
        <v/>
      </c>
      <c r="AV91" s="65"/>
      <c r="AW91" s="566" t="s">
        <v>120</v>
      </c>
      <c r="AX91" s="567"/>
      <c r="AY91" s="568" t="str">
        <f>IFERROR(VLOOKUP(BI95,اسماء,65,0),"")</f>
        <v/>
      </c>
      <c r="AZ91" s="568" t="str">
        <f>IFERROR(VLOOKUP(BD98,اسماء,8,0),"")</f>
        <v/>
      </c>
      <c r="BA91" s="568" t="str">
        <f>IFERROR(VLOOKUP(BE98,اسماء,8,0),"")</f>
        <v/>
      </c>
      <c r="BB91" s="568" t="str">
        <f>IFERROR(VLOOKUP(BF98,اسماء,8,0),"")</f>
        <v/>
      </c>
      <c r="BC91" s="568" t="str">
        <f>IFERROR(VLOOKUP(BG98,اسماء,8,0),"")</f>
        <v/>
      </c>
      <c r="BD91" s="580" t="s">
        <v>157</v>
      </c>
      <c r="BE91" s="581"/>
      <c r="BF91" s="470" t="str">
        <f>IF(BG90=0,"",IF(AND(BG84&gt;=BF84*0.4,BG85&gt;=BF85*0.4,BG86&gt;=BF86*0.4,BG87&gt;=BF87*0.4,BG88&gt;=BF88*0.4,BG89&gt;=BF89*0.4),LOOKUP(BG90,'الصحيفة النهائية'!$BO$2:$BP$6),"ضعيف ويحتاج الى اهتمام في المواد"))</f>
        <v/>
      </c>
      <c r="BG91" s="470"/>
      <c r="BH91" s="31"/>
      <c r="BI91" s="106" t="str">
        <f>IF(BD84=0,"",IF(BD84&lt;BC84*0.4,AW84,""))</f>
        <v/>
      </c>
      <c r="BJ91" s="154" t="str">
        <f>IF(BD85=0,"",IF(BD85&lt;BC85*0.4,AW85,""))</f>
        <v/>
      </c>
      <c r="BK91" s="155" t="str">
        <f>IF(BD86=0,"",IF(BD86&lt;BC86*0.4,AW86,""))</f>
        <v/>
      </c>
      <c r="BL91" s="25"/>
    </row>
    <row r="92" spans="1:64" ht="24.9" customHeight="1" x14ac:dyDescent="0.25">
      <c r="A92" s="373" t="str">
        <f>ادخال1!$M$8</f>
        <v>التربية الفنية</v>
      </c>
      <c r="B92" s="375">
        <f>ادخال1!$M$7</f>
        <v>1</v>
      </c>
      <c r="C92" s="491" t="str">
        <f>IFERROR(VLOOKUP(M95,اسماء,12,0),"")</f>
        <v>جيد جداً</v>
      </c>
      <c r="D92" s="491"/>
      <c r="E92" s="491" t="str">
        <f>IFERROR(VLOOKUP(M95,اسماء,13,0),"")</f>
        <v>جيد جداً</v>
      </c>
      <c r="F92" s="491"/>
      <c r="G92" s="491">
        <f>IFERROR(VLOOKUP(M95,اسماء,14,0),"")</f>
        <v>0</v>
      </c>
      <c r="H92" s="491"/>
      <c r="I92" s="433"/>
      <c r="J92" s="445"/>
      <c r="K92" s="562"/>
      <c r="L92" s="33"/>
      <c r="M92" s="106" t="str">
        <f>IF(H87=0,"",IF(H87&lt;G87*0.4,A87,""))</f>
        <v/>
      </c>
      <c r="N92" s="154" t="str">
        <f>IF(H88=0,"",IF(H88&lt;G88*0.4,A88,""))</f>
        <v/>
      </c>
      <c r="O92" s="155"/>
      <c r="Q92" s="373" t="str">
        <f>ادخال1!$M$8</f>
        <v>التربية الفنية</v>
      </c>
      <c r="R92" s="375">
        <f>ادخال1!$M$7</f>
        <v>1</v>
      </c>
      <c r="S92" s="491" t="str">
        <f>IFERROR(VLOOKUP(AC95,اسماء,12,0),"")</f>
        <v>جيد جداً</v>
      </c>
      <c r="T92" s="491"/>
      <c r="U92" s="491" t="str">
        <f>IFERROR(VLOOKUP(AC95,اسماء,13,0),"")</f>
        <v>جيد جداً</v>
      </c>
      <c r="V92" s="491"/>
      <c r="W92" s="491">
        <f>IFERROR(VLOOKUP(AC95,اسماء,14,0),"")</f>
        <v>0</v>
      </c>
      <c r="X92" s="491"/>
      <c r="Y92" s="433"/>
      <c r="Z92" s="445"/>
      <c r="AA92" s="562"/>
      <c r="AB92" s="33"/>
      <c r="AC92" s="106" t="str">
        <f>IF(X87=0,"",IF(X87&lt;W87*0.4,Q87,""))</f>
        <v/>
      </c>
      <c r="AD92" s="154" t="str">
        <f>IF(X88=0,"",IF(X88&lt;W88*0.4,Q88,""))</f>
        <v/>
      </c>
      <c r="AE92" s="155"/>
      <c r="AG92" s="373" t="str">
        <f>ادخال1!$M$8</f>
        <v>التربية الفنية</v>
      </c>
      <c r="AH92" s="375">
        <f>ادخال1!$M$7</f>
        <v>1</v>
      </c>
      <c r="AI92" s="491" t="str">
        <f>IFERROR(VLOOKUP(AS95,اسماء,12,0),"")</f>
        <v>جيد جداً</v>
      </c>
      <c r="AJ92" s="491"/>
      <c r="AK92" s="491" t="str">
        <f>IFERROR(VLOOKUP(AS95,اسماء,13,0),"")</f>
        <v>جيد جداً</v>
      </c>
      <c r="AL92" s="491"/>
      <c r="AM92" s="491">
        <f>IFERROR(VLOOKUP(AS95,اسماء,14,0),"")</f>
        <v>0</v>
      </c>
      <c r="AN92" s="491"/>
      <c r="AO92" s="433"/>
      <c r="AP92" s="445"/>
      <c r="AQ92" s="562"/>
      <c r="AR92" s="33"/>
      <c r="AS92" s="106" t="str">
        <f>IF(AN87=0,"",IF(AN87&lt;AM87*0.4,AG87,""))</f>
        <v/>
      </c>
      <c r="AT92" s="154" t="str">
        <f>IF(AN88=0,"",IF(AN88&lt;AM88*0.4,AG88,""))</f>
        <v/>
      </c>
      <c r="AU92" s="155"/>
      <c r="AV92" s="120"/>
      <c r="AW92" s="373" t="str">
        <f>ادخال1!$M$8</f>
        <v>التربية الفنية</v>
      </c>
      <c r="AX92" s="375">
        <f>ادخال1!$M$7</f>
        <v>1</v>
      </c>
      <c r="AY92" s="491" t="str">
        <f>IFERROR(VLOOKUP(BI95,اسماء,12,0),"")</f>
        <v/>
      </c>
      <c r="AZ92" s="491"/>
      <c r="BA92" s="491" t="str">
        <f>IFERROR(VLOOKUP(BI95,اسماء,13,0),"")</f>
        <v/>
      </c>
      <c r="BB92" s="491"/>
      <c r="BC92" s="491" t="str">
        <f>IFERROR(VLOOKUP(BI95,اسماء,14,0),"")</f>
        <v/>
      </c>
      <c r="BD92" s="491"/>
      <c r="BE92" s="433"/>
      <c r="BF92" s="445"/>
      <c r="BG92" s="562"/>
      <c r="BH92" s="33"/>
      <c r="BI92" s="106" t="str">
        <f>IF(BD87=0,"",IF(BD87&lt;BC87*0.4,AW87,""))</f>
        <v/>
      </c>
      <c r="BJ92" s="154" t="str">
        <f>IF(BD88=0,"",IF(BD88&lt;BC88*0.4,AW88,""))</f>
        <v/>
      </c>
      <c r="BK92" s="155"/>
      <c r="BL92" s="25"/>
    </row>
    <row r="93" spans="1:64" ht="24.9" customHeight="1" thickBot="1" x14ac:dyDescent="0.3">
      <c r="A93" s="374" t="str">
        <f>ادخال1!$N$8</f>
        <v>التربية البدنية</v>
      </c>
      <c r="B93" s="376">
        <f>ادخال1!$N$7</f>
        <v>2</v>
      </c>
      <c r="C93" s="435">
        <f>IFERROR(VLOOKUP(M95,اسماء,23,0),"")</f>
        <v>0</v>
      </c>
      <c r="D93" s="435"/>
      <c r="E93" s="435">
        <f>IFERROR(VLOOKUP(M95,اسماء,24,0),"")</f>
        <v>0</v>
      </c>
      <c r="F93" s="435"/>
      <c r="G93" s="435">
        <f>IFERROR(VLOOKUP(M95,اسماء,25,0),"")</f>
        <v>0</v>
      </c>
      <c r="H93" s="435"/>
      <c r="I93" s="499"/>
      <c r="J93" s="500"/>
      <c r="K93" s="501"/>
      <c r="L93" s="33"/>
      <c r="M93" s="280"/>
      <c r="N93" s="281"/>
      <c r="O93" s="281"/>
      <c r="Q93" s="374" t="str">
        <f>ادخال1!$N$8</f>
        <v>التربية البدنية</v>
      </c>
      <c r="R93" s="376">
        <f>ادخال1!$N$7</f>
        <v>2</v>
      </c>
      <c r="S93" s="435">
        <f>IFERROR(VLOOKUP(AC95,اسماء,23,0),"")</f>
        <v>0</v>
      </c>
      <c r="T93" s="435"/>
      <c r="U93" s="435">
        <f>IFERROR(VLOOKUP(AC95,اسماء,24,0),"")</f>
        <v>0</v>
      </c>
      <c r="V93" s="435"/>
      <c r="W93" s="435">
        <f>IFERROR(VLOOKUP(AC95,اسماء,25,0),"")</f>
        <v>0</v>
      </c>
      <c r="X93" s="435"/>
      <c r="Y93" s="499"/>
      <c r="Z93" s="500"/>
      <c r="AA93" s="501"/>
      <c r="AB93" s="33"/>
      <c r="AC93" s="280"/>
      <c r="AD93" s="281"/>
      <c r="AE93" s="281"/>
      <c r="AG93" s="374" t="str">
        <f>ادخال1!$N$8</f>
        <v>التربية البدنية</v>
      </c>
      <c r="AH93" s="376">
        <f>ادخال1!$N$7</f>
        <v>2</v>
      </c>
      <c r="AI93" s="435">
        <f>IFERROR(VLOOKUP(AS95,اسماء,23,0),"")</f>
        <v>0</v>
      </c>
      <c r="AJ93" s="435"/>
      <c r="AK93" s="435">
        <f>IFERROR(VLOOKUP(AS95,اسماء,24,0),"")</f>
        <v>0</v>
      </c>
      <c r="AL93" s="435"/>
      <c r="AM93" s="435">
        <f>IFERROR(VLOOKUP(AS95,اسماء,25,0),"")</f>
        <v>0</v>
      </c>
      <c r="AN93" s="435"/>
      <c r="AO93" s="499"/>
      <c r="AP93" s="500"/>
      <c r="AQ93" s="501"/>
      <c r="AR93" s="33"/>
      <c r="AS93" s="280"/>
      <c r="AT93" s="281"/>
      <c r="AU93" s="281"/>
      <c r="AV93" s="120"/>
      <c r="AW93" s="374" t="str">
        <f>ادخال1!$N$8</f>
        <v>التربية البدنية</v>
      </c>
      <c r="AX93" s="376">
        <f>ادخال1!$N$7</f>
        <v>2</v>
      </c>
      <c r="AY93" s="435" t="str">
        <f>IFERROR(VLOOKUP(BI95,اسماء,23,0),"")</f>
        <v/>
      </c>
      <c r="AZ93" s="435"/>
      <c r="BA93" s="435" t="str">
        <f>IFERROR(VLOOKUP(BI95,اسماء,24,0),"")</f>
        <v/>
      </c>
      <c r="BB93" s="435"/>
      <c r="BC93" s="435" t="str">
        <f>IFERROR(VLOOKUP(BI95,اسماء,25,0),"")</f>
        <v/>
      </c>
      <c r="BD93" s="435"/>
      <c r="BE93" s="499"/>
      <c r="BF93" s="500"/>
      <c r="BG93" s="501"/>
      <c r="BH93" s="33"/>
      <c r="BI93" s="280"/>
      <c r="BJ93" s="281"/>
      <c r="BK93" s="281"/>
      <c r="BL93" s="25"/>
    </row>
    <row r="94" spans="1:64" ht="24.9" customHeight="1" thickBot="1" x14ac:dyDescent="0.3">
      <c r="A94" s="377" t="str">
        <f>ادخال1!$O$8</f>
        <v>مكتبة</v>
      </c>
      <c r="B94" s="378">
        <f>ادخال1!O86</f>
        <v>0</v>
      </c>
      <c r="C94" s="435">
        <f>IFERROR(VLOOKUP(M95,اسماء,34,0),"")</f>
        <v>0</v>
      </c>
      <c r="D94" s="435"/>
      <c r="E94" s="435">
        <f>IFERROR(VLOOKUP(M95,اسماء,35,0),"")</f>
        <v>0</v>
      </c>
      <c r="F94" s="435"/>
      <c r="G94" s="435">
        <f>IFERROR(VLOOKUP(M95,اسماء,36,0),"")</f>
        <v>0</v>
      </c>
      <c r="H94" s="435"/>
      <c r="I94" s="547" t="s">
        <v>33</v>
      </c>
      <c r="J94" s="547"/>
      <c r="K94" s="547"/>
      <c r="L94" s="31"/>
      <c r="M94" s="502" t="s">
        <v>57</v>
      </c>
      <c r="N94" s="503"/>
      <c r="O94" s="504"/>
      <c r="Q94" s="377" t="str">
        <f>ادخال1!$O$8</f>
        <v>مكتبة</v>
      </c>
      <c r="R94" s="378">
        <f>ادخال1!AE86</f>
        <v>0</v>
      </c>
      <c r="S94" s="435">
        <f>IFERROR(VLOOKUP(AC95,اسماء,34,0),"")</f>
        <v>0</v>
      </c>
      <c r="T94" s="435"/>
      <c r="U94" s="435">
        <f>IFERROR(VLOOKUP(AC95,اسماء,35,0),"")</f>
        <v>0</v>
      </c>
      <c r="V94" s="435"/>
      <c r="W94" s="435">
        <f>IFERROR(VLOOKUP(AC95,اسماء,36,0),"")</f>
        <v>0</v>
      </c>
      <c r="X94" s="435"/>
      <c r="Y94" s="547" t="s">
        <v>33</v>
      </c>
      <c r="Z94" s="547"/>
      <c r="AA94" s="547"/>
      <c r="AB94" s="31"/>
      <c r="AC94" s="502" t="s">
        <v>57</v>
      </c>
      <c r="AD94" s="503"/>
      <c r="AE94" s="504"/>
      <c r="AG94" s="377" t="str">
        <f>ادخال1!$O$8</f>
        <v>مكتبة</v>
      </c>
      <c r="AH94" s="378">
        <f>ادخال1!AU86</f>
        <v>8.599999999999999E-6</v>
      </c>
      <c r="AI94" s="435">
        <f>IFERROR(VLOOKUP(AS95,اسماء,34,0),"")</f>
        <v>0</v>
      </c>
      <c r="AJ94" s="435"/>
      <c r="AK94" s="435">
        <f>IFERROR(VLOOKUP(AS95,اسماء,35,0),"")</f>
        <v>0</v>
      </c>
      <c r="AL94" s="435"/>
      <c r="AM94" s="435">
        <f>IFERROR(VLOOKUP(AS95,اسماء,36,0),"")</f>
        <v>0</v>
      </c>
      <c r="AN94" s="435"/>
      <c r="AO94" s="547" t="s">
        <v>33</v>
      </c>
      <c r="AP94" s="547"/>
      <c r="AQ94" s="547"/>
      <c r="AR94" s="31"/>
      <c r="AS94" s="502" t="s">
        <v>57</v>
      </c>
      <c r="AT94" s="503"/>
      <c r="AU94" s="504"/>
      <c r="AV94" s="120"/>
      <c r="AW94" s="377" t="str">
        <f>ادخال1!$O$8</f>
        <v>مكتبة</v>
      </c>
      <c r="AX94" s="378">
        <f>ادخال1!BK86</f>
        <v>0</v>
      </c>
      <c r="AY94" s="435" t="str">
        <f>IFERROR(VLOOKUP(BI95,اسماء,34,0),"")</f>
        <v/>
      </c>
      <c r="AZ94" s="435"/>
      <c r="BA94" s="435" t="str">
        <f>IFERROR(VLOOKUP(BI95,اسماء,35,0),"")</f>
        <v/>
      </c>
      <c r="BB94" s="435"/>
      <c r="BC94" s="435" t="str">
        <f>IFERROR(VLOOKUP(BI95,اسماء,36,0),"")</f>
        <v/>
      </c>
      <c r="BD94" s="435"/>
      <c r="BE94" s="547" t="s">
        <v>33</v>
      </c>
      <c r="BF94" s="547"/>
      <c r="BG94" s="547"/>
      <c r="BH94" s="31"/>
      <c r="BI94" s="502" t="s">
        <v>57</v>
      </c>
      <c r="BJ94" s="503"/>
      <c r="BK94" s="504"/>
      <c r="BL94" s="25"/>
    </row>
    <row r="95" spans="1:64" ht="24.9" customHeight="1" x14ac:dyDescent="0.25">
      <c r="A95" s="491" t="s">
        <v>58</v>
      </c>
      <c r="B95" s="491"/>
      <c r="C95" s="491">
        <f>IFERROR(VLOOKUP(M95,اسماء,37,0),"")</f>
        <v>0</v>
      </c>
      <c r="D95" s="491"/>
      <c r="E95" s="491">
        <f>IFERROR(VLOOKUP(M95,اسماء,38,0),"")</f>
        <v>0</v>
      </c>
      <c r="F95" s="491"/>
      <c r="G95" s="491">
        <f>IFERROR(VLOOKUP(M95,اسماء,39,0),"")</f>
        <v>0</v>
      </c>
      <c r="H95" s="491"/>
      <c r="I95" s="492">
        <f>IFERROR(VLOOKUP(M95,اسماء,42,0),"")</f>
        <v>0</v>
      </c>
      <c r="J95" s="493"/>
      <c r="K95" s="494"/>
      <c r="L95" s="33"/>
      <c r="M95" s="548" t="str">
        <f>INDEX(عمود2,MATCH(O80,عمود1))</f>
        <v>الحارث مبروك محمد الزوي</v>
      </c>
      <c r="N95" s="549"/>
      <c r="O95" s="550"/>
      <c r="Q95" s="491" t="s">
        <v>58</v>
      </c>
      <c r="R95" s="491"/>
      <c r="S95" s="491">
        <f>IFERROR(VLOOKUP(AC95,اسماء,37,0),"")</f>
        <v>0</v>
      </c>
      <c r="T95" s="491"/>
      <c r="U95" s="491">
        <f>IFERROR(VLOOKUP(AC95,اسماء,38,0),"")</f>
        <v>0</v>
      </c>
      <c r="V95" s="491"/>
      <c r="W95" s="491">
        <f>IFERROR(VLOOKUP(AC95,اسماء,39,0),"")</f>
        <v>0</v>
      </c>
      <c r="X95" s="491"/>
      <c r="Y95" s="492">
        <f>IFERROR(VLOOKUP(AC95,اسماء,42,0),"")</f>
        <v>0</v>
      </c>
      <c r="Z95" s="493"/>
      <c r="AA95" s="494"/>
      <c r="AB95" s="33"/>
      <c r="AC95" s="548" t="str">
        <f>INDEX(عمود2,MATCH(AE80,عمود1))</f>
        <v>على عبد السلام شعبان بي</v>
      </c>
      <c r="AD95" s="549"/>
      <c r="AE95" s="550"/>
      <c r="AG95" s="491" t="s">
        <v>58</v>
      </c>
      <c r="AH95" s="491"/>
      <c r="AI95" s="491">
        <f>IFERROR(VLOOKUP(AS95,اسماء,37,0),"")</f>
        <v>0</v>
      </c>
      <c r="AJ95" s="491"/>
      <c r="AK95" s="491">
        <f>IFERROR(VLOOKUP(AS95,اسماء,38,0),"")</f>
        <v>0</v>
      </c>
      <c r="AL95" s="491"/>
      <c r="AM95" s="491">
        <f>IFERROR(VLOOKUP(AS95,اسماء,39,0),"")</f>
        <v>0</v>
      </c>
      <c r="AN95" s="491"/>
      <c r="AO95" s="492">
        <f>IFERROR(VLOOKUP(AS95,اسماء,42,0),"")</f>
        <v>0</v>
      </c>
      <c r="AP95" s="493"/>
      <c r="AQ95" s="494"/>
      <c r="AR95" s="33"/>
      <c r="AS95" s="548" t="str">
        <f>INDEX(عمود2,MATCH(AU80,عمود1))</f>
        <v>يزن عبد السلام على الأطوش</v>
      </c>
      <c r="AT95" s="549"/>
      <c r="AU95" s="550"/>
      <c r="AV95" s="120"/>
      <c r="AW95" s="491" t="s">
        <v>58</v>
      </c>
      <c r="AX95" s="491"/>
      <c r="AY95" s="491" t="str">
        <f>IFERROR(VLOOKUP(BI95,اسماء,37,0),"")</f>
        <v/>
      </c>
      <c r="AZ95" s="491"/>
      <c r="BA95" s="491" t="str">
        <f>IFERROR(VLOOKUP(BI95,اسماء,38,0),"")</f>
        <v/>
      </c>
      <c r="BB95" s="491"/>
      <c r="BC95" s="491" t="str">
        <f>IFERROR(VLOOKUP(BI95,اسماء,39,0),"")</f>
        <v/>
      </c>
      <c r="BD95" s="491"/>
      <c r="BE95" s="492" t="str">
        <f>IFERROR(VLOOKUP(BI95,اسماء,42,0),"")</f>
        <v/>
      </c>
      <c r="BF95" s="493"/>
      <c r="BG95" s="494"/>
      <c r="BH95" s="33"/>
      <c r="BI95" s="548">
        <f>INDEX(عمود2,MATCH(BK80,عمود1))</f>
        <v>0</v>
      </c>
      <c r="BJ95" s="549"/>
      <c r="BK95" s="550"/>
      <c r="BL95" s="25"/>
    </row>
    <row r="96" spans="1:64" ht="24.9" customHeight="1" x14ac:dyDescent="0.25">
      <c r="A96" s="435" t="s">
        <v>59</v>
      </c>
      <c r="B96" s="435"/>
      <c r="C96" s="435">
        <f>IFERROR(VLOOKUP(M95,اسماء,40,0),"")</f>
        <v>0</v>
      </c>
      <c r="D96" s="435"/>
      <c r="E96" s="435">
        <f>IFERROR(VLOOKUP(M95,اسماء,42,0),"")</f>
        <v>0</v>
      </c>
      <c r="F96" s="435"/>
      <c r="G96" s="435">
        <f>IFERROR(VLOOKUP(M95,اسماء,44,0),"")</f>
        <v>0</v>
      </c>
      <c r="H96" s="435"/>
      <c r="I96" s="437"/>
      <c r="J96" s="435"/>
      <c r="K96" s="514"/>
      <c r="L96" s="33"/>
      <c r="M96" s="551" t="str">
        <f>IF(I95="غائب","يبقى سنة اخرى في الصف",IF(K90&gt;0,"ناجحاً ومنقولاً الى الصف ","يرحل الى الصف"))</f>
        <v>يرحل الى الصف</v>
      </c>
      <c r="N96" s="552"/>
      <c r="O96" s="553"/>
      <c r="Q96" s="435" t="s">
        <v>59</v>
      </c>
      <c r="R96" s="435"/>
      <c r="S96" s="435">
        <f>IFERROR(VLOOKUP(AC95,اسماء,40,0),"")</f>
        <v>0</v>
      </c>
      <c r="T96" s="435"/>
      <c r="U96" s="435">
        <f>IFERROR(VLOOKUP(AC95,اسماء,42,0),"")</f>
        <v>0</v>
      </c>
      <c r="V96" s="435"/>
      <c r="W96" s="435">
        <f>IFERROR(VLOOKUP(AC95,اسماء,44,0),"")</f>
        <v>0</v>
      </c>
      <c r="X96" s="435"/>
      <c r="Y96" s="437"/>
      <c r="Z96" s="435"/>
      <c r="AA96" s="514"/>
      <c r="AB96" s="33"/>
      <c r="AC96" s="551" t="str">
        <f>IF(Y95="غائب","يبقى سنة اخرى في الصف",IF(AA90&gt;0,"ناجحاً ومنقولاً الى الصف ","يرحل الى الصف"))</f>
        <v>يرحل الى الصف</v>
      </c>
      <c r="AD96" s="552"/>
      <c r="AE96" s="553"/>
      <c r="AG96" s="435" t="s">
        <v>59</v>
      </c>
      <c r="AH96" s="435"/>
      <c r="AI96" s="435">
        <f>IFERROR(VLOOKUP(AS95,اسماء,40,0),"")</f>
        <v>0</v>
      </c>
      <c r="AJ96" s="435"/>
      <c r="AK96" s="435">
        <f>IFERROR(VLOOKUP(AS95,اسماء,42,0),"")</f>
        <v>0</v>
      </c>
      <c r="AL96" s="435"/>
      <c r="AM96" s="435">
        <f>IFERROR(VLOOKUP(AS95,اسماء,44,0),"")</f>
        <v>0</v>
      </c>
      <c r="AN96" s="435"/>
      <c r="AO96" s="437"/>
      <c r="AP96" s="435"/>
      <c r="AQ96" s="514"/>
      <c r="AR96" s="33"/>
      <c r="AS96" s="551" t="str">
        <f>IF(AO95="غائب","يبقى سنة اخرى في الصف",IF(AQ90&gt;0,"ناجحاً ومنقولاً الى الصف ","يرحل الى الصف"))</f>
        <v>يرحل الى الصف</v>
      </c>
      <c r="AT96" s="552"/>
      <c r="AU96" s="553"/>
      <c r="AV96" s="120"/>
      <c r="AW96" s="435" t="s">
        <v>59</v>
      </c>
      <c r="AX96" s="435"/>
      <c r="AY96" s="435" t="str">
        <f>IFERROR(VLOOKUP(BI95,اسماء,40,0),"")</f>
        <v/>
      </c>
      <c r="AZ96" s="435"/>
      <c r="BA96" s="435" t="str">
        <f>IFERROR(VLOOKUP(BI95,اسماء,42,0),"")</f>
        <v/>
      </c>
      <c r="BB96" s="435"/>
      <c r="BC96" s="435" t="str">
        <f>IFERROR(VLOOKUP(BI95,اسماء,44,0),"")</f>
        <v/>
      </c>
      <c r="BD96" s="435"/>
      <c r="BE96" s="437"/>
      <c r="BF96" s="435"/>
      <c r="BG96" s="514"/>
      <c r="BH96" s="33"/>
      <c r="BI96" s="551" t="str">
        <f>IF(BE95="غائب","يبقى سنة اخرى في الصف",IF(BG90&gt;0,"ناجحاً ومنقولاً الى الصف ","يرحل الى الصف"))</f>
        <v>يرحل الى الصف</v>
      </c>
      <c r="BJ96" s="552"/>
      <c r="BK96" s="553"/>
      <c r="BL96" s="25"/>
    </row>
    <row r="97" spans="1:64" ht="24.9" customHeight="1" thickBot="1" x14ac:dyDescent="0.3">
      <c r="A97" s="498" t="s">
        <v>60</v>
      </c>
      <c r="B97" s="498"/>
      <c r="C97" s="435">
        <f>IFERROR(VLOOKUP(M95,اسماء,41,0),"")</f>
        <v>0</v>
      </c>
      <c r="D97" s="435"/>
      <c r="E97" s="435">
        <f>IFERROR(VLOOKUP(M95,اسماء,43,0),"")</f>
        <v>0</v>
      </c>
      <c r="F97" s="435"/>
      <c r="G97" s="435">
        <f>IFERROR(VLOOKUP(M95,اسماء,45,0),"")</f>
        <v>0</v>
      </c>
      <c r="H97" s="435"/>
      <c r="I97" s="441"/>
      <c r="J97" s="456"/>
      <c r="K97" s="495"/>
      <c r="L97" s="33"/>
      <c r="M97" s="505" t="str">
        <f>IF(I95="غائب",D80,IF(D80="الأول","الثاني",IF(D80="الثاني","الثالث",IF(D80="الثالث","الرابع",IF(D80="الرابع","الخامس",IF(D80="الخامس","السادس"))))))</f>
        <v>الرابع</v>
      </c>
      <c r="N97" s="505"/>
      <c r="O97" s="505"/>
      <c r="Q97" s="498" t="s">
        <v>60</v>
      </c>
      <c r="R97" s="498"/>
      <c r="S97" s="435">
        <f>IFERROR(VLOOKUP(AC95,اسماء,41,0),"")</f>
        <v>0</v>
      </c>
      <c r="T97" s="435"/>
      <c r="U97" s="435">
        <f>IFERROR(VLOOKUP(AC95,اسماء,43,0),"")</f>
        <v>0</v>
      </c>
      <c r="V97" s="435"/>
      <c r="W97" s="435">
        <f>IFERROR(VLOOKUP(AC95,اسماء,45,0),"")</f>
        <v>0</v>
      </c>
      <c r="X97" s="435"/>
      <c r="Y97" s="441"/>
      <c r="Z97" s="456"/>
      <c r="AA97" s="495"/>
      <c r="AB97" s="33"/>
      <c r="AC97" s="505" t="str">
        <f>IF(Y95="غائب",T80,IF(T80="الأول","الثاني",IF(T80="الثاني","الثالث",IF(T80="الثالث","الرابع",IF(T80="الرابع","الخامس",IF(T80="الخامس","السادس"))))))</f>
        <v>الرابع</v>
      </c>
      <c r="AD97" s="505"/>
      <c r="AE97" s="505"/>
      <c r="AG97" s="498" t="s">
        <v>60</v>
      </c>
      <c r="AH97" s="498"/>
      <c r="AI97" s="435">
        <f>IFERROR(VLOOKUP(AS95,اسماء,41,0),"")</f>
        <v>0</v>
      </c>
      <c r="AJ97" s="435"/>
      <c r="AK97" s="435">
        <f>IFERROR(VLOOKUP(AS95,اسماء,43,0),"")</f>
        <v>0</v>
      </c>
      <c r="AL97" s="435"/>
      <c r="AM97" s="435">
        <f>IFERROR(VLOOKUP(AS95,اسماء,45,0),"")</f>
        <v>0</v>
      </c>
      <c r="AN97" s="435"/>
      <c r="AO97" s="441"/>
      <c r="AP97" s="456"/>
      <c r="AQ97" s="495"/>
      <c r="AR97" s="33"/>
      <c r="AS97" s="505" t="str">
        <f>IF(AO95="غائب",AJ80,IF(AJ80="الأول","الثاني",IF(AJ80="الثاني","الثالث",IF(AJ80="الثالث","الرابع",IF(AJ80="الرابع","الخامس",IF(AJ80="الخامس","السادس"))))))</f>
        <v>الرابع</v>
      </c>
      <c r="AT97" s="505"/>
      <c r="AU97" s="505"/>
      <c r="AV97" s="120"/>
      <c r="AW97" s="498" t="s">
        <v>60</v>
      </c>
      <c r="AX97" s="498"/>
      <c r="AY97" s="435" t="str">
        <f>IFERROR(VLOOKUP(BI95,اسماء,41,0),"")</f>
        <v/>
      </c>
      <c r="AZ97" s="435"/>
      <c r="BA97" s="435" t="str">
        <f>IFERROR(VLOOKUP(BI95,اسماء,43,0),"")</f>
        <v/>
      </c>
      <c r="BB97" s="435"/>
      <c r="BC97" s="435" t="str">
        <f>IFERROR(VLOOKUP(BI95,اسماء,45,0),"")</f>
        <v/>
      </c>
      <c r="BD97" s="435"/>
      <c r="BE97" s="441"/>
      <c r="BF97" s="456"/>
      <c r="BG97" s="495"/>
      <c r="BH97" s="33"/>
      <c r="BI97" s="505" t="str">
        <f>IF(BE95="غائب",AZ80,IF(AZ80="الأول","الثاني",IF(AZ80="الثاني","الثالث",IF(AZ80="الثالث","الرابع",IF(AZ80="الرابع","الخامس",IF(AZ80="الخامس","السادس"))))))</f>
        <v>الرابع</v>
      </c>
      <c r="BJ97" s="505"/>
      <c r="BK97" s="505"/>
      <c r="BL97" s="25"/>
    </row>
    <row r="98" spans="1:64" ht="12.6" customHeight="1" thickBot="1" x14ac:dyDescent="0.3">
      <c r="A98" s="135"/>
      <c r="B98" s="149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107"/>
      <c r="N98" s="107"/>
      <c r="O98" s="107"/>
      <c r="Q98" s="135"/>
      <c r="R98" s="149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107"/>
      <c r="AD98" s="107"/>
      <c r="AE98" s="107"/>
      <c r="AG98" s="135"/>
      <c r="AH98" s="149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107"/>
      <c r="AT98" s="107"/>
      <c r="AU98" s="107"/>
      <c r="AV98" s="120"/>
      <c r="AW98" s="135"/>
      <c r="AX98" s="149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107"/>
      <c r="BJ98" s="107"/>
      <c r="BK98" s="107"/>
      <c r="BL98" s="25"/>
    </row>
    <row r="99" spans="1:64" ht="24.9" customHeight="1" thickBot="1" x14ac:dyDescent="0.3">
      <c r="A99" s="136" t="s">
        <v>14</v>
      </c>
      <c r="B99" s="506" t="s">
        <v>64</v>
      </c>
      <c r="C99" s="506"/>
      <c r="D99" s="506" t="s">
        <v>66</v>
      </c>
      <c r="E99" s="506"/>
      <c r="F99" s="507"/>
      <c r="G99" s="508" t="s">
        <v>86</v>
      </c>
      <c r="H99" s="509"/>
      <c r="I99" s="571" t="s">
        <v>63</v>
      </c>
      <c r="J99" s="571"/>
      <c r="K99" s="571"/>
      <c r="L99" s="571"/>
      <c r="M99" s="571"/>
      <c r="N99" s="571"/>
      <c r="O99" s="571"/>
      <c r="Q99" s="136" t="s">
        <v>14</v>
      </c>
      <c r="R99" s="506" t="s">
        <v>64</v>
      </c>
      <c r="S99" s="506"/>
      <c r="T99" s="506" t="s">
        <v>66</v>
      </c>
      <c r="U99" s="506"/>
      <c r="V99" s="507"/>
      <c r="W99" s="508" t="s">
        <v>86</v>
      </c>
      <c r="X99" s="509"/>
      <c r="Y99" s="571" t="s">
        <v>63</v>
      </c>
      <c r="Z99" s="571"/>
      <c r="AA99" s="571"/>
      <c r="AB99" s="571"/>
      <c r="AC99" s="571"/>
      <c r="AD99" s="571"/>
      <c r="AE99" s="571"/>
      <c r="AG99" s="136" t="s">
        <v>14</v>
      </c>
      <c r="AH99" s="506" t="s">
        <v>64</v>
      </c>
      <c r="AI99" s="506"/>
      <c r="AJ99" s="506" t="s">
        <v>66</v>
      </c>
      <c r="AK99" s="506"/>
      <c r="AL99" s="507"/>
      <c r="AM99" s="508" t="s">
        <v>86</v>
      </c>
      <c r="AN99" s="509"/>
      <c r="AO99" s="571" t="s">
        <v>63</v>
      </c>
      <c r="AP99" s="571"/>
      <c r="AQ99" s="571"/>
      <c r="AR99" s="571"/>
      <c r="AS99" s="571"/>
      <c r="AT99" s="571"/>
      <c r="AU99" s="571"/>
      <c r="AV99" s="120"/>
      <c r="AW99" s="136" t="s">
        <v>14</v>
      </c>
      <c r="AX99" s="506" t="s">
        <v>64</v>
      </c>
      <c r="AY99" s="506"/>
      <c r="AZ99" s="506" t="s">
        <v>66</v>
      </c>
      <c r="BA99" s="506"/>
      <c r="BB99" s="507"/>
      <c r="BC99" s="508" t="s">
        <v>86</v>
      </c>
      <c r="BD99" s="509"/>
      <c r="BE99" s="571" t="s">
        <v>63</v>
      </c>
      <c r="BF99" s="571"/>
      <c r="BG99" s="571"/>
      <c r="BH99" s="571"/>
      <c r="BI99" s="571"/>
      <c r="BJ99" s="571"/>
      <c r="BK99" s="571"/>
      <c r="BL99" s="25"/>
    </row>
    <row r="100" spans="1:64" ht="24.9" customHeight="1" x14ac:dyDescent="0.25">
      <c r="A100" s="134" t="s">
        <v>87</v>
      </c>
      <c r="B100" s="445"/>
      <c r="C100" s="445"/>
      <c r="D100" s="445"/>
      <c r="E100" s="445"/>
      <c r="F100" s="445"/>
      <c r="G100" s="445"/>
      <c r="H100" s="562"/>
      <c r="I100" s="510" t="s">
        <v>65</v>
      </c>
      <c r="J100" s="510"/>
      <c r="K100" s="511" t="str">
        <f>ادخال1!$BJ$5</f>
        <v>د. عبدالرحمن خليفة العريبي</v>
      </c>
      <c r="L100" s="511"/>
      <c r="M100" s="511"/>
      <c r="N100" s="511"/>
      <c r="O100" s="511"/>
      <c r="Q100" s="134" t="s">
        <v>87</v>
      </c>
      <c r="R100" s="445"/>
      <c r="S100" s="445"/>
      <c r="T100" s="445"/>
      <c r="U100" s="445"/>
      <c r="V100" s="445"/>
      <c r="W100" s="445"/>
      <c r="X100" s="562"/>
      <c r="Y100" s="510" t="s">
        <v>65</v>
      </c>
      <c r="Z100" s="510"/>
      <c r="AA100" s="511" t="str">
        <f>ادخال1!$BJ$5</f>
        <v>د. عبدالرحمن خليفة العريبي</v>
      </c>
      <c r="AB100" s="511"/>
      <c r="AC100" s="511"/>
      <c r="AD100" s="511"/>
      <c r="AE100" s="511"/>
      <c r="AG100" s="134" t="s">
        <v>87</v>
      </c>
      <c r="AH100" s="445"/>
      <c r="AI100" s="445"/>
      <c r="AJ100" s="445"/>
      <c r="AK100" s="445"/>
      <c r="AL100" s="445"/>
      <c r="AM100" s="445"/>
      <c r="AN100" s="562"/>
      <c r="AO100" s="510" t="s">
        <v>65</v>
      </c>
      <c r="AP100" s="510"/>
      <c r="AQ100" s="511" t="str">
        <f>ادخال1!$BJ$5</f>
        <v>د. عبدالرحمن خليفة العريبي</v>
      </c>
      <c r="AR100" s="511"/>
      <c r="AS100" s="511"/>
      <c r="AT100" s="511"/>
      <c r="AU100" s="511"/>
      <c r="AV100" s="131"/>
      <c r="AW100" s="134" t="s">
        <v>87</v>
      </c>
      <c r="AX100" s="445"/>
      <c r="AY100" s="445"/>
      <c r="AZ100" s="445"/>
      <c r="BA100" s="445"/>
      <c r="BB100" s="445"/>
      <c r="BC100" s="445"/>
      <c r="BD100" s="562"/>
      <c r="BE100" s="510" t="s">
        <v>65</v>
      </c>
      <c r="BF100" s="510"/>
      <c r="BG100" s="511" t="str">
        <f>ادخال1!$BJ$5</f>
        <v>د. عبدالرحمن خليفة العريبي</v>
      </c>
      <c r="BH100" s="511"/>
      <c r="BI100" s="511"/>
      <c r="BJ100" s="511"/>
      <c r="BK100" s="511"/>
    </row>
    <row r="101" spans="1:64" ht="24.9" customHeight="1" x14ac:dyDescent="0.25">
      <c r="A101" s="57" t="s">
        <v>15</v>
      </c>
      <c r="B101" s="435"/>
      <c r="C101" s="435"/>
      <c r="D101" s="435"/>
      <c r="E101" s="435"/>
      <c r="F101" s="435"/>
      <c r="G101" s="435"/>
      <c r="H101" s="514"/>
      <c r="I101" s="563" t="s">
        <v>67</v>
      </c>
      <c r="J101" s="563"/>
      <c r="K101" s="563"/>
      <c r="L101" s="64"/>
      <c r="M101" s="564">
        <f ca="1">TODAY()</f>
        <v>46009</v>
      </c>
      <c r="N101" s="564"/>
      <c r="O101" s="564"/>
      <c r="Q101" s="57" t="s">
        <v>15</v>
      </c>
      <c r="R101" s="435"/>
      <c r="S101" s="435"/>
      <c r="T101" s="435"/>
      <c r="U101" s="435"/>
      <c r="V101" s="435"/>
      <c r="W101" s="435"/>
      <c r="X101" s="514"/>
      <c r="Y101" s="563" t="s">
        <v>67</v>
      </c>
      <c r="Z101" s="563"/>
      <c r="AA101" s="563"/>
      <c r="AB101" s="64"/>
      <c r="AC101" s="564">
        <f ca="1">TODAY()</f>
        <v>46009</v>
      </c>
      <c r="AD101" s="564"/>
      <c r="AE101" s="564"/>
      <c r="AG101" s="57" t="s">
        <v>15</v>
      </c>
      <c r="AH101" s="435"/>
      <c r="AI101" s="435"/>
      <c r="AJ101" s="435"/>
      <c r="AK101" s="435"/>
      <c r="AL101" s="435"/>
      <c r="AM101" s="435"/>
      <c r="AN101" s="514"/>
      <c r="AO101" s="563" t="s">
        <v>67</v>
      </c>
      <c r="AP101" s="563"/>
      <c r="AQ101" s="563"/>
      <c r="AR101" s="64"/>
      <c r="AS101" s="564">
        <f ca="1">TODAY()</f>
        <v>46009</v>
      </c>
      <c r="AT101" s="564"/>
      <c r="AU101" s="564"/>
      <c r="AW101" s="57" t="s">
        <v>15</v>
      </c>
      <c r="AX101" s="435"/>
      <c r="AY101" s="435"/>
      <c r="AZ101" s="435"/>
      <c r="BA101" s="435"/>
      <c r="BB101" s="435"/>
      <c r="BC101" s="435"/>
      <c r="BD101" s="514"/>
      <c r="BE101" s="563" t="s">
        <v>67</v>
      </c>
      <c r="BF101" s="563"/>
      <c r="BG101" s="563"/>
      <c r="BH101" s="64"/>
      <c r="BI101" s="564">
        <f ca="1">TODAY()</f>
        <v>46009</v>
      </c>
      <c r="BJ101" s="564"/>
      <c r="BK101" s="564"/>
    </row>
    <row r="102" spans="1:64" ht="24.9" customHeight="1" thickBot="1" x14ac:dyDescent="0.3">
      <c r="A102" s="137" t="s">
        <v>88</v>
      </c>
      <c r="B102" s="456"/>
      <c r="C102" s="456"/>
      <c r="D102" s="456"/>
      <c r="E102" s="456"/>
      <c r="F102" s="456"/>
      <c r="G102" s="456"/>
      <c r="H102" s="495"/>
      <c r="I102" s="496" t="s">
        <v>69</v>
      </c>
      <c r="J102" s="496"/>
      <c r="K102" s="496"/>
      <c r="L102" s="496"/>
      <c r="M102" s="496"/>
      <c r="N102" s="496"/>
      <c r="O102" s="497"/>
      <c r="Q102" s="137" t="s">
        <v>88</v>
      </c>
      <c r="R102" s="456"/>
      <c r="S102" s="456"/>
      <c r="T102" s="456"/>
      <c r="U102" s="456"/>
      <c r="V102" s="456"/>
      <c r="W102" s="456"/>
      <c r="X102" s="495"/>
      <c r="Y102" s="496" t="s">
        <v>69</v>
      </c>
      <c r="Z102" s="496"/>
      <c r="AA102" s="496"/>
      <c r="AB102" s="496"/>
      <c r="AC102" s="496"/>
      <c r="AD102" s="496"/>
      <c r="AE102" s="497"/>
      <c r="AG102" s="137" t="s">
        <v>88</v>
      </c>
      <c r="AH102" s="456"/>
      <c r="AI102" s="456"/>
      <c r="AJ102" s="456"/>
      <c r="AK102" s="456"/>
      <c r="AL102" s="456"/>
      <c r="AM102" s="456"/>
      <c r="AN102" s="495"/>
      <c r="AO102" s="496" t="s">
        <v>69</v>
      </c>
      <c r="AP102" s="496"/>
      <c r="AQ102" s="496"/>
      <c r="AR102" s="496"/>
      <c r="AS102" s="496"/>
      <c r="AT102" s="496"/>
      <c r="AU102" s="497"/>
      <c r="AW102" s="137" t="s">
        <v>88</v>
      </c>
      <c r="AX102" s="456"/>
      <c r="AY102" s="456"/>
      <c r="AZ102" s="456"/>
      <c r="BA102" s="456"/>
      <c r="BB102" s="456"/>
      <c r="BC102" s="456"/>
      <c r="BD102" s="495"/>
      <c r="BE102" s="496" t="s">
        <v>69</v>
      </c>
      <c r="BF102" s="496"/>
      <c r="BG102" s="496"/>
      <c r="BH102" s="496"/>
      <c r="BI102" s="496"/>
      <c r="BJ102" s="496"/>
      <c r="BK102" s="497"/>
    </row>
    <row r="103" spans="1:64" ht="15.6" thickBot="1" x14ac:dyDescent="0.3">
      <c r="A103" s="138"/>
      <c r="I103" s="34"/>
      <c r="J103" s="34"/>
      <c r="K103" s="34"/>
      <c r="L103" s="34"/>
      <c r="M103" s="108"/>
      <c r="N103" s="156"/>
      <c r="O103" s="157"/>
      <c r="Q103" s="138"/>
      <c r="Y103" s="34"/>
      <c r="Z103" s="34"/>
      <c r="AA103" s="34"/>
      <c r="AB103" s="34"/>
      <c r="AC103" s="108"/>
      <c r="AD103" s="108"/>
      <c r="AE103" s="109"/>
      <c r="AG103" s="138"/>
      <c r="AO103" s="34"/>
      <c r="AP103" s="34"/>
      <c r="AQ103" s="34"/>
      <c r="AR103" s="34"/>
      <c r="AS103" s="108"/>
      <c r="AT103" s="108"/>
      <c r="AU103" s="109"/>
      <c r="AW103" s="138"/>
      <c r="BE103" s="34"/>
      <c r="BF103" s="34"/>
      <c r="BG103" s="34"/>
      <c r="BH103" s="34"/>
      <c r="BI103" s="108"/>
      <c r="BJ103" s="108"/>
      <c r="BK103" s="109"/>
    </row>
    <row r="104" spans="1:64" thickTop="1" x14ac:dyDescent="0.25">
      <c r="A104" s="545" t="s">
        <v>83</v>
      </c>
      <c r="B104" s="546"/>
      <c r="C104" s="546"/>
      <c r="D104" s="546"/>
      <c r="E104" s="35"/>
      <c r="F104" s="35"/>
      <c r="G104" s="36"/>
      <c r="H104" s="6"/>
      <c r="I104" s="516" t="s">
        <v>70</v>
      </c>
      <c r="J104" s="517"/>
      <c r="K104" s="517"/>
      <c r="L104" s="517"/>
      <c r="M104" s="517"/>
      <c r="N104" s="517"/>
      <c r="O104" s="518"/>
      <c r="Q104" s="545" t="s">
        <v>83</v>
      </c>
      <c r="R104" s="546"/>
      <c r="S104" s="546"/>
      <c r="T104" s="546"/>
      <c r="U104" s="35"/>
      <c r="V104" s="35"/>
      <c r="W104" s="36"/>
      <c r="X104" s="6"/>
      <c r="Y104" s="516" t="s">
        <v>70</v>
      </c>
      <c r="Z104" s="517"/>
      <c r="AA104" s="517"/>
      <c r="AB104" s="517"/>
      <c r="AC104" s="517"/>
      <c r="AD104" s="517"/>
      <c r="AE104" s="518"/>
      <c r="AG104" s="545" t="s">
        <v>83</v>
      </c>
      <c r="AH104" s="546"/>
      <c r="AI104" s="546"/>
      <c r="AJ104" s="546"/>
      <c r="AK104" s="35"/>
      <c r="AL104" s="35"/>
      <c r="AM104" s="36"/>
      <c r="AN104" s="6"/>
      <c r="AO104" s="516" t="s">
        <v>70</v>
      </c>
      <c r="AP104" s="517"/>
      <c r="AQ104" s="517"/>
      <c r="AR104" s="517"/>
      <c r="AS104" s="517"/>
      <c r="AT104" s="517"/>
      <c r="AU104" s="518"/>
      <c r="AW104" s="545" t="s">
        <v>83</v>
      </c>
      <c r="AX104" s="546"/>
      <c r="AY104" s="546"/>
      <c r="AZ104" s="546"/>
      <c r="BA104" s="35"/>
      <c r="BB104" s="35"/>
      <c r="BC104" s="36"/>
      <c r="BD104" s="6"/>
      <c r="BE104" s="516" t="s">
        <v>70</v>
      </c>
      <c r="BF104" s="517"/>
      <c r="BG104" s="517"/>
      <c r="BH104" s="517"/>
      <c r="BI104" s="517"/>
      <c r="BJ104" s="517"/>
      <c r="BK104" s="518"/>
    </row>
    <row r="105" spans="1:64" ht="14.25" customHeight="1" x14ac:dyDescent="0.25">
      <c r="A105" s="536" t="s">
        <v>71</v>
      </c>
      <c r="B105" s="537"/>
      <c r="C105" s="537"/>
      <c r="D105" s="537"/>
      <c r="E105" s="537"/>
      <c r="F105" s="537"/>
      <c r="G105" s="538"/>
      <c r="H105" s="6"/>
      <c r="I105" s="539" t="s">
        <v>84</v>
      </c>
      <c r="J105" s="540"/>
      <c r="K105" s="540"/>
      <c r="L105" s="540"/>
      <c r="M105" s="540"/>
      <c r="N105" s="540"/>
      <c r="O105" s="541"/>
      <c r="Q105" s="536" t="s">
        <v>71</v>
      </c>
      <c r="R105" s="537"/>
      <c r="S105" s="537"/>
      <c r="T105" s="537"/>
      <c r="U105" s="537"/>
      <c r="V105" s="537"/>
      <c r="W105" s="538"/>
      <c r="X105" s="6"/>
      <c r="Y105" s="539" t="s">
        <v>84</v>
      </c>
      <c r="Z105" s="540"/>
      <c r="AA105" s="540"/>
      <c r="AB105" s="540"/>
      <c r="AC105" s="540"/>
      <c r="AD105" s="540"/>
      <c r="AE105" s="541"/>
      <c r="AG105" s="536" t="s">
        <v>71</v>
      </c>
      <c r="AH105" s="537"/>
      <c r="AI105" s="537"/>
      <c r="AJ105" s="537"/>
      <c r="AK105" s="537"/>
      <c r="AL105" s="537"/>
      <c r="AM105" s="538"/>
      <c r="AN105" s="6"/>
      <c r="AO105" s="539" t="s">
        <v>84</v>
      </c>
      <c r="AP105" s="540"/>
      <c r="AQ105" s="540"/>
      <c r="AR105" s="540"/>
      <c r="AS105" s="540"/>
      <c r="AT105" s="540"/>
      <c r="AU105" s="541"/>
      <c r="AW105" s="536" t="s">
        <v>71</v>
      </c>
      <c r="AX105" s="537"/>
      <c r="AY105" s="537"/>
      <c r="AZ105" s="537"/>
      <c r="BA105" s="537"/>
      <c r="BB105" s="537"/>
      <c r="BC105" s="538"/>
      <c r="BD105" s="6"/>
      <c r="BE105" s="539" t="s">
        <v>84</v>
      </c>
      <c r="BF105" s="540"/>
      <c r="BG105" s="540"/>
      <c r="BH105" s="540"/>
      <c r="BI105" s="540"/>
      <c r="BJ105" s="540"/>
      <c r="BK105" s="541"/>
    </row>
    <row r="106" spans="1:64" ht="13.8" x14ac:dyDescent="0.25">
      <c r="A106" s="536"/>
      <c r="B106" s="537"/>
      <c r="C106" s="537"/>
      <c r="D106" s="537"/>
      <c r="E106" s="537"/>
      <c r="F106" s="537"/>
      <c r="G106" s="538"/>
      <c r="H106" s="6"/>
      <c r="I106" s="539"/>
      <c r="J106" s="540"/>
      <c r="K106" s="540"/>
      <c r="L106" s="540"/>
      <c r="M106" s="540"/>
      <c r="N106" s="540"/>
      <c r="O106" s="541"/>
      <c r="Q106" s="536"/>
      <c r="R106" s="537"/>
      <c r="S106" s="537"/>
      <c r="T106" s="537"/>
      <c r="U106" s="537"/>
      <c r="V106" s="537"/>
      <c r="W106" s="538"/>
      <c r="X106" s="6"/>
      <c r="Y106" s="539"/>
      <c r="Z106" s="540"/>
      <c r="AA106" s="540"/>
      <c r="AB106" s="540"/>
      <c r="AC106" s="540"/>
      <c r="AD106" s="540"/>
      <c r="AE106" s="541"/>
      <c r="AG106" s="536"/>
      <c r="AH106" s="537"/>
      <c r="AI106" s="537"/>
      <c r="AJ106" s="537"/>
      <c r="AK106" s="537"/>
      <c r="AL106" s="537"/>
      <c r="AM106" s="538"/>
      <c r="AN106" s="6"/>
      <c r="AO106" s="539"/>
      <c r="AP106" s="540"/>
      <c r="AQ106" s="540"/>
      <c r="AR106" s="540"/>
      <c r="AS106" s="540"/>
      <c r="AT106" s="540"/>
      <c r="AU106" s="541"/>
      <c r="AW106" s="536"/>
      <c r="AX106" s="537"/>
      <c r="AY106" s="537"/>
      <c r="AZ106" s="537"/>
      <c r="BA106" s="537"/>
      <c r="BB106" s="537"/>
      <c r="BC106" s="538"/>
      <c r="BD106" s="6"/>
      <c r="BE106" s="539"/>
      <c r="BF106" s="540"/>
      <c r="BG106" s="540"/>
      <c r="BH106" s="540"/>
      <c r="BI106" s="540"/>
      <c r="BJ106" s="540"/>
      <c r="BK106" s="541"/>
    </row>
    <row r="107" spans="1:64" ht="13.8" x14ac:dyDescent="0.25">
      <c r="A107" s="536"/>
      <c r="B107" s="537"/>
      <c r="C107" s="537"/>
      <c r="D107" s="537"/>
      <c r="E107" s="537"/>
      <c r="F107" s="537"/>
      <c r="G107" s="538"/>
      <c r="H107" s="6"/>
      <c r="I107" s="539"/>
      <c r="J107" s="540"/>
      <c r="K107" s="540"/>
      <c r="L107" s="540"/>
      <c r="M107" s="540"/>
      <c r="N107" s="540"/>
      <c r="O107" s="541"/>
      <c r="Q107" s="536"/>
      <c r="R107" s="537"/>
      <c r="S107" s="537"/>
      <c r="T107" s="537"/>
      <c r="U107" s="537"/>
      <c r="V107" s="537"/>
      <c r="W107" s="538"/>
      <c r="X107" s="6"/>
      <c r="Y107" s="539"/>
      <c r="Z107" s="540"/>
      <c r="AA107" s="540"/>
      <c r="AB107" s="540"/>
      <c r="AC107" s="540"/>
      <c r="AD107" s="540"/>
      <c r="AE107" s="541"/>
      <c r="AG107" s="536"/>
      <c r="AH107" s="537"/>
      <c r="AI107" s="537"/>
      <c r="AJ107" s="537"/>
      <c r="AK107" s="537"/>
      <c r="AL107" s="537"/>
      <c r="AM107" s="538"/>
      <c r="AN107" s="6"/>
      <c r="AO107" s="539"/>
      <c r="AP107" s="540"/>
      <c r="AQ107" s="540"/>
      <c r="AR107" s="540"/>
      <c r="AS107" s="540"/>
      <c r="AT107" s="540"/>
      <c r="AU107" s="541"/>
      <c r="AW107" s="536"/>
      <c r="AX107" s="537"/>
      <c r="AY107" s="537"/>
      <c r="AZ107" s="537"/>
      <c r="BA107" s="537"/>
      <c r="BB107" s="537"/>
      <c r="BC107" s="538"/>
      <c r="BD107" s="6"/>
      <c r="BE107" s="539"/>
      <c r="BF107" s="540"/>
      <c r="BG107" s="540"/>
      <c r="BH107" s="540"/>
      <c r="BI107" s="540"/>
      <c r="BJ107" s="540"/>
      <c r="BK107" s="541"/>
    </row>
    <row r="108" spans="1:64" ht="13.8" x14ac:dyDescent="0.25">
      <c r="A108" s="536"/>
      <c r="B108" s="537"/>
      <c r="C108" s="537"/>
      <c r="D108" s="537"/>
      <c r="E108" s="537"/>
      <c r="F108" s="537"/>
      <c r="G108" s="538"/>
      <c r="H108" s="6"/>
      <c r="I108" s="539"/>
      <c r="J108" s="540"/>
      <c r="K108" s="540"/>
      <c r="L108" s="540"/>
      <c r="M108" s="540"/>
      <c r="N108" s="540"/>
      <c r="O108" s="541"/>
      <c r="Q108" s="536"/>
      <c r="R108" s="537"/>
      <c r="S108" s="537"/>
      <c r="T108" s="537"/>
      <c r="U108" s="537"/>
      <c r="V108" s="537"/>
      <c r="W108" s="538"/>
      <c r="X108" s="6"/>
      <c r="Y108" s="539"/>
      <c r="Z108" s="540"/>
      <c r="AA108" s="540"/>
      <c r="AB108" s="540"/>
      <c r="AC108" s="540"/>
      <c r="AD108" s="540"/>
      <c r="AE108" s="541"/>
      <c r="AG108" s="536"/>
      <c r="AH108" s="537"/>
      <c r="AI108" s="537"/>
      <c r="AJ108" s="537"/>
      <c r="AK108" s="537"/>
      <c r="AL108" s="537"/>
      <c r="AM108" s="538"/>
      <c r="AN108" s="6"/>
      <c r="AO108" s="539"/>
      <c r="AP108" s="540"/>
      <c r="AQ108" s="540"/>
      <c r="AR108" s="540"/>
      <c r="AS108" s="540"/>
      <c r="AT108" s="540"/>
      <c r="AU108" s="541"/>
      <c r="AW108" s="536"/>
      <c r="AX108" s="537"/>
      <c r="AY108" s="537"/>
      <c r="AZ108" s="537"/>
      <c r="BA108" s="537"/>
      <c r="BB108" s="537"/>
      <c r="BC108" s="538"/>
      <c r="BD108" s="6"/>
      <c r="BE108" s="539"/>
      <c r="BF108" s="540"/>
      <c r="BG108" s="540"/>
      <c r="BH108" s="540"/>
      <c r="BI108" s="540"/>
      <c r="BJ108" s="540"/>
      <c r="BK108" s="541"/>
    </row>
    <row r="109" spans="1:64" ht="14.25" customHeight="1" x14ac:dyDescent="0.25">
      <c r="A109" s="536" t="s">
        <v>72</v>
      </c>
      <c r="B109" s="537"/>
      <c r="C109" s="537"/>
      <c r="D109" s="537"/>
      <c r="E109" s="537"/>
      <c r="F109" s="537"/>
      <c r="G109" s="538"/>
      <c r="H109" s="6"/>
      <c r="I109" s="539"/>
      <c r="J109" s="540"/>
      <c r="K109" s="540"/>
      <c r="L109" s="540"/>
      <c r="M109" s="540"/>
      <c r="N109" s="540"/>
      <c r="O109" s="541"/>
      <c r="Q109" s="536" t="s">
        <v>72</v>
      </c>
      <c r="R109" s="537"/>
      <c r="S109" s="537"/>
      <c r="T109" s="537"/>
      <c r="U109" s="537"/>
      <c r="V109" s="537"/>
      <c r="W109" s="538"/>
      <c r="X109" s="6"/>
      <c r="Y109" s="539"/>
      <c r="Z109" s="540"/>
      <c r="AA109" s="540"/>
      <c r="AB109" s="540"/>
      <c r="AC109" s="540"/>
      <c r="AD109" s="540"/>
      <c r="AE109" s="541"/>
      <c r="AG109" s="536" t="s">
        <v>72</v>
      </c>
      <c r="AH109" s="537"/>
      <c r="AI109" s="537"/>
      <c r="AJ109" s="537"/>
      <c r="AK109" s="537"/>
      <c r="AL109" s="537"/>
      <c r="AM109" s="538"/>
      <c r="AN109" s="6"/>
      <c r="AO109" s="539"/>
      <c r="AP109" s="540"/>
      <c r="AQ109" s="540"/>
      <c r="AR109" s="540"/>
      <c r="AS109" s="540"/>
      <c r="AT109" s="540"/>
      <c r="AU109" s="541"/>
      <c r="AW109" s="536" t="s">
        <v>72</v>
      </c>
      <c r="AX109" s="537"/>
      <c r="AY109" s="537"/>
      <c r="AZ109" s="537"/>
      <c r="BA109" s="537"/>
      <c r="BB109" s="537"/>
      <c r="BC109" s="538"/>
      <c r="BD109" s="6"/>
      <c r="BE109" s="539"/>
      <c r="BF109" s="540"/>
      <c r="BG109" s="540"/>
      <c r="BH109" s="540"/>
      <c r="BI109" s="540"/>
      <c r="BJ109" s="540"/>
      <c r="BK109" s="541"/>
    </row>
    <row r="110" spans="1:64" thickBot="1" x14ac:dyDescent="0.3">
      <c r="A110" s="542"/>
      <c r="B110" s="543"/>
      <c r="C110" s="543"/>
      <c r="D110" s="543"/>
      <c r="E110" s="543"/>
      <c r="F110" s="543"/>
      <c r="G110" s="544"/>
      <c r="H110" s="6"/>
      <c r="I110" s="521" t="s">
        <v>73</v>
      </c>
      <c r="J110" s="522"/>
      <c r="K110" s="522"/>
      <c r="L110" s="522"/>
      <c r="M110" s="522"/>
      <c r="N110" s="522"/>
      <c r="O110" s="523"/>
      <c r="Q110" s="542"/>
      <c r="R110" s="543"/>
      <c r="S110" s="543"/>
      <c r="T110" s="543"/>
      <c r="U110" s="543"/>
      <c r="V110" s="543"/>
      <c r="W110" s="544"/>
      <c r="X110" s="6"/>
      <c r="Y110" s="521" t="s">
        <v>73</v>
      </c>
      <c r="Z110" s="522"/>
      <c r="AA110" s="522"/>
      <c r="AB110" s="522"/>
      <c r="AC110" s="522"/>
      <c r="AD110" s="522"/>
      <c r="AE110" s="523"/>
      <c r="AG110" s="542"/>
      <c r="AH110" s="543"/>
      <c r="AI110" s="543"/>
      <c r="AJ110" s="543"/>
      <c r="AK110" s="543"/>
      <c r="AL110" s="543"/>
      <c r="AM110" s="544"/>
      <c r="AN110" s="6"/>
      <c r="AO110" s="521" t="s">
        <v>73</v>
      </c>
      <c r="AP110" s="522"/>
      <c r="AQ110" s="522"/>
      <c r="AR110" s="522"/>
      <c r="AS110" s="522"/>
      <c r="AT110" s="522"/>
      <c r="AU110" s="523"/>
      <c r="AW110" s="542"/>
      <c r="AX110" s="543"/>
      <c r="AY110" s="543"/>
      <c r="AZ110" s="543"/>
      <c r="BA110" s="543"/>
      <c r="BB110" s="543"/>
      <c r="BC110" s="544"/>
      <c r="BD110" s="6"/>
      <c r="BE110" s="521" t="s">
        <v>73</v>
      </c>
      <c r="BF110" s="522"/>
      <c r="BG110" s="522"/>
      <c r="BH110" s="522"/>
      <c r="BI110" s="522"/>
      <c r="BJ110" s="522"/>
      <c r="BK110" s="523"/>
    </row>
    <row r="111" spans="1:64" ht="15" customHeight="1" thickTop="1" x14ac:dyDescent="0.25">
      <c r="A111" s="139"/>
      <c r="B111" s="151"/>
      <c r="C111" s="6"/>
      <c r="D111" s="6"/>
      <c r="E111" s="6"/>
      <c r="F111" s="6"/>
      <c r="G111" s="6"/>
      <c r="H111" s="6"/>
      <c r="I111" s="527" t="s">
        <v>74</v>
      </c>
      <c r="J111" s="528"/>
      <c r="K111" s="528"/>
      <c r="L111" s="528"/>
      <c r="M111" s="528"/>
      <c r="N111" s="528"/>
      <c r="O111" s="529"/>
      <c r="Q111" s="139"/>
      <c r="R111" s="6"/>
      <c r="S111" s="6"/>
      <c r="T111" s="6"/>
      <c r="U111" s="6"/>
      <c r="V111" s="6"/>
      <c r="W111" s="6"/>
      <c r="X111" s="6"/>
      <c r="Y111" s="527" t="s">
        <v>74</v>
      </c>
      <c r="Z111" s="528"/>
      <c r="AA111" s="528"/>
      <c r="AB111" s="528"/>
      <c r="AC111" s="528"/>
      <c r="AD111" s="528"/>
      <c r="AE111" s="529"/>
      <c r="AG111" s="139"/>
      <c r="AH111" s="6"/>
      <c r="AI111" s="6"/>
      <c r="AJ111" s="6"/>
      <c r="AK111" s="6"/>
      <c r="AL111" s="6"/>
      <c r="AM111" s="6"/>
      <c r="AN111" s="6"/>
      <c r="AO111" s="527" t="s">
        <v>74</v>
      </c>
      <c r="AP111" s="528"/>
      <c r="AQ111" s="528"/>
      <c r="AR111" s="528"/>
      <c r="AS111" s="528"/>
      <c r="AT111" s="528"/>
      <c r="AU111" s="529"/>
      <c r="AW111" s="139"/>
      <c r="AX111" s="6"/>
      <c r="AY111" s="6"/>
      <c r="AZ111" s="6"/>
      <c r="BA111" s="6"/>
      <c r="BB111" s="6"/>
      <c r="BC111" s="6"/>
      <c r="BD111" s="6"/>
      <c r="BE111" s="527" t="s">
        <v>74</v>
      </c>
      <c r="BF111" s="528"/>
      <c r="BG111" s="528"/>
      <c r="BH111" s="528"/>
      <c r="BI111" s="528"/>
      <c r="BJ111" s="528"/>
      <c r="BK111" s="529"/>
    </row>
    <row r="112" spans="1:64" ht="15" customHeight="1" thickBot="1" x14ac:dyDescent="0.3">
      <c r="A112" s="139"/>
      <c r="B112" s="151"/>
      <c r="C112" s="6"/>
      <c r="D112" s="6"/>
      <c r="E112" s="6"/>
      <c r="F112" s="6"/>
      <c r="G112" s="6"/>
      <c r="H112" s="67"/>
      <c r="I112" s="527"/>
      <c r="J112" s="528"/>
      <c r="K112" s="528"/>
      <c r="L112" s="528"/>
      <c r="M112" s="528"/>
      <c r="N112" s="528"/>
      <c r="O112" s="529"/>
      <c r="Q112" s="139"/>
      <c r="R112" s="6"/>
      <c r="S112" s="6"/>
      <c r="T112" s="6"/>
      <c r="U112" s="6"/>
      <c r="V112" s="6"/>
      <c r="W112" s="6"/>
      <c r="X112" s="67"/>
      <c r="Y112" s="527"/>
      <c r="Z112" s="528"/>
      <c r="AA112" s="528"/>
      <c r="AB112" s="528"/>
      <c r="AC112" s="528"/>
      <c r="AD112" s="528"/>
      <c r="AE112" s="529"/>
      <c r="AG112" s="139"/>
      <c r="AH112" s="6"/>
      <c r="AI112" s="6"/>
      <c r="AJ112" s="6"/>
      <c r="AK112" s="6"/>
      <c r="AL112" s="6"/>
      <c r="AM112" s="6"/>
      <c r="AN112" s="67"/>
      <c r="AO112" s="527"/>
      <c r="AP112" s="528"/>
      <c r="AQ112" s="528"/>
      <c r="AR112" s="528"/>
      <c r="AS112" s="528"/>
      <c r="AT112" s="528"/>
      <c r="AU112" s="529"/>
      <c r="AW112" s="139"/>
      <c r="AX112" s="6"/>
      <c r="AY112" s="6"/>
      <c r="AZ112" s="6"/>
      <c r="BA112" s="6"/>
      <c r="BB112" s="6"/>
      <c r="BC112" s="6"/>
      <c r="BD112" s="67"/>
      <c r="BE112" s="527"/>
      <c r="BF112" s="528"/>
      <c r="BG112" s="528"/>
      <c r="BH112" s="528"/>
      <c r="BI112" s="528"/>
      <c r="BJ112" s="528"/>
      <c r="BK112" s="529"/>
    </row>
    <row r="113" spans="1:63" ht="18" customHeight="1" thickTop="1" x14ac:dyDescent="0.25">
      <c r="A113" s="139"/>
      <c r="B113" s="519" t="s">
        <v>75</v>
      </c>
      <c r="C113" s="520"/>
      <c r="D113" s="520"/>
      <c r="E113" s="520"/>
      <c r="F113" s="35"/>
      <c r="G113" s="35"/>
      <c r="H113" s="36"/>
      <c r="I113" s="521" t="s">
        <v>76</v>
      </c>
      <c r="J113" s="522"/>
      <c r="K113" s="522"/>
      <c r="L113" s="522"/>
      <c r="M113" s="522"/>
      <c r="N113" s="522"/>
      <c r="O113" s="523"/>
      <c r="Q113" s="139"/>
      <c r="R113" s="519" t="s">
        <v>75</v>
      </c>
      <c r="S113" s="520"/>
      <c r="T113" s="520"/>
      <c r="U113" s="520"/>
      <c r="V113" s="35"/>
      <c r="W113" s="35"/>
      <c r="X113" s="36"/>
      <c r="Y113" s="521" t="s">
        <v>76</v>
      </c>
      <c r="Z113" s="522"/>
      <c r="AA113" s="522"/>
      <c r="AB113" s="522"/>
      <c r="AC113" s="522"/>
      <c r="AD113" s="522"/>
      <c r="AE113" s="523"/>
      <c r="AG113" s="139"/>
      <c r="AH113" s="519" t="s">
        <v>75</v>
      </c>
      <c r="AI113" s="520"/>
      <c r="AJ113" s="520"/>
      <c r="AK113" s="520"/>
      <c r="AL113" s="35"/>
      <c r="AM113" s="35"/>
      <c r="AN113" s="36"/>
      <c r="AO113" s="521" t="s">
        <v>76</v>
      </c>
      <c r="AP113" s="522"/>
      <c r="AQ113" s="522"/>
      <c r="AR113" s="522"/>
      <c r="AS113" s="522"/>
      <c r="AT113" s="522"/>
      <c r="AU113" s="523"/>
      <c r="AW113" s="139"/>
      <c r="AX113" s="519" t="s">
        <v>75</v>
      </c>
      <c r="AY113" s="520"/>
      <c r="AZ113" s="520"/>
      <c r="BA113" s="520"/>
      <c r="BB113" s="35"/>
      <c r="BC113" s="35"/>
      <c r="BD113" s="36"/>
      <c r="BE113" s="521" t="s">
        <v>76</v>
      </c>
      <c r="BF113" s="522"/>
      <c r="BG113" s="522"/>
      <c r="BH113" s="522"/>
      <c r="BI113" s="522"/>
      <c r="BJ113" s="522"/>
      <c r="BK113" s="523"/>
    </row>
    <row r="114" spans="1:63" ht="15" customHeight="1" x14ac:dyDescent="0.25">
      <c r="A114" s="139"/>
      <c r="B114" s="524" t="s">
        <v>77</v>
      </c>
      <c r="C114" s="525"/>
      <c r="D114" s="525"/>
      <c r="E114" s="525"/>
      <c r="F114" s="525"/>
      <c r="G114" s="525"/>
      <c r="H114" s="526"/>
      <c r="I114" s="527" t="s">
        <v>78</v>
      </c>
      <c r="J114" s="528"/>
      <c r="K114" s="528"/>
      <c r="L114" s="528"/>
      <c r="M114" s="528"/>
      <c r="N114" s="528"/>
      <c r="O114" s="529"/>
      <c r="Q114" s="139"/>
      <c r="R114" s="524" t="s">
        <v>77</v>
      </c>
      <c r="S114" s="525"/>
      <c r="T114" s="525"/>
      <c r="U114" s="525"/>
      <c r="V114" s="525"/>
      <c r="W114" s="525"/>
      <c r="X114" s="526"/>
      <c r="Y114" s="527" t="s">
        <v>78</v>
      </c>
      <c r="Z114" s="528"/>
      <c r="AA114" s="528"/>
      <c r="AB114" s="528"/>
      <c r="AC114" s="528"/>
      <c r="AD114" s="528"/>
      <c r="AE114" s="529"/>
      <c r="AG114" s="139"/>
      <c r="AH114" s="524" t="s">
        <v>77</v>
      </c>
      <c r="AI114" s="525"/>
      <c r="AJ114" s="525"/>
      <c r="AK114" s="525"/>
      <c r="AL114" s="525"/>
      <c r="AM114" s="525"/>
      <c r="AN114" s="526"/>
      <c r="AO114" s="527" t="s">
        <v>78</v>
      </c>
      <c r="AP114" s="528"/>
      <c r="AQ114" s="528"/>
      <c r="AR114" s="528"/>
      <c r="AS114" s="528"/>
      <c r="AT114" s="528"/>
      <c r="AU114" s="529"/>
      <c r="AW114" s="139"/>
      <c r="AX114" s="524" t="s">
        <v>77</v>
      </c>
      <c r="AY114" s="525"/>
      <c r="AZ114" s="525"/>
      <c r="BA114" s="525"/>
      <c r="BB114" s="525"/>
      <c r="BC114" s="525"/>
      <c r="BD114" s="526"/>
      <c r="BE114" s="527" t="s">
        <v>78</v>
      </c>
      <c r="BF114" s="528"/>
      <c r="BG114" s="528"/>
      <c r="BH114" s="528"/>
      <c r="BI114" s="528"/>
      <c r="BJ114" s="528"/>
      <c r="BK114" s="529"/>
    </row>
    <row r="115" spans="1:63" ht="14.25" customHeight="1" x14ac:dyDescent="0.25">
      <c r="A115" s="139"/>
      <c r="B115" s="530" t="s">
        <v>90</v>
      </c>
      <c r="C115" s="471"/>
      <c r="D115" s="471"/>
      <c r="E115" s="471"/>
      <c r="F115" s="471"/>
      <c r="G115" s="471"/>
      <c r="H115" s="472"/>
      <c r="I115" s="527"/>
      <c r="J115" s="528"/>
      <c r="K115" s="528"/>
      <c r="L115" s="528"/>
      <c r="M115" s="528"/>
      <c r="N115" s="528"/>
      <c r="O115" s="529"/>
      <c r="Q115" s="139"/>
      <c r="R115" s="530" t="s">
        <v>90</v>
      </c>
      <c r="S115" s="471"/>
      <c r="T115" s="471"/>
      <c r="U115" s="471"/>
      <c r="V115" s="471"/>
      <c r="W115" s="471"/>
      <c r="X115" s="472"/>
      <c r="Y115" s="527"/>
      <c r="Z115" s="528"/>
      <c r="AA115" s="528"/>
      <c r="AB115" s="528"/>
      <c r="AC115" s="528"/>
      <c r="AD115" s="528"/>
      <c r="AE115" s="529"/>
      <c r="AG115" s="139"/>
      <c r="AH115" s="530" t="s">
        <v>90</v>
      </c>
      <c r="AI115" s="471"/>
      <c r="AJ115" s="471"/>
      <c r="AK115" s="471"/>
      <c r="AL115" s="471"/>
      <c r="AM115" s="471"/>
      <c r="AN115" s="472"/>
      <c r="AO115" s="527"/>
      <c r="AP115" s="528"/>
      <c r="AQ115" s="528"/>
      <c r="AR115" s="528"/>
      <c r="AS115" s="528"/>
      <c r="AT115" s="528"/>
      <c r="AU115" s="529"/>
      <c r="AW115" s="139"/>
      <c r="AX115" s="530" t="s">
        <v>90</v>
      </c>
      <c r="AY115" s="471"/>
      <c r="AZ115" s="471"/>
      <c r="BA115" s="471"/>
      <c r="BB115" s="471"/>
      <c r="BC115" s="471"/>
      <c r="BD115" s="472"/>
      <c r="BE115" s="527"/>
      <c r="BF115" s="528"/>
      <c r="BG115" s="528"/>
      <c r="BH115" s="528"/>
      <c r="BI115" s="528"/>
      <c r="BJ115" s="528"/>
      <c r="BK115" s="529"/>
    </row>
    <row r="116" spans="1:63" ht="14.25" customHeight="1" x14ac:dyDescent="0.25">
      <c r="A116" s="139"/>
      <c r="B116" s="530"/>
      <c r="C116" s="471"/>
      <c r="D116" s="471"/>
      <c r="E116" s="471"/>
      <c r="F116" s="471"/>
      <c r="G116" s="471"/>
      <c r="H116" s="472"/>
      <c r="I116" s="528" t="s">
        <v>79</v>
      </c>
      <c r="J116" s="528"/>
      <c r="K116" s="528"/>
      <c r="L116" s="528"/>
      <c r="M116" s="528"/>
      <c r="N116" s="528"/>
      <c r="O116" s="529"/>
      <c r="Q116" s="139"/>
      <c r="R116" s="530"/>
      <c r="S116" s="471"/>
      <c r="T116" s="471"/>
      <c r="U116" s="471"/>
      <c r="V116" s="471"/>
      <c r="W116" s="471"/>
      <c r="X116" s="472"/>
      <c r="Y116" s="528" t="s">
        <v>79</v>
      </c>
      <c r="Z116" s="528"/>
      <c r="AA116" s="528"/>
      <c r="AB116" s="528"/>
      <c r="AC116" s="528"/>
      <c r="AD116" s="528"/>
      <c r="AE116" s="529"/>
      <c r="AG116" s="139"/>
      <c r="AH116" s="530"/>
      <c r="AI116" s="471"/>
      <c r="AJ116" s="471"/>
      <c r="AK116" s="471"/>
      <c r="AL116" s="471"/>
      <c r="AM116" s="471"/>
      <c r="AN116" s="472"/>
      <c r="AO116" s="528" t="s">
        <v>79</v>
      </c>
      <c r="AP116" s="528"/>
      <c r="AQ116" s="528"/>
      <c r="AR116" s="528"/>
      <c r="AS116" s="528"/>
      <c r="AT116" s="528"/>
      <c r="AU116" s="529"/>
      <c r="AW116" s="139"/>
      <c r="AX116" s="530"/>
      <c r="AY116" s="471"/>
      <c r="AZ116" s="471"/>
      <c r="BA116" s="471"/>
      <c r="BB116" s="471"/>
      <c r="BC116" s="471"/>
      <c r="BD116" s="472"/>
      <c r="BE116" s="528" t="s">
        <v>79</v>
      </c>
      <c r="BF116" s="528"/>
      <c r="BG116" s="528"/>
      <c r="BH116" s="528"/>
      <c r="BI116" s="528"/>
      <c r="BJ116" s="528"/>
      <c r="BK116" s="529"/>
    </row>
    <row r="117" spans="1:63" ht="15" customHeight="1" thickBot="1" x14ac:dyDescent="0.3">
      <c r="A117" s="139"/>
      <c r="B117" s="531"/>
      <c r="C117" s="532"/>
      <c r="D117" s="532"/>
      <c r="E117" s="532"/>
      <c r="F117" s="532"/>
      <c r="G117" s="532"/>
      <c r="H117" s="533"/>
      <c r="I117" s="534"/>
      <c r="J117" s="534"/>
      <c r="K117" s="534"/>
      <c r="L117" s="534"/>
      <c r="M117" s="534"/>
      <c r="N117" s="534"/>
      <c r="O117" s="535"/>
      <c r="Q117" s="139"/>
      <c r="R117" s="531"/>
      <c r="S117" s="532"/>
      <c r="T117" s="532"/>
      <c r="U117" s="532"/>
      <c r="V117" s="532"/>
      <c r="W117" s="532"/>
      <c r="X117" s="533"/>
      <c r="Y117" s="534"/>
      <c r="Z117" s="534"/>
      <c r="AA117" s="534"/>
      <c r="AB117" s="534"/>
      <c r="AC117" s="534"/>
      <c r="AD117" s="534"/>
      <c r="AE117" s="535"/>
      <c r="AG117" s="139"/>
      <c r="AH117" s="531"/>
      <c r="AI117" s="532"/>
      <c r="AJ117" s="532"/>
      <c r="AK117" s="532"/>
      <c r="AL117" s="532"/>
      <c r="AM117" s="532"/>
      <c r="AN117" s="533"/>
      <c r="AO117" s="534"/>
      <c r="AP117" s="534"/>
      <c r="AQ117" s="534"/>
      <c r="AR117" s="534"/>
      <c r="AS117" s="534"/>
      <c r="AT117" s="534"/>
      <c r="AU117" s="535"/>
      <c r="AW117" s="139"/>
      <c r="AX117" s="531"/>
      <c r="AY117" s="532"/>
      <c r="AZ117" s="532"/>
      <c r="BA117" s="532"/>
      <c r="BB117" s="532"/>
      <c r="BC117" s="532"/>
      <c r="BD117" s="533"/>
      <c r="BE117" s="534"/>
      <c r="BF117" s="534"/>
      <c r="BG117" s="534"/>
      <c r="BH117" s="534"/>
      <c r="BI117" s="534"/>
      <c r="BJ117" s="534"/>
      <c r="BK117" s="535"/>
    </row>
    <row r="118" spans="1:63" ht="16.2" thickTop="1" thickBot="1" x14ac:dyDescent="0.3">
      <c r="A118" s="140"/>
      <c r="B118" s="152"/>
      <c r="C118" s="515"/>
      <c r="D118" s="515"/>
      <c r="E118" s="515"/>
      <c r="F118" s="515"/>
      <c r="G118" s="515"/>
      <c r="H118" s="37"/>
      <c r="I118" s="38"/>
      <c r="J118" s="38"/>
      <c r="K118" s="38"/>
      <c r="L118" s="38"/>
      <c r="M118" s="110"/>
      <c r="N118" s="158"/>
      <c r="O118" s="158"/>
      <c r="P118" s="65"/>
      <c r="Q118" s="140"/>
      <c r="R118" s="37"/>
      <c r="S118" s="515"/>
      <c r="T118" s="515"/>
      <c r="U118" s="515"/>
      <c r="V118" s="515"/>
      <c r="W118" s="515"/>
      <c r="X118" s="37"/>
      <c r="Y118" s="38"/>
      <c r="Z118" s="38"/>
      <c r="AA118" s="38"/>
      <c r="AB118" s="38"/>
      <c r="AC118" s="110"/>
      <c r="AD118" s="110"/>
      <c r="AE118" s="111"/>
      <c r="AG118" s="140"/>
      <c r="AH118" s="37"/>
      <c r="AI118" s="515"/>
      <c r="AJ118" s="515"/>
      <c r="AK118" s="515"/>
      <c r="AL118" s="515"/>
      <c r="AM118" s="515"/>
      <c r="AN118" s="37"/>
      <c r="AO118" s="38"/>
      <c r="AP118" s="38"/>
      <c r="AQ118" s="38"/>
      <c r="AR118" s="38"/>
      <c r="AS118" s="110"/>
      <c r="AT118" s="110"/>
      <c r="AU118" s="111"/>
      <c r="AW118" s="140"/>
      <c r="AX118" s="37"/>
      <c r="AY118" s="515"/>
      <c r="AZ118" s="515"/>
      <c r="BA118" s="515"/>
      <c r="BB118" s="515"/>
      <c r="BC118" s="515"/>
      <c r="BD118" s="37"/>
      <c r="BE118" s="38"/>
      <c r="BF118" s="38"/>
      <c r="BG118" s="38"/>
      <c r="BH118" s="38"/>
      <c r="BI118" s="110"/>
      <c r="BJ118" s="110"/>
      <c r="BK118" s="111"/>
    </row>
    <row r="119" spans="1:63" ht="16.2" thickTop="1" thickBot="1" x14ac:dyDescent="0.3">
      <c r="E119" s="62"/>
      <c r="U119" s="62"/>
      <c r="AK119" s="62"/>
      <c r="BA119" s="62"/>
    </row>
    <row r="120" spans="1:63" ht="24.9" customHeight="1" thickTop="1" x14ac:dyDescent="0.25">
      <c r="A120" s="569" t="s">
        <v>80</v>
      </c>
      <c r="B120" s="570"/>
      <c r="C120" s="570"/>
      <c r="D120" s="466" t="str">
        <f>ادخال1!$L$4</f>
        <v>الثالث</v>
      </c>
      <c r="E120" s="466"/>
      <c r="F120" s="554" t="s">
        <v>81</v>
      </c>
      <c r="G120" s="554"/>
      <c r="H120" s="554"/>
      <c r="I120" s="11"/>
      <c r="J120" s="11"/>
      <c r="K120" s="11"/>
      <c r="L120" s="11"/>
      <c r="M120" s="103"/>
      <c r="N120" s="103"/>
      <c r="O120" s="104">
        <f>O80+1</f>
        <v>4</v>
      </c>
      <c r="Q120" s="569" t="s">
        <v>80</v>
      </c>
      <c r="R120" s="570"/>
      <c r="S120" s="570"/>
      <c r="T120" s="466" t="str">
        <f>ادخال1!$L$4</f>
        <v>الثالث</v>
      </c>
      <c r="U120" s="466"/>
      <c r="V120" s="554" t="s">
        <v>81</v>
      </c>
      <c r="W120" s="554"/>
      <c r="X120" s="554"/>
      <c r="Y120" s="11"/>
      <c r="Z120" s="11"/>
      <c r="AA120" s="11"/>
      <c r="AB120" s="11"/>
      <c r="AC120" s="103"/>
      <c r="AD120" s="103"/>
      <c r="AE120" s="104">
        <f>AE80+1</f>
        <v>9</v>
      </c>
      <c r="AG120" s="569" t="s">
        <v>80</v>
      </c>
      <c r="AH120" s="570"/>
      <c r="AI120" s="570"/>
      <c r="AJ120" s="466" t="str">
        <f>ادخال1!$L$4</f>
        <v>الثالث</v>
      </c>
      <c r="AK120" s="466"/>
      <c r="AL120" s="554" t="s">
        <v>81</v>
      </c>
      <c r="AM120" s="554"/>
      <c r="AN120" s="554"/>
      <c r="AO120" s="11"/>
      <c r="AP120" s="11"/>
      <c r="AQ120" s="11"/>
      <c r="AR120" s="11"/>
      <c r="AS120" s="103"/>
      <c r="AT120" s="103"/>
      <c r="AU120" s="104">
        <f>AU80+1</f>
        <v>14</v>
      </c>
      <c r="AW120" s="569" t="s">
        <v>80</v>
      </c>
      <c r="AX120" s="570"/>
      <c r="AY120" s="570"/>
      <c r="AZ120" s="466" t="str">
        <f>ادخال1!$L$4</f>
        <v>الثالث</v>
      </c>
      <c r="BA120" s="466"/>
      <c r="BB120" s="554" t="s">
        <v>81</v>
      </c>
      <c r="BC120" s="554"/>
      <c r="BD120" s="554"/>
      <c r="BE120" s="11"/>
      <c r="BF120" s="11"/>
      <c r="BG120" s="11"/>
      <c r="BH120" s="11"/>
      <c r="BI120" s="103"/>
      <c r="BJ120" s="103"/>
      <c r="BK120" s="104">
        <f>BK80+1</f>
        <v>19</v>
      </c>
    </row>
    <row r="121" spans="1:63" ht="24.9" customHeight="1" thickBot="1" x14ac:dyDescent="0.3">
      <c r="A121" s="260" t="s">
        <v>153</v>
      </c>
      <c r="B121" s="488" t="str">
        <f>ادخال1!$B$5</f>
        <v>سهول العلم للتعليم الخاص</v>
      </c>
      <c r="C121" s="488"/>
      <c r="D121" s="488"/>
      <c r="E121" s="488"/>
      <c r="F121" s="488"/>
      <c r="G121" s="488"/>
      <c r="H121" s="555" t="s">
        <v>9</v>
      </c>
      <c r="I121" s="555"/>
      <c r="J121" s="556" t="str">
        <f>M135</f>
        <v>دانية حسن مفتاح المقوب</v>
      </c>
      <c r="K121" s="556"/>
      <c r="L121" s="556"/>
      <c r="M121" s="556"/>
      <c r="N121" s="556"/>
      <c r="O121" s="153"/>
      <c r="Q121" s="260" t="s">
        <v>153</v>
      </c>
      <c r="R121" s="488" t="str">
        <f>ادخال1!$B$5</f>
        <v>سهول العلم للتعليم الخاص</v>
      </c>
      <c r="S121" s="488"/>
      <c r="T121" s="488"/>
      <c r="U121" s="488"/>
      <c r="V121" s="488"/>
      <c r="W121" s="488"/>
      <c r="X121" s="555" t="s">
        <v>9</v>
      </c>
      <c r="Y121" s="555"/>
      <c r="Z121" s="556" t="str">
        <f>AC135</f>
        <v>فاطمة سالم سالم الورفلى</v>
      </c>
      <c r="AA121" s="556"/>
      <c r="AB121" s="556"/>
      <c r="AC121" s="556"/>
      <c r="AD121" s="556"/>
      <c r="AE121" s="153"/>
      <c r="AG121" s="260" t="s">
        <v>153</v>
      </c>
      <c r="AH121" s="488" t="str">
        <f>ادخال1!$B$5</f>
        <v>سهول العلم للتعليم الخاص</v>
      </c>
      <c r="AI121" s="488"/>
      <c r="AJ121" s="488"/>
      <c r="AK121" s="488"/>
      <c r="AL121" s="488"/>
      <c r="AM121" s="488"/>
      <c r="AN121" s="555" t="s">
        <v>9</v>
      </c>
      <c r="AO121" s="555"/>
      <c r="AP121" s="556" t="str">
        <f>AS135</f>
        <v>ايلياء محمد عوض الحداد</v>
      </c>
      <c r="AQ121" s="556"/>
      <c r="AR121" s="556"/>
      <c r="AS121" s="556"/>
      <c r="AT121" s="556"/>
      <c r="AU121" s="153"/>
      <c r="AW121" s="260" t="s">
        <v>153</v>
      </c>
      <c r="AX121" s="488" t="str">
        <f>ادخال1!$B$5</f>
        <v>سهول العلم للتعليم الخاص</v>
      </c>
      <c r="AY121" s="488"/>
      <c r="AZ121" s="488"/>
      <c r="BA121" s="488"/>
      <c r="BB121" s="488"/>
      <c r="BC121" s="488"/>
      <c r="BD121" s="555" t="s">
        <v>9</v>
      </c>
      <c r="BE121" s="555"/>
      <c r="BF121" s="556">
        <f>BI135</f>
        <v>0</v>
      </c>
      <c r="BG121" s="556"/>
      <c r="BH121" s="556"/>
      <c r="BI121" s="556"/>
      <c r="BJ121" s="556"/>
      <c r="BK121" s="153"/>
    </row>
    <row r="122" spans="1:63" ht="15.6" customHeight="1" thickBot="1" x14ac:dyDescent="0.3">
      <c r="A122" s="132" t="s">
        <v>45</v>
      </c>
      <c r="B122" s="512" t="s">
        <v>12</v>
      </c>
      <c r="C122" s="557" t="s">
        <v>46</v>
      </c>
      <c r="D122" s="558"/>
      <c r="E122" s="559" t="s">
        <v>47</v>
      </c>
      <c r="F122" s="559"/>
      <c r="G122" s="560" t="s">
        <v>48</v>
      </c>
      <c r="H122" s="561"/>
      <c r="I122" s="575" t="s">
        <v>49</v>
      </c>
      <c r="J122" s="576"/>
      <c r="K122" s="577"/>
      <c r="L122" s="26"/>
      <c r="M122" s="572" t="s">
        <v>50</v>
      </c>
      <c r="N122" s="573"/>
      <c r="O122" s="574"/>
      <c r="Q122" s="132" t="s">
        <v>45</v>
      </c>
      <c r="R122" s="512" t="s">
        <v>12</v>
      </c>
      <c r="S122" s="557" t="s">
        <v>46</v>
      </c>
      <c r="T122" s="558"/>
      <c r="U122" s="559" t="s">
        <v>47</v>
      </c>
      <c r="V122" s="559"/>
      <c r="W122" s="560" t="s">
        <v>48</v>
      </c>
      <c r="X122" s="561"/>
      <c r="Y122" s="575" t="s">
        <v>49</v>
      </c>
      <c r="Z122" s="576"/>
      <c r="AA122" s="577"/>
      <c r="AB122" s="26"/>
      <c r="AC122" s="572" t="s">
        <v>50</v>
      </c>
      <c r="AD122" s="573"/>
      <c r="AE122" s="574"/>
      <c r="AG122" s="132" t="s">
        <v>45</v>
      </c>
      <c r="AH122" s="512" t="s">
        <v>12</v>
      </c>
      <c r="AI122" s="557" t="s">
        <v>46</v>
      </c>
      <c r="AJ122" s="558"/>
      <c r="AK122" s="559" t="s">
        <v>47</v>
      </c>
      <c r="AL122" s="559"/>
      <c r="AM122" s="560" t="s">
        <v>48</v>
      </c>
      <c r="AN122" s="561"/>
      <c r="AO122" s="575" t="s">
        <v>49</v>
      </c>
      <c r="AP122" s="576"/>
      <c r="AQ122" s="577"/>
      <c r="AR122" s="26"/>
      <c r="AS122" s="572" t="s">
        <v>50</v>
      </c>
      <c r="AT122" s="573"/>
      <c r="AU122" s="574"/>
      <c r="AW122" s="132" t="s">
        <v>45</v>
      </c>
      <c r="AX122" s="512" t="s">
        <v>12</v>
      </c>
      <c r="AY122" s="557" t="s">
        <v>46</v>
      </c>
      <c r="AZ122" s="558"/>
      <c r="BA122" s="559" t="s">
        <v>47</v>
      </c>
      <c r="BB122" s="559"/>
      <c r="BC122" s="560" t="s">
        <v>48</v>
      </c>
      <c r="BD122" s="561"/>
      <c r="BE122" s="575" t="s">
        <v>49</v>
      </c>
      <c r="BF122" s="576"/>
      <c r="BG122" s="577"/>
      <c r="BH122" s="26"/>
      <c r="BI122" s="572" t="s">
        <v>50</v>
      </c>
      <c r="BJ122" s="573"/>
      <c r="BK122" s="574"/>
    </row>
    <row r="123" spans="1:63" ht="24.9" customHeight="1" x14ac:dyDescent="0.25">
      <c r="A123" s="56" t="s">
        <v>2</v>
      </c>
      <c r="B123" s="513"/>
      <c r="C123" s="51" t="s">
        <v>51</v>
      </c>
      <c r="D123" s="52" t="s">
        <v>52</v>
      </c>
      <c r="E123" s="53" t="s">
        <v>51</v>
      </c>
      <c r="F123" s="54" t="s">
        <v>52</v>
      </c>
      <c r="G123" s="51" t="s">
        <v>51</v>
      </c>
      <c r="H123" s="52" t="s">
        <v>52</v>
      </c>
      <c r="I123" s="51" t="s">
        <v>53</v>
      </c>
      <c r="J123" s="55" t="s">
        <v>54</v>
      </c>
      <c r="K123" s="52" t="s">
        <v>52</v>
      </c>
      <c r="L123" s="10"/>
      <c r="M123" s="119" t="s">
        <v>109</v>
      </c>
      <c r="N123" s="489" t="str">
        <f>IF(D130=0,"",IF(AND(D124&gt;=C124*0.4,D125&gt;=C125*0.4,D126&gt;=C126*0.4,D127&gt;=C127*0.4,D128&gt;=C128*0.4),LOOKUP(D130,$BO$15:$BP$19),"ضعيف ويحتاج الى اهتمام في المواد"))</f>
        <v>ممتاز</v>
      </c>
      <c r="O123" s="565"/>
      <c r="Q123" s="56" t="s">
        <v>2</v>
      </c>
      <c r="R123" s="513"/>
      <c r="S123" s="51" t="s">
        <v>51</v>
      </c>
      <c r="T123" s="52" t="s">
        <v>52</v>
      </c>
      <c r="U123" s="53" t="s">
        <v>51</v>
      </c>
      <c r="V123" s="54" t="s">
        <v>52</v>
      </c>
      <c r="W123" s="51" t="s">
        <v>51</v>
      </c>
      <c r="X123" s="52" t="s">
        <v>52</v>
      </c>
      <c r="Y123" s="51" t="s">
        <v>53</v>
      </c>
      <c r="Z123" s="55" t="s">
        <v>54</v>
      </c>
      <c r="AA123" s="52" t="s">
        <v>52</v>
      </c>
      <c r="AB123" s="10"/>
      <c r="AC123" s="119" t="s">
        <v>109</v>
      </c>
      <c r="AD123" s="489" t="str">
        <f>IF(T130=0,"",IF(AND(T124&gt;=S124*0.4,T125&gt;=S125*0.4,T126&gt;=S126*0.4,T127&gt;=S127*0.4,T128&gt;=S128*0.4),LOOKUP(T130,$BO$15:$BP$19),"ضعيف ويحتاج الى اهتمام في المواد"))</f>
        <v>ممتاز</v>
      </c>
      <c r="AE123" s="565"/>
      <c r="AG123" s="56" t="s">
        <v>2</v>
      </c>
      <c r="AH123" s="513"/>
      <c r="AI123" s="51" t="s">
        <v>51</v>
      </c>
      <c r="AJ123" s="52" t="s">
        <v>52</v>
      </c>
      <c r="AK123" s="53" t="s">
        <v>51</v>
      </c>
      <c r="AL123" s="54" t="s">
        <v>52</v>
      </c>
      <c r="AM123" s="51" t="s">
        <v>51</v>
      </c>
      <c r="AN123" s="52" t="s">
        <v>52</v>
      </c>
      <c r="AO123" s="51" t="s">
        <v>53</v>
      </c>
      <c r="AP123" s="55" t="s">
        <v>54</v>
      </c>
      <c r="AQ123" s="52" t="s">
        <v>52</v>
      </c>
      <c r="AR123" s="10"/>
      <c r="AS123" s="119" t="s">
        <v>109</v>
      </c>
      <c r="AT123" s="489" t="str">
        <f>IF(AJ130=0,"",IF(AND(AJ124&gt;=AI124*0.4,AJ125&gt;=AI125*0.4,AJ126&gt;=AI126*0.4,AJ127&gt;=AI127*0.4,AJ128&gt;=AI128*0.4),LOOKUP(AJ130,$BO$15:$BP$19),"ضعيف ويحتاج الى اهتمام في المواد"))</f>
        <v>ممتاز</v>
      </c>
      <c r="AU123" s="565"/>
      <c r="AW123" s="56" t="s">
        <v>2</v>
      </c>
      <c r="AX123" s="513"/>
      <c r="AY123" s="51" t="s">
        <v>51</v>
      </c>
      <c r="AZ123" s="52" t="s">
        <v>52</v>
      </c>
      <c r="BA123" s="53" t="s">
        <v>51</v>
      </c>
      <c r="BB123" s="54" t="s">
        <v>52</v>
      </c>
      <c r="BC123" s="51" t="s">
        <v>51</v>
      </c>
      <c r="BD123" s="52" t="s">
        <v>52</v>
      </c>
      <c r="BE123" s="51" t="s">
        <v>53</v>
      </c>
      <c r="BF123" s="55" t="s">
        <v>54</v>
      </c>
      <c r="BG123" s="52" t="s">
        <v>52</v>
      </c>
      <c r="BH123" s="10"/>
      <c r="BI123" s="119" t="s">
        <v>109</v>
      </c>
      <c r="BJ123" s="489" t="str">
        <f>IF(AZ130=0,"",IF(AND(AZ124&gt;=AY124*0.4,AZ125&gt;=AY125*0.4,AZ126&gt;=AY126*0.4,AZ127&gt;=AY127*0.4,AZ128&gt;=AY128*0.4),LOOKUP(AZ130,$BO$15:$BP$19),"ضعيف ويحتاج الى اهتمام في المواد"))</f>
        <v/>
      </c>
      <c r="BK123" s="565"/>
    </row>
    <row r="124" spans="1:63" ht="22.95" customHeight="1" x14ac:dyDescent="0.25">
      <c r="A124" s="115" t="str">
        <f>ادخال1!$F$9</f>
        <v>التربية الإسلامية</v>
      </c>
      <c r="B124" s="145">
        <f>ادخال1!$F$7</f>
        <v>3</v>
      </c>
      <c r="C124" s="41">
        <f t="shared" ref="C124:C125" si="117">40*B124*0.3</f>
        <v>36</v>
      </c>
      <c r="D124" s="2">
        <f xml:space="preserve"> IFERROR(VLOOKUP(M135,اسماء,5,0),"")</f>
        <v>31</v>
      </c>
      <c r="E124" s="43">
        <f t="shared" ref="E124:E125" si="118">40*B124*0.3</f>
        <v>36</v>
      </c>
      <c r="F124" s="2">
        <f>IFERROR(VLOOKUP(M135,اسماء,16,0),"")</f>
        <v>0</v>
      </c>
      <c r="G124" s="41">
        <f t="shared" ref="G124:G125" si="119">40*B124*0.4</f>
        <v>48</v>
      </c>
      <c r="H124" s="2">
        <f>IFERROR(VLOOKUP(M135,اسماء,27,0),"")</f>
        <v>0</v>
      </c>
      <c r="I124" s="41">
        <f t="shared" ref="I124:I125" si="120">SUM(C124,E124,G124)</f>
        <v>120</v>
      </c>
      <c r="J124" s="44">
        <f t="shared" ref="J124:J125" si="121">0.4*I124</f>
        <v>48</v>
      </c>
      <c r="K124" s="2">
        <f t="shared" ref="K124:K125" si="122">SUM(D124,F124,H124)</f>
        <v>31</v>
      </c>
      <c r="L124" s="18"/>
      <c r="M124" s="106" t="str">
        <f>IF(D124=0,"",IF(D124&lt;C124*0.4,A124,""))</f>
        <v/>
      </c>
      <c r="N124" s="154" t="str">
        <f>IF(D125=0,"",IF(D125&lt;C125*0.4,A125,""))</f>
        <v/>
      </c>
      <c r="O124" s="155" t="str">
        <f>IF(D126=0,"",IF(D126&lt;C126*0.4,A126,""))</f>
        <v/>
      </c>
      <c r="Q124" s="115" t="str">
        <f>ادخال1!$F$9</f>
        <v>التربية الإسلامية</v>
      </c>
      <c r="R124" s="145">
        <f>ادخال1!$F$7</f>
        <v>3</v>
      </c>
      <c r="S124" s="41">
        <f t="shared" ref="S124:S125" si="123">40*R124*0.3</f>
        <v>36</v>
      </c>
      <c r="T124" s="2">
        <f xml:space="preserve"> IFERROR(VLOOKUP(AC135,اسماء,5,0),"")</f>
        <v>36</v>
      </c>
      <c r="U124" s="43">
        <f t="shared" ref="U124:U125" si="124">40*R124*0.3</f>
        <v>36</v>
      </c>
      <c r="V124" s="2">
        <f>IFERROR(VLOOKUP(AC135,اسماء,16,0),"")</f>
        <v>0</v>
      </c>
      <c r="W124" s="41">
        <f t="shared" ref="W124:W125" si="125">40*R124*0.4</f>
        <v>48</v>
      </c>
      <c r="X124" s="2">
        <f>IFERROR(VLOOKUP(AC135,اسماء,27,0),"")</f>
        <v>0</v>
      </c>
      <c r="Y124" s="41">
        <f t="shared" ref="Y124:Y125" si="126">SUM(S124,U124,W124)</f>
        <v>120</v>
      </c>
      <c r="Z124" s="44">
        <f t="shared" ref="Z124:Z125" si="127">0.4*Y124</f>
        <v>48</v>
      </c>
      <c r="AA124" s="2">
        <f t="shared" ref="AA124:AA125" si="128">SUM(T124,V124,X124)</f>
        <v>36</v>
      </c>
      <c r="AB124" s="18"/>
      <c r="AC124" s="106" t="str">
        <f>IF(T124=0,"",IF(T124&lt;S124*0.4,Q124,""))</f>
        <v/>
      </c>
      <c r="AD124" s="154" t="str">
        <f>IF(T125=0,"",IF(T125&lt;S125*0.4,Q125,""))</f>
        <v/>
      </c>
      <c r="AE124" s="155" t="str">
        <f>IF(T126=0,"",IF(T126&lt;S126*0.4,Q126,""))</f>
        <v/>
      </c>
      <c r="AG124" s="115" t="str">
        <f>ادخال1!$F$9</f>
        <v>التربية الإسلامية</v>
      </c>
      <c r="AH124" s="145">
        <f>ادخال1!$F$7</f>
        <v>3</v>
      </c>
      <c r="AI124" s="41">
        <f t="shared" ref="AI124:AI125" si="129">40*AH124*0.3</f>
        <v>36</v>
      </c>
      <c r="AJ124" s="2">
        <f xml:space="preserve"> IFERROR(VLOOKUP(AS135,اسماء,5,0),"")</f>
        <v>36</v>
      </c>
      <c r="AK124" s="43">
        <f t="shared" ref="AK124:AK125" si="130">40*AH124*0.3</f>
        <v>36</v>
      </c>
      <c r="AL124" s="2">
        <f>IFERROR(VLOOKUP(AS135,اسماء,16,0),"")</f>
        <v>0</v>
      </c>
      <c r="AM124" s="41">
        <f t="shared" ref="AM124:AM125" si="131">40*AH124*0.4</f>
        <v>48</v>
      </c>
      <c r="AN124" s="2">
        <f>IFERROR(VLOOKUP(AS135,اسماء,27,0),"")</f>
        <v>0</v>
      </c>
      <c r="AO124" s="41">
        <f t="shared" ref="AO124:AO125" si="132">SUM(AI124,AK124,AM124)</f>
        <v>120</v>
      </c>
      <c r="AP124" s="44">
        <f t="shared" ref="AP124:AP125" si="133">0.4*AO124</f>
        <v>48</v>
      </c>
      <c r="AQ124" s="2">
        <f t="shared" ref="AQ124:AQ125" si="134">SUM(AJ124,AL124,AN124)</f>
        <v>36</v>
      </c>
      <c r="AR124" s="18"/>
      <c r="AS124" s="106" t="str">
        <f>IF(AJ124=0,"",IF(AJ124&lt;AI124*0.4,AG124,""))</f>
        <v/>
      </c>
      <c r="AT124" s="154" t="str">
        <f>IF(AJ125=0,"",IF(AJ125&lt;AI125*0.4,AG125,""))</f>
        <v/>
      </c>
      <c r="AU124" s="155" t="str">
        <f>IF(AJ126=0,"",IF(AJ126&lt;AI126*0.4,AG126,""))</f>
        <v/>
      </c>
      <c r="AW124" s="115" t="str">
        <f>ادخال1!$F$9</f>
        <v>التربية الإسلامية</v>
      </c>
      <c r="AX124" s="145">
        <f>ادخال1!$F$7</f>
        <v>3</v>
      </c>
      <c r="AY124" s="41">
        <f t="shared" ref="AY124:AY125" si="135">40*AX124*0.3</f>
        <v>36</v>
      </c>
      <c r="AZ124" s="2" t="str">
        <f xml:space="preserve"> IFERROR(VLOOKUP(BI135,اسماء,5,0),"")</f>
        <v/>
      </c>
      <c r="BA124" s="43">
        <f t="shared" ref="BA124:BA125" si="136">40*AX124*0.3</f>
        <v>36</v>
      </c>
      <c r="BB124" s="2" t="str">
        <f>IFERROR(VLOOKUP(BI135,اسماء,16,0),"")</f>
        <v/>
      </c>
      <c r="BC124" s="41">
        <f t="shared" ref="BC124:BC125" si="137">40*AX124*0.4</f>
        <v>48</v>
      </c>
      <c r="BD124" s="2" t="str">
        <f>IFERROR(VLOOKUP(BI135,اسماء,27,0),"")</f>
        <v/>
      </c>
      <c r="BE124" s="41">
        <f t="shared" ref="BE124:BE125" si="138">SUM(AY124,BA124,BC124)</f>
        <v>120</v>
      </c>
      <c r="BF124" s="44">
        <f t="shared" ref="BF124:BF125" si="139">0.4*BE124</f>
        <v>48</v>
      </c>
      <c r="BG124" s="2">
        <f t="shared" ref="BG124:BG125" si="140">SUM(AZ124,BB124,BD124)</f>
        <v>0</v>
      </c>
      <c r="BH124" s="18"/>
      <c r="BI124" s="106" t="str">
        <f>IF(AZ124=0,"",IF(AZ124&lt;AY124*0.4,AW124,""))</f>
        <v/>
      </c>
      <c r="BJ124" s="154" t="str">
        <f>IF(AZ125=0,"",IF(AZ125&lt;AY125*0.4,AW125,""))</f>
        <v/>
      </c>
      <c r="BK124" s="155" t="str">
        <f>IF(AZ126=0,"",IF(AZ126&lt;AY126*0.4,AW126,""))</f>
        <v/>
      </c>
    </row>
    <row r="125" spans="1:63" ht="22.95" customHeight="1" thickBot="1" x14ac:dyDescent="0.3">
      <c r="A125" s="133" t="str">
        <f>ادخال1!$G$9</f>
        <v>اللغة العربية</v>
      </c>
      <c r="B125" s="146">
        <f>ادخال1!$G$7</f>
        <v>6</v>
      </c>
      <c r="C125" s="41">
        <f t="shared" si="117"/>
        <v>72</v>
      </c>
      <c r="D125" s="2">
        <f>IFERROR(VLOOKUP(M135,اسماء,6,0),"")</f>
        <v>64</v>
      </c>
      <c r="E125" s="43">
        <f t="shared" si="118"/>
        <v>72</v>
      </c>
      <c r="F125" s="2">
        <f>IFERROR(VLOOKUP(M135,اسماء,17,0),"")</f>
        <v>0</v>
      </c>
      <c r="G125" s="41">
        <f t="shared" si="119"/>
        <v>96</v>
      </c>
      <c r="H125" s="2">
        <f>IFERROR(VLOOKUP(M135,اسماء,28,0),"")</f>
        <v>0</v>
      </c>
      <c r="I125" s="41">
        <f t="shared" si="120"/>
        <v>240</v>
      </c>
      <c r="J125" s="44">
        <f t="shared" si="121"/>
        <v>96</v>
      </c>
      <c r="K125" s="2">
        <f t="shared" si="122"/>
        <v>64</v>
      </c>
      <c r="L125" s="18"/>
      <c r="M125" s="106" t="str">
        <f>IF(D127=0,"",IF(D127&lt;C127*0.4,A127,""))</f>
        <v/>
      </c>
      <c r="N125" s="154" t="str">
        <f>IF(D128=0,"",IF(D128&lt;C128*0.4,A128,""))</f>
        <v/>
      </c>
      <c r="O125" s="155" t="str">
        <f>IF(D129=0,"",IF(D129&lt;C129*0.4,A129,""))</f>
        <v/>
      </c>
      <c r="Q125" s="133" t="str">
        <f>ادخال1!$G$9</f>
        <v>اللغة العربية</v>
      </c>
      <c r="R125" s="146">
        <f>ادخال1!$G$7</f>
        <v>6</v>
      </c>
      <c r="S125" s="41">
        <f t="shared" si="123"/>
        <v>72</v>
      </c>
      <c r="T125" s="2">
        <f>IFERROR(VLOOKUP(AC135,اسماء,6,0),"")</f>
        <v>71</v>
      </c>
      <c r="U125" s="43">
        <f t="shared" si="124"/>
        <v>72</v>
      </c>
      <c r="V125" s="2">
        <f>IFERROR(VLOOKUP(AC135,اسماء,17,0),"")</f>
        <v>0</v>
      </c>
      <c r="W125" s="41">
        <f t="shared" si="125"/>
        <v>96</v>
      </c>
      <c r="X125" s="2">
        <f>IFERROR(VLOOKUP(AC135,اسماء,28,0),"")</f>
        <v>0</v>
      </c>
      <c r="Y125" s="41">
        <f t="shared" si="126"/>
        <v>240</v>
      </c>
      <c r="Z125" s="44">
        <f t="shared" si="127"/>
        <v>96</v>
      </c>
      <c r="AA125" s="2">
        <f t="shared" si="128"/>
        <v>71</v>
      </c>
      <c r="AB125" s="18"/>
      <c r="AC125" s="106" t="str">
        <f>IF(T127=0,"",IF(T127&lt;S127*0.4,Q127,""))</f>
        <v/>
      </c>
      <c r="AD125" s="154" t="str">
        <f>IF(T128=0,"",IF(T128&lt;S128*0.4,Q128,""))</f>
        <v/>
      </c>
      <c r="AE125" s="155" t="str">
        <f>IF(T129=0,"",IF(T129&lt;S129*0.4,Q129,""))</f>
        <v/>
      </c>
      <c r="AG125" s="133" t="str">
        <f>ادخال1!$G$9</f>
        <v>اللغة العربية</v>
      </c>
      <c r="AH125" s="146">
        <f>ادخال1!$G$7</f>
        <v>6</v>
      </c>
      <c r="AI125" s="41">
        <f t="shared" si="129"/>
        <v>72</v>
      </c>
      <c r="AJ125" s="2">
        <f>IFERROR(VLOOKUP(AS135,اسماء,6,0),"")</f>
        <v>71</v>
      </c>
      <c r="AK125" s="43">
        <f t="shared" si="130"/>
        <v>72</v>
      </c>
      <c r="AL125" s="2">
        <f>IFERROR(VLOOKUP(AS135,اسماء,17,0),"")</f>
        <v>0</v>
      </c>
      <c r="AM125" s="41">
        <f t="shared" si="131"/>
        <v>96</v>
      </c>
      <c r="AN125" s="2">
        <f>IFERROR(VLOOKUP(AS135,اسماء,28,0),"")</f>
        <v>0</v>
      </c>
      <c r="AO125" s="41">
        <f t="shared" si="132"/>
        <v>240</v>
      </c>
      <c r="AP125" s="44">
        <f t="shared" si="133"/>
        <v>96</v>
      </c>
      <c r="AQ125" s="2">
        <f t="shared" si="134"/>
        <v>71</v>
      </c>
      <c r="AR125" s="18"/>
      <c r="AS125" s="106" t="str">
        <f>IF(AJ127=0,"",IF(AJ127&lt;AI127*0.4,AG127,""))</f>
        <v/>
      </c>
      <c r="AT125" s="154" t="str">
        <f>IF(AJ128=0,"",IF(AJ128&lt;AI128*0.4,AG128,""))</f>
        <v/>
      </c>
      <c r="AU125" s="155" t="str">
        <f>IF(AJ129=0,"",IF(AJ129&lt;AI129*0.4,AG129,""))</f>
        <v/>
      </c>
      <c r="AW125" s="133" t="str">
        <f>ادخال1!$G$9</f>
        <v>اللغة العربية</v>
      </c>
      <c r="AX125" s="146">
        <f>ادخال1!$G$7</f>
        <v>6</v>
      </c>
      <c r="AY125" s="41">
        <f t="shared" si="135"/>
        <v>72</v>
      </c>
      <c r="AZ125" s="2" t="str">
        <f>IFERROR(VLOOKUP(BI135,اسماء,6,0),"")</f>
        <v/>
      </c>
      <c r="BA125" s="43">
        <f t="shared" si="136"/>
        <v>72</v>
      </c>
      <c r="BB125" s="2" t="str">
        <f>IFERROR(VLOOKUP(BI135,اسماء,17,0),"")</f>
        <v/>
      </c>
      <c r="BC125" s="41">
        <f t="shared" si="137"/>
        <v>96</v>
      </c>
      <c r="BD125" s="2" t="str">
        <f>IFERROR(VLOOKUP(BI135,اسماء,28,0),"")</f>
        <v/>
      </c>
      <c r="BE125" s="41">
        <f t="shared" si="138"/>
        <v>240</v>
      </c>
      <c r="BF125" s="44">
        <f t="shared" si="139"/>
        <v>96</v>
      </c>
      <c r="BG125" s="2">
        <f t="shared" si="140"/>
        <v>0</v>
      </c>
      <c r="BH125" s="18"/>
      <c r="BI125" s="106" t="str">
        <f>IF(AZ127=0,"",IF(AZ127&lt;AY127*0.4,AW127,""))</f>
        <v/>
      </c>
      <c r="BJ125" s="154" t="str">
        <f>IF(AZ128=0,"",IF(AZ128&lt;AY128*0.4,AW128,""))</f>
        <v/>
      </c>
      <c r="BK125" s="155" t="str">
        <f>IF(AZ129=0,"",IF(AZ129&lt;AY129*0.4,AW129,""))</f>
        <v/>
      </c>
    </row>
    <row r="126" spans="1:63" ht="22.95" customHeight="1" x14ac:dyDescent="0.25">
      <c r="A126" s="133" t="str">
        <f>ادخال1!$H$9</f>
        <v>اللغة الإنجليزية</v>
      </c>
      <c r="B126" s="146">
        <f>ادخال1!$H$7</f>
        <v>3</v>
      </c>
      <c r="C126" s="41">
        <f>40*B126*0.3</f>
        <v>36</v>
      </c>
      <c r="D126" s="2">
        <f>IFERROR(VLOOKUP(M135,اسماء,7,0),"")</f>
        <v>33</v>
      </c>
      <c r="E126" s="43">
        <f>40*B126*0.3</f>
        <v>36</v>
      </c>
      <c r="F126" s="2">
        <f>IFERROR(VLOOKUP(M135,اسماء,18,0),"")</f>
        <v>0</v>
      </c>
      <c r="G126" s="41">
        <f>40*B126*0.4</f>
        <v>48</v>
      </c>
      <c r="H126" s="2">
        <f>IFERROR(VLOOKUP(M135,اسماء,29,0),"")</f>
        <v>0</v>
      </c>
      <c r="I126" s="41">
        <f>SUM(C126,E126,G126)</f>
        <v>120</v>
      </c>
      <c r="J126" s="44">
        <f>0.4*I126</f>
        <v>48</v>
      </c>
      <c r="K126" s="2">
        <f>SUM(D126,F126,H126)</f>
        <v>33</v>
      </c>
      <c r="L126" s="18"/>
      <c r="M126" s="105" t="s">
        <v>82</v>
      </c>
      <c r="N126" s="489" t="str">
        <f>IF(F130=0,"",IF(AND(F124&gt;=E124*0.4,F125&gt;=E125*0.4,F126&gt;=E126*0.4,F127&gt;=E127*0.4,F128&gt;=E128*0.4),LOOKUP(F130,'الصحيفة النهائية'!$BO$15:$BP$19),"ضعيف ويحتاج الى اهتمام في المواد"))</f>
        <v/>
      </c>
      <c r="O126" s="565"/>
      <c r="Q126" s="133" t="str">
        <f>ادخال1!$H$9</f>
        <v>اللغة الإنجليزية</v>
      </c>
      <c r="R126" s="146">
        <f>ادخال1!$H$7</f>
        <v>3</v>
      </c>
      <c r="S126" s="41">
        <f>40*R126*0.3</f>
        <v>36</v>
      </c>
      <c r="T126" s="2">
        <f>IFERROR(VLOOKUP(AC135,اسماء,7,0),"")</f>
        <v>33</v>
      </c>
      <c r="U126" s="43">
        <f>40*R126*0.3</f>
        <v>36</v>
      </c>
      <c r="V126" s="2">
        <f>IFERROR(VLOOKUP(AC135,اسماء,18,0),"")</f>
        <v>0</v>
      </c>
      <c r="W126" s="41">
        <f>40*R126*0.4</f>
        <v>48</v>
      </c>
      <c r="X126" s="2">
        <f>IFERROR(VLOOKUP(AC135,اسماء,29,0),"")</f>
        <v>0</v>
      </c>
      <c r="Y126" s="41">
        <f>SUM(S126,U126,W126)</f>
        <v>120</v>
      </c>
      <c r="Z126" s="44">
        <f>0.4*Y126</f>
        <v>48</v>
      </c>
      <c r="AA126" s="2">
        <f>SUM(T126,V126,X126)</f>
        <v>33</v>
      </c>
      <c r="AB126" s="18"/>
      <c r="AC126" s="105" t="s">
        <v>82</v>
      </c>
      <c r="AD126" s="489" t="str">
        <f>IF(V130=0,"",IF(AND(V124&gt;=U124*0.4,V125&gt;=U125*0.4,V126&gt;=U126*0.4,V127&gt;=U127*0.4,V128&gt;=U128*0.4),LOOKUP(V130,'الصحيفة النهائية'!$BO$15:$BP$19),"ضعيف ويحتاج الى اهتمام في المواد"))</f>
        <v/>
      </c>
      <c r="AE126" s="565"/>
      <c r="AG126" s="133" t="str">
        <f>ادخال1!$H$9</f>
        <v>اللغة الإنجليزية</v>
      </c>
      <c r="AH126" s="146">
        <f>ادخال1!$H$7</f>
        <v>3</v>
      </c>
      <c r="AI126" s="41">
        <f>40*AH126*0.3</f>
        <v>36</v>
      </c>
      <c r="AJ126" s="2">
        <f>IFERROR(VLOOKUP(AS135,اسماء,7,0),"")</f>
        <v>34</v>
      </c>
      <c r="AK126" s="43">
        <f>40*AH126*0.3</f>
        <v>36</v>
      </c>
      <c r="AL126" s="2">
        <f>IFERROR(VLOOKUP(AS135,اسماء,18,0),"")</f>
        <v>0</v>
      </c>
      <c r="AM126" s="41">
        <f>40*AH126*0.4</f>
        <v>48</v>
      </c>
      <c r="AN126" s="2">
        <f>IFERROR(VLOOKUP(AS135,اسماء,29,0),"")</f>
        <v>0</v>
      </c>
      <c r="AO126" s="41">
        <f>SUM(AI126,AK126,AM126)</f>
        <v>120</v>
      </c>
      <c r="AP126" s="44">
        <f>0.4*AO126</f>
        <v>48</v>
      </c>
      <c r="AQ126" s="2">
        <f>SUM(AJ126,AL126,AN126)</f>
        <v>34</v>
      </c>
      <c r="AR126" s="18"/>
      <c r="AS126" s="105" t="s">
        <v>82</v>
      </c>
      <c r="AT126" s="489" t="str">
        <f>IF(AL130=0,"",IF(AND(AL124&gt;=AK124*0.4,AL125&gt;=AK125*0.4,AL126&gt;=AK126*0.4,AL127&gt;=AK127*0.4,AL128&gt;=AK128*0.4),LOOKUP(AL130,'الصحيفة النهائية'!$BO$15:$BP$19),"ضعيف ويحتاج الى اهتمام في المواد"))</f>
        <v/>
      </c>
      <c r="AU126" s="565"/>
      <c r="AW126" s="133" t="str">
        <f>ادخال1!$H$9</f>
        <v>اللغة الإنجليزية</v>
      </c>
      <c r="AX126" s="146">
        <f>ادخال1!$H$7</f>
        <v>3</v>
      </c>
      <c r="AY126" s="41">
        <f>40*AX126*0.3</f>
        <v>36</v>
      </c>
      <c r="AZ126" s="2" t="str">
        <f>IFERROR(VLOOKUP(BI135,اسماء,7,0),"")</f>
        <v/>
      </c>
      <c r="BA126" s="43">
        <f>40*AX126*0.3</f>
        <v>36</v>
      </c>
      <c r="BB126" s="2" t="str">
        <f>IFERROR(VLOOKUP(BI135,اسماء,18,0),"")</f>
        <v/>
      </c>
      <c r="BC126" s="41">
        <f>40*AX126*0.4</f>
        <v>48</v>
      </c>
      <c r="BD126" s="2" t="str">
        <f>IFERROR(VLOOKUP(BI135,اسماء,29,0),"")</f>
        <v/>
      </c>
      <c r="BE126" s="41">
        <f>SUM(AY126,BA126,BC126)</f>
        <v>120</v>
      </c>
      <c r="BF126" s="44">
        <f>0.4*BE126</f>
        <v>48</v>
      </c>
      <c r="BG126" s="2">
        <f>SUM(AZ126,BB126,BD126)</f>
        <v>0</v>
      </c>
      <c r="BH126" s="18"/>
      <c r="BI126" s="105" t="s">
        <v>82</v>
      </c>
      <c r="BJ126" s="489" t="str">
        <f>IF(BB130=0,"",IF(AND(BB124&gt;=BA124*0.4,BB125&gt;=BA125*0.4,BB126&gt;=BA126*0.4,BB127&gt;=BA127*0.4,BB128&gt;=BA128*0.4),LOOKUP(BB130,'الصحيفة النهائية'!$BO$15:$BP$19),"ضعيف ويحتاج الى اهتمام في المواد"))</f>
        <v/>
      </c>
      <c r="BK126" s="565"/>
    </row>
    <row r="127" spans="1:63" ht="22.95" customHeight="1" x14ac:dyDescent="0.25">
      <c r="A127" s="133" t="str">
        <f>ادخال1!$I$9</f>
        <v>الحاسوب</v>
      </c>
      <c r="B127" s="146">
        <f>ادخال1!$I$7</f>
        <v>1</v>
      </c>
      <c r="C127" s="41">
        <f>40*B127*0.3</f>
        <v>12</v>
      </c>
      <c r="D127" s="2">
        <f>IFERROR(VLOOKUP(M135,اسماء,8,0),"")</f>
        <v>11</v>
      </c>
      <c r="E127" s="43">
        <f>40*B127*0.3</f>
        <v>12</v>
      </c>
      <c r="F127" s="2">
        <f>IFERROR(VLOOKUP(M135,اسماء,19,0),"")</f>
        <v>0</v>
      </c>
      <c r="G127" s="41">
        <f>40*B127*0.4</f>
        <v>16</v>
      </c>
      <c r="H127" s="2">
        <f>IFERROR(VLOOKUP(M135,اسماء,30,0),"")</f>
        <v>0</v>
      </c>
      <c r="I127" s="41">
        <f>SUM(C127,E127,G127)</f>
        <v>40</v>
      </c>
      <c r="J127" s="44">
        <f>0.4*I127</f>
        <v>16</v>
      </c>
      <c r="K127" s="2">
        <f>SUM(D127,F127,H127)</f>
        <v>11</v>
      </c>
      <c r="L127" s="18"/>
      <c r="M127" s="106" t="str">
        <f>IF(F124=0,"",IF(F124&lt;E124*0.4,A124,""))</f>
        <v/>
      </c>
      <c r="N127" s="154" t="str">
        <f>IF(F125=0,"",IF(F125&lt;E125*0.4,A125,""))</f>
        <v/>
      </c>
      <c r="O127" s="155" t="str">
        <f>IF(F126=0,"",IF(F126&lt;E126*0.4,A126,""))</f>
        <v/>
      </c>
      <c r="Q127" s="133" t="str">
        <f>ادخال1!$I$9</f>
        <v>الحاسوب</v>
      </c>
      <c r="R127" s="146">
        <f>ادخال1!$I$7</f>
        <v>1</v>
      </c>
      <c r="S127" s="41">
        <f>40*R127*0.3</f>
        <v>12</v>
      </c>
      <c r="T127" s="2">
        <f>IFERROR(VLOOKUP(AC135,اسماء,8,0),"")</f>
        <v>12</v>
      </c>
      <c r="U127" s="43">
        <f>40*R127*0.3</f>
        <v>12</v>
      </c>
      <c r="V127" s="2">
        <f>IFERROR(VLOOKUP(AC135,اسماء,19,0),"")</f>
        <v>0</v>
      </c>
      <c r="W127" s="41">
        <f>40*R127*0.4</f>
        <v>16</v>
      </c>
      <c r="X127" s="2">
        <f>IFERROR(VLOOKUP(AC135,اسماء,30,0),"")</f>
        <v>0</v>
      </c>
      <c r="Y127" s="41">
        <f>SUM(S127,U127,W127)</f>
        <v>40</v>
      </c>
      <c r="Z127" s="44">
        <f>0.4*Y127</f>
        <v>16</v>
      </c>
      <c r="AA127" s="2">
        <f>SUM(T127,V127,X127)</f>
        <v>12</v>
      </c>
      <c r="AB127" s="18"/>
      <c r="AC127" s="106" t="str">
        <f>IF(V124=0,"",IF(V124&lt;U124*0.4,Q124,""))</f>
        <v/>
      </c>
      <c r="AD127" s="154" t="str">
        <f>IF(V125=0,"",IF(V125&lt;U125*0.4,Q125,""))</f>
        <v/>
      </c>
      <c r="AE127" s="155" t="str">
        <f>IF(V126=0,"",IF(V126&lt;U126*0.4,Q126,""))</f>
        <v/>
      </c>
      <c r="AG127" s="133" t="str">
        <f>ادخال1!$I$9</f>
        <v>الحاسوب</v>
      </c>
      <c r="AH127" s="146">
        <f>ادخال1!$I$7</f>
        <v>1</v>
      </c>
      <c r="AI127" s="41">
        <f>40*AH127*0.3</f>
        <v>12</v>
      </c>
      <c r="AJ127" s="2">
        <f>IFERROR(VLOOKUP(AS135,اسماء,8,0),"")</f>
        <v>12</v>
      </c>
      <c r="AK127" s="43">
        <f>40*AH127*0.3</f>
        <v>12</v>
      </c>
      <c r="AL127" s="2">
        <f>IFERROR(VLOOKUP(AS135,اسماء,19,0),"")</f>
        <v>0</v>
      </c>
      <c r="AM127" s="41">
        <f>40*AH127*0.4</f>
        <v>16</v>
      </c>
      <c r="AN127" s="2">
        <f>IFERROR(VLOOKUP(AS135,اسماء,30,0),"")</f>
        <v>0</v>
      </c>
      <c r="AO127" s="41">
        <f>SUM(AI127,AK127,AM127)</f>
        <v>40</v>
      </c>
      <c r="AP127" s="44">
        <f>0.4*AO127</f>
        <v>16</v>
      </c>
      <c r="AQ127" s="2">
        <f>SUM(AJ127,AL127,AN127)</f>
        <v>12</v>
      </c>
      <c r="AR127" s="18"/>
      <c r="AS127" s="106" t="str">
        <f>IF(AL124=0,"",IF(AL124&lt;AK124*0.4,AG124,""))</f>
        <v/>
      </c>
      <c r="AT127" s="154" t="str">
        <f>IF(AL125=0,"",IF(AL125&lt;AK125*0.4,AG125,""))</f>
        <v/>
      </c>
      <c r="AU127" s="155" t="str">
        <f>IF(AL126=0,"",IF(AL126&lt;AK126*0.4,AG126,""))</f>
        <v/>
      </c>
      <c r="AW127" s="133" t="str">
        <f>ادخال1!$I$9</f>
        <v>الحاسوب</v>
      </c>
      <c r="AX127" s="146">
        <f>ادخال1!$I$7</f>
        <v>1</v>
      </c>
      <c r="AY127" s="41">
        <f>40*AX127*0.3</f>
        <v>12</v>
      </c>
      <c r="AZ127" s="2" t="str">
        <f>IFERROR(VLOOKUP(BI135,اسماء,8,0),"")</f>
        <v/>
      </c>
      <c r="BA127" s="43">
        <f>40*AX127*0.3</f>
        <v>12</v>
      </c>
      <c r="BB127" s="2" t="str">
        <f>IFERROR(VLOOKUP(BI135,اسماء,19,0),"")</f>
        <v/>
      </c>
      <c r="BC127" s="41">
        <f>40*AX127*0.4</f>
        <v>16</v>
      </c>
      <c r="BD127" s="2" t="str">
        <f>IFERROR(VLOOKUP(BI135,اسماء,30,0),"")</f>
        <v/>
      </c>
      <c r="BE127" s="41">
        <f>SUM(AY127,BA127,BC127)</f>
        <v>40</v>
      </c>
      <c r="BF127" s="44">
        <f>0.4*BE127</f>
        <v>16</v>
      </c>
      <c r="BG127" s="2">
        <f>SUM(AZ127,BB127,BD127)</f>
        <v>0</v>
      </c>
      <c r="BH127" s="18"/>
      <c r="BI127" s="106" t="str">
        <f>IF(BB124=0,"",IF(BB124&lt;BA124*0.4,AW124,""))</f>
        <v/>
      </c>
      <c r="BJ127" s="154" t="str">
        <f>IF(BB125=0,"",IF(BB125&lt;BA125*0.4,AW125,""))</f>
        <v/>
      </c>
      <c r="BK127" s="155" t="str">
        <f>IF(BB126=0,"",IF(BB126&lt;BA126*0.4,AW126,""))</f>
        <v/>
      </c>
    </row>
    <row r="128" spans="1:63" ht="22.95" customHeight="1" x14ac:dyDescent="0.25">
      <c r="A128" s="113" t="str">
        <f>ادخال1!$J$9</f>
        <v>الرياضيات</v>
      </c>
      <c r="B128" s="147">
        <f>ادخال1!$J$7</f>
        <v>5</v>
      </c>
      <c r="C128" s="41">
        <f>40*B128*0.3</f>
        <v>60</v>
      </c>
      <c r="D128" s="2">
        <f>IFERROR(VLOOKUP(M135,اسماء,9,0),"")</f>
        <v>49</v>
      </c>
      <c r="E128" s="43">
        <f>40*B128*0.3</f>
        <v>60</v>
      </c>
      <c r="F128" s="2">
        <f>IFERROR(VLOOKUP(M135,اسماء,20,0),"")</f>
        <v>0</v>
      </c>
      <c r="G128" s="41">
        <f>40*B128*0.4</f>
        <v>80</v>
      </c>
      <c r="H128" s="2">
        <f>IFERROR(VLOOKUP(M135,اسماء,31,0),"")</f>
        <v>0</v>
      </c>
      <c r="I128" s="41">
        <f>SUM(C128,E128,G128)</f>
        <v>200</v>
      </c>
      <c r="J128" s="44">
        <f>0.4*I128</f>
        <v>80</v>
      </c>
      <c r="K128" s="2">
        <f>SUM(D128,F128,H128)</f>
        <v>49</v>
      </c>
      <c r="L128" s="18"/>
      <c r="M128" s="106" t="str">
        <f>IF(F127=0,"",IF(F127&lt;E127*0.4,A127,""))</f>
        <v/>
      </c>
      <c r="N128" s="154" t="str">
        <f>IF(F128=0,"",IF(F128&lt;E128*0.4,A128,""))</f>
        <v/>
      </c>
      <c r="O128" s="154" t="str">
        <f>IF(F129=0,"",IF(F129&lt;E129*0.4,A129,""))</f>
        <v/>
      </c>
      <c r="Q128" s="113" t="str">
        <f>ادخال1!$J$9</f>
        <v>الرياضيات</v>
      </c>
      <c r="R128" s="147">
        <f>ادخال1!$J$7</f>
        <v>5</v>
      </c>
      <c r="S128" s="41">
        <f>40*R128*0.3</f>
        <v>60</v>
      </c>
      <c r="T128" s="2">
        <f>IFERROR(VLOOKUP(AC135,اسماء,9,0),"")</f>
        <v>55</v>
      </c>
      <c r="U128" s="43">
        <f>40*R128*0.3</f>
        <v>60</v>
      </c>
      <c r="V128" s="2">
        <f>IFERROR(VLOOKUP(AC135,اسماء,20,0),"")</f>
        <v>0</v>
      </c>
      <c r="W128" s="41">
        <f>40*R128*0.4</f>
        <v>80</v>
      </c>
      <c r="X128" s="2">
        <f>IFERROR(VLOOKUP(AC135,اسماء,31,0),"")</f>
        <v>0</v>
      </c>
      <c r="Y128" s="41">
        <f>SUM(S128,U128,W128)</f>
        <v>200</v>
      </c>
      <c r="Z128" s="44">
        <f>0.4*Y128</f>
        <v>80</v>
      </c>
      <c r="AA128" s="2">
        <f>SUM(T128,V128,X128)</f>
        <v>55</v>
      </c>
      <c r="AB128" s="18"/>
      <c r="AC128" s="106" t="str">
        <f>IF(V127=0,"",IF(V127&lt;U127*0.4,Q127,""))</f>
        <v/>
      </c>
      <c r="AD128" s="154" t="str">
        <f>IF(V128=0,"",IF(V128&lt;U128*0.4,Q128,""))</f>
        <v/>
      </c>
      <c r="AE128" s="154" t="str">
        <f>IF(V129=0,"",IF(V129&lt;U129*0.4,Q129,""))</f>
        <v/>
      </c>
      <c r="AG128" s="113" t="str">
        <f>ادخال1!$J$9</f>
        <v>الرياضيات</v>
      </c>
      <c r="AH128" s="147">
        <f>ادخال1!$J$7</f>
        <v>5</v>
      </c>
      <c r="AI128" s="41">
        <f>40*AH128*0.3</f>
        <v>60</v>
      </c>
      <c r="AJ128" s="2">
        <f>IFERROR(VLOOKUP(AS135,اسماء,9,0),"")</f>
        <v>56</v>
      </c>
      <c r="AK128" s="43">
        <f>40*AH128*0.3</f>
        <v>60</v>
      </c>
      <c r="AL128" s="2">
        <f>IFERROR(VLOOKUP(AS135,اسماء,20,0),"")</f>
        <v>0</v>
      </c>
      <c r="AM128" s="41">
        <f>40*AH128*0.4</f>
        <v>80</v>
      </c>
      <c r="AN128" s="2">
        <f>IFERROR(VLOOKUP(AS135,اسماء,31,0),"")</f>
        <v>0</v>
      </c>
      <c r="AO128" s="41">
        <f>SUM(AI128,AK128,AM128)</f>
        <v>200</v>
      </c>
      <c r="AP128" s="44">
        <f>0.4*AO128</f>
        <v>80</v>
      </c>
      <c r="AQ128" s="2">
        <f>SUM(AJ128,AL128,AN128)</f>
        <v>56</v>
      </c>
      <c r="AR128" s="18"/>
      <c r="AS128" s="106" t="str">
        <f>IF(AL127=0,"",IF(AL127&lt;AK127*0.4,AG127,""))</f>
        <v/>
      </c>
      <c r="AT128" s="154" t="str">
        <f>IF(AL128=0,"",IF(AL128&lt;AK128*0.4,AG128,""))</f>
        <v/>
      </c>
      <c r="AU128" s="154" t="str">
        <f>IF(AL129=0,"",IF(AL129&lt;AK129*0.4,AG129,""))</f>
        <v/>
      </c>
      <c r="AW128" s="113" t="str">
        <f>ادخال1!$J$9</f>
        <v>الرياضيات</v>
      </c>
      <c r="AX128" s="147">
        <f>ادخال1!$J$7</f>
        <v>5</v>
      </c>
      <c r="AY128" s="41">
        <f>40*AX128*0.3</f>
        <v>60</v>
      </c>
      <c r="AZ128" s="2" t="str">
        <f>IFERROR(VLOOKUP(BI135,اسماء,9,0),"")</f>
        <v/>
      </c>
      <c r="BA128" s="43">
        <f>40*AX128*0.3</f>
        <v>60</v>
      </c>
      <c r="BB128" s="2" t="str">
        <f>IFERROR(VLOOKUP(BI135,اسماء,20,0),"")</f>
        <v/>
      </c>
      <c r="BC128" s="41">
        <f>40*AX128*0.4</f>
        <v>80</v>
      </c>
      <c r="BD128" s="2" t="str">
        <f>IFERROR(VLOOKUP(BI135,اسماء,31,0),"")</f>
        <v/>
      </c>
      <c r="BE128" s="41">
        <f>SUM(AY128,BA128,BC128)</f>
        <v>200</v>
      </c>
      <c r="BF128" s="44">
        <f>0.4*BE128</f>
        <v>80</v>
      </c>
      <c r="BG128" s="2">
        <f>SUM(AZ128,BB128,BD128)</f>
        <v>0</v>
      </c>
      <c r="BH128" s="18"/>
      <c r="BI128" s="106" t="str">
        <f>IF(BB127=0,"",IF(BB127&lt;BA127*0.4,AW127,""))</f>
        <v/>
      </c>
      <c r="BJ128" s="154" t="str">
        <f>IF(BB128=0,"",IF(BB128&lt;BA128*0.4,AW128,""))</f>
        <v/>
      </c>
      <c r="BK128" s="154" t="str">
        <f>IF(BB129=0,"",IF(BB129&lt;BA129*0.4,AW129,""))</f>
        <v/>
      </c>
    </row>
    <row r="129" spans="1:63" ht="22.95" customHeight="1" thickBot="1" x14ac:dyDescent="0.3">
      <c r="A129" s="113" t="str">
        <f>ادخال1!$K$9</f>
        <v>العلوم</v>
      </c>
      <c r="B129" s="147">
        <f>ادخال1!$K$7</f>
        <v>3</v>
      </c>
      <c r="C129" s="41">
        <f>40*B129*0.3</f>
        <v>36</v>
      </c>
      <c r="D129" s="2">
        <f>IFERROR(VLOOKUP(M135,اسماء,10,0),"")</f>
        <v>36</v>
      </c>
      <c r="E129" s="43">
        <f>40*B129*0.3</f>
        <v>36</v>
      </c>
      <c r="F129" s="2">
        <f>IFERROR(VLOOKUP(M135,اسماء,21,0),"")</f>
        <v>0</v>
      </c>
      <c r="G129" s="41">
        <f>40*B129*0.4</f>
        <v>48</v>
      </c>
      <c r="H129" s="2">
        <f>IFERROR(VLOOKUP(M135,اسماء,32,0),"")</f>
        <v>0</v>
      </c>
      <c r="I129" s="41">
        <f>SUM(C129,E129,G129)</f>
        <v>120</v>
      </c>
      <c r="J129" s="44">
        <f>0.4*I129</f>
        <v>48</v>
      </c>
      <c r="K129" s="2">
        <f>SUM(D129,F129,H129)</f>
        <v>36</v>
      </c>
      <c r="L129" s="18"/>
      <c r="M129" s="106" t="str">
        <f>IF(F128=0,"",IF(F128&lt;E128*0.4,A128,""))</f>
        <v/>
      </c>
      <c r="N129" s="154" t="str">
        <f>IF(F129=0,"",IF(F129&lt;E129*0.4,A129,""))</f>
        <v/>
      </c>
      <c r="O129" s="155"/>
      <c r="Q129" s="113" t="str">
        <f>ادخال1!$K$9</f>
        <v>العلوم</v>
      </c>
      <c r="R129" s="147">
        <f>ادخال1!$K$7</f>
        <v>3</v>
      </c>
      <c r="S129" s="41">
        <f>40*R129*0.3</f>
        <v>36</v>
      </c>
      <c r="T129" s="2">
        <f>IFERROR(VLOOKUP(AC135,اسماء,10,0),"")</f>
        <v>35</v>
      </c>
      <c r="U129" s="43">
        <f>40*R129*0.3</f>
        <v>36</v>
      </c>
      <c r="V129" s="2">
        <f>IFERROR(VLOOKUP(AC135,اسماء,21,0),"")</f>
        <v>0</v>
      </c>
      <c r="W129" s="41">
        <f>40*R129*0.4</f>
        <v>48</v>
      </c>
      <c r="X129" s="2">
        <f>IFERROR(VLOOKUP(AC135,اسماء,32,0),"")</f>
        <v>0</v>
      </c>
      <c r="Y129" s="41">
        <f>SUM(S129,U129,W129)</f>
        <v>120</v>
      </c>
      <c r="Z129" s="44">
        <f>0.4*Y129</f>
        <v>48</v>
      </c>
      <c r="AA129" s="2">
        <f>SUM(T129,V129,X129)</f>
        <v>35</v>
      </c>
      <c r="AB129" s="18"/>
      <c r="AC129" s="106" t="str">
        <f>IF(V128=0,"",IF(V128&lt;U128*0.4,Q128,""))</f>
        <v/>
      </c>
      <c r="AD129" s="154" t="str">
        <f>IF(V129=0,"",IF(V129&lt;U129*0.4,Q129,""))</f>
        <v/>
      </c>
      <c r="AE129" s="155"/>
      <c r="AG129" s="113" t="str">
        <f>ادخال1!$K$9</f>
        <v>العلوم</v>
      </c>
      <c r="AH129" s="147">
        <f>ادخال1!$K$7</f>
        <v>3</v>
      </c>
      <c r="AI129" s="41">
        <f>40*AH129*0.3</f>
        <v>36</v>
      </c>
      <c r="AJ129" s="2">
        <f>IFERROR(VLOOKUP(AS135,اسماء,10,0),"")</f>
        <v>35</v>
      </c>
      <c r="AK129" s="43">
        <f>40*AH129*0.3</f>
        <v>36</v>
      </c>
      <c r="AL129" s="2">
        <f>IFERROR(VLOOKUP(AS135,اسماء,21,0),"")</f>
        <v>0</v>
      </c>
      <c r="AM129" s="41">
        <f>40*AH129*0.4</f>
        <v>48</v>
      </c>
      <c r="AN129" s="2">
        <f>IFERROR(VLOOKUP(AS135,اسماء,32,0),"")</f>
        <v>0</v>
      </c>
      <c r="AO129" s="41">
        <f>SUM(AI129,AK129,AM129)</f>
        <v>120</v>
      </c>
      <c r="AP129" s="44">
        <f>0.4*AO129</f>
        <v>48</v>
      </c>
      <c r="AQ129" s="2">
        <f>SUM(AJ129,AL129,AN129)</f>
        <v>35</v>
      </c>
      <c r="AR129" s="18"/>
      <c r="AS129" s="106" t="str">
        <f>IF(AL128=0,"",IF(AL128&lt;AK128*0.4,AG128,""))</f>
        <v/>
      </c>
      <c r="AT129" s="154" t="str">
        <f>IF(AL129=0,"",IF(AL129&lt;AK129*0.4,AG129,""))</f>
        <v/>
      </c>
      <c r="AU129" s="155"/>
      <c r="AW129" s="113" t="str">
        <f>ادخال1!$K$9</f>
        <v>العلوم</v>
      </c>
      <c r="AX129" s="147">
        <f>ادخال1!$K$7</f>
        <v>3</v>
      </c>
      <c r="AY129" s="41">
        <f>40*AX129*0.3</f>
        <v>36</v>
      </c>
      <c r="AZ129" s="2" t="str">
        <f>IFERROR(VLOOKUP(BI135,اسماء,10,0),"")</f>
        <v/>
      </c>
      <c r="BA129" s="43">
        <f>40*AX129*0.3</f>
        <v>36</v>
      </c>
      <c r="BB129" s="2" t="str">
        <f>IFERROR(VLOOKUP(BI135,اسماء,21,0),"")</f>
        <v/>
      </c>
      <c r="BC129" s="41">
        <f>40*AX129*0.4</f>
        <v>48</v>
      </c>
      <c r="BD129" s="2" t="str">
        <f>IFERROR(VLOOKUP(BI135,اسماء,32,0),"")</f>
        <v/>
      </c>
      <c r="BE129" s="41">
        <f>SUM(AY129,BA129,BC129)</f>
        <v>120</v>
      </c>
      <c r="BF129" s="44">
        <f>0.4*BE129</f>
        <v>48</v>
      </c>
      <c r="BG129" s="2">
        <f>SUM(AZ129,BB129,BD129)</f>
        <v>0</v>
      </c>
      <c r="BH129" s="18"/>
      <c r="BI129" s="106" t="str">
        <f>IF(BB128=0,"",IF(BB128&lt;BA128*0.4,AW128,""))</f>
        <v/>
      </c>
      <c r="BJ129" s="154" t="str">
        <f>IF(BB129=0,"",IF(BB129&lt;BA129*0.4,AW129,""))</f>
        <v/>
      </c>
      <c r="BK129" s="155"/>
    </row>
    <row r="130" spans="1:63" ht="30" customHeight="1" thickBot="1" x14ac:dyDescent="0.3">
      <c r="A130" s="58" t="s">
        <v>56</v>
      </c>
      <c r="B130" s="148"/>
      <c r="C130" s="42">
        <f t="shared" ref="C130" si="141">SUM(C124:C128)</f>
        <v>216</v>
      </c>
      <c r="D130" s="114">
        <f>SUM(D124:D129)</f>
        <v>224</v>
      </c>
      <c r="E130" s="42">
        <f t="shared" ref="E130" si="142">SUM(E124:E128)</f>
        <v>216</v>
      </c>
      <c r="F130" s="114">
        <f>SUM(F124:F129)</f>
        <v>0</v>
      </c>
      <c r="G130" s="42">
        <f t="shared" ref="G130" si="143">SUM(G124:G128)</f>
        <v>288</v>
      </c>
      <c r="H130" s="114">
        <f>SUM(H124:H129)</f>
        <v>0</v>
      </c>
      <c r="I130" s="42">
        <f t="shared" ref="I130" si="144">SUM(I124:I128)</f>
        <v>720</v>
      </c>
      <c r="J130" s="45"/>
      <c r="K130" s="3">
        <f>IF(AND(K124&gt;=J124,K125&gt;=J125,K126&gt;=J126,K127&gt;=J127,K128&gt;=J128,K129&gt;=J129),SUM(K124:K129),0)</f>
        <v>0</v>
      </c>
      <c r="L130" s="18"/>
      <c r="M130" s="105" t="s">
        <v>110</v>
      </c>
      <c r="N130" s="489" t="str">
        <f>IF(H130=0,"",IF(AND(H124&gt;=G124*0.4,H125&gt;=G125*0.4,H126&gt;=G126*0.4,H127&gt;=G127*0.4,H128&gt;=G128*0.4),LOOKUP(H130,'الصحيفة النهائية'!$BO$8:$BP$13),"ضعيف ويحتاج الى اهتمام في المواد"))</f>
        <v/>
      </c>
      <c r="O130" s="490"/>
      <c r="Q130" s="58" t="s">
        <v>56</v>
      </c>
      <c r="R130" s="148"/>
      <c r="S130" s="42">
        <f t="shared" ref="S130" si="145">SUM(S124:S128)</f>
        <v>216</v>
      </c>
      <c r="T130" s="114">
        <f>SUM(T124:T129)</f>
        <v>242</v>
      </c>
      <c r="U130" s="42">
        <f t="shared" ref="U130" si="146">SUM(U124:U128)</f>
        <v>216</v>
      </c>
      <c r="V130" s="114">
        <f>SUM(V124:V129)</f>
        <v>0</v>
      </c>
      <c r="W130" s="42">
        <f t="shared" ref="W130" si="147">SUM(W124:W128)</f>
        <v>288</v>
      </c>
      <c r="X130" s="114">
        <f>SUM(X124:X129)</f>
        <v>0</v>
      </c>
      <c r="Y130" s="42">
        <f t="shared" ref="Y130" si="148">SUM(Y124:Y128)</f>
        <v>720</v>
      </c>
      <c r="Z130" s="45"/>
      <c r="AA130" s="3">
        <f>IF(AND(AA124&gt;=Z124,AA125&gt;=Z125,AA126&gt;=Z126,AA127&gt;=Z127,AA128&gt;=Z128,AA129&gt;=Z129),SUM(AA124:AA129),0)</f>
        <v>0</v>
      </c>
      <c r="AB130" s="18"/>
      <c r="AC130" s="105" t="s">
        <v>110</v>
      </c>
      <c r="AD130" s="489" t="str">
        <f>IF(X130=0,"",IF(AND(X124&gt;=W124*0.4,X125&gt;=W125*0.4,X126&gt;=W126*0.4,X127&gt;=W127*0.4,X128&gt;=W128*0.4),LOOKUP(X130,'الصحيفة النهائية'!$BO$8:$BP$13),"ضعيف ويحتاج الى اهتمام في المواد"))</f>
        <v/>
      </c>
      <c r="AE130" s="490"/>
      <c r="AF130" s="65"/>
      <c r="AG130" s="58" t="s">
        <v>56</v>
      </c>
      <c r="AH130" s="148"/>
      <c r="AI130" s="42">
        <f t="shared" ref="AI130" si="149">SUM(AI124:AI128)</f>
        <v>216</v>
      </c>
      <c r="AJ130" s="114">
        <f>SUM(AJ124:AJ129)</f>
        <v>244</v>
      </c>
      <c r="AK130" s="42">
        <f t="shared" ref="AK130" si="150">SUM(AK124:AK128)</f>
        <v>216</v>
      </c>
      <c r="AL130" s="114">
        <f>SUM(AL124:AL129)</f>
        <v>0</v>
      </c>
      <c r="AM130" s="42">
        <f t="shared" ref="AM130" si="151">SUM(AM124:AM128)</f>
        <v>288</v>
      </c>
      <c r="AN130" s="114">
        <f>SUM(AN124:AN129)</f>
        <v>0</v>
      </c>
      <c r="AO130" s="42">
        <f t="shared" ref="AO130" si="152">SUM(AO124:AO128)</f>
        <v>720</v>
      </c>
      <c r="AP130" s="45"/>
      <c r="AQ130" s="3">
        <f>IF(AND(AQ124&gt;=AP124,AQ125&gt;=AP125,AQ126&gt;=AP126,AQ127&gt;=AP127,AQ128&gt;=AP128,AQ129&gt;=AP129),SUM(AQ124:AQ129),0)</f>
        <v>0</v>
      </c>
      <c r="AR130" s="18"/>
      <c r="AS130" s="105" t="s">
        <v>110</v>
      </c>
      <c r="AT130" s="489" t="str">
        <f>IF(AN130=0,"",IF(AND(AN124&gt;=AM124*0.4,AN125&gt;=AM125*0.4,AN126&gt;=AM126*0.4,AN127&gt;=AM127*0.4,AN128&gt;=AM128*0.4),LOOKUP(AN130,'الصحيفة النهائية'!$BO$8:$BP$13),"ضعيف ويحتاج الى اهتمام في المواد"))</f>
        <v/>
      </c>
      <c r="AU130" s="490"/>
      <c r="AW130" s="58" t="s">
        <v>56</v>
      </c>
      <c r="AX130" s="148"/>
      <c r="AY130" s="42">
        <f t="shared" ref="AY130" si="153">SUM(AY124:AY128)</f>
        <v>216</v>
      </c>
      <c r="AZ130" s="114">
        <f>SUM(AZ124:AZ129)</f>
        <v>0</v>
      </c>
      <c r="BA130" s="42">
        <f t="shared" ref="BA130" si="154">SUM(BA124:BA128)</f>
        <v>216</v>
      </c>
      <c r="BB130" s="114">
        <f>SUM(BB124:BB129)</f>
        <v>0</v>
      </c>
      <c r="BC130" s="42">
        <f t="shared" ref="BC130" si="155">SUM(BC124:BC128)</f>
        <v>288</v>
      </c>
      <c r="BD130" s="114">
        <f>SUM(BD124:BD129)</f>
        <v>0</v>
      </c>
      <c r="BE130" s="42">
        <f t="shared" ref="BE130" si="156">SUM(BE124:BE128)</f>
        <v>720</v>
      </c>
      <c r="BF130" s="45"/>
      <c r="BG130" s="3">
        <f>IF(AND(BG124&gt;=BF124,BG125&gt;=BF125,BG126&gt;=BF126,BG127&gt;=BF127,BG128&gt;=BF128,BG129&gt;=BF129),SUM(BG124:BG129),0)</f>
        <v>0</v>
      </c>
      <c r="BH130" s="18"/>
      <c r="BI130" s="105" t="s">
        <v>110</v>
      </c>
      <c r="BJ130" s="489" t="str">
        <f>IF(BD130=0,"",IF(AND(BD124&gt;=BC124*0.4,BD125&gt;=BC125*0.4,BD126&gt;=BC126*0.4,BD127&gt;=BC127*0.4,BD128&gt;=BC128*0.4),LOOKUP(BD130,'الصحيفة النهائية'!$BO$8:$BP$13),"ضعيف ويحتاج الى اهتمام في المواد"))</f>
        <v/>
      </c>
      <c r="BK130" s="490"/>
    </row>
    <row r="131" spans="1:63" ht="24.9" customHeight="1" thickBot="1" x14ac:dyDescent="0.3">
      <c r="A131" s="566" t="s">
        <v>120</v>
      </c>
      <c r="B131" s="567"/>
      <c r="C131" s="568">
        <f>IFERROR(VLOOKUP(M135,اسماء,65,0),"")</f>
        <v>220170664398</v>
      </c>
      <c r="D131" s="568" t="str">
        <f>IFERROR(VLOOKUP(H138,اسماء,8,0),"")</f>
        <v/>
      </c>
      <c r="E131" s="568" t="str">
        <f>IFERROR(VLOOKUP(I138,اسماء,8,0),"")</f>
        <v/>
      </c>
      <c r="F131" s="568" t="str">
        <f>IFERROR(VLOOKUP(J138,اسماء,8,0),"")</f>
        <v/>
      </c>
      <c r="G131" s="568" t="str">
        <f>IFERROR(VLOOKUP(K138,اسماء,8,0),"")</f>
        <v/>
      </c>
      <c r="H131" s="580" t="s">
        <v>157</v>
      </c>
      <c r="I131" s="581"/>
      <c r="J131" s="470" t="str">
        <f>IF(K130=0,"",IF(AND(K124&gt;=J124*0.4,K125&gt;=J125*0.4,K126&gt;=J126*0.4,K127&gt;=J127*0.4,K128&gt;=J128*0.4,K129&gt;=J129*0.4),LOOKUP(K130,'الصحيفة النهائية'!$BO$2:$BP$6),"ضعيف ويحتاج الى اهتمام في المواد"))</f>
        <v/>
      </c>
      <c r="K131" s="470"/>
      <c r="L131" s="31"/>
      <c r="M131" s="106" t="str">
        <f>IF(H124=0,"",IF(H124&lt;G124*0.4,A124,""))</f>
        <v/>
      </c>
      <c r="N131" s="154" t="str">
        <f>IF(H125=0,"",IF(H125&lt;G125*0.4,A125,""))</f>
        <v/>
      </c>
      <c r="O131" s="155" t="str">
        <f>IF(H126=0,"",IF(H126&lt;G126*0.4,A126,""))</f>
        <v/>
      </c>
      <c r="Q131" s="566" t="s">
        <v>120</v>
      </c>
      <c r="R131" s="567"/>
      <c r="S131" s="568">
        <f>IFERROR(VLOOKUP(AC135,اسماء,65,0),"")</f>
        <v>220170951696</v>
      </c>
      <c r="T131" s="568" t="str">
        <f>IFERROR(VLOOKUP(X138,اسماء,8,0),"")</f>
        <v/>
      </c>
      <c r="U131" s="568" t="str">
        <f>IFERROR(VLOOKUP(Y138,اسماء,8,0),"")</f>
        <v/>
      </c>
      <c r="V131" s="568" t="str">
        <f>IFERROR(VLOOKUP(Z138,اسماء,8,0),"")</f>
        <v/>
      </c>
      <c r="W131" s="568" t="str">
        <f>IFERROR(VLOOKUP(AA138,اسماء,8,0),"")</f>
        <v/>
      </c>
      <c r="X131" s="580" t="s">
        <v>157</v>
      </c>
      <c r="Y131" s="581"/>
      <c r="Z131" s="470" t="str">
        <f>IF(AA130=0,"",IF(AND(AA124&gt;=Z124*0.4,AA125&gt;=Z125*0.4,AA126&gt;=Z126*0.4,AA127&gt;=Z127*0.4,AA128&gt;=Z128*0.4,AA129&gt;=Z129*0.4),LOOKUP(AA130,'الصحيفة النهائية'!$BO$2:$BP$6),"ضعيف ويحتاج الى اهتمام في المواد"))</f>
        <v/>
      </c>
      <c r="AA131" s="470"/>
      <c r="AB131" s="31"/>
      <c r="AC131" s="106" t="str">
        <f>IF(X124=0,"",IF(X124&lt;W124*0.4,Q124,""))</f>
        <v/>
      </c>
      <c r="AD131" s="154" t="str">
        <f>IF(X125=0,"",IF(X125&lt;W125*0.4,Q125,""))</f>
        <v/>
      </c>
      <c r="AE131" s="155" t="str">
        <f>IF(X126=0,"",IF(X126&lt;W126*0.4,Q126,""))</f>
        <v/>
      </c>
      <c r="AF131" s="65"/>
      <c r="AG131" s="566" t="s">
        <v>120</v>
      </c>
      <c r="AH131" s="567"/>
      <c r="AI131" s="568">
        <f>IFERROR(VLOOKUP(AS135,اسماء,65,0),"")</f>
        <v>220170240914</v>
      </c>
      <c r="AJ131" s="568" t="str">
        <f>IFERROR(VLOOKUP(AN138,اسماء,8,0),"")</f>
        <v/>
      </c>
      <c r="AK131" s="568" t="str">
        <f>IFERROR(VLOOKUP(AO138,اسماء,8,0),"")</f>
        <v/>
      </c>
      <c r="AL131" s="568" t="str">
        <f>IFERROR(VLOOKUP(AP138,اسماء,8,0),"")</f>
        <v/>
      </c>
      <c r="AM131" s="568" t="str">
        <f>IFERROR(VLOOKUP(AQ138,اسماء,8,0),"")</f>
        <v/>
      </c>
      <c r="AN131" s="580" t="s">
        <v>157</v>
      </c>
      <c r="AO131" s="581"/>
      <c r="AP131" s="470" t="str">
        <f>IF(AQ130=0,"",IF(AND(AQ124&gt;=AP124*0.4,AQ125&gt;=AP125*0.4,AQ126&gt;=AP126*0.4,AQ127&gt;=AP127*0.4,AQ128&gt;=AP128*0.4,AQ129&gt;=AP129*0.4),LOOKUP(AQ130,'الصحيفة النهائية'!$BO$2:$BP$6),"ضعيف ويحتاج الى اهتمام في المواد"))</f>
        <v/>
      </c>
      <c r="AQ131" s="470"/>
      <c r="AR131" s="31"/>
      <c r="AS131" s="106" t="str">
        <f>IF(AN124=0,"",IF(AN124&lt;AM124*0.4,AG124,""))</f>
        <v/>
      </c>
      <c r="AT131" s="154" t="str">
        <f>IF(AN125=0,"",IF(AN125&lt;AM125*0.4,AG125,""))</f>
        <v/>
      </c>
      <c r="AU131" s="155" t="str">
        <f>IF(AN126=0,"",IF(AN126&lt;AM126*0.4,AG126,""))</f>
        <v/>
      </c>
      <c r="AV131" s="65"/>
      <c r="AW131" s="566" t="s">
        <v>120</v>
      </c>
      <c r="AX131" s="567"/>
      <c r="AY131" s="568" t="str">
        <f>IFERROR(VLOOKUP(BI135,اسماء,65,0),"")</f>
        <v/>
      </c>
      <c r="AZ131" s="568" t="str">
        <f>IFERROR(VLOOKUP(BD138,اسماء,8,0),"")</f>
        <v/>
      </c>
      <c r="BA131" s="568" t="str">
        <f>IFERROR(VLOOKUP(BE138,اسماء,8,0),"")</f>
        <v/>
      </c>
      <c r="BB131" s="568" t="str">
        <f>IFERROR(VLOOKUP(BF138,اسماء,8,0),"")</f>
        <v/>
      </c>
      <c r="BC131" s="568" t="str">
        <f>IFERROR(VLOOKUP(BG138,اسماء,8,0),"")</f>
        <v/>
      </c>
      <c r="BD131" s="580" t="s">
        <v>157</v>
      </c>
      <c r="BE131" s="581"/>
      <c r="BF131" s="470" t="str">
        <f>IF(BG130=0,"",IF(AND(BG124&gt;=BF124*0.4,BG125&gt;=BF125*0.4,BG126&gt;=BF126*0.4,BG127&gt;=BF127*0.4,BG128&gt;=BF128*0.4,BG129&gt;=BF129*0.4),LOOKUP(BG130,'الصحيفة النهائية'!$BO$2:$BP$6),"ضعيف ويحتاج الى اهتمام في المواد"))</f>
        <v/>
      </c>
      <c r="BG131" s="470"/>
      <c r="BH131" s="31"/>
      <c r="BI131" s="106" t="str">
        <f>IF(BD124=0,"",IF(BD124&lt;BC124*0.4,AW124,""))</f>
        <v/>
      </c>
      <c r="BJ131" s="154" t="str">
        <f>IF(BD125=0,"",IF(BD125&lt;BC125*0.4,AW125,""))</f>
        <v/>
      </c>
      <c r="BK131" s="155" t="str">
        <f>IF(BD126=0,"",IF(BD126&lt;BC126*0.4,AW126,""))</f>
        <v/>
      </c>
    </row>
    <row r="132" spans="1:63" ht="24.9" customHeight="1" x14ac:dyDescent="0.25">
      <c r="A132" s="373" t="str">
        <f>ادخال1!$M$8</f>
        <v>التربية الفنية</v>
      </c>
      <c r="B132" s="375">
        <f>ادخال1!$M$7</f>
        <v>1</v>
      </c>
      <c r="C132" s="491" t="str">
        <f>IFERROR(VLOOKUP(M135,اسماء,12,0),"")</f>
        <v>جيد جداً</v>
      </c>
      <c r="D132" s="491"/>
      <c r="E132" s="491" t="str">
        <f>IFERROR(VLOOKUP(M135,اسماء,13,0),"")</f>
        <v>جيد جداً</v>
      </c>
      <c r="F132" s="491"/>
      <c r="G132" s="491">
        <f>IFERROR(VLOOKUP(M135,اسماء,14,0),"")</f>
        <v>0</v>
      </c>
      <c r="H132" s="491"/>
      <c r="I132" s="433"/>
      <c r="J132" s="445"/>
      <c r="K132" s="562"/>
      <c r="L132" s="33"/>
      <c r="M132" s="106" t="str">
        <f>IF(H127=0,"",IF(H127&lt;G127*0.4,A127,""))</f>
        <v/>
      </c>
      <c r="N132" s="154" t="str">
        <f>IF(H128=0,"",IF(H128&lt;G128*0.4,A128,""))</f>
        <v/>
      </c>
      <c r="O132" s="155"/>
      <c r="P132" s="65"/>
      <c r="Q132" s="373" t="str">
        <f>ادخال1!$M$8</f>
        <v>التربية الفنية</v>
      </c>
      <c r="R132" s="375">
        <f>ادخال1!$M$7</f>
        <v>1</v>
      </c>
      <c r="S132" s="491" t="str">
        <f>IFERROR(VLOOKUP(AC135,اسماء,12,0),"")</f>
        <v>جيد جداً</v>
      </c>
      <c r="T132" s="491"/>
      <c r="U132" s="491" t="str">
        <f>IFERROR(VLOOKUP(AC135,اسماء,13,0),"")</f>
        <v>جيد جداً</v>
      </c>
      <c r="V132" s="491"/>
      <c r="W132" s="491">
        <f>IFERROR(VLOOKUP(AC135,اسماء,14,0),"")</f>
        <v>0</v>
      </c>
      <c r="X132" s="491"/>
      <c r="Y132" s="433"/>
      <c r="Z132" s="445"/>
      <c r="AA132" s="562"/>
      <c r="AB132" s="33"/>
      <c r="AC132" s="106" t="str">
        <f>IF(X127=0,"",IF(X127&lt;W127*0.4,Q127,""))</f>
        <v/>
      </c>
      <c r="AD132" s="154" t="str">
        <f>IF(X128=0,"",IF(X128&lt;W128*0.4,Q128,""))</f>
        <v/>
      </c>
      <c r="AE132" s="155"/>
      <c r="AG132" s="373" t="str">
        <f>ادخال1!$M$8</f>
        <v>التربية الفنية</v>
      </c>
      <c r="AH132" s="375">
        <f>ادخال1!$M$7</f>
        <v>1</v>
      </c>
      <c r="AI132" s="491" t="str">
        <f>IFERROR(VLOOKUP(AS135,اسماء,12,0),"")</f>
        <v>جيد جداً</v>
      </c>
      <c r="AJ132" s="491"/>
      <c r="AK132" s="491" t="str">
        <f>IFERROR(VLOOKUP(AS135,اسماء,13,0),"")</f>
        <v>جيد جداً</v>
      </c>
      <c r="AL132" s="491"/>
      <c r="AM132" s="491">
        <f>IFERROR(VLOOKUP(AS135,اسماء,14,0),"")</f>
        <v>0</v>
      </c>
      <c r="AN132" s="491"/>
      <c r="AO132" s="433"/>
      <c r="AP132" s="445"/>
      <c r="AQ132" s="562"/>
      <c r="AR132" s="33"/>
      <c r="AS132" s="106" t="str">
        <f>IF(AN127=0,"",IF(AN127&lt;AM127*0.4,AG127,""))</f>
        <v/>
      </c>
      <c r="AT132" s="154" t="str">
        <f>IF(AN128=0,"",IF(AN128&lt;AM128*0.4,AG128,""))</f>
        <v/>
      </c>
      <c r="AU132" s="155"/>
      <c r="AW132" s="373" t="str">
        <f>ادخال1!$M$8</f>
        <v>التربية الفنية</v>
      </c>
      <c r="AX132" s="375">
        <f>ادخال1!$M$7</f>
        <v>1</v>
      </c>
      <c r="AY132" s="491" t="str">
        <f>IFERROR(VLOOKUP(BI135,اسماء,12,0),"")</f>
        <v/>
      </c>
      <c r="AZ132" s="491"/>
      <c r="BA132" s="491" t="str">
        <f>IFERROR(VLOOKUP(BI135,اسماء,13,0),"")</f>
        <v/>
      </c>
      <c r="BB132" s="491"/>
      <c r="BC132" s="491" t="str">
        <f>IFERROR(VLOOKUP(BI135,اسماء,14,0),"")</f>
        <v/>
      </c>
      <c r="BD132" s="491"/>
      <c r="BE132" s="433"/>
      <c r="BF132" s="445"/>
      <c r="BG132" s="562"/>
      <c r="BH132" s="33"/>
      <c r="BI132" s="106" t="str">
        <f>IF(BD127=0,"",IF(BD127&lt;BC127*0.4,AW127,""))</f>
        <v/>
      </c>
      <c r="BJ132" s="154" t="str">
        <f>IF(BD128=0,"",IF(BD128&lt;BC128*0.4,AW128,""))</f>
        <v/>
      </c>
      <c r="BK132" s="155"/>
    </row>
    <row r="133" spans="1:63" ht="24.9" customHeight="1" thickBot="1" x14ac:dyDescent="0.3">
      <c r="A133" s="374" t="str">
        <f>ادخال1!$N$8</f>
        <v>التربية البدنية</v>
      </c>
      <c r="B133" s="376">
        <f>ادخال1!$N$7</f>
        <v>2</v>
      </c>
      <c r="C133" s="435">
        <f>IFERROR(VLOOKUP(M135,اسماء,23,0),"")</f>
        <v>0</v>
      </c>
      <c r="D133" s="435"/>
      <c r="E133" s="435">
        <f>IFERROR(VLOOKUP(M135,اسماء,24,0),"")</f>
        <v>0</v>
      </c>
      <c r="F133" s="435"/>
      <c r="G133" s="435">
        <f>IFERROR(VLOOKUP(M135,اسماء,25,0),"")</f>
        <v>0</v>
      </c>
      <c r="H133" s="435"/>
      <c r="I133" s="499"/>
      <c r="J133" s="500"/>
      <c r="K133" s="501"/>
      <c r="L133" s="33"/>
      <c r="M133" s="280"/>
      <c r="N133" s="281"/>
      <c r="O133" s="281"/>
      <c r="P133" s="65"/>
      <c r="Q133" s="374" t="str">
        <f>ادخال1!$N$8</f>
        <v>التربية البدنية</v>
      </c>
      <c r="R133" s="376">
        <f>ادخال1!$N$7</f>
        <v>2</v>
      </c>
      <c r="S133" s="435">
        <f>IFERROR(VLOOKUP(AC135,اسماء,23,0),"")</f>
        <v>0</v>
      </c>
      <c r="T133" s="435"/>
      <c r="U133" s="435">
        <f>IFERROR(VLOOKUP(AC135,اسماء,24,0),"")</f>
        <v>0</v>
      </c>
      <c r="V133" s="435"/>
      <c r="W133" s="435">
        <f>IFERROR(VLOOKUP(AC135,اسماء,25,0),"")</f>
        <v>0</v>
      </c>
      <c r="X133" s="435"/>
      <c r="Y133" s="499"/>
      <c r="Z133" s="500"/>
      <c r="AA133" s="501"/>
      <c r="AB133" s="33"/>
      <c r="AC133" s="280"/>
      <c r="AD133" s="281"/>
      <c r="AE133" s="281"/>
      <c r="AG133" s="374" t="str">
        <f>ادخال1!$N$8</f>
        <v>التربية البدنية</v>
      </c>
      <c r="AH133" s="376">
        <f>ادخال1!$N$7</f>
        <v>2</v>
      </c>
      <c r="AI133" s="435">
        <f>IFERROR(VLOOKUP(AS135,اسماء,23,0),"")</f>
        <v>0</v>
      </c>
      <c r="AJ133" s="435"/>
      <c r="AK133" s="435">
        <f>IFERROR(VLOOKUP(AS135,اسماء,24,0),"")</f>
        <v>0</v>
      </c>
      <c r="AL133" s="435"/>
      <c r="AM133" s="435">
        <f>IFERROR(VLOOKUP(AS135,اسماء,25,0),"")</f>
        <v>0</v>
      </c>
      <c r="AN133" s="435"/>
      <c r="AO133" s="499"/>
      <c r="AP133" s="500"/>
      <c r="AQ133" s="501"/>
      <c r="AR133" s="33"/>
      <c r="AS133" s="280"/>
      <c r="AT133" s="281"/>
      <c r="AU133" s="281"/>
      <c r="AW133" s="374" t="str">
        <f>ادخال1!$N$8</f>
        <v>التربية البدنية</v>
      </c>
      <c r="AX133" s="376">
        <f>ادخال1!$N$7</f>
        <v>2</v>
      </c>
      <c r="AY133" s="435" t="str">
        <f>IFERROR(VLOOKUP(BI135,اسماء,23,0),"")</f>
        <v/>
      </c>
      <c r="AZ133" s="435"/>
      <c r="BA133" s="435" t="str">
        <f>IFERROR(VLOOKUP(BI135,اسماء,24,0),"")</f>
        <v/>
      </c>
      <c r="BB133" s="435"/>
      <c r="BC133" s="435" t="str">
        <f>IFERROR(VLOOKUP(BI135,اسماء,25,0),"")</f>
        <v/>
      </c>
      <c r="BD133" s="435"/>
      <c r="BE133" s="499"/>
      <c r="BF133" s="500"/>
      <c r="BG133" s="501"/>
      <c r="BH133" s="33"/>
      <c r="BI133" s="280"/>
      <c r="BJ133" s="281"/>
      <c r="BK133" s="281"/>
    </row>
    <row r="134" spans="1:63" ht="24.9" customHeight="1" thickBot="1" x14ac:dyDescent="0.3">
      <c r="A134" s="377" t="str">
        <f>ادخال1!$O$8</f>
        <v>مكتبة</v>
      </c>
      <c r="B134" s="378">
        <f>ادخال1!O126</f>
        <v>0</v>
      </c>
      <c r="C134" s="435">
        <f>IFERROR(VLOOKUP(M135,اسماء,34,0),"")</f>
        <v>0</v>
      </c>
      <c r="D134" s="435"/>
      <c r="E134" s="435">
        <f>IFERROR(VLOOKUP(M135,اسماء,35,0),"")</f>
        <v>0</v>
      </c>
      <c r="F134" s="435"/>
      <c r="G134" s="435">
        <f>IFERROR(VLOOKUP(M135,اسماء,36,0),"")</f>
        <v>0</v>
      </c>
      <c r="H134" s="435"/>
      <c r="I134" s="547" t="s">
        <v>33</v>
      </c>
      <c r="J134" s="547"/>
      <c r="K134" s="547"/>
      <c r="L134" s="31"/>
      <c r="M134" s="502" t="s">
        <v>57</v>
      </c>
      <c r="N134" s="503"/>
      <c r="O134" s="504"/>
      <c r="Q134" s="377" t="str">
        <f>ادخال1!$O$8</f>
        <v>مكتبة</v>
      </c>
      <c r="R134" s="378">
        <f>ادخال1!AE126</f>
        <v>0</v>
      </c>
      <c r="S134" s="435">
        <f>IFERROR(VLOOKUP(AC135,اسماء,34,0),"")</f>
        <v>0</v>
      </c>
      <c r="T134" s="435"/>
      <c r="U134" s="435">
        <f>IFERROR(VLOOKUP(AC135,اسماء,35,0),"")</f>
        <v>0</v>
      </c>
      <c r="V134" s="435"/>
      <c r="W134" s="435">
        <f>IFERROR(VLOOKUP(AC135,اسماء,36,0),"")</f>
        <v>0</v>
      </c>
      <c r="X134" s="435"/>
      <c r="Y134" s="547" t="s">
        <v>33</v>
      </c>
      <c r="Z134" s="547"/>
      <c r="AA134" s="547"/>
      <c r="AB134" s="31"/>
      <c r="AC134" s="502" t="s">
        <v>57</v>
      </c>
      <c r="AD134" s="503"/>
      <c r="AE134" s="504"/>
      <c r="AG134" s="377" t="str">
        <f>ادخال1!$O$8</f>
        <v>مكتبة</v>
      </c>
      <c r="AH134" s="378">
        <f>ادخال1!AU126</f>
        <v>1.26E-5</v>
      </c>
      <c r="AI134" s="435">
        <f>IFERROR(VLOOKUP(AS135,اسماء,34,0),"")</f>
        <v>0</v>
      </c>
      <c r="AJ134" s="435"/>
      <c r="AK134" s="435">
        <f>IFERROR(VLOOKUP(AS135,اسماء,35,0),"")</f>
        <v>0</v>
      </c>
      <c r="AL134" s="435"/>
      <c r="AM134" s="435">
        <f>IFERROR(VLOOKUP(AS135,اسماء,36,0),"")</f>
        <v>0</v>
      </c>
      <c r="AN134" s="435"/>
      <c r="AO134" s="547" t="s">
        <v>33</v>
      </c>
      <c r="AP134" s="547"/>
      <c r="AQ134" s="547"/>
      <c r="AR134" s="31"/>
      <c r="AS134" s="502" t="s">
        <v>57</v>
      </c>
      <c r="AT134" s="503"/>
      <c r="AU134" s="504"/>
      <c r="AW134" s="377" t="str">
        <f>ادخال1!$O$8</f>
        <v>مكتبة</v>
      </c>
      <c r="AX134" s="378">
        <f>ادخال1!BK126</f>
        <v>0</v>
      </c>
      <c r="AY134" s="435" t="str">
        <f>IFERROR(VLOOKUP(BI135,اسماء,34,0),"")</f>
        <v/>
      </c>
      <c r="AZ134" s="435"/>
      <c r="BA134" s="435" t="str">
        <f>IFERROR(VLOOKUP(BI135,اسماء,35,0),"")</f>
        <v/>
      </c>
      <c r="BB134" s="435"/>
      <c r="BC134" s="435" t="str">
        <f>IFERROR(VLOOKUP(BI135,اسماء,36,0),"")</f>
        <v/>
      </c>
      <c r="BD134" s="435"/>
      <c r="BE134" s="547" t="s">
        <v>33</v>
      </c>
      <c r="BF134" s="547"/>
      <c r="BG134" s="547"/>
      <c r="BH134" s="31"/>
      <c r="BI134" s="502" t="s">
        <v>57</v>
      </c>
      <c r="BJ134" s="503"/>
      <c r="BK134" s="504"/>
    </row>
    <row r="135" spans="1:63" ht="24.9" customHeight="1" x14ac:dyDescent="0.25">
      <c r="A135" s="491" t="s">
        <v>58</v>
      </c>
      <c r="B135" s="491"/>
      <c r="C135" s="491">
        <f>IFERROR(VLOOKUP(M135,اسماء,37,0),"")</f>
        <v>0</v>
      </c>
      <c r="D135" s="491"/>
      <c r="E135" s="491">
        <f>IFERROR(VLOOKUP(M135,اسماء,38,0),"")</f>
        <v>0</v>
      </c>
      <c r="F135" s="491"/>
      <c r="G135" s="491">
        <f>IFERROR(VLOOKUP(M135,اسماء,39,0),"")</f>
        <v>0</v>
      </c>
      <c r="H135" s="491"/>
      <c r="I135" s="492">
        <f>IFERROR(VLOOKUP(M135,اسماء,42,0),"")</f>
        <v>0</v>
      </c>
      <c r="J135" s="493"/>
      <c r="K135" s="494"/>
      <c r="L135" s="33"/>
      <c r="M135" s="548" t="str">
        <f>INDEX(عمود2,MATCH(O120,عمود1))</f>
        <v>دانية حسن مفتاح المقوب</v>
      </c>
      <c r="N135" s="549"/>
      <c r="O135" s="550"/>
      <c r="Q135" s="491" t="s">
        <v>58</v>
      </c>
      <c r="R135" s="491"/>
      <c r="S135" s="491">
        <f>IFERROR(VLOOKUP(AC135,اسماء,37,0),"")</f>
        <v>0</v>
      </c>
      <c r="T135" s="491"/>
      <c r="U135" s="491">
        <f>IFERROR(VLOOKUP(AC135,اسماء,38,0),"")</f>
        <v>0</v>
      </c>
      <c r="V135" s="491"/>
      <c r="W135" s="491">
        <f>IFERROR(VLOOKUP(AC135,اسماء,39,0),"")</f>
        <v>0</v>
      </c>
      <c r="X135" s="491"/>
      <c r="Y135" s="492">
        <f>IFERROR(VLOOKUP(AC135,اسماء,42,0),"")</f>
        <v>0</v>
      </c>
      <c r="Z135" s="493"/>
      <c r="AA135" s="494"/>
      <c r="AB135" s="33"/>
      <c r="AC135" s="548" t="str">
        <f>INDEX(عمود2,MATCH(AE120,عمود1))</f>
        <v>فاطمة سالم سالم الورفلى</v>
      </c>
      <c r="AD135" s="549"/>
      <c r="AE135" s="550"/>
      <c r="AG135" s="491" t="s">
        <v>58</v>
      </c>
      <c r="AH135" s="491"/>
      <c r="AI135" s="491">
        <f>IFERROR(VLOOKUP(AS135,اسماء,37,0),"")</f>
        <v>0</v>
      </c>
      <c r="AJ135" s="491"/>
      <c r="AK135" s="491">
        <f>IFERROR(VLOOKUP(AS135,اسماء,38,0),"")</f>
        <v>0</v>
      </c>
      <c r="AL135" s="491"/>
      <c r="AM135" s="491">
        <f>IFERROR(VLOOKUP(AS135,اسماء,39,0),"")</f>
        <v>0</v>
      </c>
      <c r="AN135" s="491"/>
      <c r="AO135" s="492">
        <f>IFERROR(VLOOKUP(AS135,اسماء,42,0),"")</f>
        <v>0</v>
      </c>
      <c r="AP135" s="493"/>
      <c r="AQ135" s="494"/>
      <c r="AR135" s="33"/>
      <c r="AS135" s="548" t="str">
        <f>INDEX(عمود2,MATCH(AU120,عمود1))</f>
        <v>ايلياء محمد عوض الحداد</v>
      </c>
      <c r="AT135" s="549"/>
      <c r="AU135" s="550"/>
      <c r="AW135" s="491" t="s">
        <v>58</v>
      </c>
      <c r="AX135" s="491"/>
      <c r="AY135" s="491" t="str">
        <f>IFERROR(VLOOKUP(BI135,اسماء,37,0),"")</f>
        <v/>
      </c>
      <c r="AZ135" s="491"/>
      <c r="BA135" s="491" t="str">
        <f>IFERROR(VLOOKUP(BI135,اسماء,38,0),"")</f>
        <v/>
      </c>
      <c r="BB135" s="491"/>
      <c r="BC135" s="491" t="str">
        <f>IFERROR(VLOOKUP(BI135,اسماء,39,0),"")</f>
        <v/>
      </c>
      <c r="BD135" s="491"/>
      <c r="BE135" s="492" t="str">
        <f>IFERROR(VLOOKUP(BI135,اسماء,42,0),"")</f>
        <v/>
      </c>
      <c r="BF135" s="493"/>
      <c r="BG135" s="494"/>
      <c r="BH135" s="33"/>
      <c r="BI135" s="548">
        <f>INDEX(عمود2,MATCH(BK120,عمود1))</f>
        <v>0</v>
      </c>
      <c r="BJ135" s="549"/>
      <c r="BK135" s="550"/>
    </row>
    <row r="136" spans="1:63" ht="24.9" customHeight="1" x14ac:dyDescent="0.25">
      <c r="A136" s="435" t="s">
        <v>59</v>
      </c>
      <c r="B136" s="435"/>
      <c r="C136" s="435">
        <f>IFERROR(VLOOKUP(M135,اسماء,40,0),"")</f>
        <v>0</v>
      </c>
      <c r="D136" s="435"/>
      <c r="E136" s="435">
        <f>IFERROR(VLOOKUP(M135,اسماء,42,0),"")</f>
        <v>0</v>
      </c>
      <c r="F136" s="435"/>
      <c r="G136" s="435">
        <f>IFERROR(VLOOKUP(M135,اسماء,44,0),"")</f>
        <v>0</v>
      </c>
      <c r="H136" s="435"/>
      <c r="I136" s="437"/>
      <c r="J136" s="435"/>
      <c r="K136" s="514"/>
      <c r="L136" s="33"/>
      <c r="M136" s="551" t="str">
        <f>IF(I135="غائب","يبقى سنة اخرى في الصف",IF(K130&gt;0,"ناجحاً ومنقولاً الى الصف ","يرحل الى الصف"))</f>
        <v>يرحل الى الصف</v>
      </c>
      <c r="N136" s="552"/>
      <c r="O136" s="553"/>
      <c r="Q136" s="435" t="s">
        <v>59</v>
      </c>
      <c r="R136" s="435"/>
      <c r="S136" s="435">
        <f>IFERROR(VLOOKUP(AC135,اسماء,40,0),"")</f>
        <v>0</v>
      </c>
      <c r="T136" s="435"/>
      <c r="U136" s="435">
        <f>IFERROR(VLOOKUP(AC135,اسماء,42,0),"")</f>
        <v>0</v>
      </c>
      <c r="V136" s="435"/>
      <c r="W136" s="435">
        <f>IFERROR(VLOOKUP(AC135,اسماء,44,0),"")</f>
        <v>0</v>
      </c>
      <c r="X136" s="435"/>
      <c r="Y136" s="437"/>
      <c r="Z136" s="435"/>
      <c r="AA136" s="514"/>
      <c r="AB136" s="33"/>
      <c r="AC136" s="551" t="str">
        <f>IF(Y135="غائب","يبقى سنة اخرى في الصف",IF(AA130&gt;0,"ناجحاً ومنقولاً الى الصف ","يرحل الى الصف"))</f>
        <v>يرحل الى الصف</v>
      </c>
      <c r="AD136" s="552"/>
      <c r="AE136" s="553"/>
      <c r="AG136" s="435" t="s">
        <v>59</v>
      </c>
      <c r="AH136" s="435"/>
      <c r="AI136" s="435">
        <f>IFERROR(VLOOKUP(AS135,اسماء,40,0),"")</f>
        <v>0</v>
      </c>
      <c r="AJ136" s="435"/>
      <c r="AK136" s="435">
        <f>IFERROR(VLOOKUP(AS135,اسماء,42,0),"")</f>
        <v>0</v>
      </c>
      <c r="AL136" s="435"/>
      <c r="AM136" s="435">
        <f>IFERROR(VLOOKUP(AS135,اسماء,44,0),"")</f>
        <v>0</v>
      </c>
      <c r="AN136" s="435"/>
      <c r="AO136" s="437"/>
      <c r="AP136" s="435"/>
      <c r="AQ136" s="514"/>
      <c r="AR136" s="33"/>
      <c r="AS136" s="551" t="str">
        <f>IF(AO135="غائب","يبقى سنة اخرى في الصف",IF(AQ130&gt;0,"ناجحاً ومنقولاً الى الصف ","يرحل الى الصف"))</f>
        <v>يرحل الى الصف</v>
      </c>
      <c r="AT136" s="552"/>
      <c r="AU136" s="553"/>
      <c r="AW136" s="435" t="s">
        <v>59</v>
      </c>
      <c r="AX136" s="435"/>
      <c r="AY136" s="435" t="str">
        <f>IFERROR(VLOOKUP(BI135,اسماء,40,0),"")</f>
        <v/>
      </c>
      <c r="AZ136" s="435"/>
      <c r="BA136" s="435" t="str">
        <f>IFERROR(VLOOKUP(BI135,اسماء,42,0),"")</f>
        <v/>
      </c>
      <c r="BB136" s="435"/>
      <c r="BC136" s="435" t="str">
        <f>IFERROR(VLOOKUP(BI135,اسماء,44,0),"")</f>
        <v/>
      </c>
      <c r="BD136" s="435"/>
      <c r="BE136" s="437"/>
      <c r="BF136" s="435"/>
      <c r="BG136" s="514"/>
      <c r="BH136" s="33"/>
      <c r="BI136" s="551" t="str">
        <f>IF(BE135="غائب","يبقى سنة اخرى في الصف",IF(BG130&gt;0,"ناجحاً ومنقولاً الى الصف ","يرحل الى الصف"))</f>
        <v>يرحل الى الصف</v>
      </c>
      <c r="BJ136" s="552"/>
      <c r="BK136" s="553"/>
    </row>
    <row r="137" spans="1:63" ht="24.9" customHeight="1" thickBot="1" x14ac:dyDescent="0.3">
      <c r="A137" s="498" t="s">
        <v>60</v>
      </c>
      <c r="B137" s="498"/>
      <c r="C137" s="435">
        <f>IFERROR(VLOOKUP(M135,اسماء,41,0),"")</f>
        <v>0</v>
      </c>
      <c r="D137" s="435"/>
      <c r="E137" s="435">
        <f>IFERROR(VLOOKUP(M135,اسماء,43,0),"")</f>
        <v>0</v>
      </c>
      <c r="F137" s="435"/>
      <c r="G137" s="435">
        <f>IFERROR(VLOOKUP(M135,اسماء,45,0),"")</f>
        <v>0</v>
      </c>
      <c r="H137" s="435"/>
      <c r="I137" s="441"/>
      <c r="J137" s="456"/>
      <c r="K137" s="495"/>
      <c r="L137" s="33"/>
      <c r="M137" s="505" t="str">
        <f>IF(I135="غائب",D120,IF(D120="الأول","الثاني",IF(D120="الثاني","الثالث",IF(D120="الثالث","الرابع",IF(D120="الرابع","الخامس",IF(D120="الخامس","السادس"))))))</f>
        <v>الرابع</v>
      </c>
      <c r="N137" s="505"/>
      <c r="O137" s="505"/>
      <c r="Q137" s="498" t="s">
        <v>60</v>
      </c>
      <c r="R137" s="498"/>
      <c r="S137" s="435">
        <f>IFERROR(VLOOKUP(AC135,اسماء,41,0),"")</f>
        <v>0</v>
      </c>
      <c r="T137" s="435"/>
      <c r="U137" s="435">
        <f>IFERROR(VLOOKUP(AC135,اسماء,43,0),"")</f>
        <v>0</v>
      </c>
      <c r="V137" s="435"/>
      <c r="W137" s="435">
        <f>IFERROR(VLOOKUP(AC135,اسماء,45,0),"")</f>
        <v>0</v>
      </c>
      <c r="X137" s="435"/>
      <c r="Y137" s="441"/>
      <c r="Z137" s="456"/>
      <c r="AA137" s="495"/>
      <c r="AB137" s="33"/>
      <c r="AC137" s="505" t="str">
        <f>IF(Y135="غائب",T120,IF(T120="الأول","الثاني",IF(T120="الثاني","الثالث",IF(T120="الثالث","الرابع",IF(T120="الرابع","الخامس",IF(T120="الخامس","السادس"))))))</f>
        <v>الرابع</v>
      </c>
      <c r="AD137" s="505"/>
      <c r="AE137" s="505"/>
      <c r="AF137" s="65"/>
      <c r="AG137" s="498" t="s">
        <v>60</v>
      </c>
      <c r="AH137" s="498"/>
      <c r="AI137" s="435">
        <f>IFERROR(VLOOKUP(AS135,اسماء,41,0),"")</f>
        <v>0</v>
      </c>
      <c r="AJ137" s="435"/>
      <c r="AK137" s="435">
        <f>IFERROR(VLOOKUP(AS135,اسماء,43,0),"")</f>
        <v>0</v>
      </c>
      <c r="AL137" s="435"/>
      <c r="AM137" s="435">
        <f>IFERROR(VLOOKUP(AS135,اسماء,45,0),"")</f>
        <v>0</v>
      </c>
      <c r="AN137" s="435"/>
      <c r="AO137" s="441"/>
      <c r="AP137" s="456"/>
      <c r="AQ137" s="495"/>
      <c r="AR137" s="33"/>
      <c r="AS137" s="505" t="str">
        <f>IF(AO135="غائب",AJ120,IF(AJ120="الأول","الثاني",IF(AJ120="الثاني","الثالث",IF(AJ120="الثالث","الرابع",IF(AJ120="الرابع","الخامس",IF(AJ120="الخامس","السادس"))))))</f>
        <v>الرابع</v>
      </c>
      <c r="AT137" s="505"/>
      <c r="AU137" s="505"/>
      <c r="AW137" s="498" t="s">
        <v>60</v>
      </c>
      <c r="AX137" s="498"/>
      <c r="AY137" s="435" t="str">
        <f>IFERROR(VLOOKUP(BI135,اسماء,41,0),"")</f>
        <v/>
      </c>
      <c r="AZ137" s="435"/>
      <c r="BA137" s="435" t="str">
        <f>IFERROR(VLOOKUP(BI135,اسماء,43,0),"")</f>
        <v/>
      </c>
      <c r="BB137" s="435"/>
      <c r="BC137" s="435" t="str">
        <f>IFERROR(VLOOKUP(BI135,اسماء,45,0),"")</f>
        <v/>
      </c>
      <c r="BD137" s="435"/>
      <c r="BE137" s="441"/>
      <c r="BF137" s="456"/>
      <c r="BG137" s="495"/>
      <c r="BH137" s="33"/>
      <c r="BI137" s="505" t="str">
        <f>IF(BE135="غائب",AZ120,IF(AZ120="الأول","الثاني",IF(AZ120="الثاني","الثالث",IF(AZ120="الثالث","الرابع",IF(AZ120="الرابع","الخامس",IF(AZ120="الخامس","السادس"))))))</f>
        <v>الرابع</v>
      </c>
      <c r="BJ137" s="505"/>
      <c r="BK137" s="505"/>
    </row>
    <row r="138" spans="1:63" ht="10.95" customHeight="1" thickBot="1" x14ac:dyDescent="0.3">
      <c r="A138" s="135"/>
      <c r="B138" s="149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107"/>
      <c r="N138" s="107"/>
      <c r="O138" s="107"/>
      <c r="Q138" s="135"/>
      <c r="R138" s="149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107"/>
      <c r="AD138" s="107"/>
      <c r="AE138" s="107"/>
      <c r="AF138" s="65"/>
      <c r="AG138" s="135"/>
      <c r="AH138" s="149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107"/>
      <c r="AT138" s="107"/>
      <c r="AU138" s="107"/>
      <c r="AW138" s="135"/>
      <c r="AX138" s="149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107"/>
      <c r="BJ138" s="107"/>
      <c r="BK138" s="107"/>
    </row>
    <row r="139" spans="1:63" ht="24.9" customHeight="1" thickBot="1" x14ac:dyDescent="0.3">
      <c r="A139" s="136" t="s">
        <v>14</v>
      </c>
      <c r="B139" s="506" t="s">
        <v>64</v>
      </c>
      <c r="C139" s="506"/>
      <c r="D139" s="506" t="s">
        <v>66</v>
      </c>
      <c r="E139" s="506"/>
      <c r="F139" s="507"/>
      <c r="G139" s="508" t="s">
        <v>86</v>
      </c>
      <c r="H139" s="509"/>
      <c r="I139" s="571" t="s">
        <v>63</v>
      </c>
      <c r="J139" s="571"/>
      <c r="K139" s="571"/>
      <c r="L139" s="571"/>
      <c r="M139" s="571"/>
      <c r="N139" s="571"/>
      <c r="O139" s="571"/>
      <c r="Q139" s="136" t="s">
        <v>14</v>
      </c>
      <c r="R139" s="506" t="s">
        <v>64</v>
      </c>
      <c r="S139" s="506"/>
      <c r="T139" s="506" t="s">
        <v>66</v>
      </c>
      <c r="U139" s="506"/>
      <c r="V139" s="507"/>
      <c r="W139" s="508" t="s">
        <v>86</v>
      </c>
      <c r="X139" s="509"/>
      <c r="Y139" s="571" t="s">
        <v>63</v>
      </c>
      <c r="Z139" s="571"/>
      <c r="AA139" s="571"/>
      <c r="AB139" s="571"/>
      <c r="AC139" s="571"/>
      <c r="AD139" s="571"/>
      <c r="AE139" s="571"/>
      <c r="AG139" s="136" t="s">
        <v>14</v>
      </c>
      <c r="AH139" s="506" t="s">
        <v>64</v>
      </c>
      <c r="AI139" s="506"/>
      <c r="AJ139" s="506" t="s">
        <v>66</v>
      </c>
      <c r="AK139" s="506"/>
      <c r="AL139" s="507"/>
      <c r="AM139" s="508" t="s">
        <v>86</v>
      </c>
      <c r="AN139" s="509"/>
      <c r="AO139" s="571" t="s">
        <v>63</v>
      </c>
      <c r="AP139" s="571"/>
      <c r="AQ139" s="571"/>
      <c r="AR139" s="571"/>
      <c r="AS139" s="571"/>
      <c r="AT139" s="571"/>
      <c r="AU139" s="571"/>
      <c r="AV139" s="65"/>
      <c r="AW139" s="136" t="s">
        <v>14</v>
      </c>
      <c r="AX139" s="506" t="s">
        <v>64</v>
      </c>
      <c r="AY139" s="506"/>
      <c r="AZ139" s="506" t="s">
        <v>66</v>
      </c>
      <c r="BA139" s="506"/>
      <c r="BB139" s="507"/>
      <c r="BC139" s="508" t="s">
        <v>86</v>
      </c>
      <c r="BD139" s="509"/>
      <c r="BE139" s="571" t="s">
        <v>63</v>
      </c>
      <c r="BF139" s="571"/>
      <c r="BG139" s="571"/>
      <c r="BH139" s="571"/>
      <c r="BI139" s="571"/>
      <c r="BJ139" s="571"/>
      <c r="BK139" s="571"/>
    </row>
    <row r="140" spans="1:63" ht="24.9" customHeight="1" x14ac:dyDescent="0.25">
      <c r="A140" s="134" t="s">
        <v>87</v>
      </c>
      <c r="B140" s="445"/>
      <c r="C140" s="445"/>
      <c r="D140" s="445"/>
      <c r="E140" s="445"/>
      <c r="F140" s="445"/>
      <c r="G140" s="445"/>
      <c r="H140" s="562"/>
      <c r="I140" s="510" t="s">
        <v>65</v>
      </c>
      <c r="J140" s="510"/>
      <c r="K140" s="511" t="str">
        <f>ادخال1!$BJ$5</f>
        <v>د. عبدالرحمن خليفة العريبي</v>
      </c>
      <c r="L140" s="511"/>
      <c r="M140" s="511"/>
      <c r="N140" s="511"/>
      <c r="O140" s="511"/>
      <c r="Q140" s="134" t="s">
        <v>87</v>
      </c>
      <c r="R140" s="445"/>
      <c r="S140" s="445"/>
      <c r="T140" s="445"/>
      <c r="U140" s="445"/>
      <c r="V140" s="445"/>
      <c r="W140" s="445"/>
      <c r="X140" s="562"/>
      <c r="Y140" s="510" t="s">
        <v>65</v>
      </c>
      <c r="Z140" s="510"/>
      <c r="AA140" s="511" t="str">
        <f>ادخال1!$BJ$5</f>
        <v>د. عبدالرحمن خليفة العريبي</v>
      </c>
      <c r="AB140" s="511"/>
      <c r="AC140" s="511"/>
      <c r="AD140" s="511"/>
      <c r="AE140" s="511"/>
      <c r="AG140" s="134" t="s">
        <v>87</v>
      </c>
      <c r="AH140" s="445"/>
      <c r="AI140" s="445"/>
      <c r="AJ140" s="445"/>
      <c r="AK140" s="445"/>
      <c r="AL140" s="445"/>
      <c r="AM140" s="445"/>
      <c r="AN140" s="562"/>
      <c r="AO140" s="510" t="s">
        <v>65</v>
      </c>
      <c r="AP140" s="510"/>
      <c r="AQ140" s="511" t="str">
        <f>ادخال1!$BJ$5</f>
        <v>د. عبدالرحمن خليفة العريبي</v>
      </c>
      <c r="AR140" s="511"/>
      <c r="AS140" s="511"/>
      <c r="AT140" s="511"/>
      <c r="AU140" s="511"/>
      <c r="AW140" s="134" t="s">
        <v>87</v>
      </c>
      <c r="AX140" s="445"/>
      <c r="AY140" s="445"/>
      <c r="AZ140" s="445"/>
      <c r="BA140" s="445"/>
      <c r="BB140" s="445"/>
      <c r="BC140" s="445"/>
      <c r="BD140" s="562"/>
      <c r="BE140" s="510" t="s">
        <v>65</v>
      </c>
      <c r="BF140" s="510"/>
      <c r="BG140" s="511" t="str">
        <f>ادخال1!$BJ$5</f>
        <v>د. عبدالرحمن خليفة العريبي</v>
      </c>
      <c r="BH140" s="511"/>
      <c r="BI140" s="511"/>
      <c r="BJ140" s="511"/>
      <c r="BK140" s="511"/>
    </row>
    <row r="141" spans="1:63" ht="24.9" customHeight="1" x14ac:dyDescent="0.25">
      <c r="A141" s="57" t="s">
        <v>15</v>
      </c>
      <c r="B141" s="435"/>
      <c r="C141" s="435"/>
      <c r="D141" s="435"/>
      <c r="E141" s="435"/>
      <c r="F141" s="435"/>
      <c r="G141" s="435"/>
      <c r="H141" s="514"/>
      <c r="I141" s="563" t="s">
        <v>67</v>
      </c>
      <c r="J141" s="563"/>
      <c r="K141" s="563"/>
      <c r="L141" s="64"/>
      <c r="M141" s="564">
        <f ca="1">TODAY()</f>
        <v>46009</v>
      </c>
      <c r="N141" s="564"/>
      <c r="O141" s="564"/>
      <c r="Q141" s="57" t="s">
        <v>15</v>
      </c>
      <c r="R141" s="435"/>
      <c r="S141" s="435"/>
      <c r="T141" s="435"/>
      <c r="U141" s="435"/>
      <c r="V141" s="435"/>
      <c r="W141" s="435"/>
      <c r="X141" s="514"/>
      <c r="Y141" s="563" t="s">
        <v>67</v>
      </c>
      <c r="Z141" s="563"/>
      <c r="AA141" s="563"/>
      <c r="AB141" s="64"/>
      <c r="AC141" s="564">
        <f ca="1">TODAY()</f>
        <v>46009</v>
      </c>
      <c r="AD141" s="564"/>
      <c r="AE141" s="564"/>
      <c r="AG141" s="57" t="s">
        <v>15</v>
      </c>
      <c r="AH141" s="435"/>
      <c r="AI141" s="435"/>
      <c r="AJ141" s="435"/>
      <c r="AK141" s="435"/>
      <c r="AL141" s="435"/>
      <c r="AM141" s="435"/>
      <c r="AN141" s="514"/>
      <c r="AO141" s="563" t="s">
        <v>67</v>
      </c>
      <c r="AP141" s="563"/>
      <c r="AQ141" s="563"/>
      <c r="AR141" s="64"/>
      <c r="AS141" s="564">
        <f ca="1">TODAY()</f>
        <v>46009</v>
      </c>
      <c r="AT141" s="564"/>
      <c r="AU141" s="564"/>
      <c r="AW141" s="57" t="s">
        <v>15</v>
      </c>
      <c r="AX141" s="435"/>
      <c r="AY141" s="435"/>
      <c r="AZ141" s="435"/>
      <c r="BA141" s="435"/>
      <c r="BB141" s="435"/>
      <c r="BC141" s="435"/>
      <c r="BD141" s="514"/>
      <c r="BE141" s="563" t="s">
        <v>67</v>
      </c>
      <c r="BF141" s="563"/>
      <c r="BG141" s="563"/>
      <c r="BH141" s="64"/>
      <c r="BI141" s="564">
        <f ca="1">TODAY()</f>
        <v>46009</v>
      </c>
      <c r="BJ141" s="564"/>
      <c r="BK141" s="564"/>
    </row>
    <row r="142" spans="1:63" ht="24.9" customHeight="1" thickBot="1" x14ac:dyDescent="0.3">
      <c r="A142" s="137" t="s">
        <v>88</v>
      </c>
      <c r="B142" s="456"/>
      <c r="C142" s="456"/>
      <c r="D142" s="456"/>
      <c r="E142" s="456"/>
      <c r="F142" s="456"/>
      <c r="G142" s="456"/>
      <c r="H142" s="495"/>
      <c r="I142" s="496" t="s">
        <v>69</v>
      </c>
      <c r="J142" s="496"/>
      <c r="K142" s="496"/>
      <c r="L142" s="496"/>
      <c r="M142" s="496"/>
      <c r="N142" s="496"/>
      <c r="O142" s="497"/>
      <c r="Q142" s="137" t="s">
        <v>88</v>
      </c>
      <c r="R142" s="456"/>
      <c r="S142" s="456"/>
      <c r="T142" s="456"/>
      <c r="U142" s="456"/>
      <c r="V142" s="456"/>
      <c r="W142" s="456"/>
      <c r="X142" s="495"/>
      <c r="Y142" s="496" t="s">
        <v>69</v>
      </c>
      <c r="Z142" s="496"/>
      <c r="AA142" s="496"/>
      <c r="AB142" s="496"/>
      <c r="AC142" s="496"/>
      <c r="AD142" s="496"/>
      <c r="AE142" s="497"/>
      <c r="AG142" s="137" t="s">
        <v>88</v>
      </c>
      <c r="AH142" s="456"/>
      <c r="AI142" s="456"/>
      <c r="AJ142" s="456"/>
      <c r="AK142" s="456"/>
      <c r="AL142" s="456"/>
      <c r="AM142" s="456"/>
      <c r="AN142" s="495"/>
      <c r="AO142" s="496" t="s">
        <v>69</v>
      </c>
      <c r="AP142" s="496"/>
      <c r="AQ142" s="496"/>
      <c r="AR142" s="496"/>
      <c r="AS142" s="496"/>
      <c r="AT142" s="496"/>
      <c r="AU142" s="497"/>
      <c r="AW142" s="137" t="s">
        <v>88</v>
      </c>
      <c r="AX142" s="456"/>
      <c r="AY142" s="456"/>
      <c r="AZ142" s="456"/>
      <c r="BA142" s="456"/>
      <c r="BB142" s="456"/>
      <c r="BC142" s="456"/>
      <c r="BD142" s="495"/>
      <c r="BE142" s="496" t="s">
        <v>69</v>
      </c>
      <c r="BF142" s="496"/>
      <c r="BG142" s="496"/>
      <c r="BH142" s="496"/>
      <c r="BI142" s="496"/>
      <c r="BJ142" s="496"/>
      <c r="BK142" s="497"/>
    </row>
    <row r="143" spans="1:63" ht="15.6" thickBot="1" x14ac:dyDescent="0.3">
      <c r="A143" s="138"/>
      <c r="I143" s="34"/>
      <c r="J143" s="34"/>
      <c r="K143" s="34"/>
      <c r="L143" s="34"/>
      <c r="M143" s="108"/>
      <c r="N143" s="156"/>
      <c r="O143" s="157"/>
      <c r="Q143" s="138"/>
      <c r="Y143" s="34"/>
      <c r="Z143" s="34"/>
      <c r="AA143" s="34"/>
      <c r="AB143" s="34"/>
      <c r="AC143" s="108"/>
      <c r="AD143" s="108"/>
      <c r="AE143" s="109"/>
      <c r="AG143" s="138"/>
      <c r="AO143" s="34"/>
      <c r="AP143" s="34"/>
      <c r="AQ143" s="34"/>
      <c r="AR143" s="34"/>
      <c r="AS143" s="108"/>
      <c r="AT143" s="108"/>
      <c r="AU143" s="109"/>
      <c r="AW143" s="138"/>
      <c r="BE143" s="34"/>
      <c r="BF143" s="34"/>
      <c r="BG143" s="34"/>
      <c r="BH143" s="34"/>
      <c r="BI143" s="108"/>
      <c r="BJ143" s="108"/>
      <c r="BK143" s="109"/>
    </row>
    <row r="144" spans="1:63" thickTop="1" x14ac:dyDescent="0.25">
      <c r="A144" s="545" t="s">
        <v>83</v>
      </c>
      <c r="B144" s="546"/>
      <c r="C144" s="546"/>
      <c r="D144" s="546"/>
      <c r="E144" s="35"/>
      <c r="F144" s="35"/>
      <c r="G144" s="36"/>
      <c r="H144" s="6"/>
      <c r="I144" s="516" t="s">
        <v>70</v>
      </c>
      <c r="J144" s="517"/>
      <c r="K144" s="517"/>
      <c r="L144" s="517"/>
      <c r="M144" s="517"/>
      <c r="N144" s="517"/>
      <c r="O144" s="518"/>
      <c r="Q144" s="545" t="s">
        <v>83</v>
      </c>
      <c r="R144" s="546"/>
      <c r="S144" s="546"/>
      <c r="T144" s="546"/>
      <c r="U144" s="35"/>
      <c r="V144" s="35"/>
      <c r="W144" s="36"/>
      <c r="X144" s="6"/>
      <c r="Y144" s="584" t="s">
        <v>70</v>
      </c>
      <c r="Z144" s="585"/>
      <c r="AA144" s="585"/>
      <c r="AB144" s="585"/>
      <c r="AC144" s="585"/>
      <c r="AD144" s="585"/>
      <c r="AE144" s="586"/>
      <c r="AG144" s="545" t="s">
        <v>83</v>
      </c>
      <c r="AH144" s="546"/>
      <c r="AI144" s="546"/>
      <c r="AJ144" s="546"/>
      <c r="AK144" s="35"/>
      <c r="AL144" s="35"/>
      <c r="AM144" s="36"/>
      <c r="AN144" s="6"/>
      <c r="AO144" s="516" t="s">
        <v>70</v>
      </c>
      <c r="AP144" s="517"/>
      <c r="AQ144" s="517"/>
      <c r="AR144" s="517"/>
      <c r="AS144" s="517"/>
      <c r="AT144" s="517"/>
      <c r="AU144" s="518"/>
      <c r="AW144" s="545" t="s">
        <v>83</v>
      </c>
      <c r="AX144" s="546"/>
      <c r="AY144" s="546"/>
      <c r="AZ144" s="546"/>
      <c r="BA144" s="35"/>
      <c r="BB144" s="35"/>
      <c r="BC144" s="36"/>
      <c r="BD144" s="6"/>
      <c r="BE144" s="516" t="s">
        <v>70</v>
      </c>
      <c r="BF144" s="517"/>
      <c r="BG144" s="517"/>
      <c r="BH144" s="517"/>
      <c r="BI144" s="517"/>
      <c r="BJ144" s="517"/>
      <c r="BK144" s="518"/>
    </row>
    <row r="145" spans="1:63" ht="14.25" customHeight="1" x14ac:dyDescent="0.25">
      <c r="A145" s="536" t="s">
        <v>71</v>
      </c>
      <c r="B145" s="537"/>
      <c r="C145" s="537"/>
      <c r="D145" s="537"/>
      <c r="E145" s="537"/>
      <c r="F145" s="537"/>
      <c r="G145" s="538"/>
      <c r="H145" s="6"/>
      <c r="I145" s="539" t="s">
        <v>84</v>
      </c>
      <c r="J145" s="540"/>
      <c r="K145" s="540"/>
      <c r="L145" s="540"/>
      <c r="M145" s="540"/>
      <c r="N145" s="540"/>
      <c r="O145" s="541"/>
      <c r="Q145" s="536" t="s">
        <v>71</v>
      </c>
      <c r="R145" s="537"/>
      <c r="S145" s="537"/>
      <c r="T145" s="537"/>
      <c r="U145" s="537"/>
      <c r="V145" s="537"/>
      <c r="W145" s="538"/>
      <c r="X145" s="6"/>
      <c r="Y145" s="539" t="s">
        <v>84</v>
      </c>
      <c r="Z145" s="540"/>
      <c r="AA145" s="540"/>
      <c r="AB145" s="540"/>
      <c r="AC145" s="540"/>
      <c r="AD145" s="540"/>
      <c r="AE145" s="541"/>
      <c r="AG145" s="536" t="s">
        <v>71</v>
      </c>
      <c r="AH145" s="537"/>
      <c r="AI145" s="537"/>
      <c r="AJ145" s="537"/>
      <c r="AK145" s="537"/>
      <c r="AL145" s="537"/>
      <c r="AM145" s="538"/>
      <c r="AN145" s="6"/>
      <c r="AO145" s="539" t="s">
        <v>84</v>
      </c>
      <c r="AP145" s="540"/>
      <c r="AQ145" s="540"/>
      <c r="AR145" s="540"/>
      <c r="AS145" s="540"/>
      <c r="AT145" s="540"/>
      <c r="AU145" s="541"/>
      <c r="AW145" s="536" t="s">
        <v>71</v>
      </c>
      <c r="AX145" s="537"/>
      <c r="AY145" s="537"/>
      <c r="AZ145" s="537"/>
      <c r="BA145" s="537"/>
      <c r="BB145" s="537"/>
      <c r="BC145" s="538"/>
      <c r="BD145" s="6"/>
      <c r="BE145" s="539" t="s">
        <v>84</v>
      </c>
      <c r="BF145" s="540"/>
      <c r="BG145" s="540"/>
      <c r="BH145" s="540"/>
      <c r="BI145" s="540"/>
      <c r="BJ145" s="540"/>
      <c r="BK145" s="541"/>
    </row>
    <row r="146" spans="1:63" ht="13.8" x14ac:dyDescent="0.25">
      <c r="A146" s="536"/>
      <c r="B146" s="537"/>
      <c r="C146" s="537"/>
      <c r="D146" s="537"/>
      <c r="E146" s="537"/>
      <c r="F146" s="537"/>
      <c r="G146" s="538"/>
      <c r="H146" s="6"/>
      <c r="I146" s="539"/>
      <c r="J146" s="540"/>
      <c r="K146" s="540"/>
      <c r="L146" s="540"/>
      <c r="M146" s="540"/>
      <c r="N146" s="540"/>
      <c r="O146" s="541"/>
      <c r="Q146" s="536"/>
      <c r="R146" s="537"/>
      <c r="S146" s="537"/>
      <c r="T146" s="537"/>
      <c r="U146" s="537"/>
      <c r="V146" s="537"/>
      <c r="W146" s="538"/>
      <c r="X146" s="6"/>
      <c r="Y146" s="539"/>
      <c r="Z146" s="540"/>
      <c r="AA146" s="540"/>
      <c r="AB146" s="540"/>
      <c r="AC146" s="540"/>
      <c r="AD146" s="540"/>
      <c r="AE146" s="541"/>
      <c r="AG146" s="536"/>
      <c r="AH146" s="537"/>
      <c r="AI146" s="537"/>
      <c r="AJ146" s="537"/>
      <c r="AK146" s="537"/>
      <c r="AL146" s="537"/>
      <c r="AM146" s="538"/>
      <c r="AN146" s="6"/>
      <c r="AO146" s="539"/>
      <c r="AP146" s="540"/>
      <c r="AQ146" s="540"/>
      <c r="AR146" s="540"/>
      <c r="AS146" s="540"/>
      <c r="AT146" s="540"/>
      <c r="AU146" s="541"/>
      <c r="AW146" s="536"/>
      <c r="AX146" s="537"/>
      <c r="AY146" s="537"/>
      <c r="AZ146" s="537"/>
      <c r="BA146" s="537"/>
      <c r="BB146" s="537"/>
      <c r="BC146" s="538"/>
      <c r="BD146" s="6"/>
      <c r="BE146" s="539"/>
      <c r="BF146" s="540"/>
      <c r="BG146" s="540"/>
      <c r="BH146" s="540"/>
      <c r="BI146" s="540"/>
      <c r="BJ146" s="540"/>
      <c r="BK146" s="541"/>
    </row>
    <row r="147" spans="1:63" ht="13.8" x14ac:dyDescent="0.25">
      <c r="A147" s="536"/>
      <c r="B147" s="537"/>
      <c r="C147" s="537"/>
      <c r="D147" s="537"/>
      <c r="E147" s="537"/>
      <c r="F147" s="537"/>
      <c r="G147" s="538"/>
      <c r="H147" s="6"/>
      <c r="I147" s="539"/>
      <c r="J147" s="540"/>
      <c r="K147" s="540"/>
      <c r="L147" s="540"/>
      <c r="M147" s="540"/>
      <c r="N147" s="540"/>
      <c r="O147" s="541"/>
      <c r="Q147" s="536"/>
      <c r="R147" s="537"/>
      <c r="S147" s="537"/>
      <c r="T147" s="537"/>
      <c r="U147" s="537"/>
      <c r="V147" s="537"/>
      <c r="W147" s="538"/>
      <c r="X147" s="6"/>
      <c r="Y147" s="539"/>
      <c r="Z147" s="540"/>
      <c r="AA147" s="540"/>
      <c r="AB147" s="540"/>
      <c r="AC147" s="540"/>
      <c r="AD147" s="540"/>
      <c r="AE147" s="541"/>
      <c r="AG147" s="536"/>
      <c r="AH147" s="537"/>
      <c r="AI147" s="537"/>
      <c r="AJ147" s="537"/>
      <c r="AK147" s="537"/>
      <c r="AL147" s="537"/>
      <c r="AM147" s="538"/>
      <c r="AN147" s="6"/>
      <c r="AO147" s="539"/>
      <c r="AP147" s="540"/>
      <c r="AQ147" s="540"/>
      <c r="AR147" s="540"/>
      <c r="AS147" s="540"/>
      <c r="AT147" s="540"/>
      <c r="AU147" s="541"/>
      <c r="AW147" s="536"/>
      <c r="AX147" s="537"/>
      <c r="AY147" s="537"/>
      <c r="AZ147" s="537"/>
      <c r="BA147" s="537"/>
      <c r="BB147" s="537"/>
      <c r="BC147" s="538"/>
      <c r="BD147" s="6"/>
      <c r="BE147" s="539"/>
      <c r="BF147" s="540"/>
      <c r="BG147" s="540"/>
      <c r="BH147" s="540"/>
      <c r="BI147" s="540"/>
      <c r="BJ147" s="540"/>
      <c r="BK147" s="541"/>
    </row>
    <row r="148" spans="1:63" ht="13.8" x14ac:dyDescent="0.25">
      <c r="A148" s="536"/>
      <c r="B148" s="537"/>
      <c r="C148" s="537"/>
      <c r="D148" s="537"/>
      <c r="E148" s="537"/>
      <c r="F148" s="537"/>
      <c r="G148" s="538"/>
      <c r="H148" s="6"/>
      <c r="I148" s="539"/>
      <c r="J148" s="540"/>
      <c r="K148" s="540"/>
      <c r="L148" s="540"/>
      <c r="M148" s="540"/>
      <c r="N148" s="540"/>
      <c r="O148" s="541"/>
      <c r="Q148" s="536"/>
      <c r="R148" s="537"/>
      <c r="S148" s="537"/>
      <c r="T148" s="537"/>
      <c r="U148" s="537"/>
      <c r="V148" s="537"/>
      <c r="W148" s="538"/>
      <c r="X148" s="6"/>
      <c r="Y148" s="539"/>
      <c r="Z148" s="540"/>
      <c r="AA148" s="540"/>
      <c r="AB148" s="540"/>
      <c r="AC148" s="540"/>
      <c r="AD148" s="540"/>
      <c r="AE148" s="541"/>
      <c r="AG148" s="536"/>
      <c r="AH148" s="537"/>
      <c r="AI148" s="537"/>
      <c r="AJ148" s="537"/>
      <c r="AK148" s="537"/>
      <c r="AL148" s="537"/>
      <c r="AM148" s="538"/>
      <c r="AN148" s="6"/>
      <c r="AO148" s="539"/>
      <c r="AP148" s="540"/>
      <c r="AQ148" s="540"/>
      <c r="AR148" s="540"/>
      <c r="AS148" s="540"/>
      <c r="AT148" s="540"/>
      <c r="AU148" s="541"/>
      <c r="AW148" s="536"/>
      <c r="AX148" s="537"/>
      <c r="AY148" s="537"/>
      <c r="AZ148" s="537"/>
      <c r="BA148" s="537"/>
      <c r="BB148" s="537"/>
      <c r="BC148" s="538"/>
      <c r="BD148" s="6"/>
      <c r="BE148" s="539"/>
      <c r="BF148" s="540"/>
      <c r="BG148" s="540"/>
      <c r="BH148" s="540"/>
      <c r="BI148" s="540"/>
      <c r="BJ148" s="540"/>
      <c r="BK148" s="541"/>
    </row>
    <row r="149" spans="1:63" ht="14.25" customHeight="1" x14ac:dyDescent="0.25">
      <c r="A149" s="536" t="s">
        <v>72</v>
      </c>
      <c r="B149" s="537"/>
      <c r="C149" s="537"/>
      <c r="D149" s="537"/>
      <c r="E149" s="537"/>
      <c r="F149" s="537"/>
      <c r="G149" s="538"/>
      <c r="H149" s="6"/>
      <c r="I149" s="539"/>
      <c r="J149" s="540"/>
      <c r="K149" s="540"/>
      <c r="L149" s="540"/>
      <c r="M149" s="540"/>
      <c r="N149" s="540"/>
      <c r="O149" s="541"/>
      <c r="Q149" s="536" t="s">
        <v>72</v>
      </c>
      <c r="R149" s="537"/>
      <c r="S149" s="537"/>
      <c r="T149" s="537"/>
      <c r="U149" s="537"/>
      <c r="V149" s="537"/>
      <c r="W149" s="538"/>
      <c r="X149" s="6"/>
      <c r="Y149" s="539"/>
      <c r="Z149" s="540"/>
      <c r="AA149" s="540"/>
      <c r="AB149" s="540"/>
      <c r="AC149" s="540"/>
      <c r="AD149" s="540"/>
      <c r="AE149" s="541"/>
      <c r="AG149" s="536" t="s">
        <v>72</v>
      </c>
      <c r="AH149" s="537"/>
      <c r="AI149" s="537"/>
      <c r="AJ149" s="537"/>
      <c r="AK149" s="537"/>
      <c r="AL149" s="537"/>
      <c r="AM149" s="538"/>
      <c r="AN149" s="6"/>
      <c r="AO149" s="539"/>
      <c r="AP149" s="540"/>
      <c r="AQ149" s="540"/>
      <c r="AR149" s="540"/>
      <c r="AS149" s="540"/>
      <c r="AT149" s="540"/>
      <c r="AU149" s="541"/>
      <c r="AW149" s="536" t="s">
        <v>72</v>
      </c>
      <c r="AX149" s="537"/>
      <c r="AY149" s="537"/>
      <c r="AZ149" s="537"/>
      <c r="BA149" s="537"/>
      <c r="BB149" s="537"/>
      <c r="BC149" s="538"/>
      <c r="BD149" s="6"/>
      <c r="BE149" s="539"/>
      <c r="BF149" s="540"/>
      <c r="BG149" s="540"/>
      <c r="BH149" s="540"/>
      <c r="BI149" s="540"/>
      <c r="BJ149" s="540"/>
      <c r="BK149" s="541"/>
    </row>
    <row r="150" spans="1:63" thickBot="1" x14ac:dyDescent="0.3">
      <c r="A150" s="542"/>
      <c r="B150" s="543"/>
      <c r="C150" s="543"/>
      <c r="D150" s="543"/>
      <c r="E150" s="543"/>
      <c r="F150" s="543"/>
      <c r="G150" s="544"/>
      <c r="H150" s="6"/>
      <c r="I150" s="521" t="s">
        <v>73</v>
      </c>
      <c r="J150" s="522"/>
      <c r="K150" s="522"/>
      <c r="L150" s="522"/>
      <c r="M150" s="522"/>
      <c r="N150" s="522"/>
      <c r="O150" s="523"/>
      <c r="Q150" s="542"/>
      <c r="R150" s="543"/>
      <c r="S150" s="543"/>
      <c r="T150" s="543"/>
      <c r="U150" s="543"/>
      <c r="V150" s="543"/>
      <c r="W150" s="544"/>
      <c r="X150" s="6"/>
      <c r="Y150" s="521" t="s">
        <v>73</v>
      </c>
      <c r="Z150" s="522"/>
      <c r="AA150" s="522"/>
      <c r="AB150" s="522"/>
      <c r="AC150" s="522"/>
      <c r="AD150" s="522"/>
      <c r="AE150" s="523"/>
      <c r="AG150" s="542"/>
      <c r="AH150" s="543"/>
      <c r="AI150" s="543"/>
      <c r="AJ150" s="543"/>
      <c r="AK150" s="543"/>
      <c r="AL150" s="543"/>
      <c r="AM150" s="544"/>
      <c r="AN150" s="6"/>
      <c r="AO150" s="521" t="s">
        <v>73</v>
      </c>
      <c r="AP150" s="522"/>
      <c r="AQ150" s="522"/>
      <c r="AR150" s="522"/>
      <c r="AS150" s="522"/>
      <c r="AT150" s="522"/>
      <c r="AU150" s="523"/>
      <c r="AW150" s="542"/>
      <c r="AX150" s="543"/>
      <c r="AY150" s="543"/>
      <c r="AZ150" s="543"/>
      <c r="BA150" s="543"/>
      <c r="BB150" s="543"/>
      <c r="BC150" s="544"/>
      <c r="BD150" s="6"/>
      <c r="BE150" s="521" t="s">
        <v>73</v>
      </c>
      <c r="BF150" s="522"/>
      <c r="BG150" s="522"/>
      <c r="BH150" s="522"/>
      <c r="BI150" s="522"/>
      <c r="BJ150" s="522"/>
      <c r="BK150" s="523"/>
    </row>
    <row r="151" spans="1:63" ht="15" customHeight="1" thickTop="1" x14ac:dyDescent="0.25">
      <c r="A151" s="139"/>
      <c r="B151" s="151"/>
      <c r="C151" s="6"/>
      <c r="D151" s="6"/>
      <c r="E151" s="6"/>
      <c r="F151" s="6"/>
      <c r="G151" s="6"/>
      <c r="H151" s="6"/>
      <c r="I151" s="527" t="s">
        <v>74</v>
      </c>
      <c r="J151" s="528"/>
      <c r="K151" s="528"/>
      <c r="L151" s="528"/>
      <c r="M151" s="528"/>
      <c r="N151" s="528"/>
      <c r="O151" s="529"/>
      <c r="Q151" s="139"/>
      <c r="R151" s="6"/>
      <c r="S151" s="6"/>
      <c r="T151" s="6"/>
      <c r="U151" s="6"/>
      <c r="V151" s="6"/>
      <c r="W151" s="6"/>
      <c r="X151" s="6"/>
      <c r="Y151" s="527" t="s">
        <v>74</v>
      </c>
      <c r="Z151" s="528"/>
      <c r="AA151" s="528"/>
      <c r="AB151" s="528"/>
      <c r="AC151" s="528"/>
      <c r="AD151" s="528"/>
      <c r="AE151" s="529"/>
      <c r="AG151" s="139"/>
      <c r="AH151" s="6"/>
      <c r="AI151" s="6"/>
      <c r="AJ151" s="6"/>
      <c r="AK151" s="6"/>
      <c r="AL151" s="6"/>
      <c r="AM151" s="6"/>
      <c r="AN151" s="6"/>
      <c r="AO151" s="527" t="s">
        <v>74</v>
      </c>
      <c r="AP151" s="528"/>
      <c r="AQ151" s="528"/>
      <c r="AR151" s="528"/>
      <c r="AS151" s="528"/>
      <c r="AT151" s="528"/>
      <c r="AU151" s="529"/>
      <c r="AW151" s="139"/>
      <c r="AX151" s="6"/>
      <c r="AY151" s="6"/>
      <c r="AZ151" s="6"/>
      <c r="BA151" s="6"/>
      <c r="BB151" s="6"/>
      <c r="BC151" s="6"/>
      <c r="BD151" s="6"/>
      <c r="BE151" s="527" t="s">
        <v>74</v>
      </c>
      <c r="BF151" s="528"/>
      <c r="BG151" s="528"/>
      <c r="BH151" s="528"/>
      <c r="BI151" s="528"/>
      <c r="BJ151" s="528"/>
      <c r="BK151" s="529"/>
    </row>
    <row r="152" spans="1:63" ht="15" customHeight="1" thickBot="1" x14ac:dyDescent="0.3">
      <c r="A152" s="139"/>
      <c r="B152" s="151"/>
      <c r="C152" s="6"/>
      <c r="D152" s="6"/>
      <c r="E152" s="6"/>
      <c r="F152" s="6"/>
      <c r="G152" s="6"/>
      <c r="H152" s="67"/>
      <c r="I152" s="527"/>
      <c r="J152" s="528"/>
      <c r="K152" s="528"/>
      <c r="L152" s="528"/>
      <c r="M152" s="528"/>
      <c r="N152" s="528"/>
      <c r="O152" s="529"/>
      <c r="Q152" s="139"/>
      <c r="R152" s="6"/>
      <c r="S152" s="6"/>
      <c r="T152" s="6"/>
      <c r="U152" s="6"/>
      <c r="V152" s="6"/>
      <c r="W152" s="6"/>
      <c r="X152" s="67"/>
      <c r="Y152" s="527"/>
      <c r="Z152" s="528"/>
      <c r="AA152" s="528"/>
      <c r="AB152" s="528"/>
      <c r="AC152" s="528"/>
      <c r="AD152" s="528"/>
      <c r="AE152" s="529"/>
      <c r="AG152" s="139"/>
      <c r="AH152" s="6"/>
      <c r="AI152" s="6"/>
      <c r="AJ152" s="6"/>
      <c r="AK152" s="6"/>
      <c r="AL152" s="6"/>
      <c r="AM152" s="6"/>
      <c r="AN152" s="67"/>
      <c r="AO152" s="527"/>
      <c r="AP152" s="528"/>
      <c r="AQ152" s="528"/>
      <c r="AR152" s="528"/>
      <c r="AS152" s="528"/>
      <c r="AT152" s="528"/>
      <c r="AU152" s="529"/>
      <c r="AW152" s="139"/>
      <c r="AX152" s="6"/>
      <c r="AY152" s="6"/>
      <c r="AZ152" s="6"/>
      <c r="BA152" s="6"/>
      <c r="BB152" s="6"/>
      <c r="BC152" s="6"/>
      <c r="BD152" s="67"/>
      <c r="BE152" s="527"/>
      <c r="BF152" s="528"/>
      <c r="BG152" s="528"/>
      <c r="BH152" s="528"/>
      <c r="BI152" s="528"/>
      <c r="BJ152" s="528"/>
      <c r="BK152" s="529"/>
    </row>
    <row r="153" spans="1:63" ht="18" customHeight="1" thickTop="1" x14ac:dyDescent="0.25">
      <c r="A153" s="139"/>
      <c r="B153" s="519" t="s">
        <v>75</v>
      </c>
      <c r="C153" s="520"/>
      <c r="D153" s="520"/>
      <c r="E153" s="520"/>
      <c r="F153" s="35"/>
      <c r="G153" s="35"/>
      <c r="H153" s="36"/>
      <c r="I153" s="521" t="s">
        <v>76</v>
      </c>
      <c r="J153" s="522"/>
      <c r="K153" s="522"/>
      <c r="L153" s="522"/>
      <c r="M153" s="522"/>
      <c r="N153" s="522"/>
      <c r="O153" s="523"/>
      <c r="Q153" s="139"/>
      <c r="R153" s="519" t="s">
        <v>75</v>
      </c>
      <c r="S153" s="520"/>
      <c r="T153" s="520"/>
      <c r="U153" s="520"/>
      <c r="V153" s="35"/>
      <c r="W153" s="35"/>
      <c r="X153" s="36"/>
      <c r="Y153" s="521" t="s">
        <v>76</v>
      </c>
      <c r="Z153" s="522"/>
      <c r="AA153" s="522"/>
      <c r="AB153" s="522"/>
      <c r="AC153" s="522"/>
      <c r="AD153" s="522"/>
      <c r="AE153" s="523"/>
      <c r="AG153" s="139"/>
      <c r="AH153" s="519" t="s">
        <v>75</v>
      </c>
      <c r="AI153" s="520"/>
      <c r="AJ153" s="520"/>
      <c r="AK153" s="520"/>
      <c r="AL153" s="35"/>
      <c r="AM153" s="35"/>
      <c r="AN153" s="36"/>
      <c r="AO153" s="521" t="s">
        <v>76</v>
      </c>
      <c r="AP153" s="522"/>
      <c r="AQ153" s="522"/>
      <c r="AR153" s="522"/>
      <c r="AS153" s="522"/>
      <c r="AT153" s="522"/>
      <c r="AU153" s="523"/>
      <c r="AW153" s="139"/>
      <c r="AX153" s="519" t="s">
        <v>75</v>
      </c>
      <c r="AY153" s="520"/>
      <c r="AZ153" s="520"/>
      <c r="BA153" s="520"/>
      <c r="BB153" s="35"/>
      <c r="BC153" s="35"/>
      <c r="BD153" s="36"/>
      <c r="BE153" s="521" t="s">
        <v>76</v>
      </c>
      <c r="BF153" s="522"/>
      <c r="BG153" s="522"/>
      <c r="BH153" s="522"/>
      <c r="BI153" s="522"/>
      <c r="BJ153" s="522"/>
      <c r="BK153" s="523"/>
    </row>
    <row r="154" spans="1:63" ht="15" customHeight="1" x14ac:dyDescent="0.25">
      <c r="A154" s="139"/>
      <c r="B154" s="524" t="s">
        <v>77</v>
      </c>
      <c r="C154" s="525"/>
      <c r="D154" s="525"/>
      <c r="E154" s="525"/>
      <c r="F154" s="525"/>
      <c r="G154" s="525"/>
      <c r="H154" s="526"/>
      <c r="I154" s="527" t="s">
        <v>78</v>
      </c>
      <c r="J154" s="528"/>
      <c r="K154" s="528"/>
      <c r="L154" s="528"/>
      <c r="M154" s="528"/>
      <c r="N154" s="528"/>
      <c r="O154" s="529"/>
      <c r="Q154" s="139"/>
      <c r="R154" s="524" t="s">
        <v>77</v>
      </c>
      <c r="S154" s="525"/>
      <c r="T154" s="525"/>
      <c r="U154" s="525"/>
      <c r="V154" s="525"/>
      <c r="W154" s="525"/>
      <c r="X154" s="526"/>
      <c r="Y154" s="527" t="s">
        <v>78</v>
      </c>
      <c r="Z154" s="528"/>
      <c r="AA154" s="528"/>
      <c r="AB154" s="528"/>
      <c r="AC154" s="528"/>
      <c r="AD154" s="528"/>
      <c r="AE154" s="529"/>
      <c r="AG154" s="139"/>
      <c r="AH154" s="524" t="s">
        <v>77</v>
      </c>
      <c r="AI154" s="525"/>
      <c r="AJ154" s="525"/>
      <c r="AK154" s="525"/>
      <c r="AL154" s="525"/>
      <c r="AM154" s="525"/>
      <c r="AN154" s="526"/>
      <c r="AO154" s="527" t="s">
        <v>78</v>
      </c>
      <c r="AP154" s="528"/>
      <c r="AQ154" s="528"/>
      <c r="AR154" s="528"/>
      <c r="AS154" s="528"/>
      <c r="AT154" s="528"/>
      <c r="AU154" s="529"/>
      <c r="AW154" s="139"/>
      <c r="AX154" s="524" t="s">
        <v>77</v>
      </c>
      <c r="AY154" s="525"/>
      <c r="AZ154" s="525"/>
      <c r="BA154" s="525"/>
      <c r="BB154" s="525"/>
      <c r="BC154" s="525"/>
      <c r="BD154" s="526"/>
      <c r="BE154" s="527" t="s">
        <v>78</v>
      </c>
      <c r="BF154" s="528"/>
      <c r="BG154" s="528"/>
      <c r="BH154" s="528"/>
      <c r="BI154" s="528"/>
      <c r="BJ154" s="528"/>
      <c r="BK154" s="529"/>
    </row>
    <row r="155" spans="1:63" ht="14.25" customHeight="1" x14ac:dyDescent="0.25">
      <c r="A155" s="139"/>
      <c r="B155" s="530" t="s">
        <v>90</v>
      </c>
      <c r="C155" s="471"/>
      <c r="D155" s="471"/>
      <c r="E155" s="471"/>
      <c r="F155" s="471"/>
      <c r="G155" s="471"/>
      <c r="H155" s="472"/>
      <c r="I155" s="527"/>
      <c r="J155" s="528"/>
      <c r="K155" s="528"/>
      <c r="L155" s="528"/>
      <c r="M155" s="528"/>
      <c r="N155" s="528"/>
      <c r="O155" s="529"/>
      <c r="Q155" s="139"/>
      <c r="R155" s="530" t="s">
        <v>90</v>
      </c>
      <c r="S155" s="471"/>
      <c r="T155" s="471"/>
      <c r="U155" s="471"/>
      <c r="V155" s="471"/>
      <c r="W155" s="471"/>
      <c r="X155" s="472"/>
      <c r="Y155" s="527"/>
      <c r="Z155" s="528"/>
      <c r="AA155" s="528"/>
      <c r="AB155" s="528"/>
      <c r="AC155" s="528"/>
      <c r="AD155" s="528"/>
      <c r="AE155" s="529"/>
      <c r="AG155" s="139"/>
      <c r="AH155" s="530" t="s">
        <v>90</v>
      </c>
      <c r="AI155" s="471"/>
      <c r="AJ155" s="471"/>
      <c r="AK155" s="471"/>
      <c r="AL155" s="471"/>
      <c r="AM155" s="471"/>
      <c r="AN155" s="472"/>
      <c r="AO155" s="527"/>
      <c r="AP155" s="528"/>
      <c r="AQ155" s="528"/>
      <c r="AR155" s="528"/>
      <c r="AS155" s="528"/>
      <c r="AT155" s="528"/>
      <c r="AU155" s="529"/>
      <c r="AW155" s="139"/>
      <c r="AX155" s="530" t="s">
        <v>90</v>
      </c>
      <c r="AY155" s="471"/>
      <c r="AZ155" s="471"/>
      <c r="BA155" s="471"/>
      <c r="BB155" s="471"/>
      <c r="BC155" s="471"/>
      <c r="BD155" s="472"/>
      <c r="BE155" s="527"/>
      <c r="BF155" s="528"/>
      <c r="BG155" s="528"/>
      <c r="BH155" s="528"/>
      <c r="BI155" s="528"/>
      <c r="BJ155" s="528"/>
      <c r="BK155" s="529"/>
    </row>
    <row r="156" spans="1:63" ht="14.25" customHeight="1" x14ac:dyDescent="0.25">
      <c r="A156" s="139"/>
      <c r="B156" s="530"/>
      <c r="C156" s="471"/>
      <c r="D156" s="471"/>
      <c r="E156" s="471"/>
      <c r="F156" s="471"/>
      <c r="G156" s="471"/>
      <c r="H156" s="472"/>
      <c r="I156" s="528" t="s">
        <v>79</v>
      </c>
      <c r="J156" s="528"/>
      <c r="K156" s="528"/>
      <c r="L156" s="528"/>
      <c r="M156" s="528"/>
      <c r="N156" s="528"/>
      <c r="O156" s="529"/>
      <c r="Q156" s="139"/>
      <c r="R156" s="530"/>
      <c r="S156" s="471"/>
      <c r="T156" s="471"/>
      <c r="U156" s="471"/>
      <c r="V156" s="471"/>
      <c r="W156" s="471"/>
      <c r="X156" s="472"/>
      <c r="Y156" s="528" t="s">
        <v>79</v>
      </c>
      <c r="Z156" s="528"/>
      <c r="AA156" s="528"/>
      <c r="AB156" s="528"/>
      <c r="AC156" s="528"/>
      <c r="AD156" s="528"/>
      <c r="AE156" s="529"/>
      <c r="AG156" s="139"/>
      <c r="AH156" s="530"/>
      <c r="AI156" s="471"/>
      <c r="AJ156" s="471"/>
      <c r="AK156" s="471"/>
      <c r="AL156" s="471"/>
      <c r="AM156" s="471"/>
      <c r="AN156" s="472"/>
      <c r="AO156" s="528" t="s">
        <v>79</v>
      </c>
      <c r="AP156" s="528"/>
      <c r="AQ156" s="528"/>
      <c r="AR156" s="528"/>
      <c r="AS156" s="528"/>
      <c r="AT156" s="528"/>
      <c r="AU156" s="529"/>
      <c r="AW156" s="139"/>
      <c r="AX156" s="530"/>
      <c r="AY156" s="471"/>
      <c r="AZ156" s="471"/>
      <c r="BA156" s="471"/>
      <c r="BB156" s="471"/>
      <c r="BC156" s="471"/>
      <c r="BD156" s="472"/>
      <c r="BE156" s="528" t="s">
        <v>79</v>
      </c>
      <c r="BF156" s="528"/>
      <c r="BG156" s="528"/>
      <c r="BH156" s="528"/>
      <c r="BI156" s="528"/>
      <c r="BJ156" s="528"/>
      <c r="BK156" s="529"/>
    </row>
    <row r="157" spans="1:63" ht="15" customHeight="1" thickBot="1" x14ac:dyDescent="0.3">
      <c r="A157" s="139"/>
      <c r="B157" s="531"/>
      <c r="C157" s="532"/>
      <c r="D157" s="532"/>
      <c r="E157" s="532"/>
      <c r="F157" s="532"/>
      <c r="G157" s="532"/>
      <c r="H157" s="533"/>
      <c r="I157" s="534"/>
      <c r="J157" s="534"/>
      <c r="K157" s="534"/>
      <c r="L157" s="534"/>
      <c r="M157" s="534"/>
      <c r="N157" s="534"/>
      <c r="O157" s="535"/>
      <c r="Q157" s="139"/>
      <c r="R157" s="531"/>
      <c r="S157" s="532"/>
      <c r="T157" s="532"/>
      <c r="U157" s="532"/>
      <c r="V157" s="532"/>
      <c r="W157" s="532"/>
      <c r="X157" s="533"/>
      <c r="Y157" s="534"/>
      <c r="Z157" s="534"/>
      <c r="AA157" s="534"/>
      <c r="AB157" s="534"/>
      <c r="AC157" s="534"/>
      <c r="AD157" s="534"/>
      <c r="AE157" s="535"/>
      <c r="AG157" s="139"/>
      <c r="AH157" s="531"/>
      <c r="AI157" s="532"/>
      <c r="AJ157" s="532"/>
      <c r="AK157" s="532"/>
      <c r="AL157" s="532"/>
      <c r="AM157" s="532"/>
      <c r="AN157" s="533"/>
      <c r="AO157" s="534"/>
      <c r="AP157" s="534"/>
      <c r="AQ157" s="534"/>
      <c r="AR157" s="534"/>
      <c r="AS157" s="534"/>
      <c r="AT157" s="534"/>
      <c r="AU157" s="535"/>
      <c r="AW157" s="139"/>
      <c r="AX157" s="531"/>
      <c r="AY157" s="532"/>
      <c r="AZ157" s="532"/>
      <c r="BA157" s="532"/>
      <c r="BB157" s="532"/>
      <c r="BC157" s="532"/>
      <c r="BD157" s="533"/>
      <c r="BE157" s="534"/>
      <c r="BF157" s="534"/>
      <c r="BG157" s="534"/>
      <c r="BH157" s="534"/>
      <c r="BI157" s="534"/>
      <c r="BJ157" s="534"/>
      <c r="BK157" s="535"/>
    </row>
    <row r="158" spans="1:63" ht="16.2" thickTop="1" thickBot="1" x14ac:dyDescent="0.3">
      <c r="A158" s="140"/>
      <c r="B158" s="152"/>
      <c r="C158" s="515"/>
      <c r="D158" s="515"/>
      <c r="E158" s="515"/>
      <c r="F158" s="515"/>
      <c r="G158" s="515"/>
      <c r="H158" s="37"/>
      <c r="I158" s="38"/>
      <c r="J158" s="38"/>
      <c r="K158" s="38"/>
      <c r="L158" s="38"/>
      <c r="M158" s="110"/>
      <c r="N158" s="158"/>
      <c r="O158" s="159"/>
      <c r="Q158" s="140"/>
      <c r="R158" s="37"/>
      <c r="S158" s="515"/>
      <c r="T158" s="515"/>
      <c r="U158" s="515"/>
      <c r="V158" s="515"/>
      <c r="W158" s="515"/>
      <c r="X158" s="37"/>
      <c r="Y158" s="38"/>
      <c r="Z158" s="38"/>
      <c r="AA158" s="38"/>
      <c r="AB158" s="38"/>
      <c r="AC158" s="110"/>
      <c r="AD158" s="110"/>
      <c r="AE158" s="111"/>
      <c r="AG158" s="140"/>
      <c r="AH158" s="37"/>
      <c r="AI158" s="515"/>
      <c r="AJ158" s="515"/>
      <c r="AK158" s="515"/>
      <c r="AL158" s="515"/>
      <c r="AM158" s="515"/>
      <c r="AN158" s="37"/>
      <c r="AO158" s="38"/>
      <c r="AP158" s="38"/>
      <c r="AQ158" s="38"/>
      <c r="AR158" s="38"/>
      <c r="AS158" s="110"/>
      <c r="AT158" s="110"/>
      <c r="AU158" s="110"/>
      <c r="AV158" s="65"/>
      <c r="AW158" s="140"/>
      <c r="AX158" s="37"/>
      <c r="AY158" s="515"/>
      <c r="AZ158" s="515"/>
      <c r="BA158" s="515"/>
      <c r="BB158" s="515"/>
      <c r="BC158" s="515"/>
      <c r="BD158" s="37"/>
      <c r="BE158" s="38"/>
      <c r="BF158" s="38"/>
      <c r="BG158" s="38"/>
      <c r="BH158" s="38"/>
      <c r="BI158" s="110"/>
      <c r="BJ158" s="110"/>
      <c r="BK158" s="111"/>
    </row>
    <row r="159" spans="1:63" ht="16.2" thickTop="1" thickBot="1" x14ac:dyDescent="0.3">
      <c r="D159" s="62"/>
      <c r="T159" s="62"/>
      <c r="AJ159" s="62"/>
      <c r="AZ159" s="62"/>
    </row>
    <row r="160" spans="1:63" ht="24.9" customHeight="1" thickTop="1" x14ac:dyDescent="0.25">
      <c r="A160" s="569" t="s">
        <v>80</v>
      </c>
      <c r="B160" s="570"/>
      <c r="C160" s="570"/>
      <c r="D160" s="466" t="str">
        <f>ادخال1!$L$4</f>
        <v>الثالث</v>
      </c>
      <c r="E160" s="466"/>
      <c r="F160" s="554" t="s">
        <v>81</v>
      </c>
      <c r="G160" s="554"/>
      <c r="H160" s="554"/>
      <c r="I160" s="11"/>
      <c r="J160" s="11"/>
      <c r="K160" s="11"/>
      <c r="L160" s="11"/>
      <c r="M160" s="103"/>
      <c r="N160" s="103"/>
      <c r="O160" s="104">
        <f>O120+1</f>
        <v>5</v>
      </c>
      <c r="Q160" s="569" t="s">
        <v>80</v>
      </c>
      <c r="R160" s="570"/>
      <c r="S160" s="570"/>
      <c r="T160" s="466" t="str">
        <f>ادخال1!$L$4</f>
        <v>الثالث</v>
      </c>
      <c r="U160" s="466"/>
      <c r="V160" s="554" t="s">
        <v>81</v>
      </c>
      <c r="W160" s="554"/>
      <c r="X160" s="554"/>
      <c r="Y160" s="11"/>
      <c r="Z160" s="11"/>
      <c r="AA160" s="11"/>
      <c r="AB160" s="11"/>
      <c r="AC160" s="103"/>
      <c r="AD160" s="103"/>
      <c r="AE160" s="104">
        <f>AE120+1</f>
        <v>10</v>
      </c>
      <c r="AG160" s="569" t="s">
        <v>80</v>
      </c>
      <c r="AH160" s="570"/>
      <c r="AI160" s="570"/>
      <c r="AJ160" s="466" t="str">
        <f>ادخال1!$L$4</f>
        <v>الثالث</v>
      </c>
      <c r="AK160" s="466"/>
      <c r="AL160" s="554" t="s">
        <v>81</v>
      </c>
      <c r="AM160" s="554"/>
      <c r="AN160" s="554"/>
      <c r="AO160" s="11"/>
      <c r="AP160" s="11"/>
      <c r="AQ160" s="11"/>
      <c r="AR160" s="11"/>
      <c r="AS160" s="103"/>
      <c r="AT160" s="103"/>
      <c r="AU160" s="104">
        <f>AU120+1</f>
        <v>15</v>
      </c>
      <c r="AW160" s="569" t="s">
        <v>80</v>
      </c>
      <c r="AX160" s="570"/>
      <c r="AY160" s="570"/>
      <c r="AZ160" s="466" t="str">
        <f>ادخال1!$L$4</f>
        <v>الثالث</v>
      </c>
      <c r="BA160" s="466"/>
      <c r="BB160" s="554" t="s">
        <v>81</v>
      </c>
      <c r="BC160" s="554"/>
      <c r="BD160" s="554"/>
      <c r="BE160" s="11"/>
      <c r="BF160" s="11"/>
      <c r="BG160" s="11"/>
      <c r="BH160" s="11"/>
      <c r="BI160" s="103"/>
      <c r="BJ160" s="103"/>
      <c r="BK160" s="104">
        <f>BK120+1</f>
        <v>20</v>
      </c>
    </row>
    <row r="161" spans="1:64" ht="19.95" customHeight="1" thickBot="1" x14ac:dyDescent="0.3">
      <c r="A161" s="260" t="s">
        <v>153</v>
      </c>
      <c r="B161" s="488" t="str">
        <f>ادخال1!$B$5</f>
        <v>سهول العلم للتعليم الخاص</v>
      </c>
      <c r="C161" s="488"/>
      <c r="D161" s="488"/>
      <c r="E161" s="488"/>
      <c r="F161" s="488"/>
      <c r="G161" s="488"/>
      <c r="H161" s="555" t="s">
        <v>9</v>
      </c>
      <c r="I161" s="555"/>
      <c r="J161" s="556" t="str">
        <f>M175</f>
        <v>ساجدة عبد السلام شعبان بى</v>
      </c>
      <c r="K161" s="556"/>
      <c r="L161" s="556"/>
      <c r="M161" s="556"/>
      <c r="N161" s="556"/>
      <c r="O161" s="153"/>
      <c r="Q161" s="260" t="s">
        <v>153</v>
      </c>
      <c r="R161" s="488" t="str">
        <f>ادخال1!$B$5</f>
        <v>سهول العلم للتعليم الخاص</v>
      </c>
      <c r="S161" s="488"/>
      <c r="T161" s="488"/>
      <c r="U161" s="488"/>
      <c r="V161" s="488"/>
      <c r="W161" s="488"/>
      <c r="X161" s="555" t="s">
        <v>9</v>
      </c>
      <c r="Y161" s="555"/>
      <c r="Z161" s="556" t="str">
        <f>AC175</f>
        <v>كنان سالم عبد الكريم النفاتى</v>
      </c>
      <c r="AA161" s="556"/>
      <c r="AB161" s="556"/>
      <c r="AC161" s="556"/>
      <c r="AD161" s="556"/>
      <c r="AE161" s="153"/>
      <c r="AG161" s="260" t="s">
        <v>153</v>
      </c>
      <c r="AH161" s="488" t="str">
        <f>ادخال1!$B$5</f>
        <v>سهول العلم للتعليم الخاص</v>
      </c>
      <c r="AI161" s="488"/>
      <c r="AJ161" s="488"/>
      <c r="AK161" s="488"/>
      <c r="AL161" s="488"/>
      <c r="AM161" s="488"/>
      <c r="AN161" s="555" t="s">
        <v>9</v>
      </c>
      <c r="AO161" s="555"/>
      <c r="AP161" s="556" t="str">
        <f>AS175</f>
        <v>يوسف انويجى عثمان ابوزويدة</v>
      </c>
      <c r="AQ161" s="556"/>
      <c r="AR161" s="556"/>
      <c r="AS161" s="556"/>
      <c r="AT161" s="556"/>
      <c r="AU161" s="153"/>
      <c r="AW161" s="260" t="s">
        <v>153</v>
      </c>
      <c r="AX161" s="488" t="str">
        <f>ادخال1!$B$5</f>
        <v>سهول العلم للتعليم الخاص</v>
      </c>
      <c r="AY161" s="488"/>
      <c r="AZ161" s="488"/>
      <c r="BA161" s="488"/>
      <c r="BB161" s="488"/>
      <c r="BC161" s="488"/>
      <c r="BD161" s="555" t="s">
        <v>9</v>
      </c>
      <c r="BE161" s="555"/>
      <c r="BF161" s="556">
        <f>BI175</f>
        <v>0</v>
      </c>
      <c r="BG161" s="556"/>
      <c r="BH161" s="556"/>
      <c r="BI161" s="556"/>
      <c r="BJ161" s="556"/>
      <c r="BK161" s="153"/>
    </row>
    <row r="162" spans="1:64" ht="19.95" customHeight="1" thickBot="1" x14ac:dyDescent="0.3">
      <c r="A162" s="132" t="s">
        <v>45</v>
      </c>
      <c r="B162" s="512" t="s">
        <v>12</v>
      </c>
      <c r="C162" s="557" t="s">
        <v>46</v>
      </c>
      <c r="D162" s="558"/>
      <c r="E162" s="559" t="s">
        <v>47</v>
      </c>
      <c r="F162" s="559"/>
      <c r="G162" s="560" t="s">
        <v>48</v>
      </c>
      <c r="H162" s="561"/>
      <c r="I162" s="575" t="s">
        <v>49</v>
      </c>
      <c r="J162" s="576"/>
      <c r="K162" s="577"/>
      <c r="L162" s="26"/>
      <c r="M162" s="572" t="s">
        <v>50</v>
      </c>
      <c r="N162" s="573"/>
      <c r="O162" s="574"/>
      <c r="Q162" s="132" t="s">
        <v>45</v>
      </c>
      <c r="R162" s="512" t="s">
        <v>12</v>
      </c>
      <c r="S162" s="557" t="s">
        <v>46</v>
      </c>
      <c r="T162" s="558"/>
      <c r="U162" s="559" t="s">
        <v>47</v>
      </c>
      <c r="V162" s="559"/>
      <c r="W162" s="560" t="s">
        <v>48</v>
      </c>
      <c r="X162" s="561"/>
      <c r="Y162" s="575" t="s">
        <v>49</v>
      </c>
      <c r="Z162" s="576"/>
      <c r="AA162" s="577"/>
      <c r="AB162" s="26"/>
      <c r="AC162" s="572" t="s">
        <v>50</v>
      </c>
      <c r="AD162" s="573"/>
      <c r="AE162" s="574"/>
      <c r="AG162" s="132" t="s">
        <v>45</v>
      </c>
      <c r="AH162" s="512" t="s">
        <v>12</v>
      </c>
      <c r="AI162" s="557" t="s">
        <v>46</v>
      </c>
      <c r="AJ162" s="558"/>
      <c r="AK162" s="559" t="s">
        <v>47</v>
      </c>
      <c r="AL162" s="559"/>
      <c r="AM162" s="560" t="s">
        <v>48</v>
      </c>
      <c r="AN162" s="561"/>
      <c r="AO162" s="575" t="s">
        <v>49</v>
      </c>
      <c r="AP162" s="576"/>
      <c r="AQ162" s="577"/>
      <c r="AR162" s="26"/>
      <c r="AS162" s="572" t="s">
        <v>50</v>
      </c>
      <c r="AT162" s="573"/>
      <c r="AU162" s="574"/>
      <c r="AW162" s="132" t="s">
        <v>45</v>
      </c>
      <c r="AX162" s="512" t="s">
        <v>12</v>
      </c>
      <c r="AY162" s="557" t="s">
        <v>46</v>
      </c>
      <c r="AZ162" s="558"/>
      <c r="BA162" s="559" t="s">
        <v>47</v>
      </c>
      <c r="BB162" s="559"/>
      <c r="BC162" s="560" t="s">
        <v>48</v>
      </c>
      <c r="BD162" s="561"/>
      <c r="BE162" s="575" t="s">
        <v>49</v>
      </c>
      <c r="BF162" s="576"/>
      <c r="BG162" s="577"/>
      <c r="BH162" s="26"/>
      <c r="BI162" s="572" t="s">
        <v>50</v>
      </c>
      <c r="BJ162" s="573"/>
      <c r="BK162" s="574"/>
    </row>
    <row r="163" spans="1:64" ht="24.9" customHeight="1" x14ac:dyDescent="0.25">
      <c r="A163" s="56" t="s">
        <v>2</v>
      </c>
      <c r="B163" s="513"/>
      <c r="C163" s="51" t="s">
        <v>51</v>
      </c>
      <c r="D163" s="52" t="s">
        <v>52</v>
      </c>
      <c r="E163" s="53" t="s">
        <v>51</v>
      </c>
      <c r="F163" s="54" t="s">
        <v>52</v>
      </c>
      <c r="G163" s="51" t="s">
        <v>51</v>
      </c>
      <c r="H163" s="52" t="s">
        <v>52</v>
      </c>
      <c r="I163" s="51" t="s">
        <v>53</v>
      </c>
      <c r="J163" s="55" t="s">
        <v>54</v>
      </c>
      <c r="K163" s="52" t="s">
        <v>52</v>
      </c>
      <c r="L163" s="10"/>
      <c r="M163" s="119" t="s">
        <v>109</v>
      </c>
      <c r="N163" s="489" t="str">
        <f>IF(D170=0,"",IF(AND(D164&gt;=C164*0.4,D165&gt;=C165*0.4,D166&gt;=C166*0.4,D167&gt;=C167*0.4,D168&gt;=C168*0.4),LOOKUP(D170,$BO$15:$BP$19),"ضعيف ويحتاج الى اهتمام في المواد"))</f>
        <v>جيدجداً</v>
      </c>
      <c r="O163" s="565"/>
      <c r="Q163" s="56" t="s">
        <v>2</v>
      </c>
      <c r="R163" s="513"/>
      <c r="S163" s="51" t="s">
        <v>51</v>
      </c>
      <c r="T163" s="52" t="s">
        <v>52</v>
      </c>
      <c r="U163" s="53" t="s">
        <v>51</v>
      </c>
      <c r="V163" s="54" t="s">
        <v>52</v>
      </c>
      <c r="W163" s="51" t="s">
        <v>51</v>
      </c>
      <c r="X163" s="52" t="s">
        <v>52</v>
      </c>
      <c r="Y163" s="51" t="s">
        <v>53</v>
      </c>
      <c r="Z163" s="55" t="s">
        <v>54</v>
      </c>
      <c r="AA163" s="52" t="s">
        <v>52</v>
      </c>
      <c r="AB163" s="10"/>
      <c r="AC163" s="119" t="s">
        <v>109</v>
      </c>
      <c r="AD163" s="489" t="str">
        <f>IF(T170=0,"",IF(AND(T164&gt;=S164*0.4,T165&gt;=S165*0.4,T166&gt;=S166*0.4,T167&gt;=S167*0.4,T168&gt;=S168*0.4),LOOKUP(T170,$BO$15:$BP$19),"ضعيف ويحتاج الى اهتمام في المواد"))</f>
        <v>ممتاز</v>
      </c>
      <c r="AE163" s="565"/>
      <c r="AG163" s="56" t="s">
        <v>2</v>
      </c>
      <c r="AH163" s="513"/>
      <c r="AI163" s="51" t="s">
        <v>51</v>
      </c>
      <c r="AJ163" s="52" t="s">
        <v>52</v>
      </c>
      <c r="AK163" s="53" t="s">
        <v>51</v>
      </c>
      <c r="AL163" s="54" t="s">
        <v>52</v>
      </c>
      <c r="AM163" s="51" t="s">
        <v>51</v>
      </c>
      <c r="AN163" s="52" t="s">
        <v>52</v>
      </c>
      <c r="AO163" s="51" t="s">
        <v>53</v>
      </c>
      <c r="AP163" s="55" t="s">
        <v>54</v>
      </c>
      <c r="AQ163" s="52" t="s">
        <v>52</v>
      </c>
      <c r="AR163" s="10"/>
      <c r="AS163" s="119" t="s">
        <v>109</v>
      </c>
      <c r="AT163" s="489" t="str">
        <f>IF(AJ170=0,"",IF(AND(AJ164&gt;=AI164*0.4,AJ165&gt;=AI165*0.4,AJ166&gt;=AI166*0.4,AJ167&gt;=AI167*0.4,AJ168&gt;=AI168*0.4),LOOKUP(AJ170,$BO$15:$BP$19),"ضعيف ويحتاج الى اهتمام في المواد"))</f>
        <v>ممتاز</v>
      </c>
      <c r="AU163" s="565"/>
      <c r="AV163" s="65"/>
      <c r="AW163" s="56" t="s">
        <v>2</v>
      </c>
      <c r="AX163" s="513"/>
      <c r="AY163" s="51" t="s">
        <v>51</v>
      </c>
      <c r="AZ163" s="52" t="s">
        <v>52</v>
      </c>
      <c r="BA163" s="53" t="s">
        <v>51</v>
      </c>
      <c r="BB163" s="54" t="s">
        <v>52</v>
      </c>
      <c r="BC163" s="51" t="s">
        <v>51</v>
      </c>
      <c r="BD163" s="52" t="s">
        <v>52</v>
      </c>
      <c r="BE163" s="51" t="s">
        <v>53</v>
      </c>
      <c r="BF163" s="55" t="s">
        <v>54</v>
      </c>
      <c r="BG163" s="52" t="s">
        <v>52</v>
      </c>
      <c r="BH163" s="10"/>
      <c r="BI163" s="119" t="s">
        <v>109</v>
      </c>
      <c r="BJ163" s="489" t="str">
        <f>IF(AZ170=0,"",IF(AND(AZ164&gt;=AY164*0.4,AZ165&gt;=AY165*0.4,AZ166&gt;=AY166*0.4,AZ167&gt;=AY167*0.4,AZ168&gt;=AY168*0.4),LOOKUP(AZ170,$BO$15:$BP$19),"ضعيف ويحتاج الى اهتمام في المواد"))</f>
        <v/>
      </c>
      <c r="BK163" s="565"/>
      <c r="BL163" s="25"/>
    </row>
    <row r="164" spans="1:64" ht="22.95" customHeight="1" x14ac:dyDescent="0.25">
      <c r="A164" s="115" t="str">
        <f>ادخال1!$F$9</f>
        <v>التربية الإسلامية</v>
      </c>
      <c r="B164" s="145">
        <f>ادخال1!$F$7</f>
        <v>3</v>
      </c>
      <c r="C164" s="41">
        <f t="shared" ref="C164:C165" si="157">40*B164*0.3</f>
        <v>36</v>
      </c>
      <c r="D164" s="2">
        <f xml:space="preserve"> IFERROR(VLOOKUP(M175,اسماء,5,0),"")</f>
        <v>35</v>
      </c>
      <c r="E164" s="43">
        <f t="shared" ref="E164:E165" si="158">40*B164*0.3</f>
        <v>36</v>
      </c>
      <c r="F164" s="2">
        <f>IFERROR(VLOOKUP(M175,اسماء,16,0),"")</f>
        <v>0</v>
      </c>
      <c r="G164" s="41">
        <f t="shared" ref="G164:G165" si="159">40*B164*0.4</f>
        <v>48</v>
      </c>
      <c r="H164" s="2">
        <f>IFERROR(VLOOKUP(M175,اسماء,27,0),"")</f>
        <v>0</v>
      </c>
      <c r="I164" s="41">
        <f t="shared" ref="I164:I165" si="160">SUM(C164,E164,G164)</f>
        <v>120</v>
      </c>
      <c r="J164" s="44">
        <f t="shared" ref="J164:J165" si="161">0.4*I164</f>
        <v>48</v>
      </c>
      <c r="K164" s="2">
        <f t="shared" ref="K164:K165" si="162">SUM(D164,F164,H164)</f>
        <v>35</v>
      </c>
      <c r="L164" s="18"/>
      <c r="M164" s="106" t="str">
        <f>IF(D164=0,"",IF(D164&lt;C164*0.4,A164,""))</f>
        <v/>
      </c>
      <c r="N164" s="154" t="str">
        <f>IF(D165=0,"",IF(D165&lt;C165*0.4,A165,""))</f>
        <v/>
      </c>
      <c r="O164" s="155" t="str">
        <f>IF(D166=0,"",IF(D166&lt;C166*0.4,A166,""))</f>
        <v/>
      </c>
      <c r="Q164" s="115" t="str">
        <f>ادخال1!$F$9</f>
        <v>التربية الإسلامية</v>
      </c>
      <c r="R164" s="145">
        <f>ادخال1!$F$7</f>
        <v>3</v>
      </c>
      <c r="S164" s="41">
        <f t="shared" ref="S164:S165" si="163">40*R164*0.3</f>
        <v>36</v>
      </c>
      <c r="T164" s="2">
        <f xml:space="preserve"> IFERROR(VLOOKUP(AC175,اسماء,5,0),"")</f>
        <v>36</v>
      </c>
      <c r="U164" s="43">
        <f t="shared" ref="U164:U165" si="164">40*R164*0.3</f>
        <v>36</v>
      </c>
      <c r="V164" s="2">
        <f>IFERROR(VLOOKUP(AC175,اسماء,16,0),"")</f>
        <v>0</v>
      </c>
      <c r="W164" s="41">
        <f t="shared" ref="W164:W165" si="165">40*R164*0.4</f>
        <v>48</v>
      </c>
      <c r="X164" s="2">
        <f>IFERROR(VLOOKUP(AC175,اسماء,27,0),"")</f>
        <v>0</v>
      </c>
      <c r="Y164" s="41">
        <f t="shared" ref="Y164:Y165" si="166">SUM(S164,U164,W164)</f>
        <v>120</v>
      </c>
      <c r="Z164" s="44">
        <f t="shared" ref="Z164:Z165" si="167">0.4*Y164</f>
        <v>48</v>
      </c>
      <c r="AA164" s="2">
        <f t="shared" ref="AA164:AA165" si="168">SUM(T164,V164,X164)</f>
        <v>36</v>
      </c>
      <c r="AB164" s="18"/>
      <c r="AC164" s="106" t="str">
        <f>IF(T164=0,"",IF(T164&lt;S164*0.4,Q164,""))</f>
        <v/>
      </c>
      <c r="AD164" s="154" t="str">
        <f>IF(T165=0,"",IF(T165&lt;S165*0.4,Q165,""))</f>
        <v/>
      </c>
      <c r="AE164" s="155" t="str">
        <f>IF(T166=0,"",IF(T166&lt;S166*0.4,Q166,""))</f>
        <v/>
      </c>
      <c r="AG164" s="115" t="str">
        <f>ادخال1!$F$9</f>
        <v>التربية الإسلامية</v>
      </c>
      <c r="AH164" s="145">
        <f>ادخال1!$F$7</f>
        <v>3</v>
      </c>
      <c r="AI164" s="41">
        <f t="shared" ref="AI164:AI165" si="169">40*AH164*0.3</f>
        <v>36</v>
      </c>
      <c r="AJ164" s="2">
        <f xml:space="preserve"> IFERROR(VLOOKUP(AS175,اسماء,5,0),"")</f>
        <v>36</v>
      </c>
      <c r="AK164" s="43">
        <f t="shared" ref="AK164:AK165" si="170">40*AH164*0.3</f>
        <v>36</v>
      </c>
      <c r="AL164" s="2">
        <f>IFERROR(VLOOKUP(AS175,اسماء,16,0),"")</f>
        <v>0</v>
      </c>
      <c r="AM164" s="41">
        <f t="shared" ref="AM164:AM165" si="171">40*AH164*0.4</f>
        <v>48</v>
      </c>
      <c r="AN164" s="2">
        <f>IFERROR(VLOOKUP(AS175,اسماء,27,0),"")</f>
        <v>0</v>
      </c>
      <c r="AO164" s="41">
        <f t="shared" ref="AO164:AO165" si="172">SUM(AI164,AK164,AM164)</f>
        <v>120</v>
      </c>
      <c r="AP164" s="44">
        <f t="shared" ref="AP164:AP165" si="173">0.4*AO164</f>
        <v>48</v>
      </c>
      <c r="AQ164" s="2">
        <f t="shared" ref="AQ164:AQ165" si="174">SUM(AJ164,AL164,AN164)</f>
        <v>36</v>
      </c>
      <c r="AR164" s="18"/>
      <c r="AS164" s="106" t="str">
        <f>IF(AJ164=0,"",IF(AJ164&lt;AI164*0.4,AG164,""))</f>
        <v/>
      </c>
      <c r="AT164" s="154" t="str">
        <f>IF(AJ165=0,"",IF(AJ165&lt;AI165*0.4,AG165,""))</f>
        <v/>
      </c>
      <c r="AU164" s="155" t="str">
        <f>IF(AJ166=0,"",IF(AJ166&lt;AI166*0.4,AG166,""))</f>
        <v/>
      </c>
      <c r="AW164" s="115" t="str">
        <f>ادخال1!$F$9</f>
        <v>التربية الإسلامية</v>
      </c>
      <c r="AX164" s="145">
        <f>ادخال1!$F$7</f>
        <v>3</v>
      </c>
      <c r="AY164" s="41">
        <f t="shared" ref="AY164:AY165" si="175">40*AX164*0.3</f>
        <v>36</v>
      </c>
      <c r="AZ164" s="2" t="str">
        <f xml:space="preserve"> IFERROR(VLOOKUP(BI175,اسماء,5,0),"")</f>
        <v/>
      </c>
      <c r="BA164" s="43">
        <f t="shared" ref="BA164:BA165" si="176">40*AX164*0.3</f>
        <v>36</v>
      </c>
      <c r="BB164" s="2" t="str">
        <f>IFERROR(VLOOKUP(BI175,اسماء,16,0),"")</f>
        <v/>
      </c>
      <c r="BC164" s="41">
        <f t="shared" ref="BC164:BC165" si="177">40*AX164*0.4</f>
        <v>48</v>
      </c>
      <c r="BD164" s="2" t="str">
        <f>IFERROR(VLOOKUP(BI175,اسماء,27,0),"")</f>
        <v/>
      </c>
      <c r="BE164" s="41">
        <f t="shared" ref="BE164:BE165" si="178">SUM(AY164,BA164,BC164)</f>
        <v>120</v>
      </c>
      <c r="BF164" s="44">
        <f t="shared" ref="BF164:BF165" si="179">0.4*BE164</f>
        <v>48</v>
      </c>
      <c r="BG164" s="2">
        <f t="shared" ref="BG164:BG165" si="180">SUM(AZ164,BB164,BD164)</f>
        <v>0</v>
      </c>
      <c r="BH164" s="18"/>
      <c r="BI164" s="106" t="str">
        <f>IF(AZ164=0,"",IF(AZ164&lt;AY164*0.4,AW164,""))</f>
        <v/>
      </c>
      <c r="BJ164" s="154" t="str">
        <f>IF(AZ165=0,"",IF(AZ165&lt;AY165*0.4,AW165,""))</f>
        <v/>
      </c>
      <c r="BK164" s="155" t="str">
        <f>IF(AZ166=0,"",IF(AZ166&lt;AY166*0.4,AW166,""))</f>
        <v/>
      </c>
      <c r="BL164" s="25"/>
    </row>
    <row r="165" spans="1:64" ht="22.95" customHeight="1" thickBot="1" x14ac:dyDescent="0.3">
      <c r="A165" s="133" t="str">
        <f>ادخال1!$G$9</f>
        <v>اللغة العربية</v>
      </c>
      <c r="B165" s="146">
        <f>ادخال1!$G$7</f>
        <v>6</v>
      </c>
      <c r="C165" s="41">
        <f t="shared" si="157"/>
        <v>72</v>
      </c>
      <c r="D165" s="2">
        <f>IFERROR(VLOOKUP(M175,اسماء,6,0),"")</f>
        <v>64</v>
      </c>
      <c r="E165" s="43">
        <f t="shared" si="158"/>
        <v>72</v>
      </c>
      <c r="F165" s="2">
        <f>IFERROR(VLOOKUP(M175,اسماء,17,0),"")</f>
        <v>0</v>
      </c>
      <c r="G165" s="41">
        <f t="shared" si="159"/>
        <v>96</v>
      </c>
      <c r="H165" s="2">
        <f>IFERROR(VLOOKUP(M175,اسماء,28,0),"")</f>
        <v>0</v>
      </c>
      <c r="I165" s="41">
        <f t="shared" si="160"/>
        <v>240</v>
      </c>
      <c r="J165" s="44">
        <f t="shared" si="161"/>
        <v>96</v>
      </c>
      <c r="K165" s="2">
        <f t="shared" si="162"/>
        <v>64</v>
      </c>
      <c r="L165" s="18"/>
      <c r="M165" s="106" t="str">
        <f>IF(D167=0,"",IF(D167&lt;C167*0.4,A167,""))</f>
        <v/>
      </c>
      <c r="N165" s="154" t="str">
        <f>IF(D168=0,"",IF(D168&lt;C168*0.4,A168,""))</f>
        <v/>
      </c>
      <c r="O165" s="155" t="str">
        <f>IF(D169=0,"",IF(D169&lt;C169*0.4,A169,""))</f>
        <v/>
      </c>
      <c r="Q165" s="133" t="str">
        <f>ادخال1!$G$9</f>
        <v>اللغة العربية</v>
      </c>
      <c r="R165" s="146">
        <f>ادخال1!$G$7</f>
        <v>6</v>
      </c>
      <c r="S165" s="41">
        <f t="shared" si="163"/>
        <v>72</v>
      </c>
      <c r="T165" s="2">
        <f>IFERROR(VLOOKUP(AC175,اسماء,6,0),"")</f>
        <v>71</v>
      </c>
      <c r="U165" s="43">
        <f t="shared" si="164"/>
        <v>72</v>
      </c>
      <c r="V165" s="2">
        <f>IFERROR(VLOOKUP(AC175,اسماء,17,0),"")</f>
        <v>0</v>
      </c>
      <c r="W165" s="41">
        <f t="shared" si="165"/>
        <v>96</v>
      </c>
      <c r="X165" s="2">
        <f>IFERROR(VLOOKUP(AC175,اسماء,28,0),"")</f>
        <v>0</v>
      </c>
      <c r="Y165" s="41">
        <f t="shared" si="166"/>
        <v>240</v>
      </c>
      <c r="Z165" s="44">
        <f t="shared" si="167"/>
        <v>96</v>
      </c>
      <c r="AA165" s="2">
        <f t="shared" si="168"/>
        <v>71</v>
      </c>
      <c r="AB165" s="18"/>
      <c r="AC165" s="106" t="str">
        <f>IF(T167=0,"",IF(T167&lt;S167*0.4,Q167,""))</f>
        <v/>
      </c>
      <c r="AD165" s="154" t="str">
        <f>IF(T168=0,"",IF(T168&lt;S168*0.4,Q168,""))</f>
        <v/>
      </c>
      <c r="AE165" s="155" t="str">
        <f>IF(T169=0,"",IF(T169&lt;S169*0.4,Q169,""))</f>
        <v/>
      </c>
      <c r="AG165" s="133" t="str">
        <f>ادخال1!$G$9</f>
        <v>اللغة العربية</v>
      </c>
      <c r="AH165" s="146">
        <f>ادخال1!$G$7</f>
        <v>6</v>
      </c>
      <c r="AI165" s="41">
        <f t="shared" si="169"/>
        <v>72</v>
      </c>
      <c r="AJ165" s="2">
        <f>IFERROR(VLOOKUP(AS175,اسماء,6,0),"")</f>
        <v>68</v>
      </c>
      <c r="AK165" s="43">
        <f t="shared" si="170"/>
        <v>72</v>
      </c>
      <c r="AL165" s="2">
        <f>IFERROR(VLOOKUP(AS175,اسماء,17,0),"")</f>
        <v>0</v>
      </c>
      <c r="AM165" s="41">
        <f t="shared" si="171"/>
        <v>96</v>
      </c>
      <c r="AN165" s="2">
        <f>IFERROR(VLOOKUP(AS175,اسماء,28,0),"")</f>
        <v>0</v>
      </c>
      <c r="AO165" s="41">
        <f t="shared" si="172"/>
        <v>240</v>
      </c>
      <c r="AP165" s="44">
        <f t="shared" si="173"/>
        <v>96</v>
      </c>
      <c r="AQ165" s="2">
        <f t="shared" si="174"/>
        <v>68</v>
      </c>
      <c r="AR165" s="18"/>
      <c r="AS165" s="106" t="str">
        <f>IF(AJ167=0,"",IF(AJ167&lt;AI167*0.4,AG167,""))</f>
        <v/>
      </c>
      <c r="AT165" s="154" t="str">
        <f>IF(AJ168=0,"",IF(AJ168&lt;AI168*0.4,AG168,""))</f>
        <v/>
      </c>
      <c r="AU165" s="155" t="str">
        <f>IF(AJ169=0,"",IF(AJ169&lt;AI169*0.4,AG169,""))</f>
        <v/>
      </c>
      <c r="AW165" s="133" t="str">
        <f>ادخال1!$G$9</f>
        <v>اللغة العربية</v>
      </c>
      <c r="AX165" s="146">
        <f>ادخال1!$G$7</f>
        <v>6</v>
      </c>
      <c r="AY165" s="41">
        <f t="shared" si="175"/>
        <v>72</v>
      </c>
      <c r="AZ165" s="2" t="str">
        <f>IFERROR(VLOOKUP(BI175,اسماء,6,0),"")</f>
        <v/>
      </c>
      <c r="BA165" s="43">
        <f t="shared" si="176"/>
        <v>72</v>
      </c>
      <c r="BB165" s="2" t="str">
        <f>IFERROR(VLOOKUP(BI175,اسماء,17,0),"")</f>
        <v/>
      </c>
      <c r="BC165" s="41">
        <f t="shared" si="177"/>
        <v>96</v>
      </c>
      <c r="BD165" s="2" t="str">
        <f>IFERROR(VLOOKUP(BI175,اسماء,28,0),"")</f>
        <v/>
      </c>
      <c r="BE165" s="41">
        <f t="shared" si="178"/>
        <v>240</v>
      </c>
      <c r="BF165" s="44">
        <f t="shared" si="179"/>
        <v>96</v>
      </c>
      <c r="BG165" s="2">
        <f t="shared" si="180"/>
        <v>0</v>
      </c>
      <c r="BH165" s="18"/>
      <c r="BI165" s="106" t="str">
        <f>IF(AZ167=0,"",IF(AZ167&lt;AY167*0.4,AW167,""))</f>
        <v/>
      </c>
      <c r="BJ165" s="154" t="str">
        <f>IF(AZ168=0,"",IF(AZ168&lt;AY168*0.4,AW168,""))</f>
        <v/>
      </c>
      <c r="BK165" s="155" t="str">
        <f>IF(AZ169=0,"",IF(AZ169&lt;AY169*0.4,AW169,""))</f>
        <v/>
      </c>
      <c r="BL165" s="25"/>
    </row>
    <row r="166" spans="1:64" ht="22.95" customHeight="1" x14ac:dyDescent="0.25">
      <c r="A166" s="133" t="str">
        <f>ادخال1!$H$9</f>
        <v>اللغة الإنجليزية</v>
      </c>
      <c r="B166" s="146">
        <f>ادخال1!$H$7</f>
        <v>3</v>
      </c>
      <c r="C166" s="41">
        <f>40*B166*0.3</f>
        <v>36</v>
      </c>
      <c r="D166" s="2">
        <f>IFERROR(VLOOKUP(M175,اسماء,7,0),"")</f>
        <v>31</v>
      </c>
      <c r="E166" s="43">
        <f>40*B166*0.3</f>
        <v>36</v>
      </c>
      <c r="F166" s="2">
        <f>IFERROR(VLOOKUP(M175,اسماء,18,0),"")</f>
        <v>0</v>
      </c>
      <c r="G166" s="41">
        <f>40*B166*0.4</f>
        <v>48</v>
      </c>
      <c r="H166" s="2">
        <f>IFERROR(VLOOKUP(M175,اسماء,29,0),"")</f>
        <v>0</v>
      </c>
      <c r="I166" s="41">
        <f>SUM(C166,E166,G166)</f>
        <v>120</v>
      </c>
      <c r="J166" s="44">
        <f>0.4*I166</f>
        <v>48</v>
      </c>
      <c r="K166" s="2">
        <f>SUM(D166,F166,H166)</f>
        <v>31</v>
      </c>
      <c r="L166" s="18"/>
      <c r="M166" s="105" t="s">
        <v>82</v>
      </c>
      <c r="N166" s="489" t="str">
        <f>IF(F170=0,"",IF(AND(F164&gt;=E164*0.4,F165&gt;=E165*0.4,F166&gt;=E166*0.4,F167&gt;=E167*0.4,F168&gt;=E168*0.4),LOOKUP(F170,'الصحيفة النهائية'!$BO$15:$BP$19),"ضعيف ويحتاج الى اهتمام في المواد"))</f>
        <v/>
      </c>
      <c r="O166" s="565"/>
      <c r="Q166" s="133" t="str">
        <f>ادخال1!$H$9</f>
        <v>اللغة الإنجليزية</v>
      </c>
      <c r="R166" s="146">
        <f>ادخال1!$H$7</f>
        <v>3</v>
      </c>
      <c r="S166" s="41">
        <f>40*R166*0.3</f>
        <v>36</v>
      </c>
      <c r="T166" s="2">
        <f>IFERROR(VLOOKUP(AC175,اسماء,7,0),"")</f>
        <v>36</v>
      </c>
      <c r="U166" s="43">
        <f>40*R166*0.3</f>
        <v>36</v>
      </c>
      <c r="V166" s="2">
        <f>IFERROR(VLOOKUP(AC175,اسماء,18,0),"")</f>
        <v>0</v>
      </c>
      <c r="W166" s="41">
        <f>40*R166*0.4</f>
        <v>48</v>
      </c>
      <c r="X166" s="2">
        <f>IFERROR(VLOOKUP(AC175,اسماء,29,0),"")</f>
        <v>0</v>
      </c>
      <c r="Y166" s="41">
        <f>SUM(S166,U166,W166)</f>
        <v>120</v>
      </c>
      <c r="Z166" s="44">
        <f>0.4*Y166</f>
        <v>48</v>
      </c>
      <c r="AA166" s="2">
        <f>SUM(T166,V166,X166)</f>
        <v>36</v>
      </c>
      <c r="AB166" s="18"/>
      <c r="AC166" s="105" t="s">
        <v>82</v>
      </c>
      <c r="AD166" s="489" t="str">
        <f>IF(V170=0,"",IF(AND(V164&gt;=U164*0.4,V165&gt;=U165*0.4,V166&gt;=U166*0.4,V167&gt;=U167*0.4,V168&gt;=U168*0.4),LOOKUP(V170,'الصحيفة النهائية'!$BO$15:$BP$19),"ضعيف ويحتاج الى اهتمام في المواد"))</f>
        <v/>
      </c>
      <c r="AE166" s="565"/>
      <c r="AG166" s="133" t="str">
        <f>ادخال1!$H$9</f>
        <v>اللغة الإنجليزية</v>
      </c>
      <c r="AH166" s="146">
        <f>ادخال1!$H$7</f>
        <v>3</v>
      </c>
      <c r="AI166" s="41">
        <f>40*AH166*0.3</f>
        <v>36</v>
      </c>
      <c r="AJ166" s="2">
        <f>IFERROR(VLOOKUP(AS175,اسماء,7,0),"")</f>
        <v>31</v>
      </c>
      <c r="AK166" s="43">
        <f>40*AH166*0.3</f>
        <v>36</v>
      </c>
      <c r="AL166" s="2">
        <f>IFERROR(VLOOKUP(AS175,اسماء,18,0),"")</f>
        <v>0</v>
      </c>
      <c r="AM166" s="41">
        <f>40*AH166*0.4</f>
        <v>48</v>
      </c>
      <c r="AN166" s="2">
        <f>IFERROR(VLOOKUP(AS175,اسماء,29,0),"")</f>
        <v>0</v>
      </c>
      <c r="AO166" s="41">
        <f>SUM(AI166,AK166,AM166)</f>
        <v>120</v>
      </c>
      <c r="AP166" s="44">
        <f>0.4*AO166</f>
        <v>48</v>
      </c>
      <c r="AQ166" s="2">
        <f>SUM(AJ166,AL166,AN166)</f>
        <v>31</v>
      </c>
      <c r="AR166" s="18"/>
      <c r="AS166" s="105" t="s">
        <v>82</v>
      </c>
      <c r="AT166" s="489" t="str">
        <f>IF(AL170=0,"",IF(AND(AL164&gt;=AK164*0.4,AL165&gt;=AK165*0.4,AL166&gt;=AK166*0.4,AL167&gt;=AK167*0.4,AL168&gt;=AK168*0.4),LOOKUP(AL170,'الصحيفة النهائية'!$BO$15:$BP$19),"ضعيف ويحتاج الى اهتمام في المواد"))</f>
        <v/>
      </c>
      <c r="AU166" s="565"/>
      <c r="AW166" s="133" t="str">
        <f>ادخال1!$H$9</f>
        <v>اللغة الإنجليزية</v>
      </c>
      <c r="AX166" s="146">
        <f>ادخال1!$H$7</f>
        <v>3</v>
      </c>
      <c r="AY166" s="41">
        <f>40*AX166*0.3</f>
        <v>36</v>
      </c>
      <c r="AZ166" s="2" t="str">
        <f>IFERROR(VLOOKUP(BI175,اسماء,7,0),"")</f>
        <v/>
      </c>
      <c r="BA166" s="43">
        <f>40*AX166*0.3</f>
        <v>36</v>
      </c>
      <c r="BB166" s="2" t="str">
        <f>IFERROR(VLOOKUP(BI175,اسماء,18,0),"")</f>
        <v/>
      </c>
      <c r="BC166" s="41">
        <f>40*AX166*0.4</f>
        <v>48</v>
      </c>
      <c r="BD166" s="2" t="str">
        <f>IFERROR(VLOOKUP(BI175,اسماء,29,0),"")</f>
        <v/>
      </c>
      <c r="BE166" s="41">
        <f>SUM(AY166,BA166,BC166)</f>
        <v>120</v>
      </c>
      <c r="BF166" s="44">
        <f>0.4*BE166</f>
        <v>48</v>
      </c>
      <c r="BG166" s="2">
        <f>SUM(AZ166,BB166,BD166)</f>
        <v>0</v>
      </c>
      <c r="BH166" s="18"/>
      <c r="BI166" s="105" t="s">
        <v>82</v>
      </c>
      <c r="BJ166" s="489" t="str">
        <f>IF(BB170=0,"",IF(AND(BB164&gt;=BA164*0.4,BB165&gt;=BA165*0.4,BB166&gt;=BA166*0.4,BB167&gt;=BA167*0.4,BB168&gt;=BA168*0.4),LOOKUP(BB170,'الصحيفة النهائية'!$BO$15:$BP$19),"ضعيف ويحتاج الى اهتمام في المواد"))</f>
        <v/>
      </c>
      <c r="BK166" s="565"/>
    </row>
    <row r="167" spans="1:64" ht="22.95" customHeight="1" x14ac:dyDescent="0.25">
      <c r="A167" s="133" t="str">
        <f>ادخال1!$I$9</f>
        <v>الحاسوب</v>
      </c>
      <c r="B167" s="146">
        <f>ادخال1!$I$7</f>
        <v>1</v>
      </c>
      <c r="C167" s="41">
        <f>40*B167*0.3</f>
        <v>12</v>
      </c>
      <c r="D167" s="2">
        <f>IFERROR(VLOOKUP(M175,اسماء,8,0),"")</f>
        <v>10</v>
      </c>
      <c r="E167" s="43">
        <f>40*B167*0.3</f>
        <v>12</v>
      </c>
      <c r="F167" s="2">
        <f>IFERROR(VLOOKUP(M175,اسماء,19,0),"")</f>
        <v>0</v>
      </c>
      <c r="G167" s="41">
        <f>40*B167*0.4</f>
        <v>16</v>
      </c>
      <c r="H167" s="2">
        <f>IFERROR(VLOOKUP(M175,اسماء,30,0),"")</f>
        <v>0</v>
      </c>
      <c r="I167" s="41">
        <f>SUM(C167,E167,G167)</f>
        <v>40</v>
      </c>
      <c r="J167" s="44">
        <f>0.4*I167</f>
        <v>16</v>
      </c>
      <c r="K167" s="2">
        <f>SUM(D167,F167,H167)</f>
        <v>10</v>
      </c>
      <c r="L167" s="18"/>
      <c r="M167" s="106" t="str">
        <f>IF(F164=0,"",IF(F164&lt;E164*0.4,A164,""))</f>
        <v/>
      </c>
      <c r="N167" s="154" t="str">
        <f>IF(F165=0,"",IF(F165&lt;E165*0.4,A165,""))</f>
        <v/>
      </c>
      <c r="O167" s="155" t="str">
        <f>IF(F166=0,"",IF(F166&lt;E166*0.4,A166,""))</f>
        <v/>
      </c>
      <c r="Q167" s="133" t="str">
        <f>ادخال1!$I$9</f>
        <v>الحاسوب</v>
      </c>
      <c r="R167" s="146">
        <f>ادخال1!$I$7</f>
        <v>1</v>
      </c>
      <c r="S167" s="41">
        <f>40*R167*0.3</f>
        <v>12</v>
      </c>
      <c r="T167" s="2">
        <f>IFERROR(VLOOKUP(AC175,اسماء,8,0),"")</f>
        <v>12</v>
      </c>
      <c r="U167" s="43">
        <f>40*R167*0.3</f>
        <v>12</v>
      </c>
      <c r="V167" s="2">
        <f>IFERROR(VLOOKUP(AC175,اسماء,19,0),"")</f>
        <v>0</v>
      </c>
      <c r="W167" s="41">
        <f>40*R167*0.4</f>
        <v>16</v>
      </c>
      <c r="X167" s="2">
        <f>IFERROR(VLOOKUP(AC175,اسماء,30,0),"")</f>
        <v>0</v>
      </c>
      <c r="Y167" s="41">
        <f>SUM(S167,U167,W167)</f>
        <v>40</v>
      </c>
      <c r="Z167" s="44">
        <f>0.4*Y167</f>
        <v>16</v>
      </c>
      <c r="AA167" s="2">
        <f>SUM(T167,V167,X167)</f>
        <v>12</v>
      </c>
      <c r="AB167" s="18"/>
      <c r="AC167" s="106" t="str">
        <f>IF(V164=0,"",IF(V164&lt;U164*0.4,Q164,""))</f>
        <v/>
      </c>
      <c r="AD167" s="154" t="str">
        <f>IF(V165=0,"",IF(V165&lt;U165*0.4,Q165,""))</f>
        <v/>
      </c>
      <c r="AE167" s="155" t="str">
        <f>IF(V166=0,"",IF(V166&lt;U166*0.4,Q166,""))</f>
        <v/>
      </c>
      <c r="AG167" s="133" t="str">
        <f>ادخال1!$I$9</f>
        <v>الحاسوب</v>
      </c>
      <c r="AH167" s="146">
        <f>ادخال1!$I$7</f>
        <v>1</v>
      </c>
      <c r="AI167" s="41">
        <f>40*AH167*0.3</f>
        <v>12</v>
      </c>
      <c r="AJ167" s="2">
        <f>IFERROR(VLOOKUP(AS175,اسماء,8,0),"")</f>
        <v>12</v>
      </c>
      <c r="AK167" s="43">
        <f>40*AH167*0.3</f>
        <v>12</v>
      </c>
      <c r="AL167" s="2">
        <f>IFERROR(VLOOKUP(AS175,اسماء,19,0),"")</f>
        <v>0</v>
      </c>
      <c r="AM167" s="41">
        <f>40*AH167*0.4</f>
        <v>16</v>
      </c>
      <c r="AN167" s="2">
        <f>IFERROR(VLOOKUP(AS175,اسماء,30,0),"")</f>
        <v>0</v>
      </c>
      <c r="AO167" s="41">
        <f>SUM(AI167,AK167,AM167)</f>
        <v>40</v>
      </c>
      <c r="AP167" s="44">
        <f>0.4*AO167</f>
        <v>16</v>
      </c>
      <c r="AQ167" s="2">
        <f>SUM(AJ167,AL167,AN167)</f>
        <v>12</v>
      </c>
      <c r="AR167" s="18"/>
      <c r="AS167" s="106" t="str">
        <f>IF(AL164=0,"",IF(AL164&lt;AK164*0.4,AG164,""))</f>
        <v/>
      </c>
      <c r="AT167" s="154" t="str">
        <f>IF(AL165=0,"",IF(AL165&lt;AK165*0.4,AG165,""))</f>
        <v/>
      </c>
      <c r="AU167" s="155" t="str">
        <f>IF(AL166=0,"",IF(AL166&lt;AK166*0.4,AG166,""))</f>
        <v/>
      </c>
      <c r="AW167" s="133" t="str">
        <f>ادخال1!$I$9</f>
        <v>الحاسوب</v>
      </c>
      <c r="AX167" s="146">
        <f>ادخال1!$I$7</f>
        <v>1</v>
      </c>
      <c r="AY167" s="41">
        <f>40*AX167*0.3</f>
        <v>12</v>
      </c>
      <c r="AZ167" s="2" t="str">
        <f>IFERROR(VLOOKUP(BI175,اسماء,8,0),"")</f>
        <v/>
      </c>
      <c r="BA167" s="43">
        <f>40*AX167*0.3</f>
        <v>12</v>
      </c>
      <c r="BB167" s="2" t="str">
        <f>IFERROR(VLOOKUP(BI175,اسماء,19,0),"")</f>
        <v/>
      </c>
      <c r="BC167" s="41">
        <f>40*AX167*0.4</f>
        <v>16</v>
      </c>
      <c r="BD167" s="2" t="str">
        <f>IFERROR(VLOOKUP(BI175,اسماء,30,0),"")</f>
        <v/>
      </c>
      <c r="BE167" s="41">
        <f>SUM(AY167,BA167,BC167)</f>
        <v>40</v>
      </c>
      <c r="BF167" s="44">
        <f>0.4*BE167</f>
        <v>16</v>
      </c>
      <c r="BG167" s="2">
        <f>SUM(AZ167,BB167,BD167)</f>
        <v>0</v>
      </c>
      <c r="BH167" s="18"/>
      <c r="BI167" s="106" t="str">
        <f>IF(BB164=0,"",IF(BB164&lt;BA164*0.4,AW164,""))</f>
        <v/>
      </c>
      <c r="BJ167" s="154" t="str">
        <f>IF(BB165=0,"",IF(BB165&lt;BA165*0.4,AW165,""))</f>
        <v/>
      </c>
      <c r="BK167" s="155" t="str">
        <f>IF(BB166=0,"",IF(BB166&lt;BA166*0.4,AW166,""))</f>
        <v/>
      </c>
    </row>
    <row r="168" spans="1:64" ht="22.95" customHeight="1" x14ac:dyDescent="0.25">
      <c r="A168" s="113" t="str">
        <f>ادخال1!$J$9</f>
        <v>الرياضيات</v>
      </c>
      <c r="B168" s="147">
        <f>ادخال1!$J$7</f>
        <v>5</v>
      </c>
      <c r="C168" s="41">
        <f>40*B168*0.3</f>
        <v>60</v>
      </c>
      <c r="D168" s="2">
        <f>IFERROR(VLOOKUP(M175,اسماء,9,0),"")</f>
        <v>41</v>
      </c>
      <c r="E168" s="43">
        <f>40*B168*0.3</f>
        <v>60</v>
      </c>
      <c r="F168" s="2">
        <f>IFERROR(VLOOKUP(M175,اسماء,20,0),"")</f>
        <v>0</v>
      </c>
      <c r="G168" s="41">
        <f>40*B168*0.4</f>
        <v>80</v>
      </c>
      <c r="H168" s="2">
        <f>IFERROR(VLOOKUP(M175,اسماء,31,0),"")</f>
        <v>0</v>
      </c>
      <c r="I168" s="41">
        <f>SUM(C168,E168,G168)</f>
        <v>200</v>
      </c>
      <c r="J168" s="44">
        <f>0.4*I168</f>
        <v>80</v>
      </c>
      <c r="K168" s="2">
        <f>SUM(D168,F168,H168)</f>
        <v>41</v>
      </c>
      <c r="L168" s="18"/>
      <c r="M168" s="106" t="str">
        <f>IF(F167=0,"",IF(F167&lt;E167*0.4,A167,""))</f>
        <v/>
      </c>
      <c r="N168" s="154" t="str">
        <f>IF(F168=0,"",IF(F168&lt;E168*0.4,A168,""))</f>
        <v/>
      </c>
      <c r="O168" s="154" t="str">
        <f>IF(F169=0,"",IF(F169&lt;E169*0.4,A169,""))</f>
        <v/>
      </c>
      <c r="Q168" s="113" t="str">
        <f>ادخال1!$J$9</f>
        <v>الرياضيات</v>
      </c>
      <c r="R168" s="147">
        <f>ادخال1!$J$7</f>
        <v>5</v>
      </c>
      <c r="S168" s="41">
        <f>40*R168*0.3</f>
        <v>60</v>
      </c>
      <c r="T168" s="2">
        <f>IFERROR(VLOOKUP(AC175,اسماء,9,0),"")</f>
        <v>60</v>
      </c>
      <c r="U168" s="43">
        <f>40*R168*0.3</f>
        <v>60</v>
      </c>
      <c r="V168" s="2">
        <f>IFERROR(VLOOKUP(AC175,اسماء,20,0),"")</f>
        <v>0</v>
      </c>
      <c r="W168" s="41">
        <f>40*R168*0.4</f>
        <v>80</v>
      </c>
      <c r="X168" s="2">
        <f>IFERROR(VLOOKUP(AC175,اسماء,31,0),"")</f>
        <v>0</v>
      </c>
      <c r="Y168" s="41">
        <f>SUM(S168,U168,W168)</f>
        <v>200</v>
      </c>
      <c r="Z168" s="44">
        <f>0.4*Y168</f>
        <v>80</v>
      </c>
      <c r="AA168" s="2">
        <f>SUM(T168,V168,X168)</f>
        <v>60</v>
      </c>
      <c r="AB168" s="18"/>
      <c r="AC168" s="106" t="str">
        <f>IF(V167=0,"",IF(V167&lt;U167*0.4,Q167,""))</f>
        <v/>
      </c>
      <c r="AD168" s="154" t="str">
        <f>IF(V168=0,"",IF(V168&lt;U168*0.4,Q168,""))</f>
        <v/>
      </c>
      <c r="AE168" s="154" t="str">
        <f>IF(V169=0,"",IF(V169&lt;U169*0.4,Q169,""))</f>
        <v/>
      </c>
      <c r="AG168" s="113" t="str">
        <f>ادخال1!$J$9</f>
        <v>الرياضيات</v>
      </c>
      <c r="AH168" s="147">
        <f>ادخال1!$J$7</f>
        <v>5</v>
      </c>
      <c r="AI168" s="41">
        <f>40*AH168*0.3</f>
        <v>60</v>
      </c>
      <c r="AJ168" s="2">
        <f>IFERROR(VLOOKUP(AS175,اسماء,9,0),"")</f>
        <v>56</v>
      </c>
      <c r="AK168" s="43">
        <f>40*AH168*0.3</f>
        <v>60</v>
      </c>
      <c r="AL168" s="2">
        <f>IFERROR(VLOOKUP(AS175,اسماء,20,0),"")</f>
        <v>0</v>
      </c>
      <c r="AM168" s="41">
        <f>40*AH168*0.4</f>
        <v>80</v>
      </c>
      <c r="AN168" s="2">
        <f>IFERROR(VLOOKUP(AS175,اسماء,31,0),"")</f>
        <v>0</v>
      </c>
      <c r="AO168" s="41">
        <f>SUM(AI168,AK168,AM168)</f>
        <v>200</v>
      </c>
      <c r="AP168" s="44">
        <f>0.4*AO168</f>
        <v>80</v>
      </c>
      <c r="AQ168" s="2">
        <f>SUM(AJ168,AL168,AN168)</f>
        <v>56</v>
      </c>
      <c r="AR168" s="18"/>
      <c r="AS168" s="106" t="str">
        <f>IF(AL167=0,"",IF(AL167&lt;AK167*0.4,AG167,""))</f>
        <v/>
      </c>
      <c r="AT168" s="154" t="str">
        <f>IF(AL168=0,"",IF(AL168&lt;AK168*0.4,AG168,""))</f>
        <v/>
      </c>
      <c r="AU168" s="154" t="str">
        <f>IF(AL169=0,"",IF(AL169&lt;AK169*0.4,AG169,""))</f>
        <v/>
      </c>
      <c r="AW168" s="113" t="str">
        <f>ادخال1!$J$9</f>
        <v>الرياضيات</v>
      </c>
      <c r="AX168" s="147">
        <f>ادخال1!$J$7</f>
        <v>5</v>
      </c>
      <c r="AY168" s="41">
        <f>40*AX168*0.3</f>
        <v>60</v>
      </c>
      <c r="AZ168" s="2" t="str">
        <f>IFERROR(VLOOKUP(BI175,اسماء,9,0),"")</f>
        <v/>
      </c>
      <c r="BA168" s="43">
        <f>40*AX168*0.3</f>
        <v>60</v>
      </c>
      <c r="BB168" s="2" t="str">
        <f>IFERROR(VLOOKUP(BI175,اسماء,20,0),"")</f>
        <v/>
      </c>
      <c r="BC168" s="41">
        <f>40*AX168*0.4</f>
        <v>80</v>
      </c>
      <c r="BD168" s="2" t="str">
        <f>IFERROR(VLOOKUP(BI175,اسماء,31,0),"")</f>
        <v/>
      </c>
      <c r="BE168" s="41">
        <f>SUM(AY168,BA168,BC168)</f>
        <v>200</v>
      </c>
      <c r="BF168" s="44">
        <f>0.4*BE168</f>
        <v>80</v>
      </c>
      <c r="BG168" s="2">
        <f>SUM(AZ168,BB168,BD168)</f>
        <v>0</v>
      </c>
      <c r="BH168" s="18"/>
      <c r="BI168" s="106" t="str">
        <f>IF(BB167=0,"",IF(BB167&lt;BA167*0.4,AW167,""))</f>
        <v/>
      </c>
      <c r="BJ168" s="154" t="str">
        <f>IF(BB168=0,"",IF(BB168&lt;BA168*0.4,AW168,""))</f>
        <v/>
      </c>
      <c r="BK168" s="154" t="str">
        <f>IF(BB169=0,"",IF(BB169&lt;BA169*0.4,AW169,""))</f>
        <v/>
      </c>
    </row>
    <row r="169" spans="1:64" ht="22.95" customHeight="1" thickBot="1" x14ac:dyDescent="0.3">
      <c r="A169" s="113" t="str">
        <f>ادخال1!$K$9</f>
        <v>العلوم</v>
      </c>
      <c r="B169" s="147">
        <f>ادخال1!$K$7</f>
        <v>3</v>
      </c>
      <c r="C169" s="41">
        <f>40*B169*0.3</f>
        <v>36</v>
      </c>
      <c r="D169" s="2">
        <f>IFERROR(VLOOKUP(M175,اسماء,10,0),"")</f>
        <v>30</v>
      </c>
      <c r="E169" s="43">
        <f>40*B169*0.3</f>
        <v>36</v>
      </c>
      <c r="F169" s="2">
        <f>IFERROR(VLOOKUP(M175,اسماء,21,0),"")</f>
        <v>0</v>
      </c>
      <c r="G169" s="41">
        <f>40*B169*0.4</f>
        <v>48</v>
      </c>
      <c r="H169" s="2">
        <f>IFERROR(VLOOKUP(M175,اسماء,32,0),"")</f>
        <v>0</v>
      </c>
      <c r="I169" s="41">
        <f>SUM(C169,E169,G169)</f>
        <v>120</v>
      </c>
      <c r="J169" s="44">
        <f>0.4*I169</f>
        <v>48</v>
      </c>
      <c r="K169" s="2">
        <f>SUM(D169,F169,H169)</f>
        <v>30</v>
      </c>
      <c r="L169" s="18"/>
      <c r="M169" s="106" t="str">
        <f>IF(F168=0,"",IF(F168&lt;E168*0.4,A168,""))</f>
        <v/>
      </c>
      <c r="N169" s="154" t="str">
        <f>IF(F169=0,"",IF(F169&lt;E169*0.4,A169,""))</f>
        <v/>
      </c>
      <c r="O169" s="155"/>
      <c r="Q169" s="113" t="str">
        <f>ادخال1!$K$9</f>
        <v>العلوم</v>
      </c>
      <c r="R169" s="147">
        <f>ادخال1!$K$7</f>
        <v>3</v>
      </c>
      <c r="S169" s="41">
        <f>40*R169*0.3</f>
        <v>36</v>
      </c>
      <c r="T169" s="2">
        <f>IFERROR(VLOOKUP(AC175,اسماء,10,0),"")</f>
        <v>36</v>
      </c>
      <c r="U169" s="43">
        <f>40*R169*0.3</f>
        <v>36</v>
      </c>
      <c r="V169" s="2">
        <f>IFERROR(VLOOKUP(AC175,اسماء,21,0),"")</f>
        <v>0</v>
      </c>
      <c r="W169" s="41">
        <f>40*R169*0.4</f>
        <v>48</v>
      </c>
      <c r="X169" s="2">
        <f>IFERROR(VLOOKUP(AC175,اسماء,32,0),"")</f>
        <v>0</v>
      </c>
      <c r="Y169" s="41">
        <f>SUM(S169,U169,W169)</f>
        <v>120</v>
      </c>
      <c r="Z169" s="44">
        <f>0.4*Y169</f>
        <v>48</v>
      </c>
      <c r="AA169" s="2">
        <f>SUM(T169,V169,X169)</f>
        <v>36</v>
      </c>
      <c r="AB169" s="18"/>
      <c r="AC169" s="106" t="str">
        <f>IF(V168=0,"",IF(V168&lt;U168*0.4,Q168,""))</f>
        <v/>
      </c>
      <c r="AD169" s="154" t="str">
        <f>IF(V169=0,"",IF(V169&lt;U169*0.4,Q169,""))</f>
        <v/>
      </c>
      <c r="AE169" s="155"/>
      <c r="AG169" s="113" t="str">
        <f>ادخال1!$K$9</f>
        <v>العلوم</v>
      </c>
      <c r="AH169" s="147">
        <f>ادخال1!$K$7</f>
        <v>3</v>
      </c>
      <c r="AI169" s="41">
        <f>40*AH169*0.3</f>
        <v>36</v>
      </c>
      <c r="AJ169" s="2">
        <f>IFERROR(VLOOKUP(AS175,اسماء,10,0),"")</f>
        <v>36</v>
      </c>
      <c r="AK169" s="43">
        <f>40*AH169*0.3</f>
        <v>36</v>
      </c>
      <c r="AL169" s="2">
        <f>IFERROR(VLOOKUP(AS175,اسماء,21,0),"")</f>
        <v>0</v>
      </c>
      <c r="AM169" s="41">
        <f>40*AH169*0.4</f>
        <v>48</v>
      </c>
      <c r="AN169" s="2">
        <f>IFERROR(VLOOKUP(AS175,اسماء,32,0),"")</f>
        <v>0</v>
      </c>
      <c r="AO169" s="41">
        <f>SUM(AI169,AK169,AM169)</f>
        <v>120</v>
      </c>
      <c r="AP169" s="44">
        <f>0.4*AO169</f>
        <v>48</v>
      </c>
      <c r="AQ169" s="2">
        <f>SUM(AJ169,AL169,AN169)</f>
        <v>36</v>
      </c>
      <c r="AR169" s="18"/>
      <c r="AS169" s="106" t="str">
        <f>IF(AL168=0,"",IF(AL168&lt;AK168*0.4,AG168,""))</f>
        <v/>
      </c>
      <c r="AT169" s="154" t="str">
        <f>IF(AL169=0,"",IF(AL169&lt;AK169*0.4,AG169,""))</f>
        <v/>
      </c>
      <c r="AU169" s="155"/>
      <c r="AW169" s="113" t="str">
        <f>ادخال1!$K$9</f>
        <v>العلوم</v>
      </c>
      <c r="AX169" s="147">
        <f>ادخال1!$K$7</f>
        <v>3</v>
      </c>
      <c r="AY169" s="41">
        <f>40*AX169*0.3</f>
        <v>36</v>
      </c>
      <c r="AZ169" s="2" t="str">
        <f>IFERROR(VLOOKUP(BI175,اسماء,10,0),"")</f>
        <v/>
      </c>
      <c r="BA169" s="43">
        <f>40*AX169*0.3</f>
        <v>36</v>
      </c>
      <c r="BB169" s="2" t="str">
        <f>IFERROR(VLOOKUP(BI175,اسماء,21,0),"")</f>
        <v/>
      </c>
      <c r="BC169" s="41">
        <f>40*AX169*0.4</f>
        <v>48</v>
      </c>
      <c r="BD169" s="2" t="str">
        <f>IFERROR(VLOOKUP(BI175,اسماء,32,0),"")</f>
        <v/>
      </c>
      <c r="BE169" s="41">
        <f>SUM(AY169,BA169,BC169)</f>
        <v>120</v>
      </c>
      <c r="BF169" s="44">
        <f>0.4*BE169</f>
        <v>48</v>
      </c>
      <c r="BG169" s="2">
        <f>SUM(AZ169,BB169,BD169)</f>
        <v>0</v>
      </c>
      <c r="BH169" s="18"/>
      <c r="BI169" s="106" t="str">
        <f>IF(BB168=0,"",IF(BB168&lt;BA168*0.4,AW168,""))</f>
        <v/>
      </c>
      <c r="BJ169" s="154" t="str">
        <f>IF(BB169=0,"",IF(BB169&lt;BA169*0.4,AW169,""))</f>
        <v/>
      </c>
      <c r="BK169" s="155"/>
    </row>
    <row r="170" spans="1:64" ht="30" customHeight="1" thickBot="1" x14ac:dyDescent="0.3">
      <c r="A170" s="58" t="s">
        <v>56</v>
      </c>
      <c r="B170" s="148"/>
      <c r="C170" s="42">
        <f t="shared" ref="C170" si="181">SUM(C164:C168)</f>
        <v>216</v>
      </c>
      <c r="D170" s="114">
        <f>SUM(D164:D169)</f>
        <v>211</v>
      </c>
      <c r="E170" s="42">
        <f t="shared" ref="E170" si="182">SUM(E164:E168)</f>
        <v>216</v>
      </c>
      <c r="F170" s="114">
        <f>SUM(F164:F169)</f>
        <v>0</v>
      </c>
      <c r="G170" s="42">
        <f t="shared" ref="G170" si="183">SUM(G164:G168)</f>
        <v>288</v>
      </c>
      <c r="H170" s="114">
        <f>SUM(H164:H169)</f>
        <v>0</v>
      </c>
      <c r="I170" s="42">
        <f t="shared" ref="I170" si="184">SUM(I164:I168)</f>
        <v>720</v>
      </c>
      <c r="J170" s="45"/>
      <c r="K170" s="3">
        <f>IF(AND(K164&gt;=J164,K165&gt;=J165,K166&gt;=J166,K167&gt;=J167,K168&gt;=J168,K169&gt;=J169),SUM(K164:K169),0)</f>
        <v>0</v>
      </c>
      <c r="L170" s="18"/>
      <c r="M170" s="105" t="s">
        <v>110</v>
      </c>
      <c r="N170" s="489" t="str">
        <f>IF(H170=0,"",IF(AND(H164&gt;=G164*0.4,H165&gt;=G165*0.4,H166&gt;=G166*0.4,H167&gt;=G167*0.4,H168&gt;=G168*0.4),LOOKUP(H170,'الصحيفة النهائية'!$BO$8:$BP$13),"ضعيف ويحتاج الى اهتمام في المواد"))</f>
        <v/>
      </c>
      <c r="O170" s="490"/>
      <c r="P170" s="120"/>
      <c r="Q170" s="58" t="s">
        <v>56</v>
      </c>
      <c r="R170" s="148"/>
      <c r="S170" s="42">
        <f t="shared" ref="S170" si="185">SUM(S164:S168)</f>
        <v>216</v>
      </c>
      <c r="T170" s="114">
        <f>SUM(T164:T169)</f>
        <v>251</v>
      </c>
      <c r="U170" s="42">
        <f t="shared" ref="U170" si="186">SUM(U164:U168)</f>
        <v>216</v>
      </c>
      <c r="V170" s="114">
        <f>SUM(V164:V169)</f>
        <v>0</v>
      </c>
      <c r="W170" s="42">
        <f t="shared" ref="W170" si="187">SUM(W164:W168)</f>
        <v>288</v>
      </c>
      <c r="X170" s="114">
        <f>SUM(X164:X169)</f>
        <v>0</v>
      </c>
      <c r="Y170" s="42">
        <f t="shared" ref="Y170" si="188">SUM(Y164:Y168)</f>
        <v>720</v>
      </c>
      <c r="Z170" s="45"/>
      <c r="AA170" s="3">
        <f>IF(AND(AA164&gt;=Z164,AA165&gt;=Z165,AA166&gt;=Z166,AA167&gt;=Z167,AA168&gt;=Z168,AA169&gt;=Z169),SUM(AA164:AA169),0)</f>
        <v>0</v>
      </c>
      <c r="AB170" s="18"/>
      <c r="AC170" s="105" t="s">
        <v>110</v>
      </c>
      <c r="AD170" s="489" t="str">
        <f>IF(X170=0,"",IF(AND(X164&gt;=W164*0.4,X165&gt;=W165*0.4,X166&gt;=W166*0.4,X167&gt;=W167*0.4,X168&gt;=W168*0.4),LOOKUP(X170,'الصحيفة النهائية'!$BO$8:$BP$13),"ضعيف ويحتاج الى اهتمام في المواد"))</f>
        <v/>
      </c>
      <c r="AE170" s="490"/>
      <c r="AF170" s="65"/>
      <c r="AG170" s="58" t="s">
        <v>56</v>
      </c>
      <c r="AH170" s="148"/>
      <c r="AI170" s="42">
        <f t="shared" ref="AI170" si="189">SUM(AI164:AI168)</f>
        <v>216</v>
      </c>
      <c r="AJ170" s="114">
        <f>SUM(AJ164:AJ169)</f>
        <v>239</v>
      </c>
      <c r="AK170" s="42">
        <f t="shared" ref="AK170" si="190">SUM(AK164:AK168)</f>
        <v>216</v>
      </c>
      <c r="AL170" s="114">
        <f>SUM(AL164:AL169)</f>
        <v>0</v>
      </c>
      <c r="AM170" s="42">
        <f t="shared" ref="AM170" si="191">SUM(AM164:AM168)</f>
        <v>288</v>
      </c>
      <c r="AN170" s="114">
        <f>SUM(AN164:AN169)</f>
        <v>0</v>
      </c>
      <c r="AO170" s="42">
        <f t="shared" ref="AO170" si="192">SUM(AO164:AO168)</f>
        <v>720</v>
      </c>
      <c r="AP170" s="45"/>
      <c r="AQ170" s="3">
        <f>IF(AND(AQ164&gt;=AP164,AQ165&gt;=AP165,AQ166&gt;=AP166,AQ167&gt;=AP167,AQ168&gt;=AP168,AQ169&gt;=AP169),SUM(AQ164:AQ169),0)</f>
        <v>0</v>
      </c>
      <c r="AR170" s="18"/>
      <c r="AS170" s="105" t="s">
        <v>110</v>
      </c>
      <c r="AT170" s="489" t="str">
        <f>IF(AN170=0,"",IF(AND(AN164&gt;=AM164*0.4,AN165&gt;=AM165*0.4,AN166&gt;=AM166*0.4,AN167&gt;=AM167*0.4,AN168&gt;=AM168*0.4),LOOKUP(AN170,'الصحيفة النهائية'!$BO$8:$BP$13),"ضعيف ويحتاج الى اهتمام في المواد"))</f>
        <v/>
      </c>
      <c r="AU170" s="490"/>
      <c r="AV170" s="120"/>
      <c r="AW170" s="58" t="s">
        <v>56</v>
      </c>
      <c r="AX170" s="148"/>
      <c r="AY170" s="42">
        <f t="shared" ref="AY170" si="193">SUM(AY164:AY168)</f>
        <v>216</v>
      </c>
      <c r="AZ170" s="114">
        <f>SUM(AZ164:AZ169)</f>
        <v>0</v>
      </c>
      <c r="BA170" s="42">
        <f t="shared" ref="BA170" si="194">SUM(BA164:BA168)</f>
        <v>216</v>
      </c>
      <c r="BB170" s="114">
        <f>SUM(BB164:BB169)</f>
        <v>0</v>
      </c>
      <c r="BC170" s="42">
        <f t="shared" ref="BC170" si="195">SUM(BC164:BC168)</f>
        <v>288</v>
      </c>
      <c r="BD170" s="114">
        <f>SUM(BD164:BD169)</f>
        <v>0</v>
      </c>
      <c r="BE170" s="42">
        <f t="shared" ref="BE170" si="196">SUM(BE164:BE168)</f>
        <v>720</v>
      </c>
      <c r="BF170" s="45"/>
      <c r="BG170" s="3">
        <f>IF(AND(BG164&gt;=BF164,BG165&gt;=BF165,BG166&gt;=BF166,BG167&gt;=BF167,BG168&gt;=BF168,BG169&gt;=BF169),SUM(BG164:BG169),0)</f>
        <v>0</v>
      </c>
      <c r="BH170" s="18"/>
      <c r="BI170" s="105" t="s">
        <v>110</v>
      </c>
      <c r="BJ170" s="489" t="str">
        <f>IF(BD170=0,"",IF(AND(BD164&gt;=BC164*0.4,BD165&gt;=BC165*0.4,BD166&gt;=BC166*0.4,BD167&gt;=BC167*0.4,BD168&gt;=BC168*0.4),LOOKUP(BD170,'الصحيفة النهائية'!$BO$8:$BP$13),"ضعيف ويحتاج الى اهتمام في المواد"))</f>
        <v/>
      </c>
      <c r="BK170" s="490"/>
    </row>
    <row r="171" spans="1:64" ht="24.9" customHeight="1" thickBot="1" x14ac:dyDescent="0.3">
      <c r="A171" s="566" t="s">
        <v>120</v>
      </c>
      <c r="B171" s="567"/>
      <c r="C171" s="568">
        <f>IFERROR(VLOOKUP(M175,اسماء,65,0),"")</f>
        <v>220170079396</v>
      </c>
      <c r="D171" s="568" t="str">
        <f>IFERROR(VLOOKUP(H178,اسماء,8,0),"")</f>
        <v/>
      </c>
      <c r="E171" s="568" t="str">
        <f>IFERROR(VLOOKUP(I178,اسماء,8,0),"")</f>
        <v/>
      </c>
      <c r="F171" s="568" t="str">
        <f>IFERROR(VLOOKUP(J178,اسماء,8,0),"")</f>
        <v/>
      </c>
      <c r="G171" s="568" t="str">
        <f>IFERROR(VLOOKUP(K178,اسماء,8,0),"")</f>
        <v/>
      </c>
      <c r="H171" s="580" t="s">
        <v>157</v>
      </c>
      <c r="I171" s="581"/>
      <c r="J171" s="470" t="str">
        <f>IF(K170=0,"",IF(AND(K164&gt;=J164*0.4,K165&gt;=J165*0.4,K166&gt;=J166*0.4,K167&gt;=J167*0.4,K168&gt;=J168*0.4,K169&gt;=J169*0.4),LOOKUP(K170,'الصحيفة النهائية'!$BO$2:$BP$6),"ضعيف ويحتاج الى اهتمام في المواد"))</f>
        <v/>
      </c>
      <c r="K171" s="470"/>
      <c r="L171" s="31"/>
      <c r="M171" s="106" t="str">
        <f>IF(H164=0,"",IF(H164&lt;G164*0.4,A164,""))</f>
        <v/>
      </c>
      <c r="N171" s="154" t="str">
        <f>IF(H165=0,"",IF(H165&lt;G165*0.4,A165,""))</f>
        <v/>
      </c>
      <c r="O171" s="155" t="str">
        <f>IF(H166=0,"",IF(H166&lt;G166*0.4,A166,""))</f>
        <v/>
      </c>
      <c r="Q171" s="566" t="s">
        <v>120</v>
      </c>
      <c r="R171" s="567"/>
      <c r="S171" s="568">
        <f>IFERROR(VLOOKUP(AC175,اسماء,65,0),"")</f>
        <v>120171103057</v>
      </c>
      <c r="T171" s="568" t="str">
        <f>IFERROR(VLOOKUP(X178,اسماء,8,0),"")</f>
        <v/>
      </c>
      <c r="U171" s="568" t="str">
        <f>IFERROR(VLOOKUP(Y178,اسماء,8,0),"")</f>
        <v/>
      </c>
      <c r="V171" s="568" t="str">
        <f>IFERROR(VLOOKUP(Z178,اسماء,8,0),"")</f>
        <v/>
      </c>
      <c r="W171" s="568" t="str">
        <f>IFERROR(VLOOKUP(AA178,اسماء,8,0),"")</f>
        <v/>
      </c>
      <c r="X171" s="580" t="s">
        <v>157</v>
      </c>
      <c r="Y171" s="581"/>
      <c r="Z171" s="470" t="str">
        <f>IF(AA170=0,"",IF(AND(AA164&gt;=Z164*0.4,AA165&gt;=Z165*0.4,AA166&gt;=Z166*0.4,AA167&gt;=Z167*0.4,AA168&gt;=Z168*0.4,AA169&gt;=Z169*0.4),LOOKUP(AA170,'الصحيفة النهائية'!$BO$2:$BP$6),"ضعيف ويحتاج الى اهتمام في المواد"))</f>
        <v/>
      </c>
      <c r="AA171" s="470"/>
      <c r="AB171" s="31"/>
      <c r="AC171" s="106" t="str">
        <f>IF(X164=0,"",IF(X164&lt;W164*0.4,Q164,""))</f>
        <v/>
      </c>
      <c r="AD171" s="154" t="str">
        <f>IF(X165=0,"",IF(X165&lt;W165*0.4,Q165,""))</f>
        <v/>
      </c>
      <c r="AE171" s="155" t="str">
        <f>IF(X166=0,"",IF(X166&lt;W166*0.4,Q166,""))</f>
        <v/>
      </c>
      <c r="AF171" s="65"/>
      <c r="AG171" s="566" t="s">
        <v>120</v>
      </c>
      <c r="AH171" s="567"/>
      <c r="AI171" s="568">
        <f>IFERROR(VLOOKUP(AS175,اسماء,65,0),"")</f>
        <v>120170096866</v>
      </c>
      <c r="AJ171" s="568" t="str">
        <f>IFERROR(VLOOKUP(AN178,اسماء,8,0),"")</f>
        <v/>
      </c>
      <c r="AK171" s="568" t="str">
        <f>IFERROR(VLOOKUP(AO178,اسماء,8,0),"")</f>
        <v/>
      </c>
      <c r="AL171" s="568" t="str">
        <f>IFERROR(VLOOKUP(AP178,اسماء,8,0),"")</f>
        <v/>
      </c>
      <c r="AM171" s="568" t="str">
        <f>IFERROR(VLOOKUP(AQ178,اسماء,8,0),"")</f>
        <v/>
      </c>
      <c r="AN171" s="580" t="s">
        <v>157</v>
      </c>
      <c r="AO171" s="581"/>
      <c r="AP171" s="470" t="str">
        <f>IF(AQ170=0,"",IF(AND(AQ164&gt;=AP164*0.4,AQ165&gt;=AP165*0.4,AQ166&gt;=AP166*0.4,AQ167&gt;=AP167*0.4,AQ168&gt;=AP168*0.4,AQ169&gt;=AP169*0.4),LOOKUP(AQ170,'الصحيفة النهائية'!$BO$2:$BP$6),"ضعيف ويحتاج الى اهتمام في المواد"))</f>
        <v/>
      </c>
      <c r="AQ171" s="470"/>
      <c r="AR171" s="31"/>
      <c r="AS171" s="106" t="str">
        <f>IF(AN164=0,"",IF(AN164&lt;AM164*0.4,AG164,""))</f>
        <v/>
      </c>
      <c r="AT171" s="154" t="str">
        <f>IF(AN165=0,"",IF(AN165&lt;AM165*0.4,AG165,""))</f>
        <v/>
      </c>
      <c r="AU171" s="155" t="str">
        <f>IF(AN166=0,"",IF(AN166&lt;AM166*0.4,AG166,""))</f>
        <v/>
      </c>
      <c r="AV171" s="65"/>
      <c r="AW171" s="566" t="s">
        <v>120</v>
      </c>
      <c r="AX171" s="567"/>
      <c r="AY171" s="568" t="str">
        <f>IFERROR(VLOOKUP(BI175,اسماء,65,0),"")</f>
        <v/>
      </c>
      <c r="AZ171" s="568" t="str">
        <f>IFERROR(VLOOKUP(BD178,اسماء,8,0),"")</f>
        <v/>
      </c>
      <c r="BA171" s="568" t="str">
        <f>IFERROR(VLOOKUP(BE178,اسماء,8,0),"")</f>
        <v/>
      </c>
      <c r="BB171" s="568" t="str">
        <f>IFERROR(VLOOKUP(BF178,اسماء,8,0),"")</f>
        <v/>
      </c>
      <c r="BC171" s="568" t="str">
        <f>IFERROR(VLOOKUP(BG178,اسماء,8,0),"")</f>
        <v/>
      </c>
      <c r="BD171" s="580" t="s">
        <v>157</v>
      </c>
      <c r="BE171" s="581"/>
      <c r="BF171" s="470" t="str">
        <f>IF(BG170=0,"",IF(AND(BG164&gt;=BF164*0.4,BG165&gt;=BF165*0.4,BG166&gt;=BF166*0.4,BG167&gt;=BF167*0.4,BG168&gt;=BF168*0.4,BG169&gt;=BF169*0.4),LOOKUP(BG170,'الصحيفة النهائية'!$BO$2:$BP$6),"ضعيف ويحتاج الى اهتمام في المواد"))</f>
        <v/>
      </c>
      <c r="BG171" s="470"/>
      <c r="BH171" s="31"/>
      <c r="BI171" s="106" t="str">
        <f>IF(BD164=0,"",IF(BD164&lt;BC164*0.4,AW164,""))</f>
        <v/>
      </c>
      <c r="BJ171" s="154" t="str">
        <f>IF(BD165=0,"",IF(BD165&lt;BC165*0.4,AW165,""))</f>
        <v/>
      </c>
      <c r="BK171" s="155" t="str">
        <f>IF(BD166=0,"",IF(BD166&lt;BC166*0.4,AW166,""))</f>
        <v/>
      </c>
      <c r="BL171" s="25"/>
    </row>
    <row r="172" spans="1:64" ht="24.9" customHeight="1" x14ac:dyDescent="0.25">
      <c r="A172" s="373" t="str">
        <f>ادخال1!$M$8</f>
        <v>التربية الفنية</v>
      </c>
      <c r="B172" s="375">
        <f>ادخال1!$M$7</f>
        <v>1</v>
      </c>
      <c r="C172" s="491" t="str">
        <f>IFERROR(VLOOKUP(M175,اسماء,12,0),"")</f>
        <v>جيد جداً</v>
      </c>
      <c r="D172" s="491"/>
      <c r="E172" s="491" t="str">
        <f>IFERROR(VLOOKUP(M175,اسماء,13,0),"")</f>
        <v>جيد جداً</v>
      </c>
      <c r="F172" s="491"/>
      <c r="G172" s="491">
        <f>IFERROR(VLOOKUP(M175,اسماء,14,0),"")</f>
        <v>0</v>
      </c>
      <c r="H172" s="491"/>
      <c r="I172" s="433"/>
      <c r="J172" s="445"/>
      <c r="K172" s="562"/>
      <c r="L172" s="33"/>
      <c r="M172" s="106" t="str">
        <f>IF(H167=0,"",IF(H167&lt;G167*0.4,A167,""))</f>
        <v/>
      </c>
      <c r="N172" s="154" t="str">
        <f>IF(H168=0,"",IF(H168&lt;G168*0.4,A168,""))</f>
        <v/>
      </c>
      <c r="O172" s="155"/>
      <c r="Q172" s="373" t="str">
        <f>ادخال1!$M$8</f>
        <v>التربية الفنية</v>
      </c>
      <c r="R172" s="375">
        <f>ادخال1!$M$7</f>
        <v>1</v>
      </c>
      <c r="S172" s="491" t="str">
        <f>IFERROR(VLOOKUP(AC175,اسماء,12,0),"")</f>
        <v>جيد جداً</v>
      </c>
      <c r="T172" s="491"/>
      <c r="U172" s="491" t="str">
        <f>IFERROR(VLOOKUP(AC175,اسماء,13,0),"")</f>
        <v>جيد جداً</v>
      </c>
      <c r="V172" s="491"/>
      <c r="W172" s="491">
        <f>IFERROR(VLOOKUP(AC175,اسماء,14,0),"")</f>
        <v>0</v>
      </c>
      <c r="X172" s="491"/>
      <c r="Y172" s="433"/>
      <c r="Z172" s="445"/>
      <c r="AA172" s="562"/>
      <c r="AB172" s="33"/>
      <c r="AC172" s="106" t="str">
        <f>IF(X167=0,"",IF(X167&lt;W167*0.4,Q167,""))</f>
        <v/>
      </c>
      <c r="AD172" s="154" t="str">
        <f>IF(X168=0,"",IF(X168&lt;W168*0.4,Q168,""))</f>
        <v/>
      </c>
      <c r="AE172" s="155"/>
      <c r="AG172" s="373" t="str">
        <f>ادخال1!$M$8</f>
        <v>التربية الفنية</v>
      </c>
      <c r="AH172" s="375">
        <f>ادخال1!$M$7</f>
        <v>1</v>
      </c>
      <c r="AI172" s="491" t="str">
        <f>IFERROR(VLOOKUP(AS175,اسماء,12,0),"")</f>
        <v>جيد جداً</v>
      </c>
      <c r="AJ172" s="491"/>
      <c r="AK172" s="491" t="str">
        <f>IFERROR(VLOOKUP(AS175,اسماء,13,0),"")</f>
        <v>جيد جداً</v>
      </c>
      <c r="AL172" s="491"/>
      <c r="AM172" s="491">
        <f>IFERROR(VLOOKUP(AS175,اسماء,14,0),"")</f>
        <v>0</v>
      </c>
      <c r="AN172" s="491"/>
      <c r="AO172" s="433"/>
      <c r="AP172" s="445"/>
      <c r="AQ172" s="562"/>
      <c r="AR172" s="33"/>
      <c r="AS172" s="106" t="str">
        <f>IF(AN167=0,"",IF(AN167&lt;AM167*0.4,AG167,""))</f>
        <v/>
      </c>
      <c r="AT172" s="154" t="str">
        <f>IF(AN168=0,"",IF(AN168&lt;AM168*0.4,AG168,""))</f>
        <v/>
      </c>
      <c r="AU172" s="155"/>
      <c r="AV172" s="65"/>
      <c r="AW172" s="373" t="str">
        <f>ادخال1!$M$8</f>
        <v>التربية الفنية</v>
      </c>
      <c r="AX172" s="375">
        <f>ادخال1!$M$7</f>
        <v>1</v>
      </c>
      <c r="AY172" s="491" t="str">
        <f>IFERROR(VLOOKUP(BI175,اسماء,12,0),"")</f>
        <v/>
      </c>
      <c r="AZ172" s="491"/>
      <c r="BA172" s="491" t="str">
        <f>IFERROR(VLOOKUP(BI175,اسماء,13,0),"")</f>
        <v/>
      </c>
      <c r="BB172" s="491"/>
      <c r="BC172" s="491" t="str">
        <f>IFERROR(VLOOKUP(BI175,اسماء,14,0),"")</f>
        <v/>
      </c>
      <c r="BD172" s="491"/>
      <c r="BE172" s="433"/>
      <c r="BF172" s="445"/>
      <c r="BG172" s="562"/>
      <c r="BH172" s="33"/>
      <c r="BI172" s="106" t="str">
        <f>IF(BD167=0,"",IF(BD167&lt;BC167*0.4,AW167,""))</f>
        <v/>
      </c>
      <c r="BJ172" s="154" t="str">
        <f>IF(BD168=0,"",IF(BD168&lt;BC168*0.4,AW168,""))</f>
        <v/>
      </c>
      <c r="BK172" s="155"/>
      <c r="BL172" s="25"/>
    </row>
    <row r="173" spans="1:64" ht="24.9" customHeight="1" thickBot="1" x14ac:dyDescent="0.3">
      <c r="A173" s="374" t="str">
        <f>ادخال1!$N$8</f>
        <v>التربية البدنية</v>
      </c>
      <c r="B173" s="376">
        <f>ادخال1!$N$7</f>
        <v>2</v>
      </c>
      <c r="C173" s="435">
        <f>IFERROR(VLOOKUP(M175,اسماء,23,0),"")</f>
        <v>0</v>
      </c>
      <c r="D173" s="435"/>
      <c r="E173" s="435">
        <f>IFERROR(VLOOKUP(M175,اسماء,24,0),"")</f>
        <v>0</v>
      </c>
      <c r="F173" s="435"/>
      <c r="G173" s="435">
        <f>IFERROR(VLOOKUP(M175,اسماء,25,0),"")</f>
        <v>0</v>
      </c>
      <c r="H173" s="435"/>
      <c r="I173" s="499"/>
      <c r="J173" s="500"/>
      <c r="K173" s="501"/>
      <c r="L173" s="33"/>
      <c r="M173" s="280"/>
      <c r="N173" s="281"/>
      <c r="O173" s="281"/>
      <c r="Q173" s="374" t="str">
        <f>ادخال1!$N$8</f>
        <v>التربية البدنية</v>
      </c>
      <c r="R173" s="376">
        <f>ادخال1!$N$7</f>
        <v>2</v>
      </c>
      <c r="S173" s="435">
        <f>IFERROR(VLOOKUP(AC175,اسماء,23,0),"")</f>
        <v>0</v>
      </c>
      <c r="T173" s="435"/>
      <c r="U173" s="435">
        <f>IFERROR(VLOOKUP(AC175,اسماء,24,0),"")</f>
        <v>0</v>
      </c>
      <c r="V173" s="435"/>
      <c r="W173" s="435">
        <f>IFERROR(VLOOKUP(AC175,اسماء,25,0),"")</f>
        <v>0</v>
      </c>
      <c r="X173" s="435"/>
      <c r="Y173" s="499"/>
      <c r="Z173" s="500"/>
      <c r="AA173" s="501"/>
      <c r="AB173" s="33"/>
      <c r="AC173" s="280"/>
      <c r="AD173" s="281"/>
      <c r="AE173" s="281"/>
      <c r="AG173" s="374" t="str">
        <f>ادخال1!$N$8</f>
        <v>التربية البدنية</v>
      </c>
      <c r="AH173" s="376">
        <f>ادخال1!$N$7</f>
        <v>2</v>
      </c>
      <c r="AI173" s="435">
        <f>IFERROR(VLOOKUP(AS175,اسماء,23,0),"")</f>
        <v>0</v>
      </c>
      <c r="AJ173" s="435"/>
      <c r="AK173" s="435">
        <f>IFERROR(VLOOKUP(AS175,اسماء,24,0),"")</f>
        <v>0</v>
      </c>
      <c r="AL173" s="435"/>
      <c r="AM173" s="435">
        <f>IFERROR(VLOOKUP(AS175,اسماء,25,0),"")</f>
        <v>0</v>
      </c>
      <c r="AN173" s="435"/>
      <c r="AO173" s="499"/>
      <c r="AP173" s="500"/>
      <c r="AQ173" s="501"/>
      <c r="AR173" s="33"/>
      <c r="AS173" s="280"/>
      <c r="AT173" s="281"/>
      <c r="AU173" s="281"/>
      <c r="AV173" s="65"/>
      <c r="AW173" s="374" t="str">
        <f>ادخال1!$N$8</f>
        <v>التربية البدنية</v>
      </c>
      <c r="AX173" s="376">
        <f>ادخال1!$N$7</f>
        <v>2</v>
      </c>
      <c r="AY173" s="435" t="str">
        <f>IFERROR(VLOOKUP(BI175,اسماء,23,0),"")</f>
        <v/>
      </c>
      <c r="AZ173" s="435"/>
      <c r="BA173" s="435" t="str">
        <f>IFERROR(VLOOKUP(BI175,اسماء,24,0),"")</f>
        <v/>
      </c>
      <c r="BB173" s="435"/>
      <c r="BC173" s="435" t="str">
        <f>IFERROR(VLOOKUP(BI175,اسماء,25,0),"")</f>
        <v/>
      </c>
      <c r="BD173" s="435"/>
      <c r="BE173" s="499"/>
      <c r="BF173" s="500"/>
      <c r="BG173" s="501"/>
      <c r="BH173" s="33"/>
      <c r="BI173" s="280"/>
      <c r="BJ173" s="281"/>
      <c r="BK173" s="281"/>
      <c r="BL173" s="25"/>
    </row>
    <row r="174" spans="1:64" ht="24.9" customHeight="1" thickBot="1" x14ac:dyDescent="0.3">
      <c r="A174" s="377" t="str">
        <f>ادخال1!$O$8</f>
        <v>مكتبة</v>
      </c>
      <c r="B174" s="378">
        <f>ادخال1!O166</f>
        <v>0</v>
      </c>
      <c r="C174" s="435">
        <f>IFERROR(VLOOKUP(M175,اسماء,34,0),"")</f>
        <v>0</v>
      </c>
      <c r="D174" s="435"/>
      <c r="E174" s="435">
        <f>IFERROR(VLOOKUP(M175,اسماء,35,0),"")</f>
        <v>0</v>
      </c>
      <c r="F174" s="435"/>
      <c r="G174" s="435">
        <f>IFERROR(VLOOKUP(M175,اسماء,36,0),"")</f>
        <v>0</v>
      </c>
      <c r="H174" s="435"/>
      <c r="I174" s="547" t="s">
        <v>33</v>
      </c>
      <c r="J174" s="547"/>
      <c r="K174" s="547"/>
      <c r="L174" s="31"/>
      <c r="M174" s="502" t="s">
        <v>57</v>
      </c>
      <c r="N174" s="503"/>
      <c r="O174" s="504"/>
      <c r="Q174" s="377" t="str">
        <f>ادخال1!$O$8</f>
        <v>مكتبة</v>
      </c>
      <c r="R174" s="378">
        <f>ادخال1!AE166</f>
        <v>0</v>
      </c>
      <c r="S174" s="435">
        <f>IFERROR(VLOOKUP(AC175,اسماء,34,0),"")</f>
        <v>0</v>
      </c>
      <c r="T174" s="435"/>
      <c r="U174" s="435">
        <f>IFERROR(VLOOKUP(AC175,اسماء,35,0),"")</f>
        <v>0</v>
      </c>
      <c r="V174" s="435"/>
      <c r="W174" s="435">
        <f>IFERROR(VLOOKUP(AC175,اسماء,36,0),"")</f>
        <v>0</v>
      </c>
      <c r="X174" s="435"/>
      <c r="Y174" s="547" t="s">
        <v>33</v>
      </c>
      <c r="Z174" s="547"/>
      <c r="AA174" s="547"/>
      <c r="AB174" s="31"/>
      <c r="AC174" s="502" t="s">
        <v>57</v>
      </c>
      <c r="AD174" s="503"/>
      <c r="AE174" s="504"/>
      <c r="AG174" s="377" t="str">
        <f>ادخال1!$O$8</f>
        <v>مكتبة</v>
      </c>
      <c r="AH174" s="378">
        <f>ادخال1!AU166</f>
        <v>1.66E-5</v>
      </c>
      <c r="AI174" s="435">
        <f>IFERROR(VLOOKUP(AS175,اسماء,34,0),"")</f>
        <v>0</v>
      </c>
      <c r="AJ174" s="435"/>
      <c r="AK174" s="435">
        <f>IFERROR(VLOOKUP(AS175,اسماء,35,0),"")</f>
        <v>0</v>
      </c>
      <c r="AL174" s="435"/>
      <c r="AM174" s="435">
        <f>IFERROR(VLOOKUP(AS175,اسماء,36,0),"")</f>
        <v>0</v>
      </c>
      <c r="AN174" s="435"/>
      <c r="AO174" s="547" t="s">
        <v>33</v>
      </c>
      <c r="AP174" s="547"/>
      <c r="AQ174" s="547"/>
      <c r="AR174" s="31"/>
      <c r="AS174" s="502" t="s">
        <v>57</v>
      </c>
      <c r="AT174" s="503"/>
      <c r="AU174" s="504"/>
      <c r="AW174" s="377" t="str">
        <f>ادخال1!$O$8</f>
        <v>مكتبة</v>
      </c>
      <c r="AX174" s="378">
        <f>ادخال1!BK166</f>
        <v>0</v>
      </c>
      <c r="AY174" s="435" t="str">
        <f>IFERROR(VLOOKUP(BI175,اسماء,34,0),"")</f>
        <v/>
      </c>
      <c r="AZ174" s="435"/>
      <c r="BA174" s="435" t="str">
        <f>IFERROR(VLOOKUP(BI175,اسماء,35,0),"")</f>
        <v/>
      </c>
      <c r="BB174" s="435"/>
      <c r="BC174" s="435" t="str">
        <f>IFERROR(VLOOKUP(BI175,اسماء,36,0),"")</f>
        <v/>
      </c>
      <c r="BD174" s="435"/>
      <c r="BE174" s="547" t="s">
        <v>33</v>
      </c>
      <c r="BF174" s="547"/>
      <c r="BG174" s="547"/>
      <c r="BH174" s="31"/>
      <c r="BI174" s="502" t="s">
        <v>57</v>
      </c>
      <c r="BJ174" s="503"/>
      <c r="BK174" s="504"/>
    </row>
    <row r="175" spans="1:64" ht="24.9" customHeight="1" x14ac:dyDescent="0.25">
      <c r="A175" s="491" t="s">
        <v>58</v>
      </c>
      <c r="B175" s="491"/>
      <c r="C175" s="491">
        <f>IFERROR(VLOOKUP(M175,اسماء,37,0),"")</f>
        <v>0</v>
      </c>
      <c r="D175" s="491"/>
      <c r="E175" s="491">
        <f>IFERROR(VLOOKUP(M175,اسماء,38,0),"")</f>
        <v>0</v>
      </c>
      <c r="F175" s="491"/>
      <c r="G175" s="491">
        <f>IFERROR(VLOOKUP(M175,اسماء,39,0),"")</f>
        <v>0</v>
      </c>
      <c r="H175" s="491"/>
      <c r="I175" s="492">
        <f>IFERROR(VLOOKUP(M175,اسماء,42,0),"")</f>
        <v>0</v>
      </c>
      <c r="J175" s="493"/>
      <c r="K175" s="494"/>
      <c r="L175" s="33"/>
      <c r="M175" s="548" t="str">
        <f>INDEX(عمود2,MATCH(O160,عمود1))</f>
        <v>ساجدة عبد السلام شعبان بى</v>
      </c>
      <c r="N175" s="549"/>
      <c r="O175" s="550"/>
      <c r="Q175" s="491" t="s">
        <v>58</v>
      </c>
      <c r="R175" s="491"/>
      <c r="S175" s="491">
        <f>IFERROR(VLOOKUP(AC175,اسماء,37,0),"")</f>
        <v>0</v>
      </c>
      <c r="T175" s="491"/>
      <c r="U175" s="491">
        <f>IFERROR(VLOOKUP(AC175,اسماء,38,0),"")</f>
        <v>0</v>
      </c>
      <c r="V175" s="491"/>
      <c r="W175" s="491">
        <f>IFERROR(VLOOKUP(AC175,اسماء,39,0),"")</f>
        <v>0</v>
      </c>
      <c r="X175" s="491"/>
      <c r="Y175" s="492">
        <f>IFERROR(VLOOKUP(AC175,اسماء,42,0),"")</f>
        <v>0</v>
      </c>
      <c r="Z175" s="493"/>
      <c r="AA175" s="494"/>
      <c r="AB175" s="33"/>
      <c r="AC175" s="548" t="str">
        <f>INDEX(عمود2,MATCH(AE160,عمود1))</f>
        <v>كنان سالم عبد الكريم النفاتى</v>
      </c>
      <c r="AD175" s="549"/>
      <c r="AE175" s="550"/>
      <c r="AG175" s="491" t="s">
        <v>58</v>
      </c>
      <c r="AH175" s="491"/>
      <c r="AI175" s="491">
        <f>IFERROR(VLOOKUP(AS175,اسماء,37,0),"")</f>
        <v>0</v>
      </c>
      <c r="AJ175" s="491"/>
      <c r="AK175" s="491">
        <f>IFERROR(VLOOKUP(AS175,اسماء,38,0),"")</f>
        <v>0</v>
      </c>
      <c r="AL175" s="491"/>
      <c r="AM175" s="491">
        <f>IFERROR(VLOOKUP(AS175,اسماء,39,0),"")</f>
        <v>0</v>
      </c>
      <c r="AN175" s="491"/>
      <c r="AO175" s="492">
        <f>IFERROR(VLOOKUP(AS175,اسماء,42,0),"")</f>
        <v>0</v>
      </c>
      <c r="AP175" s="493"/>
      <c r="AQ175" s="494"/>
      <c r="AR175" s="33"/>
      <c r="AS175" s="548" t="str">
        <f>INDEX(عمود2,MATCH(AU160,عمود1))</f>
        <v>يوسف انويجى عثمان ابوزويدة</v>
      </c>
      <c r="AT175" s="549"/>
      <c r="AU175" s="550"/>
      <c r="AW175" s="491" t="s">
        <v>58</v>
      </c>
      <c r="AX175" s="491"/>
      <c r="AY175" s="491" t="str">
        <f>IFERROR(VLOOKUP(BI175,اسماء,37,0),"")</f>
        <v/>
      </c>
      <c r="AZ175" s="491"/>
      <c r="BA175" s="491" t="str">
        <f>IFERROR(VLOOKUP(BI175,اسماء,38,0),"")</f>
        <v/>
      </c>
      <c r="BB175" s="491"/>
      <c r="BC175" s="491" t="str">
        <f>IFERROR(VLOOKUP(BI175,اسماء,39,0),"")</f>
        <v/>
      </c>
      <c r="BD175" s="491"/>
      <c r="BE175" s="492" t="str">
        <f>IFERROR(VLOOKUP(BI175,اسماء,42,0),"")</f>
        <v/>
      </c>
      <c r="BF175" s="493"/>
      <c r="BG175" s="494"/>
      <c r="BH175" s="33"/>
      <c r="BI175" s="548">
        <f>INDEX(عمود2,MATCH(BK160,عمود1))</f>
        <v>0</v>
      </c>
      <c r="BJ175" s="549"/>
      <c r="BK175" s="550"/>
    </row>
    <row r="176" spans="1:64" ht="24.9" customHeight="1" x14ac:dyDescent="0.25">
      <c r="A176" s="435" t="s">
        <v>59</v>
      </c>
      <c r="B176" s="435"/>
      <c r="C176" s="435">
        <f>IFERROR(VLOOKUP(M175,اسماء,40,0),"")</f>
        <v>0</v>
      </c>
      <c r="D176" s="435"/>
      <c r="E176" s="435">
        <f>IFERROR(VLOOKUP(M175,اسماء,42,0),"")</f>
        <v>0</v>
      </c>
      <c r="F176" s="435"/>
      <c r="G176" s="435">
        <f>IFERROR(VLOOKUP(M175,اسماء,44,0),"")</f>
        <v>0</v>
      </c>
      <c r="H176" s="435"/>
      <c r="I176" s="437"/>
      <c r="J176" s="435"/>
      <c r="K176" s="514"/>
      <c r="L176" s="33"/>
      <c r="M176" s="551" t="str">
        <f>IF(I175="غائب","يبقى سنة اخرى في الصف",IF(K170&gt;0,"ناجحاً ومنقولاً الى الصف ","يرحل الى الصف"))</f>
        <v>يرحل الى الصف</v>
      </c>
      <c r="N176" s="552"/>
      <c r="O176" s="553"/>
      <c r="Q176" s="435" t="s">
        <v>59</v>
      </c>
      <c r="R176" s="435"/>
      <c r="S176" s="435">
        <f>IFERROR(VLOOKUP(AC175,اسماء,40,0),"")</f>
        <v>0</v>
      </c>
      <c r="T176" s="435"/>
      <c r="U176" s="435">
        <f>IFERROR(VLOOKUP(AC175,اسماء,42,0),"")</f>
        <v>0</v>
      </c>
      <c r="V176" s="435"/>
      <c r="W176" s="435">
        <f>IFERROR(VLOOKUP(AC175,اسماء,44,0),"")</f>
        <v>0</v>
      </c>
      <c r="X176" s="435"/>
      <c r="Y176" s="437"/>
      <c r="Z176" s="435"/>
      <c r="AA176" s="514"/>
      <c r="AB176" s="33"/>
      <c r="AC176" s="551" t="str">
        <f>IF(Y175="غائب","يبقى سنة اخرى في الصف",IF(AA170&gt;0,"ناجحاً ومنقولاً الى الصف ","يرحل الى الصف"))</f>
        <v>يرحل الى الصف</v>
      </c>
      <c r="AD176" s="552"/>
      <c r="AE176" s="553"/>
      <c r="AG176" s="435" t="s">
        <v>59</v>
      </c>
      <c r="AH176" s="435"/>
      <c r="AI176" s="435">
        <f>IFERROR(VLOOKUP(AS175,اسماء,40,0),"")</f>
        <v>0</v>
      </c>
      <c r="AJ176" s="435"/>
      <c r="AK176" s="435">
        <f>IFERROR(VLOOKUP(AS175,اسماء,42,0),"")</f>
        <v>0</v>
      </c>
      <c r="AL176" s="435"/>
      <c r="AM176" s="435">
        <f>IFERROR(VLOOKUP(AS175,اسماء,44,0),"")</f>
        <v>0</v>
      </c>
      <c r="AN176" s="435"/>
      <c r="AO176" s="437"/>
      <c r="AP176" s="435"/>
      <c r="AQ176" s="514"/>
      <c r="AR176" s="33"/>
      <c r="AS176" s="551" t="str">
        <f>IF(AO175="غائب","يبقى سنة اخرى في الصف",IF(AQ170&gt;0,"ناجحاً ومنقولاً الى الصف ","يرحل الى الصف"))</f>
        <v>يرحل الى الصف</v>
      </c>
      <c r="AT176" s="552"/>
      <c r="AU176" s="553"/>
      <c r="AW176" s="435" t="s">
        <v>59</v>
      </c>
      <c r="AX176" s="435"/>
      <c r="AY176" s="435" t="str">
        <f>IFERROR(VLOOKUP(BI175,اسماء,40,0),"")</f>
        <v/>
      </c>
      <c r="AZ176" s="435"/>
      <c r="BA176" s="435" t="str">
        <f>IFERROR(VLOOKUP(BI175,اسماء,42,0),"")</f>
        <v/>
      </c>
      <c r="BB176" s="435"/>
      <c r="BC176" s="435" t="str">
        <f>IFERROR(VLOOKUP(BI175,اسماء,44,0),"")</f>
        <v/>
      </c>
      <c r="BD176" s="435"/>
      <c r="BE176" s="437"/>
      <c r="BF176" s="435"/>
      <c r="BG176" s="514"/>
      <c r="BH176" s="33"/>
      <c r="BI176" s="551" t="str">
        <f>IF(BE175="غائب","يبقى سنة اخرى في الصف",IF(BG170&gt;0,"ناجحاً ومنقولاً الى الصف ","يرحل الى الصف"))</f>
        <v>يرحل الى الصف</v>
      </c>
      <c r="BJ176" s="552"/>
      <c r="BK176" s="553"/>
    </row>
    <row r="177" spans="1:64" ht="24.9" customHeight="1" thickBot="1" x14ac:dyDescent="0.3">
      <c r="A177" s="498" t="s">
        <v>60</v>
      </c>
      <c r="B177" s="498"/>
      <c r="C177" s="435">
        <f>IFERROR(VLOOKUP(M175,اسماء,41,0),"")</f>
        <v>0</v>
      </c>
      <c r="D177" s="435"/>
      <c r="E177" s="435">
        <f>IFERROR(VLOOKUP(M175,اسماء,43,0),"")</f>
        <v>0</v>
      </c>
      <c r="F177" s="435"/>
      <c r="G177" s="435">
        <f>IFERROR(VLOOKUP(M175,اسماء,45,0),"")</f>
        <v>0</v>
      </c>
      <c r="H177" s="435"/>
      <c r="I177" s="441"/>
      <c r="J177" s="456"/>
      <c r="K177" s="495"/>
      <c r="L177" s="33"/>
      <c r="M177" s="505" t="str">
        <f>IF(I175="غائب",D160,IF(D160="الأول","الثاني",IF(D160="الثاني","الثالث",IF(D160="الثالث","الرابع",IF(D160="الرابع","الخامس",IF(D160="الخامس","السادس"))))))</f>
        <v>الرابع</v>
      </c>
      <c r="N177" s="505"/>
      <c r="O177" s="505"/>
      <c r="Q177" s="498" t="s">
        <v>60</v>
      </c>
      <c r="R177" s="498"/>
      <c r="S177" s="435">
        <f>IFERROR(VLOOKUP(AC175,اسماء,41,0),"")</f>
        <v>0</v>
      </c>
      <c r="T177" s="435"/>
      <c r="U177" s="435">
        <f>IFERROR(VLOOKUP(AC175,اسماء,43,0),"")</f>
        <v>0</v>
      </c>
      <c r="V177" s="435"/>
      <c r="W177" s="435">
        <f>IFERROR(VLOOKUP(AC175,اسماء,45,0),"")</f>
        <v>0</v>
      </c>
      <c r="X177" s="435"/>
      <c r="Y177" s="441"/>
      <c r="Z177" s="456"/>
      <c r="AA177" s="495"/>
      <c r="AB177" s="33"/>
      <c r="AC177" s="505" t="str">
        <f>IF(Y175="غائب",T160,IF(T160="الأول","الثاني",IF(T160="الثاني","الثالث",IF(T160="الثالث","الرابع",IF(T160="الرابع","الخامس",IF(T160="الخامس","السادس"))))))</f>
        <v>الرابع</v>
      </c>
      <c r="AD177" s="505"/>
      <c r="AE177" s="505"/>
      <c r="AG177" s="498" t="s">
        <v>60</v>
      </c>
      <c r="AH177" s="498"/>
      <c r="AI177" s="435">
        <f>IFERROR(VLOOKUP(AS175,اسماء,41,0),"")</f>
        <v>0</v>
      </c>
      <c r="AJ177" s="435"/>
      <c r="AK177" s="435">
        <f>IFERROR(VLOOKUP(AS175,اسماء,43,0),"")</f>
        <v>0</v>
      </c>
      <c r="AL177" s="435"/>
      <c r="AM177" s="435">
        <f>IFERROR(VLOOKUP(AS175,اسماء,45,0),"")</f>
        <v>0</v>
      </c>
      <c r="AN177" s="435"/>
      <c r="AO177" s="441"/>
      <c r="AP177" s="456"/>
      <c r="AQ177" s="495"/>
      <c r="AR177" s="33"/>
      <c r="AS177" s="505" t="str">
        <f>IF(AO175="غائب",AJ160,IF(AJ160="الأول","الثاني",IF(AJ160="الثاني","الثالث",IF(AJ160="الثالث","الرابع",IF(AJ160="الرابع","الخامس",IF(AJ160="الخامس","السادس"))))))</f>
        <v>الرابع</v>
      </c>
      <c r="AT177" s="505"/>
      <c r="AU177" s="505"/>
      <c r="AW177" s="498" t="s">
        <v>60</v>
      </c>
      <c r="AX177" s="498"/>
      <c r="AY177" s="435" t="str">
        <f>IFERROR(VLOOKUP(BI175,اسماء,41,0),"")</f>
        <v/>
      </c>
      <c r="AZ177" s="435"/>
      <c r="BA177" s="435" t="str">
        <f>IFERROR(VLOOKUP(BI175,اسماء,43,0),"")</f>
        <v/>
      </c>
      <c r="BB177" s="435"/>
      <c r="BC177" s="435" t="str">
        <f>IFERROR(VLOOKUP(BI175,اسماء,45,0),"")</f>
        <v/>
      </c>
      <c r="BD177" s="435"/>
      <c r="BE177" s="441"/>
      <c r="BF177" s="456"/>
      <c r="BG177" s="495"/>
      <c r="BH177" s="33"/>
      <c r="BI177" s="505" t="str">
        <f>IF(BE175="غائب",AZ160,IF(AZ160="الأول","الثاني",IF(AZ160="الثاني","الثالث",IF(AZ160="الثالث","الرابع",IF(AZ160="الرابع","الخامس",IF(AZ160="الخامس","السادس"))))))</f>
        <v>الرابع</v>
      </c>
      <c r="BJ177" s="505"/>
      <c r="BK177" s="505"/>
      <c r="BL177" s="25"/>
    </row>
    <row r="178" spans="1:64" ht="4.95" customHeight="1" thickBot="1" x14ac:dyDescent="0.3">
      <c r="A178" s="135"/>
      <c r="B178" s="149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107"/>
      <c r="N178" s="107"/>
      <c r="O178" s="107"/>
      <c r="Q178" s="135"/>
      <c r="R178" s="149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107"/>
      <c r="AD178" s="107"/>
      <c r="AE178" s="107"/>
      <c r="AG178" s="135"/>
      <c r="AH178" s="149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107"/>
      <c r="AT178" s="107"/>
      <c r="AU178" s="107"/>
      <c r="AW178" s="135"/>
      <c r="AX178" s="149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107"/>
      <c r="BJ178" s="107"/>
      <c r="BK178" s="107"/>
    </row>
    <row r="179" spans="1:64" ht="24.9" customHeight="1" thickBot="1" x14ac:dyDescent="0.3">
      <c r="A179" s="136" t="s">
        <v>14</v>
      </c>
      <c r="B179" s="506" t="s">
        <v>64</v>
      </c>
      <c r="C179" s="506"/>
      <c r="D179" s="506" t="s">
        <v>66</v>
      </c>
      <c r="E179" s="506"/>
      <c r="F179" s="507"/>
      <c r="G179" s="508" t="s">
        <v>86</v>
      </c>
      <c r="H179" s="509"/>
      <c r="I179" s="571" t="s">
        <v>63</v>
      </c>
      <c r="J179" s="571"/>
      <c r="K179" s="571"/>
      <c r="L179" s="571"/>
      <c r="M179" s="571"/>
      <c r="N179" s="571"/>
      <c r="O179" s="571"/>
      <c r="Q179" s="136" t="s">
        <v>14</v>
      </c>
      <c r="R179" s="506" t="s">
        <v>64</v>
      </c>
      <c r="S179" s="506"/>
      <c r="T179" s="506" t="s">
        <v>66</v>
      </c>
      <c r="U179" s="506"/>
      <c r="V179" s="507"/>
      <c r="W179" s="508" t="s">
        <v>86</v>
      </c>
      <c r="X179" s="509"/>
      <c r="Y179" s="571" t="s">
        <v>63</v>
      </c>
      <c r="Z179" s="571"/>
      <c r="AA179" s="571"/>
      <c r="AB179" s="571"/>
      <c r="AC179" s="571"/>
      <c r="AD179" s="571"/>
      <c r="AE179" s="571"/>
      <c r="AG179" s="136" t="s">
        <v>14</v>
      </c>
      <c r="AH179" s="506" t="s">
        <v>64</v>
      </c>
      <c r="AI179" s="506"/>
      <c r="AJ179" s="506" t="s">
        <v>66</v>
      </c>
      <c r="AK179" s="506"/>
      <c r="AL179" s="507"/>
      <c r="AM179" s="508" t="s">
        <v>86</v>
      </c>
      <c r="AN179" s="509"/>
      <c r="AO179" s="571" t="s">
        <v>63</v>
      </c>
      <c r="AP179" s="571"/>
      <c r="AQ179" s="571"/>
      <c r="AR179" s="571"/>
      <c r="AS179" s="571"/>
      <c r="AT179" s="571"/>
      <c r="AU179" s="571"/>
      <c r="AW179" s="136" t="s">
        <v>14</v>
      </c>
      <c r="AX179" s="506" t="s">
        <v>64</v>
      </c>
      <c r="AY179" s="506"/>
      <c r="AZ179" s="506" t="s">
        <v>66</v>
      </c>
      <c r="BA179" s="506"/>
      <c r="BB179" s="507"/>
      <c r="BC179" s="508" t="s">
        <v>86</v>
      </c>
      <c r="BD179" s="509"/>
      <c r="BE179" s="571" t="s">
        <v>63</v>
      </c>
      <c r="BF179" s="571"/>
      <c r="BG179" s="571"/>
      <c r="BH179" s="571"/>
      <c r="BI179" s="571"/>
      <c r="BJ179" s="571"/>
      <c r="BK179" s="571"/>
      <c r="BL179" s="25"/>
    </row>
    <row r="180" spans="1:64" ht="24.9" customHeight="1" x14ac:dyDescent="0.25">
      <c r="A180" s="134" t="s">
        <v>87</v>
      </c>
      <c r="B180" s="445"/>
      <c r="C180" s="445"/>
      <c r="D180" s="445"/>
      <c r="E180" s="445"/>
      <c r="F180" s="445"/>
      <c r="G180" s="445"/>
      <c r="H180" s="562"/>
      <c r="I180" s="510" t="s">
        <v>65</v>
      </c>
      <c r="J180" s="510"/>
      <c r="K180" s="511" t="str">
        <f>ادخال1!$BJ$5</f>
        <v>د. عبدالرحمن خليفة العريبي</v>
      </c>
      <c r="L180" s="511"/>
      <c r="M180" s="511"/>
      <c r="N180" s="511"/>
      <c r="O180" s="511"/>
      <c r="Q180" s="134" t="s">
        <v>87</v>
      </c>
      <c r="R180" s="445"/>
      <c r="S180" s="445"/>
      <c r="T180" s="445"/>
      <c r="U180" s="445"/>
      <c r="V180" s="445"/>
      <c r="W180" s="445"/>
      <c r="X180" s="562"/>
      <c r="Y180" s="510" t="s">
        <v>65</v>
      </c>
      <c r="Z180" s="510"/>
      <c r="AA180" s="511" t="str">
        <f>ادخال1!$BJ$5</f>
        <v>د. عبدالرحمن خليفة العريبي</v>
      </c>
      <c r="AB180" s="511"/>
      <c r="AC180" s="511"/>
      <c r="AD180" s="511"/>
      <c r="AE180" s="511"/>
      <c r="AG180" s="134" t="s">
        <v>87</v>
      </c>
      <c r="AH180" s="445"/>
      <c r="AI180" s="445"/>
      <c r="AJ180" s="445"/>
      <c r="AK180" s="445"/>
      <c r="AL180" s="445"/>
      <c r="AM180" s="445"/>
      <c r="AN180" s="562"/>
      <c r="AO180" s="510" t="s">
        <v>65</v>
      </c>
      <c r="AP180" s="510"/>
      <c r="AQ180" s="511" t="str">
        <f>ادخال1!$BJ$5</f>
        <v>د. عبدالرحمن خليفة العريبي</v>
      </c>
      <c r="AR180" s="511"/>
      <c r="AS180" s="511"/>
      <c r="AT180" s="511"/>
      <c r="AU180" s="511"/>
      <c r="AW180" s="134" t="s">
        <v>87</v>
      </c>
      <c r="AX180" s="445"/>
      <c r="AY180" s="445"/>
      <c r="AZ180" s="445"/>
      <c r="BA180" s="445"/>
      <c r="BB180" s="445"/>
      <c r="BC180" s="445"/>
      <c r="BD180" s="562"/>
      <c r="BE180" s="510" t="s">
        <v>65</v>
      </c>
      <c r="BF180" s="510"/>
      <c r="BG180" s="511" t="str">
        <f>ادخال1!$BJ$5</f>
        <v>د. عبدالرحمن خليفة العريبي</v>
      </c>
      <c r="BH180" s="511"/>
      <c r="BI180" s="511"/>
      <c r="BJ180" s="511"/>
      <c r="BK180" s="511"/>
      <c r="BL180" s="25"/>
    </row>
    <row r="181" spans="1:64" ht="24.9" customHeight="1" x14ac:dyDescent="0.25">
      <c r="A181" s="57" t="s">
        <v>15</v>
      </c>
      <c r="B181" s="435"/>
      <c r="C181" s="435"/>
      <c r="D181" s="435"/>
      <c r="E181" s="435"/>
      <c r="F181" s="435"/>
      <c r="G181" s="435"/>
      <c r="H181" s="514"/>
      <c r="I181" s="563" t="s">
        <v>67</v>
      </c>
      <c r="J181" s="563"/>
      <c r="K181" s="563"/>
      <c r="L181" s="64"/>
      <c r="M181" s="564">
        <f ca="1">TODAY()</f>
        <v>46009</v>
      </c>
      <c r="N181" s="564"/>
      <c r="O181" s="564"/>
      <c r="Q181" s="57" t="s">
        <v>15</v>
      </c>
      <c r="R181" s="435"/>
      <c r="S181" s="435"/>
      <c r="T181" s="435"/>
      <c r="U181" s="435"/>
      <c r="V181" s="435"/>
      <c r="W181" s="435"/>
      <c r="X181" s="514"/>
      <c r="Y181" s="563" t="s">
        <v>67</v>
      </c>
      <c r="Z181" s="563"/>
      <c r="AA181" s="563"/>
      <c r="AB181" s="64"/>
      <c r="AC181" s="564">
        <f ca="1">TODAY()</f>
        <v>46009</v>
      </c>
      <c r="AD181" s="564"/>
      <c r="AE181" s="564"/>
      <c r="AG181" s="57" t="s">
        <v>15</v>
      </c>
      <c r="AH181" s="435"/>
      <c r="AI181" s="435"/>
      <c r="AJ181" s="435"/>
      <c r="AK181" s="435"/>
      <c r="AL181" s="435"/>
      <c r="AM181" s="435"/>
      <c r="AN181" s="514"/>
      <c r="AO181" s="563" t="s">
        <v>67</v>
      </c>
      <c r="AP181" s="563"/>
      <c r="AQ181" s="563"/>
      <c r="AR181" s="64"/>
      <c r="AS181" s="564">
        <f ca="1">TODAY()</f>
        <v>46009</v>
      </c>
      <c r="AT181" s="564"/>
      <c r="AU181" s="564"/>
      <c r="AW181" s="57" t="s">
        <v>15</v>
      </c>
      <c r="AX181" s="435"/>
      <c r="AY181" s="435"/>
      <c r="AZ181" s="435"/>
      <c r="BA181" s="435"/>
      <c r="BB181" s="435"/>
      <c r="BC181" s="435"/>
      <c r="BD181" s="514"/>
      <c r="BE181" s="563" t="s">
        <v>67</v>
      </c>
      <c r="BF181" s="563"/>
      <c r="BG181" s="563"/>
      <c r="BH181" s="64"/>
      <c r="BI181" s="564">
        <f ca="1">TODAY()</f>
        <v>46009</v>
      </c>
      <c r="BJ181" s="564"/>
      <c r="BK181" s="564"/>
      <c r="BL181" s="25"/>
    </row>
    <row r="182" spans="1:64" ht="24.9" customHeight="1" thickBot="1" x14ac:dyDescent="0.3">
      <c r="A182" s="137" t="s">
        <v>88</v>
      </c>
      <c r="B182" s="456"/>
      <c r="C182" s="456"/>
      <c r="D182" s="456"/>
      <c r="E182" s="456"/>
      <c r="F182" s="456"/>
      <c r="G182" s="456"/>
      <c r="H182" s="495"/>
      <c r="I182" s="496" t="s">
        <v>69</v>
      </c>
      <c r="J182" s="496"/>
      <c r="K182" s="496"/>
      <c r="L182" s="496"/>
      <c r="M182" s="496"/>
      <c r="N182" s="496"/>
      <c r="O182" s="497"/>
      <c r="Q182" s="137" t="s">
        <v>88</v>
      </c>
      <c r="R182" s="456"/>
      <c r="S182" s="456"/>
      <c r="T182" s="456"/>
      <c r="U182" s="456"/>
      <c r="V182" s="456"/>
      <c r="W182" s="456"/>
      <c r="X182" s="495"/>
      <c r="Y182" s="496" t="s">
        <v>69</v>
      </c>
      <c r="Z182" s="496"/>
      <c r="AA182" s="496"/>
      <c r="AB182" s="496"/>
      <c r="AC182" s="496"/>
      <c r="AD182" s="496"/>
      <c r="AE182" s="497"/>
      <c r="AG182" s="137" t="s">
        <v>88</v>
      </c>
      <c r="AH182" s="456"/>
      <c r="AI182" s="456"/>
      <c r="AJ182" s="456"/>
      <c r="AK182" s="456"/>
      <c r="AL182" s="456"/>
      <c r="AM182" s="456"/>
      <c r="AN182" s="495"/>
      <c r="AO182" s="496" t="s">
        <v>69</v>
      </c>
      <c r="AP182" s="496"/>
      <c r="AQ182" s="496"/>
      <c r="AR182" s="496"/>
      <c r="AS182" s="496"/>
      <c r="AT182" s="496"/>
      <c r="AU182" s="497"/>
      <c r="AW182" s="137" t="s">
        <v>88</v>
      </c>
      <c r="AX182" s="456"/>
      <c r="AY182" s="456"/>
      <c r="AZ182" s="456"/>
      <c r="BA182" s="456"/>
      <c r="BB182" s="456"/>
      <c r="BC182" s="456"/>
      <c r="BD182" s="495"/>
      <c r="BE182" s="496" t="s">
        <v>69</v>
      </c>
      <c r="BF182" s="496"/>
      <c r="BG182" s="496"/>
      <c r="BH182" s="496"/>
      <c r="BI182" s="496"/>
      <c r="BJ182" s="496"/>
      <c r="BK182" s="497"/>
    </row>
    <row r="183" spans="1:64" ht="15.6" thickBot="1" x14ac:dyDescent="0.3">
      <c r="A183" s="138"/>
      <c r="I183" s="34"/>
      <c r="J183" s="34"/>
      <c r="K183" s="34"/>
      <c r="L183" s="34"/>
      <c r="M183" s="108"/>
      <c r="N183" s="156"/>
      <c r="O183" s="157"/>
      <c r="Q183" s="138"/>
      <c r="Y183" s="34"/>
      <c r="Z183" s="34"/>
      <c r="AA183" s="34"/>
      <c r="AB183" s="34"/>
      <c r="AC183" s="108"/>
      <c r="AD183" s="108"/>
      <c r="AE183" s="109"/>
      <c r="AG183" s="138"/>
      <c r="AO183" s="34"/>
      <c r="AP183" s="34"/>
      <c r="AQ183" s="34"/>
      <c r="AR183" s="34"/>
      <c r="AS183" s="108"/>
      <c r="AT183" s="108"/>
      <c r="AU183" s="109"/>
      <c r="AW183" s="138"/>
      <c r="BE183" s="34"/>
      <c r="BF183" s="34"/>
      <c r="BG183" s="34"/>
      <c r="BH183" s="34"/>
      <c r="BI183" s="108"/>
      <c r="BJ183" s="108"/>
      <c r="BK183" s="109"/>
    </row>
    <row r="184" spans="1:64" thickTop="1" x14ac:dyDescent="0.25">
      <c r="A184" s="545" t="s">
        <v>83</v>
      </c>
      <c r="B184" s="546"/>
      <c r="C184" s="546"/>
      <c r="D184" s="546"/>
      <c r="E184" s="35"/>
      <c r="F184" s="35"/>
      <c r="G184" s="36"/>
      <c r="H184" s="6"/>
      <c r="I184" s="516" t="s">
        <v>70</v>
      </c>
      <c r="J184" s="517"/>
      <c r="K184" s="517"/>
      <c r="L184" s="517"/>
      <c r="M184" s="517"/>
      <c r="N184" s="517"/>
      <c r="O184" s="518"/>
      <c r="Q184" s="545" t="s">
        <v>83</v>
      </c>
      <c r="R184" s="546"/>
      <c r="S184" s="546"/>
      <c r="T184" s="546"/>
      <c r="U184" s="35"/>
      <c r="V184" s="35"/>
      <c r="W184" s="36"/>
      <c r="X184" s="6"/>
      <c r="Y184" s="516" t="s">
        <v>70</v>
      </c>
      <c r="Z184" s="517"/>
      <c r="AA184" s="517"/>
      <c r="AB184" s="517"/>
      <c r="AC184" s="517"/>
      <c r="AD184" s="517"/>
      <c r="AE184" s="518"/>
      <c r="AG184" s="545" t="s">
        <v>83</v>
      </c>
      <c r="AH184" s="546"/>
      <c r="AI184" s="546"/>
      <c r="AJ184" s="546"/>
      <c r="AK184" s="35"/>
      <c r="AL184" s="35"/>
      <c r="AM184" s="36"/>
      <c r="AN184" s="6"/>
      <c r="AO184" s="516" t="s">
        <v>70</v>
      </c>
      <c r="AP184" s="517"/>
      <c r="AQ184" s="517"/>
      <c r="AR184" s="517"/>
      <c r="AS184" s="517"/>
      <c r="AT184" s="517"/>
      <c r="AU184" s="518"/>
      <c r="AW184" s="545" t="s">
        <v>83</v>
      </c>
      <c r="AX184" s="546"/>
      <c r="AY184" s="546"/>
      <c r="AZ184" s="546"/>
      <c r="BA184" s="35"/>
      <c r="BB184" s="35"/>
      <c r="BC184" s="36"/>
      <c r="BD184" s="6"/>
      <c r="BE184" s="516" t="s">
        <v>70</v>
      </c>
      <c r="BF184" s="517"/>
      <c r="BG184" s="517"/>
      <c r="BH184" s="517"/>
      <c r="BI184" s="517"/>
      <c r="BJ184" s="517"/>
      <c r="BK184" s="518"/>
    </row>
    <row r="185" spans="1:64" ht="14.25" customHeight="1" x14ac:dyDescent="0.25">
      <c r="A185" s="536" t="s">
        <v>71</v>
      </c>
      <c r="B185" s="537"/>
      <c r="C185" s="537"/>
      <c r="D185" s="537"/>
      <c r="E185" s="537"/>
      <c r="F185" s="537"/>
      <c r="G185" s="538"/>
      <c r="H185" s="6"/>
      <c r="I185" s="539" t="s">
        <v>84</v>
      </c>
      <c r="J185" s="540"/>
      <c r="K185" s="540"/>
      <c r="L185" s="540"/>
      <c r="M185" s="540"/>
      <c r="N185" s="540"/>
      <c r="O185" s="541"/>
      <c r="Q185" s="536" t="s">
        <v>71</v>
      </c>
      <c r="R185" s="537"/>
      <c r="S185" s="537"/>
      <c r="T185" s="537"/>
      <c r="U185" s="537"/>
      <c r="V185" s="537"/>
      <c r="W185" s="538"/>
      <c r="X185" s="6"/>
      <c r="Y185" s="539" t="s">
        <v>84</v>
      </c>
      <c r="Z185" s="540"/>
      <c r="AA185" s="540"/>
      <c r="AB185" s="540"/>
      <c r="AC185" s="540"/>
      <c r="AD185" s="540"/>
      <c r="AE185" s="541"/>
      <c r="AG185" s="536" t="s">
        <v>71</v>
      </c>
      <c r="AH185" s="537"/>
      <c r="AI185" s="537"/>
      <c r="AJ185" s="537"/>
      <c r="AK185" s="537"/>
      <c r="AL185" s="537"/>
      <c r="AM185" s="538"/>
      <c r="AN185" s="6"/>
      <c r="AO185" s="539" t="s">
        <v>84</v>
      </c>
      <c r="AP185" s="540"/>
      <c r="AQ185" s="540"/>
      <c r="AR185" s="540"/>
      <c r="AS185" s="540"/>
      <c r="AT185" s="540"/>
      <c r="AU185" s="541"/>
      <c r="AW185" s="536" t="s">
        <v>71</v>
      </c>
      <c r="AX185" s="537"/>
      <c r="AY185" s="537"/>
      <c r="AZ185" s="537"/>
      <c r="BA185" s="537"/>
      <c r="BB185" s="537"/>
      <c r="BC185" s="538"/>
      <c r="BD185" s="6"/>
      <c r="BE185" s="539" t="s">
        <v>84</v>
      </c>
      <c r="BF185" s="540"/>
      <c r="BG185" s="540"/>
      <c r="BH185" s="540"/>
      <c r="BI185" s="540"/>
      <c r="BJ185" s="540"/>
      <c r="BK185" s="541"/>
    </row>
    <row r="186" spans="1:64" ht="13.8" x14ac:dyDescent="0.25">
      <c r="A186" s="536"/>
      <c r="B186" s="537"/>
      <c r="C186" s="537"/>
      <c r="D186" s="537"/>
      <c r="E186" s="537"/>
      <c r="F186" s="537"/>
      <c r="G186" s="538"/>
      <c r="H186" s="6"/>
      <c r="I186" s="539"/>
      <c r="J186" s="540"/>
      <c r="K186" s="540"/>
      <c r="L186" s="540"/>
      <c r="M186" s="540"/>
      <c r="N186" s="540"/>
      <c r="O186" s="541"/>
      <c r="Q186" s="536"/>
      <c r="R186" s="537"/>
      <c r="S186" s="537"/>
      <c r="T186" s="537"/>
      <c r="U186" s="537"/>
      <c r="V186" s="537"/>
      <c r="W186" s="538"/>
      <c r="X186" s="6"/>
      <c r="Y186" s="539"/>
      <c r="Z186" s="540"/>
      <c r="AA186" s="540"/>
      <c r="AB186" s="540"/>
      <c r="AC186" s="540"/>
      <c r="AD186" s="540"/>
      <c r="AE186" s="541"/>
      <c r="AG186" s="536"/>
      <c r="AH186" s="537"/>
      <c r="AI186" s="537"/>
      <c r="AJ186" s="537"/>
      <c r="AK186" s="537"/>
      <c r="AL186" s="537"/>
      <c r="AM186" s="538"/>
      <c r="AN186" s="6"/>
      <c r="AO186" s="539"/>
      <c r="AP186" s="540"/>
      <c r="AQ186" s="540"/>
      <c r="AR186" s="540"/>
      <c r="AS186" s="540"/>
      <c r="AT186" s="540"/>
      <c r="AU186" s="541"/>
      <c r="AW186" s="536"/>
      <c r="AX186" s="537"/>
      <c r="AY186" s="537"/>
      <c r="AZ186" s="537"/>
      <c r="BA186" s="537"/>
      <c r="BB186" s="537"/>
      <c r="BC186" s="538"/>
      <c r="BD186" s="6"/>
      <c r="BE186" s="539"/>
      <c r="BF186" s="540"/>
      <c r="BG186" s="540"/>
      <c r="BH186" s="540"/>
      <c r="BI186" s="540"/>
      <c r="BJ186" s="540"/>
      <c r="BK186" s="541"/>
    </row>
    <row r="187" spans="1:64" ht="13.8" x14ac:dyDescent="0.25">
      <c r="A187" s="536"/>
      <c r="B187" s="537"/>
      <c r="C187" s="537"/>
      <c r="D187" s="537"/>
      <c r="E187" s="537"/>
      <c r="F187" s="537"/>
      <c r="G187" s="538"/>
      <c r="H187" s="6"/>
      <c r="I187" s="539"/>
      <c r="J187" s="540"/>
      <c r="K187" s="540"/>
      <c r="L187" s="540"/>
      <c r="M187" s="540"/>
      <c r="N187" s="540"/>
      <c r="O187" s="541"/>
      <c r="Q187" s="536"/>
      <c r="R187" s="537"/>
      <c r="S187" s="537"/>
      <c r="T187" s="537"/>
      <c r="U187" s="537"/>
      <c r="V187" s="537"/>
      <c r="W187" s="538"/>
      <c r="X187" s="6"/>
      <c r="Y187" s="539"/>
      <c r="Z187" s="540"/>
      <c r="AA187" s="540"/>
      <c r="AB187" s="540"/>
      <c r="AC187" s="540"/>
      <c r="AD187" s="540"/>
      <c r="AE187" s="541"/>
      <c r="AG187" s="536"/>
      <c r="AH187" s="537"/>
      <c r="AI187" s="537"/>
      <c r="AJ187" s="537"/>
      <c r="AK187" s="537"/>
      <c r="AL187" s="537"/>
      <c r="AM187" s="538"/>
      <c r="AN187" s="6"/>
      <c r="AO187" s="539"/>
      <c r="AP187" s="540"/>
      <c r="AQ187" s="540"/>
      <c r="AR187" s="540"/>
      <c r="AS187" s="540"/>
      <c r="AT187" s="540"/>
      <c r="AU187" s="541"/>
      <c r="AW187" s="536"/>
      <c r="AX187" s="537"/>
      <c r="AY187" s="537"/>
      <c r="AZ187" s="537"/>
      <c r="BA187" s="537"/>
      <c r="BB187" s="537"/>
      <c r="BC187" s="538"/>
      <c r="BD187" s="6"/>
      <c r="BE187" s="539"/>
      <c r="BF187" s="540"/>
      <c r="BG187" s="540"/>
      <c r="BH187" s="540"/>
      <c r="BI187" s="540"/>
      <c r="BJ187" s="540"/>
      <c r="BK187" s="541"/>
    </row>
    <row r="188" spans="1:64" ht="13.8" x14ac:dyDescent="0.25">
      <c r="A188" s="536"/>
      <c r="B188" s="537"/>
      <c r="C188" s="537"/>
      <c r="D188" s="537"/>
      <c r="E188" s="537"/>
      <c r="F188" s="537"/>
      <c r="G188" s="538"/>
      <c r="H188" s="6"/>
      <c r="I188" s="539"/>
      <c r="J188" s="540"/>
      <c r="K188" s="540"/>
      <c r="L188" s="540"/>
      <c r="M188" s="540"/>
      <c r="N188" s="540"/>
      <c r="O188" s="541"/>
      <c r="Q188" s="536"/>
      <c r="R188" s="537"/>
      <c r="S188" s="537"/>
      <c r="T188" s="537"/>
      <c r="U188" s="537"/>
      <c r="V188" s="537"/>
      <c r="W188" s="538"/>
      <c r="X188" s="6"/>
      <c r="Y188" s="539"/>
      <c r="Z188" s="540"/>
      <c r="AA188" s="540"/>
      <c r="AB188" s="540"/>
      <c r="AC188" s="540"/>
      <c r="AD188" s="540"/>
      <c r="AE188" s="541"/>
      <c r="AG188" s="536"/>
      <c r="AH188" s="537"/>
      <c r="AI188" s="537"/>
      <c r="AJ188" s="537"/>
      <c r="AK188" s="537"/>
      <c r="AL188" s="537"/>
      <c r="AM188" s="538"/>
      <c r="AN188" s="6"/>
      <c r="AO188" s="539"/>
      <c r="AP188" s="540"/>
      <c r="AQ188" s="540"/>
      <c r="AR188" s="540"/>
      <c r="AS188" s="540"/>
      <c r="AT188" s="540"/>
      <c r="AU188" s="541"/>
      <c r="AW188" s="536"/>
      <c r="AX188" s="537"/>
      <c r="AY188" s="537"/>
      <c r="AZ188" s="537"/>
      <c r="BA188" s="537"/>
      <c r="BB188" s="537"/>
      <c r="BC188" s="538"/>
      <c r="BD188" s="6"/>
      <c r="BE188" s="539"/>
      <c r="BF188" s="540"/>
      <c r="BG188" s="540"/>
      <c r="BH188" s="540"/>
      <c r="BI188" s="540"/>
      <c r="BJ188" s="540"/>
      <c r="BK188" s="541"/>
    </row>
    <row r="189" spans="1:64" ht="14.25" customHeight="1" x14ac:dyDescent="0.25">
      <c r="A189" s="536" t="s">
        <v>72</v>
      </c>
      <c r="B189" s="537"/>
      <c r="C189" s="537"/>
      <c r="D189" s="537"/>
      <c r="E189" s="537"/>
      <c r="F189" s="537"/>
      <c r="G189" s="538"/>
      <c r="H189" s="6"/>
      <c r="I189" s="539"/>
      <c r="J189" s="540"/>
      <c r="K189" s="540"/>
      <c r="L189" s="540"/>
      <c r="M189" s="540"/>
      <c r="N189" s="540"/>
      <c r="O189" s="541"/>
      <c r="Q189" s="536" t="s">
        <v>72</v>
      </c>
      <c r="R189" s="537"/>
      <c r="S189" s="537"/>
      <c r="T189" s="537"/>
      <c r="U189" s="537"/>
      <c r="V189" s="537"/>
      <c r="W189" s="538"/>
      <c r="X189" s="6"/>
      <c r="Y189" s="539"/>
      <c r="Z189" s="540"/>
      <c r="AA189" s="540"/>
      <c r="AB189" s="540"/>
      <c r="AC189" s="540"/>
      <c r="AD189" s="540"/>
      <c r="AE189" s="541"/>
      <c r="AG189" s="536" t="s">
        <v>72</v>
      </c>
      <c r="AH189" s="537"/>
      <c r="AI189" s="537"/>
      <c r="AJ189" s="537"/>
      <c r="AK189" s="537"/>
      <c r="AL189" s="537"/>
      <c r="AM189" s="538"/>
      <c r="AN189" s="6"/>
      <c r="AO189" s="539"/>
      <c r="AP189" s="540"/>
      <c r="AQ189" s="540"/>
      <c r="AR189" s="540"/>
      <c r="AS189" s="540"/>
      <c r="AT189" s="540"/>
      <c r="AU189" s="541"/>
      <c r="AW189" s="536" t="s">
        <v>72</v>
      </c>
      <c r="AX189" s="537"/>
      <c r="AY189" s="537"/>
      <c r="AZ189" s="537"/>
      <c r="BA189" s="537"/>
      <c r="BB189" s="537"/>
      <c r="BC189" s="538"/>
      <c r="BD189" s="6"/>
      <c r="BE189" s="539"/>
      <c r="BF189" s="540"/>
      <c r="BG189" s="540"/>
      <c r="BH189" s="540"/>
      <c r="BI189" s="540"/>
      <c r="BJ189" s="540"/>
      <c r="BK189" s="541"/>
    </row>
    <row r="190" spans="1:64" ht="15.75" customHeight="1" thickBot="1" x14ac:dyDescent="0.3">
      <c r="A190" s="542"/>
      <c r="B190" s="543"/>
      <c r="C190" s="543"/>
      <c r="D190" s="543"/>
      <c r="E190" s="543"/>
      <c r="F190" s="543"/>
      <c r="G190" s="544"/>
      <c r="H190" s="6"/>
      <c r="I190" s="521" t="s">
        <v>73</v>
      </c>
      <c r="J190" s="522"/>
      <c r="K190" s="522"/>
      <c r="L190" s="522"/>
      <c r="M190" s="522"/>
      <c r="N190" s="522"/>
      <c r="O190" s="523"/>
      <c r="Q190" s="542"/>
      <c r="R190" s="543"/>
      <c r="S190" s="543"/>
      <c r="T190" s="543"/>
      <c r="U190" s="543"/>
      <c r="V190" s="543"/>
      <c r="W190" s="544"/>
      <c r="X190" s="6"/>
      <c r="Y190" s="521" t="s">
        <v>73</v>
      </c>
      <c r="Z190" s="522"/>
      <c r="AA190" s="522"/>
      <c r="AB190" s="522"/>
      <c r="AC190" s="522"/>
      <c r="AD190" s="522"/>
      <c r="AE190" s="523"/>
      <c r="AG190" s="542"/>
      <c r="AH190" s="543"/>
      <c r="AI190" s="543"/>
      <c r="AJ190" s="543"/>
      <c r="AK190" s="543"/>
      <c r="AL190" s="543"/>
      <c r="AM190" s="544"/>
      <c r="AN190" s="6"/>
      <c r="AO190" s="521" t="s">
        <v>73</v>
      </c>
      <c r="AP190" s="522"/>
      <c r="AQ190" s="522"/>
      <c r="AR190" s="522"/>
      <c r="AS190" s="522"/>
      <c r="AT190" s="522"/>
      <c r="AU190" s="523"/>
      <c r="AW190" s="542"/>
      <c r="AX190" s="543"/>
      <c r="AY190" s="543"/>
      <c r="AZ190" s="543"/>
      <c r="BA190" s="543"/>
      <c r="BB190" s="543"/>
      <c r="BC190" s="544"/>
      <c r="BD190" s="6"/>
      <c r="BE190" s="521" t="s">
        <v>73</v>
      </c>
      <c r="BF190" s="522"/>
      <c r="BG190" s="522"/>
      <c r="BH190" s="522"/>
      <c r="BI190" s="522"/>
      <c r="BJ190" s="522"/>
      <c r="BK190" s="523"/>
    </row>
    <row r="191" spans="1:64" ht="15" customHeight="1" thickTop="1" x14ac:dyDescent="0.25">
      <c r="A191" s="139"/>
      <c r="B191" s="151"/>
      <c r="C191" s="6"/>
      <c r="D191" s="6"/>
      <c r="E191" s="6"/>
      <c r="F191" s="6"/>
      <c r="G191" s="6"/>
      <c r="H191" s="6"/>
      <c r="I191" s="527" t="s">
        <v>74</v>
      </c>
      <c r="J191" s="528"/>
      <c r="K191" s="528"/>
      <c r="L191" s="528"/>
      <c r="M191" s="528"/>
      <c r="N191" s="528"/>
      <c r="O191" s="529"/>
      <c r="Q191" s="139"/>
      <c r="R191" s="6"/>
      <c r="S191" s="6"/>
      <c r="T191" s="6"/>
      <c r="U191" s="6"/>
      <c r="V191" s="6"/>
      <c r="W191" s="6"/>
      <c r="X191" s="6"/>
      <c r="Y191" s="527" t="s">
        <v>74</v>
      </c>
      <c r="Z191" s="528"/>
      <c r="AA191" s="528"/>
      <c r="AB191" s="528"/>
      <c r="AC191" s="528"/>
      <c r="AD191" s="528"/>
      <c r="AE191" s="529"/>
      <c r="AG191" s="139"/>
      <c r="AH191" s="6"/>
      <c r="AI191" s="6"/>
      <c r="AJ191" s="6"/>
      <c r="AK191" s="6"/>
      <c r="AL191" s="6"/>
      <c r="AM191" s="6"/>
      <c r="AN191" s="6"/>
      <c r="AO191" s="527" t="s">
        <v>74</v>
      </c>
      <c r="AP191" s="528"/>
      <c r="AQ191" s="528"/>
      <c r="AR191" s="528"/>
      <c r="AS191" s="528"/>
      <c r="AT191" s="528"/>
      <c r="AU191" s="529"/>
      <c r="AW191" s="139"/>
      <c r="AX191" s="6"/>
      <c r="AY191" s="6"/>
      <c r="AZ191" s="6"/>
      <c r="BA191" s="6"/>
      <c r="BB191" s="6"/>
      <c r="BC191" s="6"/>
      <c r="BD191" s="6"/>
      <c r="BE191" s="527" t="s">
        <v>74</v>
      </c>
      <c r="BF191" s="528"/>
      <c r="BG191" s="528"/>
      <c r="BH191" s="528"/>
      <c r="BI191" s="528"/>
      <c r="BJ191" s="528"/>
      <c r="BK191" s="529"/>
    </row>
    <row r="192" spans="1:64" ht="15" customHeight="1" thickBot="1" x14ac:dyDescent="0.3">
      <c r="A192" s="139"/>
      <c r="B192" s="151"/>
      <c r="C192" s="6"/>
      <c r="D192" s="6"/>
      <c r="E192" s="6"/>
      <c r="F192" s="6"/>
      <c r="G192" s="6"/>
      <c r="H192" s="67"/>
      <c r="I192" s="527"/>
      <c r="J192" s="528"/>
      <c r="K192" s="528"/>
      <c r="L192" s="528"/>
      <c r="M192" s="528"/>
      <c r="N192" s="528"/>
      <c r="O192" s="529"/>
      <c r="Q192" s="139"/>
      <c r="R192" s="6"/>
      <c r="S192" s="6"/>
      <c r="T192" s="6"/>
      <c r="U192" s="6"/>
      <c r="V192" s="6"/>
      <c r="W192" s="6"/>
      <c r="X192" s="67"/>
      <c r="Y192" s="527"/>
      <c r="Z192" s="528"/>
      <c r="AA192" s="528"/>
      <c r="AB192" s="528"/>
      <c r="AC192" s="528"/>
      <c r="AD192" s="528"/>
      <c r="AE192" s="529"/>
      <c r="AG192" s="139"/>
      <c r="AH192" s="6"/>
      <c r="AI192" s="6"/>
      <c r="AJ192" s="6"/>
      <c r="AK192" s="6"/>
      <c r="AL192" s="6"/>
      <c r="AM192" s="6"/>
      <c r="AN192" s="67"/>
      <c r="AO192" s="527"/>
      <c r="AP192" s="528"/>
      <c r="AQ192" s="528"/>
      <c r="AR192" s="528"/>
      <c r="AS192" s="528"/>
      <c r="AT192" s="528"/>
      <c r="AU192" s="529"/>
      <c r="AW192" s="139"/>
      <c r="AX192" s="6"/>
      <c r="AY192" s="6"/>
      <c r="AZ192" s="6"/>
      <c r="BA192" s="6"/>
      <c r="BB192" s="6"/>
      <c r="BC192" s="6"/>
      <c r="BD192" s="67"/>
      <c r="BE192" s="527"/>
      <c r="BF192" s="528"/>
      <c r="BG192" s="528"/>
      <c r="BH192" s="528"/>
      <c r="BI192" s="528"/>
      <c r="BJ192" s="528"/>
      <c r="BK192" s="529"/>
    </row>
    <row r="193" spans="1:63" ht="18" customHeight="1" thickTop="1" x14ac:dyDescent="0.25">
      <c r="A193" s="139"/>
      <c r="B193" s="519" t="s">
        <v>75</v>
      </c>
      <c r="C193" s="520"/>
      <c r="D193" s="520"/>
      <c r="E193" s="520"/>
      <c r="F193" s="35"/>
      <c r="G193" s="35"/>
      <c r="H193" s="36"/>
      <c r="I193" s="521" t="s">
        <v>76</v>
      </c>
      <c r="J193" s="522"/>
      <c r="K193" s="522"/>
      <c r="L193" s="522"/>
      <c r="M193" s="522"/>
      <c r="N193" s="522"/>
      <c r="O193" s="523"/>
      <c r="Q193" s="139"/>
      <c r="R193" s="519" t="s">
        <v>75</v>
      </c>
      <c r="S193" s="520"/>
      <c r="T193" s="520"/>
      <c r="U193" s="520"/>
      <c r="V193" s="35"/>
      <c r="W193" s="35"/>
      <c r="X193" s="36"/>
      <c r="Y193" s="521" t="s">
        <v>76</v>
      </c>
      <c r="Z193" s="522"/>
      <c r="AA193" s="522"/>
      <c r="AB193" s="522"/>
      <c r="AC193" s="522"/>
      <c r="AD193" s="522"/>
      <c r="AE193" s="523"/>
      <c r="AG193" s="139"/>
      <c r="AH193" s="519" t="s">
        <v>75</v>
      </c>
      <c r="AI193" s="520"/>
      <c r="AJ193" s="520"/>
      <c r="AK193" s="520"/>
      <c r="AL193" s="35"/>
      <c r="AM193" s="35"/>
      <c r="AN193" s="36"/>
      <c r="AO193" s="521" t="s">
        <v>76</v>
      </c>
      <c r="AP193" s="522"/>
      <c r="AQ193" s="522"/>
      <c r="AR193" s="522"/>
      <c r="AS193" s="522"/>
      <c r="AT193" s="522"/>
      <c r="AU193" s="523"/>
      <c r="AW193" s="139"/>
      <c r="AX193" s="519" t="s">
        <v>75</v>
      </c>
      <c r="AY193" s="520"/>
      <c r="AZ193" s="520"/>
      <c r="BA193" s="520"/>
      <c r="BB193" s="35"/>
      <c r="BC193" s="35"/>
      <c r="BD193" s="36"/>
      <c r="BE193" s="521" t="s">
        <v>76</v>
      </c>
      <c r="BF193" s="522"/>
      <c r="BG193" s="522"/>
      <c r="BH193" s="522"/>
      <c r="BI193" s="522"/>
      <c r="BJ193" s="522"/>
      <c r="BK193" s="523"/>
    </row>
    <row r="194" spans="1:63" ht="15" customHeight="1" x14ac:dyDescent="0.25">
      <c r="A194" s="139"/>
      <c r="B194" s="524" t="s">
        <v>77</v>
      </c>
      <c r="C194" s="525"/>
      <c r="D194" s="525"/>
      <c r="E194" s="525"/>
      <c r="F194" s="525"/>
      <c r="G194" s="525"/>
      <c r="H194" s="526"/>
      <c r="I194" s="527" t="s">
        <v>78</v>
      </c>
      <c r="J194" s="528"/>
      <c r="K194" s="528"/>
      <c r="L194" s="528"/>
      <c r="M194" s="528"/>
      <c r="N194" s="528"/>
      <c r="O194" s="529"/>
      <c r="Q194" s="139"/>
      <c r="R194" s="524" t="s">
        <v>77</v>
      </c>
      <c r="S194" s="525"/>
      <c r="T194" s="525"/>
      <c r="U194" s="525"/>
      <c r="V194" s="525"/>
      <c r="W194" s="525"/>
      <c r="X194" s="526"/>
      <c r="Y194" s="527" t="s">
        <v>78</v>
      </c>
      <c r="Z194" s="528"/>
      <c r="AA194" s="528"/>
      <c r="AB194" s="528"/>
      <c r="AC194" s="528"/>
      <c r="AD194" s="528"/>
      <c r="AE194" s="529"/>
      <c r="AG194" s="139"/>
      <c r="AH194" s="524" t="s">
        <v>77</v>
      </c>
      <c r="AI194" s="525"/>
      <c r="AJ194" s="525"/>
      <c r="AK194" s="525"/>
      <c r="AL194" s="525"/>
      <c r="AM194" s="525"/>
      <c r="AN194" s="526"/>
      <c r="AO194" s="527" t="s">
        <v>78</v>
      </c>
      <c r="AP194" s="528"/>
      <c r="AQ194" s="528"/>
      <c r="AR194" s="528"/>
      <c r="AS194" s="528"/>
      <c r="AT194" s="528"/>
      <c r="AU194" s="529"/>
      <c r="AW194" s="139"/>
      <c r="AX194" s="524" t="s">
        <v>77</v>
      </c>
      <c r="AY194" s="525"/>
      <c r="AZ194" s="525"/>
      <c r="BA194" s="525"/>
      <c r="BB194" s="525"/>
      <c r="BC194" s="525"/>
      <c r="BD194" s="526"/>
      <c r="BE194" s="527" t="s">
        <v>78</v>
      </c>
      <c r="BF194" s="528"/>
      <c r="BG194" s="528"/>
      <c r="BH194" s="528"/>
      <c r="BI194" s="528"/>
      <c r="BJ194" s="528"/>
      <c r="BK194" s="529"/>
    </row>
    <row r="195" spans="1:63" ht="14.25" customHeight="1" x14ac:dyDescent="0.25">
      <c r="A195" s="139"/>
      <c r="B195" s="530" t="s">
        <v>90</v>
      </c>
      <c r="C195" s="471"/>
      <c r="D195" s="471"/>
      <c r="E195" s="471"/>
      <c r="F195" s="471"/>
      <c r="G195" s="471"/>
      <c r="H195" s="472"/>
      <c r="I195" s="527"/>
      <c r="J195" s="528"/>
      <c r="K195" s="528"/>
      <c r="L195" s="528"/>
      <c r="M195" s="528"/>
      <c r="N195" s="528"/>
      <c r="O195" s="529"/>
      <c r="Q195" s="139"/>
      <c r="R195" s="530" t="s">
        <v>90</v>
      </c>
      <c r="S195" s="471"/>
      <c r="T195" s="471"/>
      <c r="U195" s="471"/>
      <c r="V195" s="471"/>
      <c r="W195" s="471"/>
      <c r="X195" s="472"/>
      <c r="Y195" s="527"/>
      <c r="Z195" s="528"/>
      <c r="AA195" s="528"/>
      <c r="AB195" s="528"/>
      <c r="AC195" s="528"/>
      <c r="AD195" s="528"/>
      <c r="AE195" s="529"/>
      <c r="AG195" s="139"/>
      <c r="AH195" s="530" t="s">
        <v>90</v>
      </c>
      <c r="AI195" s="471"/>
      <c r="AJ195" s="471"/>
      <c r="AK195" s="471"/>
      <c r="AL195" s="471"/>
      <c r="AM195" s="471"/>
      <c r="AN195" s="472"/>
      <c r="AO195" s="527"/>
      <c r="AP195" s="528"/>
      <c r="AQ195" s="528"/>
      <c r="AR195" s="528"/>
      <c r="AS195" s="528"/>
      <c r="AT195" s="528"/>
      <c r="AU195" s="529"/>
      <c r="AW195" s="139"/>
      <c r="AX195" s="530" t="s">
        <v>90</v>
      </c>
      <c r="AY195" s="471"/>
      <c r="AZ195" s="471"/>
      <c r="BA195" s="471"/>
      <c r="BB195" s="471"/>
      <c r="BC195" s="471"/>
      <c r="BD195" s="472"/>
      <c r="BE195" s="527"/>
      <c r="BF195" s="528"/>
      <c r="BG195" s="528"/>
      <c r="BH195" s="528"/>
      <c r="BI195" s="528"/>
      <c r="BJ195" s="528"/>
      <c r="BK195" s="529"/>
    </row>
    <row r="196" spans="1:63" ht="14.25" customHeight="1" x14ac:dyDescent="0.25">
      <c r="A196" s="139"/>
      <c r="B196" s="530"/>
      <c r="C196" s="471"/>
      <c r="D196" s="471"/>
      <c r="E196" s="471"/>
      <c r="F196" s="471"/>
      <c r="G196" s="471"/>
      <c r="H196" s="472"/>
      <c r="I196" s="528" t="s">
        <v>79</v>
      </c>
      <c r="J196" s="528"/>
      <c r="K196" s="528"/>
      <c r="L196" s="528"/>
      <c r="M196" s="528"/>
      <c r="N196" s="528"/>
      <c r="O196" s="529"/>
      <c r="Q196" s="139"/>
      <c r="R196" s="530"/>
      <c r="S196" s="471"/>
      <c r="T196" s="471"/>
      <c r="U196" s="471"/>
      <c r="V196" s="471"/>
      <c r="W196" s="471"/>
      <c r="X196" s="472"/>
      <c r="Y196" s="528" t="s">
        <v>79</v>
      </c>
      <c r="Z196" s="528"/>
      <c r="AA196" s="528"/>
      <c r="AB196" s="528"/>
      <c r="AC196" s="528"/>
      <c r="AD196" s="528"/>
      <c r="AE196" s="529"/>
      <c r="AG196" s="139"/>
      <c r="AH196" s="530"/>
      <c r="AI196" s="471"/>
      <c r="AJ196" s="471"/>
      <c r="AK196" s="471"/>
      <c r="AL196" s="471"/>
      <c r="AM196" s="471"/>
      <c r="AN196" s="472"/>
      <c r="AO196" s="528" t="s">
        <v>79</v>
      </c>
      <c r="AP196" s="528"/>
      <c r="AQ196" s="528"/>
      <c r="AR196" s="528"/>
      <c r="AS196" s="528"/>
      <c r="AT196" s="528"/>
      <c r="AU196" s="529"/>
      <c r="AW196" s="139"/>
      <c r="AX196" s="530"/>
      <c r="AY196" s="471"/>
      <c r="AZ196" s="471"/>
      <c r="BA196" s="471"/>
      <c r="BB196" s="471"/>
      <c r="BC196" s="471"/>
      <c r="BD196" s="472"/>
      <c r="BE196" s="528" t="s">
        <v>79</v>
      </c>
      <c r="BF196" s="528"/>
      <c r="BG196" s="528"/>
      <c r="BH196" s="528"/>
      <c r="BI196" s="528"/>
      <c r="BJ196" s="528"/>
      <c r="BK196" s="529"/>
    </row>
    <row r="197" spans="1:63" ht="15" customHeight="1" thickBot="1" x14ac:dyDescent="0.3">
      <c r="A197" s="139"/>
      <c r="B197" s="531"/>
      <c r="C197" s="532"/>
      <c r="D197" s="532"/>
      <c r="E197" s="532"/>
      <c r="F197" s="532"/>
      <c r="G197" s="532"/>
      <c r="H197" s="533"/>
      <c r="I197" s="534"/>
      <c r="J197" s="534"/>
      <c r="K197" s="534"/>
      <c r="L197" s="534"/>
      <c r="M197" s="534"/>
      <c r="N197" s="534"/>
      <c r="O197" s="535"/>
      <c r="Q197" s="139"/>
      <c r="R197" s="531"/>
      <c r="S197" s="532"/>
      <c r="T197" s="532"/>
      <c r="U197" s="532"/>
      <c r="V197" s="532"/>
      <c r="W197" s="532"/>
      <c r="X197" s="533"/>
      <c r="Y197" s="534"/>
      <c r="Z197" s="534"/>
      <c r="AA197" s="534"/>
      <c r="AB197" s="534"/>
      <c r="AC197" s="534"/>
      <c r="AD197" s="534"/>
      <c r="AE197" s="535"/>
      <c r="AG197" s="139"/>
      <c r="AH197" s="531"/>
      <c r="AI197" s="532"/>
      <c r="AJ197" s="532"/>
      <c r="AK197" s="532"/>
      <c r="AL197" s="532"/>
      <c r="AM197" s="532"/>
      <c r="AN197" s="533"/>
      <c r="AO197" s="534"/>
      <c r="AP197" s="534"/>
      <c r="AQ197" s="534"/>
      <c r="AR197" s="534"/>
      <c r="AS197" s="534"/>
      <c r="AT197" s="534"/>
      <c r="AU197" s="535"/>
      <c r="AW197" s="139"/>
      <c r="AX197" s="531"/>
      <c r="AY197" s="532"/>
      <c r="AZ197" s="532"/>
      <c r="BA197" s="532"/>
      <c r="BB197" s="532"/>
      <c r="BC197" s="532"/>
      <c r="BD197" s="533"/>
      <c r="BE197" s="534"/>
      <c r="BF197" s="534"/>
      <c r="BG197" s="534"/>
      <c r="BH197" s="534"/>
      <c r="BI197" s="534"/>
      <c r="BJ197" s="534"/>
      <c r="BK197" s="535"/>
    </row>
    <row r="198" spans="1:63" ht="15.75" customHeight="1" thickTop="1" thickBot="1" x14ac:dyDescent="0.3">
      <c r="A198" s="140"/>
      <c r="B198" s="152"/>
      <c r="C198" s="515"/>
      <c r="D198" s="515"/>
      <c r="E198" s="515"/>
      <c r="F198" s="515"/>
      <c r="G198" s="515"/>
      <c r="H198" s="37"/>
      <c r="I198" s="38"/>
      <c r="J198" s="38"/>
      <c r="K198" s="38"/>
      <c r="L198" s="38"/>
      <c r="M198" s="110"/>
      <c r="N198" s="158"/>
      <c r="O198" s="158"/>
      <c r="P198" s="65"/>
      <c r="Q198" s="140"/>
      <c r="R198" s="37"/>
      <c r="S198" s="515"/>
      <c r="T198" s="515"/>
      <c r="U198" s="515"/>
      <c r="V198" s="515"/>
      <c r="W198" s="515"/>
      <c r="X198" s="37"/>
      <c r="Y198" s="38"/>
      <c r="Z198" s="38"/>
      <c r="AA198" s="38"/>
      <c r="AB198" s="38"/>
      <c r="AC198" s="110"/>
      <c r="AD198" s="110"/>
      <c r="AE198" s="111"/>
      <c r="AG198" s="140"/>
      <c r="AH198" s="37"/>
      <c r="AI198" s="515"/>
      <c r="AJ198" s="515"/>
      <c r="AK198" s="515"/>
      <c r="AL198" s="515"/>
      <c r="AM198" s="515"/>
      <c r="AN198" s="37"/>
      <c r="AO198" s="38"/>
      <c r="AP198" s="38"/>
      <c r="AQ198" s="38"/>
      <c r="AR198" s="38"/>
      <c r="AS198" s="110"/>
      <c r="AT198" s="110"/>
      <c r="AU198" s="111"/>
      <c r="AW198" s="140"/>
      <c r="AX198" s="37"/>
      <c r="AY198" s="515"/>
      <c r="AZ198" s="515"/>
      <c r="BA198" s="515"/>
      <c r="BB198" s="515"/>
      <c r="BC198" s="515"/>
      <c r="BD198" s="37"/>
      <c r="BE198" s="38"/>
      <c r="BF198" s="38"/>
      <c r="BG198" s="38"/>
      <c r="BH198" s="38"/>
      <c r="BI198" s="110"/>
      <c r="BJ198" s="110"/>
      <c r="BK198" s="111"/>
    </row>
    <row r="199" spans="1:63" ht="15.6" thickTop="1" x14ac:dyDescent="0.25"/>
  </sheetData>
  <sheetProtection selectLockedCells="1"/>
  <mergeCells count="1640">
    <mergeCell ref="Z171:AA171"/>
    <mergeCell ref="AT166:AU166"/>
    <mergeCell ref="AN171:AO171"/>
    <mergeCell ref="AP171:AQ171"/>
    <mergeCell ref="BJ166:BK166"/>
    <mergeCell ref="BD171:BE171"/>
    <mergeCell ref="BF171:BG171"/>
    <mergeCell ref="BD161:BE161"/>
    <mergeCell ref="BF161:BJ161"/>
    <mergeCell ref="AX162:AX163"/>
    <mergeCell ref="AY162:AZ162"/>
    <mergeCell ref="BA162:BB162"/>
    <mergeCell ref="BC162:BD162"/>
    <mergeCell ref="BE162:BG162"/>
    <mergeCell ref="BI162:BK162"/>
    <mergeCell ref="BJ163:BK163"/>
    <mergeCell ref="BE134:BG134"/>
    <mergeCell ref="BI135:BK135"/>
    <mergeCell ref="BI134:BK134"/>
    <mergeCell ref="AW135:AX135"/>
    <mergeCell ref="AY135:AZ135"/>
    <mergeCell ref="BA135:BB135"/>
    <mergeCell ref="BI136:BK136"/>
    <mergeCell ref="BE136:BG136"/>
    <mergeCell ref="BC135:BD135"/>
    <mergeCell ref="BE135:BG135"/>
    <mergeCell ref="AW136:AX136"/>
    <mergeCell ref="AY136:AZ136"/>
    <mergeCell ref="BA136:BB136"/>
    <mergeCell ref="BC136:BD136"/>
    <mergeCell ref="AJ160:AK160"/>
    <mergeCell ref="AL160:AN160"/>
    <mergeCell ref="AW64:AZ64"/>
    <mergeCell ref="BE64:BK64"/>
    <mergeCell ref="AW65:BC68"/>
    <mergeCell ref="BE65:BK69"/>
    <mergeCell ref="AW69:BC70"/>
    <mergeCell ref="BE70:BK70"/>
    <mergeCell ref="BE71:BK72"/>
    <mergeCell ref="AX73:BA73"/>
    <mergeCell ref="BE73:BK73"/>
    <mergeCell ref="AH82:AH83"/>
    <mergeCell ref="AI82:AJ82"/>
    <mergeCell ref="AT86:AU86"/>
    <mergeCell ref="AN91:AO91"/>
    <mergeCell ref="AP91:AQ91"/>
    <mergeCell ref="BJ86:BK86"/>
    <mergeCell ref="BD91:BE91"/>
    <mergeCell ref="BF91:BG91"/>
    <mergeCell ref="AK82:AL82"/>
    <mergeCell ref="AM82:AN82"/>
    <mergeCell ref="AO82:AQ82"/>
    <mergeCell ref="AS82:AU82"/>
    <mergeCell ref="AT83:AU83"/>
    <mergeCell ref="AH74:AN74"/>
    <mergeCell ref="AO74:AU75"/>
    <mergeCell ref="AH75:AN77"/>
    <mergeCell ref="AO76:AU77"/>
    <mergeCell ref="AI78:AM78"/>
    <mergeCell ref="AG80:AI80"/>
    <mergeCell ref="AJ80:AK80"/>
    <mergeCell ref="AL80:AN80"/>
    <mergeCell ref="AN81:AO81"/>
    <mergeCell ref="AP81:AT81"/>
    <mergeCell ref="H52:I52"/>
    <mergeCell ref="J52:K52"/>
    <mergeCell ref="AN52:AO52"/>
    <mergeCell ref="AP52:AQ52"/>
    <mergeCell ref="H131:I131"/>
    <mergeCell ref="J131:K131"/>
    <mergeCell ref="AD126:AE126"/>
    <mergeCell ref="X131:Y131"/>
    <mergeCell ref="Z131:AA131"/>
    <mergeCell ref="AT126:AU126"/>
    <mergeCell ref="AN131:AO131"/>
    <mergeCell ref="B62:C62"/>
    <mergeCell ref="D62:F62"/>
    <mergeCell ref="G62:H62"/>
    <mergeCell ref="N86:O86"/>
    <mergeCell ref="H91:I91"/>
    <mergeCell ref="J91:K91"/>
    <mergeCell ref="AO61:AP61"/>
    <mergeCell ref="AQ61:AU61"/>
    <mergeCell ref="AO62:AQ62"/>
    <mergeCell ref="AS62:AU62"/>
    <mergeCell ref="AH63:AI63"/>
    <mergeCell ref="AJ63:AL63"/>
    <mergeCell ref="AG91:AH91"/>
    <mergeCell ref="AI91:AM91"/>
    <mergeCell ref="AM63:AN63"/>
    <mergeCell ref="AO63:AU63"/>
    <mergeCell ref="AH114:AN114"/>
    <mergeCell ref="AO114:AU115"/>
    <mergeCell ref="AH115:AN117"/>
    <mergeCell ref="AO116:AU117"/>
    <mergeCell ref="AI118:AM118"/>
    <mergeCell ref="AW177:AX177"/>
    <mergeCell ref="AY177:AZ177"/>
    <mergeCell ref="BA177:BB177"/>
    <mergeCell ref="BC177:BD177"/>
    <mergeCell ref="BE177:BG177"/>
    <mergeCell ref="BI177:BK177"/>
    <mergeCell ref="AX179:AY179"/>
    <mergeCell ref="AZ179:BB179"/>
    <mergeCell ref="BC179:BD179"/>
    <mergeCell ref="BE179:BK179"/>
    <mergeCell ref="BI174:BK174"/>
    <mergeCell ref="AW175:AX175"/>
    <mergeCell ref="AY175:AZ175"/>
    <mergeCell ref="BA175:BB175"/>
    <mergeCell ref="BC175:BD175"/>
    <mergeCell ref="AX181:AY181"/>
    <mergeCell ref="AZ181:BB181"/>
    <mergeCell ref="BC181:BD181"/>
    <mergeCell ref="BE181:BG181"/>
    <mergeCell ref="BI181:BK181"/>
    <mergeCell ref="BE175:BG175"/>
    <mergeCell ref="AW176:AX176"/>
    <mergeCell ref="AY176:AZ176"/>
    <mergeCell ref="BA176:BB176"/>
    <mergeCell ref="BC176:BD176"/>
    <mergeCell ref="BE176:BG176"/>
    <mergeCell ref="BI176:BK176"/>
    <mergeCell ref="BE174:BG174"/>
    <mergeCell ref="BI175:BK175"/>
    <mergeCell ref="C171:G171"/>
    <mergeCell ref="Q171:R171"/>
    <mergeCell ref="S171:W171"/>
    <mergeCell ref="AG171:AH171"/>
    <mergeCell ref="AI171:AM171"/>
    <mergeCell ref="AW171:AX171"/>
    <mergeCell ref="AY171:BC171"/>
    <mergeCell ref="AP131:AQ131"/>
    <mergeCell ref="AX100:AY100"/>
    <mergeCell ref="AZ100:BB100"/>
    <mergeCell ref="BC100:BD100"/>
    <mergeCell ref="AX74:BD74"/>
    <mergeCell ref="AX61:AY61"/>
    <mergeCell ref="AZ61:BB61"/>
    <mergeCell ref="BC61:BD61"/>
    <mergeCell ref="AX62:AY62"/>
    <mergeCell ref="AZ62:BB62"/>
    <mergeCell ref="BC62:BD62"/>
    <mergeCell ref="AO153:AU153"/>
    <mergeCell ref="AH154:AN154"/>
    <mergeCell ref="AO154:AU155"/>
    <mergeCell ref="AH155:AN157"/>
    <mergeCell ref="AO156:AU157"/>
    <mergeCell ref="BD121:BE121"/>
    <mergeCell ref="BE111:BK112"/>
    <mergeCell ref="AX113:BA113"/>
    <mergeCell ref="BE113:BK113"/>
    <mergeCell ref="AX114:BD114"/>
    <mergeCell ref="BE114:BK115"/>
    <mergeCell ref="AX115:BD117"/>
    <mergeCell ref="BE116:BK117"/>
    <mergeCell ref="R63:S63"/>
    <mergeCell ref="N166:O166"/>
    <mergeCell ref="H171:I171"/>
    <mergeCell ref="J171:K171"/>
    <mergeCell ref="AD166:AE166"/>
    <mergeCell ref="BE151:BK152"/>
    <mergeCell ref="AX153:BA153"/>
    <mergeCell ref="BE153:BK153"/>
    <mergeCell ref="AX154:BD154"/>
    <mergeCell ref="BE154:BK155"/>
    <mergeCell ref="AX155:BD157"/>
    <mergeCell ref="BE156:BK157"/>
    <mergeCell ref="AY158:BC158"/>
    <mergeCell ref="AW160:AY160"/>
    <mergeCell ref="AZ160:BA160"/>
    <mergeCell ref="BB160:BD160"/>
    <mergeCell ref="AX142:AY142"/>
    <mergeCell ref="AW137:AX137"/>
    <mergeCell ref="AY137:AZ137"/>
    <mergeCell ref="BA137:BB137"/>
    <mergeCell ref="BC137:BD137"/>
    <mergeCell ref="BE137:BG137"/>
    <mergeCell ref="BI137:BK137"/>
    <mergeCell ref="AX139:AY139"/>
    <mergeCell ref="AZ139:BB139"/>
    <mergeCell ref="BC139:BD139"/>
    <mergeCell ref="BE139:BK139"/>
    <mergeCell ref="AH162:AH163"/>
    <mergeCell ref="AO151:AU152"/>
    <mergeCell ref="AH153:AK153"/>
    <mergeCell ref="X171:Y171"/>
    <mergeCell ref="AI158:AM158"/>
    <mergeCell ref="AG160:AI160"/>
    <mergeCell ref="AX194:BD194"/>
    <mergeCell ref="BE194:BK195"/>
    <mergeCell ref="AX195:BD197"/>
    <mergeCell ref="BE196:BK197"/>
    <mergeCell ref="AY198:BC198"/>
    <mergeCell ref="AX182:AY182"/>
    <mergeCell ref="AZ182:BB182"/>
    <mergeCell ref="BC182:BD182"/>
    <mergeCell ref="BE182:BK182"/>
    <mergeCell ref="AW184:AZ184"/>
    <mergeCell ref="BE184:BK184"/>
    <mergeCell ref="AW185:BC188"/>
    <mergeCell ref="BE185:BK189"/>
    <mergeCell ref="AW189:BC190"/>
    <mergeCell ref="BE190:BK190"/>
    <mergeCell ref="AX180:AY180"/>
    <mergeCell ref="AZ180:BB180"/>
    <mergeCell ref="BC180:BD180"/>
    <mergeCell ref="BE180:BF180"/>
    <mergeCell ref="BG180:BK180"/>
    <mergeCell ref="BE191:BK192"/>
    <mergeCell ref="AX193:BA193"/>
    <mergeCell ref="BE193:BK193"/>
    <mergeCell ref="AY172:AZ172"/>
    <mergeCell ref="BA172:BB172"/>
    <mergeCell ref="BC172:BD172"/>
    <mergeCell ref="BE172:BG172"/>
    <mergeCell ref="AY173:AZ173"/>
    <mergeCell ref="BA173:BB173"/>
    <mergeCell ref="BC173:BD173"/>
    <mergeCell ref="BE173:BG173"/>
    <mergeCell ref="AX140:AY140"/>
    <mergeCell ref="AZ140:BB140"/>
    <mergeCell ref="AZ142:BB142"/>
    <mergeCell ref="BC142:BD142"/>
    <mergeCell ref="BE142:BK142"/>
    <mergeCell ref="AW144:AZ144"/>
    <mergeCell ref="BE144:BK144"/>
    <mergeCell ref="AW145:BC148"/>
    <mergeCell ref="BE145:BK149"/>
    <mergeCell ref="AW149:BC150"/>
    <mergeCell ref="BE150:BK150"/>
    <mergeCell ref="AX141:AY141"/>
    <mergeCell ref="AZ141:BB141"/>
    <mergeCell ref="BC141:BD141"/>
    <mergeCell ref="BE141:BG141"/>
    <mergeCell ref="BI141:BK141"/>
    <mergeCell ref="BC140:BD140"/>
    <mergeCell ref="BE140:BF140"/>
    <mergeCell ref="BG140:BK140"/>
    <mergeCell ref="BJ170:BK170"/>
    <mergeCell ref="BJ126:BK126"/>
    <mergeCell ref="BC134:BD134"/>
    <mergeCell ref="AY134:AZ134"/>
    <mergeCell ref="AY118:BC118"/>
    <mergeCell ref="AW120:AY120"/>
    <mergeCell ref="AZ120:BA120"/>
    <mergeCell ref="BB120:BD120"/>
    <mergeCell ref="BA134:BB134"/>
    <mergeCell ref="AX121:BC121"/>
    <mergeCell ref="AW131:AX131"/>
    <mergeCell ref="AY131:BC131"/>
    <mergeCell ref="AY122:AZ122"/>
    <mergeCell ref="BA122:BB122"/>
    <mergeCell ref="BC122:BD122"/>
    <mergeCell ref="BE122:BG122"/>
    <mergeCell ref="BI122:BK122"/>
    <mergeCell ref="BJ123:BK123"/>
    <mergeCell ref="BJ130:BK130"/>
    <mergeCell ref="BD131:BE131"/>
    <mergeCell ref="BF131:BG131"/>
    <mergeCell ref="BF121:BJ121"/>
    <mergeCell ref="AX122:AX123"/>
    <mergeCell ref="AY132:AZ132"/>
    <mergeCell ref="BA132:BB132"/>
    <mergeCell ref="BC132:BD132"/>
    <mergeCell ref="BE132:BG132"/>
    <mergeCell ref="AY133:AZ133"/>
    <mergeCell ref="BA133:BB133"/>
    <mergeCell ref="BC133:BD133"/>
    <mergeCell ref="BE133:BG133"/>
    <mergeCell ref="AX102:AY102"/>
    <mergeCell ref="AZ102:BB102"/>
    <mergeCell ref="BC102:BD102"/>
    <mergeCell ref="BE102:BK102"/>
    <mergeCell ref="AW104:AZ104"/>
    <mergeCell ref="BE104:BK104"/>
    <mergeCell ref="AW105:BC108"/>
    <mergeCell ref="BE105:BK109"/>
    <mergeCell ref="AW109:BC110"/>
    <mergeCell ref="BE110:BK110"/>
    <mergeCell ref="BE100:BF100"/>
    <mergeCell ref="BG100:BK100"/>
    <mergeCell ref="AX101:AY101"/>
    <mergeCell ref="AZ101:BB101"/>
    <mergeCell ref="BC101:BD101"/>
    <mergeCell ref="BE101:BG101"/>
    <mergeCell ref="BI101:BK101"/>
    <mergeCell ref="AW97:AX97"/>
    <mergeCell ref="AY97:AZ97"/>
    <mergeCell ref="BA97:BB97"/>
    <mergeCell ref="BC97:BD97"/>
    <mergeCell ref="BE97:BG97"/>
    <mergeCell ref="BI97:BK97"/>
    <mergeCell ref="AX99:AY99"/>
    <mergeCell ref="AZ99:BB99"/>
    <mergeCell ref="BC99:BD99"/>
    <mergeCell ref="BE99:BK99"/>
    <mergeCell ref="BI94:BK94"/>
    <mergeCell ref="AW95:AX95"/>
    <mergeCell ref="AY95:AZ95"/>
    <mergeCell ref="BA95:BB95"/>
    <mergeCell ref="BC95:BD95"/>
    <mergeCell ref="BE95:BG95"/>
    <mergeCell ref="AW96:AX96"/>
    <mergeCell ref="AY96:AZ96"/>
    <mergeCell ref="BA96:BB96"/>
    <mergeCell ref="BC96:BD96"/>
    <mergeCell ref="BE96:BG96"/>
    <mergeCell ref="BE94:BG94"/>
    <mergeCell ref="BI95:BK95"/>
    <mergeCell ref="BI96:BK96"/>
    <mergeCell ref="AY92:AZ92"/>
    <mergeCell ref="BA92:BB92"/>
    <mergeCell ref="BC92:BD92"/>
    <mergeCell ref="BE92:BG92"/>
    <mergeCell ref="AY93:AZ93"/>
    <mergeCell ref="BA93:BB93"/>
    <mergeCell ref="BC93:BD93"/>
    <mergeCell ref="BE93:BG93"/>
    <mergeCell ref="BE74:BK75"/>
    <mergeCell ref="AX75:BD77"/>
    <mergeCell ref="BE76:BK77"/>
    <mergeCell ref="AY78:BC78"/>
    <mergeCell ref="AW80:AY80"/>
    <mergeCell ref="AZ80:BA80"/>
    <mergeCell ref="BB80:BD80"/>
    <mergeCell ref="BD81:BE81"/>
    <mergeCell ref="BF81:BJ81"/>
    <mergeCell ref="AX82:AX83"/>
    <mergeCell ref="AY82:AZ82"/>
    <mergeCell ref="BA82:BB82"/>
    <mergeCell ref="BC82:BD82"/>
    <mergeCell ref="BE82:BG82"/>
    <mergeCell ref="BI82:BK82"/>
    <mergeCell ref="BJ83:BK83"/>
    <mergeCell ref="BJ90:BK90"/>
    <mergeCell ref="AX81:BC81"/>
    <mergeCell ref="AW91:AX91"/>
    <mergeCell ref="AY91:BC91"/>
    <mergeCell ref="AX60:AY60"/>
    <mergeCell ref="AZ60:BB60"/>
    <mergeCell ref="BC60:BD60"/>
    <mergeCell ref="BE60:BK60"/>
    <mergeCell ref="BE61:BF61"/>
    <mergeCell ref="BG61:BK61"/>
    <mergeCell ref="BE62:BG62"/>
    <mergeCell ref="BI62:BK62"/>
    <mergeCell ref="AX63:AY63"/>
    <mergeCell ref="AZ63:BB63"/>
    <mergeCell ref="BC63:BD63"/>
    <mergeCell ref="BE63:BK63"/>
    <mergeCell ref="BA58:BB58"/>
    <mergeCell ref="BF42:BJ42"/>
    <mergeCell ref="AX43:AX44"/>
    <mergeCell ref="AY43:AZ43"/>
    <mergeCell ref="BA43:BB43"/>
    <mergeCell ref="BC43:BD43"/>
    <mergeCell ref="BE43:BG43"/>
    <mergeCell ref="BI43:BK43"/>
    <mergeCell ref="BJ44:BK44"/>
    <mergeCell ref="BC58:BD58"/>
    <mergeCell ref="BE58:BG58"/>
    <mergeCell ref="BI58:BK58"/>
    <mergeCell ref="BE55:BG55"/>
    <mergeCell ref="AW56:AX56"/>
    <mergeCell ref="AY56:AZ56"/>
    <mergeCell ref="BA56:BB56"/>
    <mergeCell ref="BC56:BD56"/>
    <mergeCell ref="BE56:BG56"/>
    <mergeCell ref="AY52:BC52"/>
    <mergeCell ref="BD52:BE52"/>
    <mergeCell ref="AY53:AZ53"/>
    <mergeCell ref="BA53:BB53"/>
    <mergeCell ref="BC53:BD53"/>
    <mergeCell ref="BE53:BG53"/>
    <mergeCell ref="BJ51:BK51"/>
    <mergeCell ref="AY54:AZ54"/>
    <mergeCell ref="BA54:BB54"/>
    <mergeCell ref="BC54:BD54"/>
    <mergeCell ref="BE54:BG54"/>
    <mergeCell ref="BI55:BK55"/>
    <mergeCell ref="BI56:BK56"/>
    <mergeCell ref="AW58:AX58"/>
    <mergeCell ref="AY58:AZ58"/>
    <mergeCell ref="AX42:BC42"/>
    <mergeCell ref="BJ47:BK47"/>
    <mergeCell ref="BE26:BK30"/>
    <mergeCell ref="AW30:BC31"/>
    <mergeCell ref="BE31:BK31"/>
    <mergeCell ref="BE32:BK33"/>
    <mergeCell ref="AX34:BA34"/>
    <mergeCell ref="BE34:BK34"/>
    <mergeCell ref="AX35:BD35"/>
    <mergeCell ref="BE35:BK36"/>
    <mergeCell ref="AX36:BD38"/>
    <mergeCell ref="BE37:BK38"/>
    <mergeCell ref="BE57:BG57"/>
    <mergeCell ref="BI57:BK57"/>
    <mergeCell ref="BF52:BG52"/>
    <mergeCell ref="AW52:AX52"/>
    <mergeCell ref="AY55:AZ55"/>
    <mergeCell ref="BA55:BB55"/>
    <mergeCell ref="BC55:BD55"/>
    <mergeCell ref="BC22:BD22"/>
    <mergeCell ref="BE22:BG22"/>
    <mergeCell ref="BI22:BK22"/>
    <mergeCell ref="AX23:AY23"/>
    <mergeCell ref="AZ23:BB23"/>
    <mergeCell ref="BC23:BD23"/>
    <mergeCell ref="BE23:BK23"/>
    <mergeCell ref="AW25:AZ25"/>
    <mergeCell ref="BE25:BK25"/>
    <mergeCell ref="AX21:AY21"/>
    <mergeCell ref="AZ21:BB21"/>
    <mergeCell ref="BC21:BD21"/>
    <mergeCell ref="BE21:BF21"/>
    <mergeCell ref="BG21:BK21"/>
    <mergeCell ref="BI15:BK15"/>
    <mergeCell ref="AW16:AX16"/>
    <mergeCell ref="AY16:AZ16"/>
    <mergeCell ref="BA16:BB16"/>
    <mergeCell ref="BC16:BD16"/>
    <mergeCell ref="BE16:BG16"/>
    <mergeCell ref="AW17:AX17"/>
    <mergeCell ref="AY17:AZ17"/>
    <mergeCell ref="BA17:BB17"/>
    <mergeCell ref="BC17:BD17"/>
    <mergeCell ref="BE17:BG17"/>
    <mergeCell ref="BI17:BK17"/>
    <mergeCell ref="AY15:AZ15"/>
    <mergeCell ref="BA15:BB15"/>
    <mergeCell ref="BC15:BD15"/>
    <mergeCell ref="AX3:AX4"/>
    <mergeCell ref="AY3:AZ3"/>
    <mergeCell ref="BA3:BB3"/>
    <mergeCell ref="BC3:BD3"/>
    <mergeCell ref="BE3:BG3"/>
    <mergeCell ref="BI3:BK3"/>
    <mergeCell ref="BJ4:BK4"/>
    <mergeCell ref="AW12:AX12"/>
    <mergeCell ref="AY12:BC12"/>
    <mergeCell ref="AX2:BC2"/>
    <mergeCell ref="BA18:BB18"/>
    <mergeCell ref="BC18:BD18"/>
    <mergeCell ref="BE18:BG18"/>
    <mergeCell ref="BI18:BK18"/>
    <mergeCell ref="AX20:AY20"/>
    <mergeCell ref="AZ20:BB20"/>
    <mergeCell ref="BC20:BD20"/>
    <mergeCell ref="BE20:BK20"/>
    <mergeCell ref="AY13:AZ13"/>
    <mergeCell ref="BA13:BB13"/>
    <mergeCell ref="BC13:BD13"/>
    <mergeCell ref="BE13:BG13"/>
    <mergeCell ref="AY14:AZ14"/>
    <mergeCell ref="BA14:BB14"/>
    <mergeCell ref="BC14:BD14"/>
    <mergeCell ref="BE14:BG14"/>
    <mergeCell ref="BJ11:BK11"/>
    <mergeCell ref="BE15:BG15"/>
    <mergeCell ref="BI16:BK16"/>
    <mergeCell ref="BJ7:BK7"/>
    <mergeCell ref="BD12:BE12"/>
    <mergeCell ref="BF12:BG12"/>
    <mergeCell ref="AZ1:BA1"/>
    <mergeCell ref="BB1:BD1"/>
    <mergeCell ref="BD2:BE2"/>
    <mergeCell ref="BF2:BJ2"/>
    <mergeCell ref="AH193:AK193"/>
    <mergeCell ref="AO193:AU193"/>
    <mergeCell ref="AH194:AN194"/>
    <mergeCell ref="AO194:AU195"/>
    <mergeCell ref="AH195:AN197"/>
    <mergeCell ref="AO196:AU197"/>
    <mergeCell ref="AH181:AI181"/>
    <mergeCell ref="AJ181:AL181"/>
    <mergeCell ref="AM181:AN181"/>
    <mergeCell ref="AO181:AQ181"/>
    <mergeCell ref="AS181:AU181"/>
    <mergeCell ref="AG177:AH177"/>
    <mergeCell ref="AI177:AJ177"/>
    <mergeCell ref="AK177:AL177"/>
    <mergeCell ref="AM177:AN177"/>
    <mergeCell ref="AO177:AQ177"/>
    <mergeCell ref="AS177:AU177"/>
    <mergeCell ref="AH179:AI179"/>
    <mergeCell ref="AJ179:AL179"/>
    <mergeCell ref="AM179:AN179"/>
    <mergeCell ref="AO179:AU179"/>
    <mergeCell ref="AS174:AU174"/>
    <mergeCell ref="AG175:AH175"/>
    <mergeCell ref="AI175:AJ175"/>
    <mergeCell ref="AK175:AL175"/>
    <mergeCell ref="AM175:AN175"/>
    <mergeCell ref="AO175:AQ175"/>
    <mergeCell ref="AG176:AH176"/>
    <mergeCell ref="AI198:AM198"/>
    <mergeCell ref="AW1:AY1"/>
    <mergeCell ref="AW18:AX18"/>
    <mergeCell ref="AY18:AZ18"/>
    <mergeCell ref="AX22:AY22"/>
    <mergeCell ref="AZ22:BB22"/>
    <mergeCell ref="AW26:BC29"/>
    <mergeCell ref="AY39:BC39"/>
    <mergeCell ref="AW41:AY41"/>
    <mergeCell ref="AZ41:BA41"/>
    <mergeCell ref="BB41:BD41"/>
    <mergeCell ref="BD42:BE42"/>
    <mergeCell ref="AW57:AX57"/>
    <mergeCell ref="AY57:AZ57"/>
    <mergeCell ref="BA57:BB57"/>
    <mergeCell ref="BC57:BD57"/>
    <mergeCell ref="AH182:AI182"/>
    <mergeCell ref="AJ182:AL182"/>
    <mergeCell ref="AM182:AN182"/>
    <mergeCell ref="AO182:AU182"/>
    <mergeCell ref="AG184:AJ184"/>
    <mergeCell ref="AO184:AU184"/>
    <mergeCell ref="AG185:AM188"/>
    <mergeCell ref="AO185:AU189"/>
    <mergeCell ref="AG189:AM190"/>
    <mergeCell ref="AO190:AU190"/>
    <mergeCell ref="AH180:AI180"/>
    <mergeCell ref="AJ180:AL180"/>
    <mergeCell ref="AM180:AN180"/>
    <mergeCell ref="AO180:AP180"/>
    <mergeCell ref="AQ180:AU180"/>
    <mergeCell ref="AO191:AU192"/>
    <mergeCell ref="AI176:AJ176"/>
    <mergeCell ref="AK176:AL176"/>
    <mergeCell ref="AM176:AN176"/>
    <mergeCell ref="AO176:AQ176"/>
    <mergeCell ref="AI172:AJ172"/>
    <mergeCell ref="AK172:AL172"/>
    <mergeCell ref="AM172:AN172"/>
    <mergeCell ref="AO172:AQ172"/>
    <mergeCell ref="AI173:AJ173"/>
    <mergeCell ref="AK173:AL173"/>
    <mergeCell ref="AM173:AN173"/>
    <mergeCell ref="AO173:AQ173"/>
    <mergeCell ref="AO174:AQ174"/>
    <mergeCell ref="AS175:AU175"/>
    <mergeCell ref="AS176:AU176"/>
    <mergeCell ref="AN161:AO161"/>
    <mergeCell ref="AP161:AT161"/>
    <mergeCell ref="AI162:AJ162"/>
    <mergeCell ref="AK162:AL162"/>
    <mergeCell ref="AM162:AN162"/>
    <mergeCell ref="AO162:AQ162"/>
    <mergeCell ref="AS162:AU162"/>
    <mergeCell ref="AT163:AU163"/>
    <mergeCell ref="AH142:AI142"/>
    <mergeCell ref="AJ142:AL142"/>
    <mergeCell ref="AM142:AN142"/>
    <mergeCell ref="AO142:AU142"/>
    <mergeCell ref="AG144:AJ144"/>
    <mergeCell ref="AO144:AU144"/>
    <mergeCell ref="AG145:AM148"/>
    <mergeCell ref="AO145:AU149"/>
    <mergeCell ref="AG149:AM150"/>
    <mergeCell ref="AO150:AU150"/>
    <mergeCell ref="AH140:AI140"/>
    <mergeCell ref="AJ140:AL140"/>
    <mergeCell ref="AM140:AN140"/>
    <mergeCell ref="AO140:AP140"/>
    <mergeCell ref="AQ140:AU140"/>
    <mergeCell ref="AH141:AI141"/>
    <mergeCell ref="AJ141:AL141"/>
    <mergeCell ref="AM141:AN141"/>
    <mergeCell ref="AO141:AQ141"/>
    <mergeCell ref="AS141:AU141"/>
    <mergeCell ref="AG137:AH137"/>
    <mergeCell ref="AI137:AJ137"/>
    <mergeCell ref="AK137:AL137"/>
    <mergeCell ref="AM137:AN137"/>
    <mergeCell ref="AO137:AQ137"/>
    <mergeCell ref="AS137:AU137"/>
    <mergeCell ref="AH139:AI139"/>
    <mergeCell ref="AJ139:AL139"/>
    <mergeCell ref="AM139:AN139"/>
    <mergeCell ref="AO139:AU139"/>
    <mergeCell ref="AS134:AU134"/>
    <mergeCell ref="AG135:AH135"/>
    <mergeCell ref="AI135:AJ135"/>
    <mergeCell ref="AK135:AL135"/>
    <mergeCell ref="AM135:AN135"/>
    <mergeCell ref="AO135:AQ135"/>
    <mergeCell ref="AG136:AH136"/>
    <mergeCell ref="AI136:AJ136"/>
    <mergeCell ref="AK136:AL136"/>
    <mergeCell ref="AM136:AN136"/>
    <mergeCell ref="AO136:AQ136"/>
    <mergeCell ref="AO134:AQ134"/>
    <mergeCell ref="AS135:AU135"/>
    <mergeCell ref="AS136:AU136"/>
    <mergeCell ref="AI134:AJ134"/>
    <mergeCell ref="AK134:AL134"/>
    <mergeCell ref="AM134:AN134"/>
    <mergeCell ref="AI132:AJ132"/>
    <mergeCell ref="AK132:AL132"/>
    <mergeCell ref="AM132:AN132"/>
    <mergeCell ref="AO132:AQ132"/>
    <mergeCell ref="AI133:AJ133"/>
    <mergeCell ref="AK133:AL133"/>
    <mergeCell ref="AM133:AN133"/>
    <mergeCell ref="AO133:AQ133"/>
    <mergeCell ref="AN121:AO121"/>
    <mergeCell ref="AP121:AT121"/>
    <mergeCell ref="AH122:AH123"/>
    <mergeCell ref="AI122:AJ122"/>
    <mergeCell ref="AK122:AL122"/>
    <mergeCell ref="AM122:AN122"/>
    <mergeCell ref="AO122:AQ122"/>
    <mergeCell ref="AS122:AU122"/>
    <mergeCell ref="AT123:AU123"/>
    <mergeCell ref="AT130:AU130"/>
    <mergeCell ref="AH121:AM121"/>
    <mergeCell ref="AG131:AH131"/>
    <mergeCell ref="AI131:AM131"/>
    <mergeCell ref="AO111:AU112"/>
    <mergeCell ref="AH113:AK113"/>
    <mergeCell ref="AO113:AU113"/>
    <mergeCell ref="AO95:AQ95"/>
    <mergeCell ref="AG96:AH96"/>
    <mergeCell ref="AI96:AJ96"/>
    <mergeCell ref="AK96:AL96"/>
    <mergeCell ref="AM96:AN96"/>
    <mergeCell ref="AO96:AQ96"/>
    <mergeCell ref="AG120:AI120"/>
    <mergeCell ref="AJ120:AK120"/>
    <mergeCell ref="AL120:AN120"/>
    <mergeCell ref="AH102:AI102"/>
    <mergeCell ref="AJ102:AL102"/>
    <mergeCell ref="AM102:AN102"/>
    <mergeCell ref="AO102:AU102"/>
    <mergeCell ref="AG104:AJ104"/>
    <mergeCell ref="AO104:AU104"/>
    <mergeCell ref="AG105:AM108"/>
    <mergeCell ref="AO105:AU109"/>
    <mergeCell ref="AG109:AM110"/>
    <mergeCell ref="AO110:AU110"/>
    <mergeCell ref="AH101:AI101"/>
    <mergeCell ref="AJ101:AL101"/>
    <mergeCell ref="AM101:AN101"/>
    <mergeCell ref="AO101:AQ101"/>
    <mergeCell ref="AS101:AU101"/>
    <mergeCell ref="AI92:AJ92"/>
    <mergeCell ref="AK92:AL92"/>
    <mergeCell ref="AM92:AN92"/>
    <mergeCell ref="AO92:AQ92"/>
    <mergeCell ref="AI93:AJ93"/>
    <mergeCell ref="AK93:AL93"/>
    <mergeCell ref="AM93:AN93"/>
    <mergeCell ref="AO93:AQ93"/>
    <mergeCell ref="AH100:AI100"/>
    <mergeCell ref="AJ100:AL100"/>
    <mergeCell ref="AM100:AN100"/>
    <mergeCell ref="AO100:AP100"/>
    <mergeCell ref="AQ100:AU100"/>
    <mergeCell ref="AS94:AU94"/>
    <mergeCell ref="AG95:AH95"/>
    <mergeCell ref="AI95:AJ95"/>
    <mergeCell ref="AK95:AL95"/>
    <mergeCell ref="AM95:AN95"/>
    <mergeCell ref="AG97:AH97"/>
    <mergeCell ref="AI97:AJ97"/>
    <mergeCell ref="AK97:AL97"/>
    <mergeCell ref="AM97:AN97"/>
    <mergeCell ref="AO97:AQ97"/>
    <mergeCell ref="AS97:AU97"/>
    <mergeCell ref="AH99:AI99"/>
    <mergeCell ref="AJ99:AL99"/>
    <mergeCell ref="AM99:AN99"/>
    <mergeCell ref="AO99:AU99"/>
    <mergeCell ref="AO64:AU64"/>
    <mergeCell ref="AG65:AM68"/>
    <mergeCell ref="AO65:AU69"/>
    <mergeCell ref="AG69:AM70"/>
    <mergeCell ref="AO70:AU70"/>
    <mergeCell ref="AO71:AU72"/>
    <mergeCell ref="AH73:AK73"/>
    <mergeCell ref="AO73:AU73"/>
    <mergeCell ref="AG64:AJ64"/>
    <mergeCell ref="AH81:AM81"/>
    <mergeCell ref="AH61:AI61"/>
    <mergeCell ref="AJ61:AL61"/>
    <mergeCell ref="AM61:AN61"/>
    <mergeCell ref="AH62:AI62"/>
    <mergeCell ref="AJ62:AL62"/>
    <mergeCell ref="AM62:AN62"/>
    <mergeCell ref="AP42:AT42"/>
    <mergeCell ref="AH43:AH44"/>
    <mergeCell ref="AI43:AJ43"/>
    <mergeCell ref="AK43:AL43"/>
    <mergeCell ref="AM43:AN43"/>
    <mergeCell ref="AO43:AQ43"/>
    <mergeCell ref="AS43:AU43"/>
    <mergeCell ref="AT44:AU44"/>
    <mergeCell ref="AO57:AQ57"/>
    <mergeCell ref="AS57:AU57"/>
    <mergeCell ref="AH60:AI60"/>
    <mergeCell ref="AJ60:AL60"/>
    <mergeCell ref="AM60:AN60"/>
    <mergeCell ref="AO55:AQ55"/>
    <mergeCell ref="AG56:AH56"/>
    <mergeCell ref="AI56:AJ56"/>
    <mergeCell ref="AK56:AL56"/>
    <mergeCell ref="AO60:AU60"/>
    <mergeCell ref="AT51:AU51"/>
    <mergeCell ref="AH42:AM42"/>
    <mergeCell ref="AT47:AU47"/>
    <mergeCell ref="AG52:AH52"/>
    <mergeCell ref="AI52:AM52"/>
    <mergeCell ref="AM56:AN56"/>
    <mergeCell ref="AO56:AQ56"/>
    <mergeCell ref="AI54:AJ54"/>
    <mergeCell ref="AO26:AU30"/>
    <mergeCell ref="AG30:AM31"/>
    <mergeCell ref="AO31:AU31"/>
    <mergeCell ref="AO32:AU33"/>
    <mergeCell ref="AH34:AK34"/>
    <mergeCell ref="AO34:AU34"/>
    <mergeCell ref="AH35:AN35"/>
    <mergeCell ref="AO35:AU36"/>
    <mergeCell ref="AH36:AN38"/>
    <mergeCell ref="AO37:AU38"/>
    <mergeCell ref="AM22:AN22"/>
    <mergeCell ref="AO22:AQ22"/>
    <mergeCell ref="AS22:AU22"/>
    <mergeCell ref="AH23:AI23"/>
    <mergeCell ref="AJ23:AL23"/>
    <mergeCell ref="AM23:AN23"/>
    <mergeCell ref="AO23:AU23"/>
    <mergeCell ref="AG25:AJ25"/>
    <mergeCell ref="AO25:AU25"/>
    <mergeCell ref="AO20:AU20"/>
    <mergeCell ref="AH21:AI21"/>
    <mergeCell ref="AJ21:AL21"/>
    <mergeCell ref="AM21:AN21"/>
    <mergeCell ref="AO21:AP21"/>
    <mergeCell ref="AQ21:AU21"/>
    <mergeCell ref="AS15:AU15"/>
    <mergeCell ref="AG16:AH16"/>
    <mergeCell ref="AI16:AJ16"/>
    <mergeCell ref="AK16:AL16"/>
    <mergeCell ref="AM16:AN16"/>
    <mergeCell ref="AO16:AQ16"/>
    <mergeCell ref="AG17:AH17"/>
    <mergeCell ref="AI17:AJ17"/>
    <mergeCell ref="AK17:AL17"/>
    <mergeCell ref="AM17:AN17"/>
    <mergeCell ref="AO17:AQ17"/>
    <mergeCell ref="AO15:AQ15"/>
    <mergeCell ref="AS16:AU16"/>
    <mergeCell ref="AS17:AU17"/>
    <mergeCell ref="AI15:AJ15"/>
    <mergeCell ref="AK15:AL15"/>
    <mergeCell ref="AM15:AN15"/>
    <mergeCell ref="AI13:AJ13"/>
    <mergeCell ref="AK13:AL13"/>
    <mergeCell ref="AM13:AN13"/>
    <mergeCell ref="AO13:AQ13"/>
    <mergeCell ref="AI14:AJ14"/>
    <mergeCell ref="AK14:AL14"/>
    <mergeCell ref="AM14:AN14"/>
    <mergeCell ref="AO14:AQ14"/>
    <mergeCell ref="AJ1:AK1"/>
    <mergeCell ref="AL1:AN1"/>
    <mergeCell ref="AN2:AO2"/>
    <mergeCell ref="AP2:AT2"/>
    <mergeCell ref="AH3:AH4"/>
    <mergeCell ref="AI3:AJ3"/>
    <mergeCell ref="AK3:AL3"/>
    <mergeCell ref="AM3:AN3"/>
    <mergeCell ref="AO3:AQ3"/>
    <mergeCell ref="AS3:AU3"/>
    <mergeCell ref="AT4:AU4"/>
    <mergeCell ref="AT11:AU11"/>
    <mergeCell ref="AG12:AH12"/>
    <mergeCell ref="AI12:AM12"/>
    <mergeCell ref="AH2:AM2"/>
    <mergeCell ref="AT7:AU7"/>
    <mergeCell ref="AN12:AO12"/>
    <mergeCell ref="AP12:AQ12"/>
    <mergeCell ref="Y191:AE192"/>
    <mergeCell ref="R193:U193"/>
    <mergeCell ref="Y193:AE193"/>
    <mergeCell ref="R194:X194"/>
    <mergeCell ref="Y194:AE195"/>
    <mergeCell ref="R195:X197"/>
    <mergeCell ref="Y196:AE197"/>
    <mergeCell ref="S198:W198"/>
    <mergeCell ref="AG1:AI1"/>
    <mergeCell ref="AG18:AH18"/>
    <mergeCell ref="AI18:AJ18"/>
    <mergeCell ref="AH22:AI22"/>
    <mergeCell ref="AJ22:AL22"/>
    <mergeCell ref="AG26:AM29"/>
    <mergeCell ref="AI39:AM39"/>
    <mergeCell ref="AG41:AI41"/>
    <mergeCell ref="AJ41:AK41"/>
    <mergeCell ref="AL41:AN41"/>
    <mergeCell ref="AN42:AO42"/>
    <mergeCell ref="AG57:AH57"/>
    <mergeCell ref="AI57:AJ57"/>
    <mergeCell ref="AK57:AL57"/>
    <mergeCell ref="AM57:AN57"/>
    <mergeCell ref="R182:S182"/>
    <mergeCell ref="T182:V182"/>
    <mergeCell ref="W182:X182"/>
    <mergeCell ref="Y182:AE182"/>
    <mergeCell ref="Q184:T184"/>
    <mergeCell ref="Y184:AE184"/>
    <mergeCell ref="Q185:W188"/>
    <mergeCell ref="Y185:AE189"/>
    <mergeCell ref="AK18:AL18"/>
    <mergeCell ref="Q189:W190"/>
    <mergeCell ref="Y190:AE190"/>
    <mergeCell ref="R180:S180"/>
    <mergeCell ref="T180:V180"/>
    <mergeCell ref="W180:X180"/>
    <mergeCell ref="Y180:Z180"/>
    <mergeCell ref="AA180:AE180"/>
    <mergeCell ref="R181:S181"/>
    <mergeCell ref="T181:V181"/>
    <mergeCell ref="W181:X181"/>
    <mergeCell ref="Y181:AA181"/>
    <mergeCell ref="AC181:AE181"/>
    <mergeCell ref="Q177:R177"/>
    <mergeCell ref="S177:T177"/>
    <mergeCell ref="U177:V177"/>
    <mergeCell ref="W177:X177"/>
    <mergeCell ref="Y177:AA177"/>
    <mergeCell ref="AC177:AE177"/>
    <mergeCell ref="R179:S179"/>
    <mergeCell ref="T179:V179"/>
    <mergeCell ref="W179:X179"/>
    <mergeCell ref="Y179:AE179"/>
    <mergeCell ref="AC174:AE174"/>
    <mergeCell ref="Q175:R175"/>
    <mergeCell ref="S175:T175"/>
    <mergeCell ref="U175:V175"/>
    <mergeCell ref="W175:X175"/>
    <mergeCell ref="Y175:AA175"/>
    <mergeCell ref="Q176:R176"/>
    <mergeCell ref="S176:T176"/>
    <mergeCell ref="U176:V176"/>
    <mergeCell ref="W176:X176"/>
    <mergeCell ref="Y176:AA176"/>
    <mergeCell ref="S172:T172"/>
    <mergeCell ref="U172:V172"/>
    <mergeCell ref="W172:X172"/>
    <mergeCell ref="Y172:AA172"/>
    <mergeCell ref="S173:T173"/>
    <mergeCell ref="U173:V173"/>
    <mergeCell ref="W173:X173"/>
    <mergeCell ref="Y173:AA173"/>
    <mergeCell ref="Y174:AA174"/>
    <mergeCell ref="AC175:AE175"/>
    <mergeCell ref="AC176:AE176"/>
    <mergeCell ref="R162:R163"/>
    <mergeCell ref="S162:T162"/>
    <mergeCell ref="U162:V162"/>
    <mergeCell ref="W162:X162"/>
    <mergeCell ref="Y162:AA162"/>
    <mergeCell ref="AC162:AE162"/>
    <mergeCell ref="AD163:AE163"/>
    <mergeCell ref="Y151:AE152"/>
    <mergeCell ref="R153:U153"/>
    <mergeCell ref="Y153:AE153"/>
    <mergeCell ref="R154:X154"/>
    <mergeCell ref="Y154:AE155"/>
    <mergeCell ref="R155:X157"/>
    <mergeCell ref="Y156:AE157"/>
    <mergeCell ref="S158:W158"/>
    <mergeCell ref="Q160:S160"/>
    <mergeCell ref="T160:U160"/>
    <mergeCell ref="V160:X160"/>
    <mergeCell ref="X161:Y161"/>
    <mergeCell ref="Z161:AD161"/>
    <mergeCell ref="R142:S142"/>
    <mergeCell ref="T142:V142"/>
    <mergeCell ref="W142:X142"/>
    <mergeCell ref="Y142:AE142"/>
    <mergeCell ref="Q144:T144"/>
    <mergeCell ref="Y144:AE144"/>
    <mergeCell ref="Q145:W148"/>
    <mergeCell ref="Y145:AE149"/>
    <mergeCell ref="Q149:W150"/>
    <mergeCell ref="Y150:AE150"/>
    <mergeCell ref="R140:S140"/>
    <mergeCell ref="T140:V140"/>
    <mergeCell ref="W140:X140"/>
    <mergeCell ref="Y140:Z140"/>
    <mergeCell ref="AA140:AE140"/>
    <mergeCell ref="R141:S141"/>
    <mergeCell ref="T141:V141"/>
    <mergeCell ref="W141:X141"/>
    <mergeCell ref="Y141:AA141"/>
    <mergeCell ref="AC141:AE141"/>
    <mergeCell ref="Q137:R137"/>
    <mergeCell ref="S137:T137"/>
    <mergeCell ref="U137:V137"/>
    <mergeCell ref="W137:X137"/>
    <mergeCell ref="Y137:AA137"/>
    <mergeCell ref="AC137:AE137"/>
    <mergeCell ref="R139:S139"/>
    <mergeCell ref="T139:V139"/>
    <mergeCell ref="W139:X139"/>
    <mergeCell ref="Y139:AE139"/>
    <mergeCell ref="AC134:AE134"/>
    <mergeCell ref="Q135:R135"/>
    <mergeCell ref="S135:T135"/>
    <mergeCell ref="U135:V135"/>
    <mergeCell ref="W135:X135"/>
    <mergeCell ref="Y135:AA135"/>
    <mergeCell ref="Q136:R136"/>
    <mergeCell ref="S136:T136"/>
    <mergeCell ref="U136:V136"/>
    <mergeCell ref="W136:X136"/>
    <mergeCell ref="Y136:AA136"/>
    <mergeCell ref="Y134:AA134"/>
    <mergeCell ref="AC135:AE135"/>
    <mergeCell ref="AC136:AE136"/>
    <mergeCell ref="S134:T134"/>
    <mergeCell ref="U134:V134"/>
    <mergeCell ref="W134:X134"/>
    <mergeCell ref="S132:T132"/>
    <mergeCell ref="U132:V132"/>
    <mergeCell ref="W132:X132"/>
    <mergeCell ref="Y132:AA132"/>
    <mergeCell ref="S133:T133"/>
    <mergeCell ref="U133:V133"/>
    <mergeCell ref="W133:X133"/>
    <mergeCell ref="Y133:AA133"/>
    <mergeCell ref="X121:Y121"/>
    <mergeCell ref="Z121:AD121"/>
    <mergeCell ref="R122:R123"/>
    <mergeCell ref="S122:T122"/>
    <mergeCell ref="U122:V122"/>
    <mergeCell ref="W122:X122"/>
    <mergeCell ref="Y122:AA122"/>
    <mergeCell ref="AC122:AE122"/>
    <mergeCell ref="AD123:AE123"/>
    <mergeCell ref="AD130:AE130"/>
    <mergeCell ref="R121:W121"/>
    <mergeCell ref="Q131:R131"/>
    <mergeCell ref="S131:W131"/>
    <mergeCell ref="R114:X114"/>
    <mergeCell ref="Y114:AE115"/>
    <mergeCell ref="R115:X117"/>
    <mergeCell ref="Y116:AE117"/>
    <mergeCell ref="S118:W118"/>
    <mergeCell ref="Q120:S120"/>
    <mergeCell ref="T120:U120"/>
    <mergeCell ref="V120:X120"/>
    <mergeCell ref="R102:S102"/>
    <mergeCell ref="T102:V102"/>
    <mergeCell ref="W102:X102"/>
    <mergeCell ref="Y102:AE102"/>
    <mergeCell ref="Q104:T104"/>
    <mergeCell ref="Y104:AE104"/>
    <mergeCell ref="Q105:W108"/>
    <mergeCell ref="Y105:AE109"/>
    <mergeCell ref="Q109:W110"/>
    <mergeCell ref="Y110:AE110"/>
    <mergeCell ref="Y97:AA97"/>
    <mergeCell ref="AC97:AE97"/>
    <mergeCell ref="R99:S99"/>
    <mergeCell ref="T99:V99"/>
    <mergeCell ref="W99:X99"/>
    <mergeCell ref="Y99:AE99"/>
    <mergeCell ref="Y111:AE112"/>
    <mergeCell ref="R113:U113"/>
    <mergeCell ref="Y113:AE113"/>
    <mergeCell ref="T63:V63"/>
    <mergeCell ref="W63:X63"/>
    <mergeCell ref="Y63:AE63"/>
    <mergeCell ref="R62:S62"/>
    <mergeCell ref="Q91:R91"/>
    <mergeCell ref="S91:W91"/>
    <mergeCell ref="AD86:AE86"/>
    <mergeCell ref="X91:Y91"/>
    <mergeCell ref="Z91:AA91"/>
    <mergeCell ref="Y62:AA62"/>
    <mergeCell ref="AC62:AE62"/>
    <mergeCell ref="AD90:AE90"/>
    <mergeCell ref="Y94:AA94"/>
    <mergeCell ref="AC95:AE95"/>
    <mergeCell ref="AC96:AE96"/>
    <mergeCell ref="X81:Y81"/>
    <mergeCell ref="Z81:AD81"/>
    <mergeCell ref="R82:R83"/>
    <mergeCell ref="S82:T82"/>
    <mergeCell ref="U82:V82"/>
    <mergeCell ref="W82:X82"/>
    <mergeCell ref="Y82:AA82"/>
    <mergeCell ref="AC82:AE82"/>
    <mergeCell ref="AD83:AE83"/>
    <mergeCell ref="Y71:AE72"/>
    <mergeCell ref="R73:U73"/>
    <mergeCell ref="Y73:AE73"/>
    <mergeCell ref="R74:X74"/>
    <mergeCell ref="Y74:AE75"/>
    <mergeCell ref="R75:X77"/>
    <mergeCell ref="Y76:AE77"/>
    <mergeCell ref="S78:W78"/>
    <mergeCell ref="Q80:S80"/>
    <mergeCell ref="T80:U80"/>
    <mergeCell ref="V80:X80"/>
    <mergeCell ref="X42:Y42"/>
    <mergeCell ref="Z42:AD42"/>
    <mergeCell ref="R43:R44"/>
    <mergeCell ref="S43:T43"/>
    <mergeCell ref="U43:V43"/>
    <mergeCell ref="W43:X43"/>
    <mergeCell ref="Y43:AA43"/>
    <mergeCell ref="AC43:AE43"/>
    <mergeCell ref="AD44:AE44"/>
    <mergeCell ref="AD51:AE51"/>
    <mergeCell ref="Y55:AA55"/>
    <mergeCell ref="Q56:R56"/>
    <mergeCell ref="S56:T56"/>
    <mergeCell ref="U56:V56"/>
    <mergeCell ref="W56:X56"/>
    <mergeCell ref="Y56:AA56"/>
    <mergeCell ref="Q57:R57"/>
    <mergeCell ref="S57:T57"/>
    <mergeCell ref="U57:V57"/>
    <mergeCell ref="W57:X57"/>
    <mergeCell ref="AD47:AE47"/>
    <mergeCell ref="X52:Y52"/>
    <mergeCell ref="Z52:AA52"/>
    <mergeCell ref="Q52:R52"/>
    <mergeCell ref="S52:W52"/>
    <mergeCell ref="AC58:AE58"/>
    <mergeCell ref="Q64:T64"/>
    <mergeCell ref="Y64:AE64"/>
    <mergeCell ref="Q65:W68"/>
    <mergeCell ref="Y65:AE69"/>
    <mergeCell ref="Q69:W70"/>
    <mergeCell ref="Y70:AE70"/>
    <mergeCell ref="R60:S60"/>
    <mergeCell ref="T60:V60"/>
    <mergeCell ref="W60:X60"/>
    <mergeCell ref="R61:S61"/>
    <mergeCell ref="T61:V61"/>
    <mergeCell ref="W61:X61"/>
    <mergeCell ref="Q58:R58"/>
    <mergeCell ref="S58:T58"/>
    <mergeCell ref="U58:V58"/>
    <mergeCell ref="W58:X58"/>
    <mergeCell ref="Y58:AA58"/>
    <mergeCell ref="Y60:AE60"/>
    <mergeCell ref="Y61:Z61"/>
    <mergeCell ref="T62:V62"/>
    <mergeCell ref="W62:X62"/>
    <mergeCell ref="AA61:AE61"/>
    <mergeCell ref="S53:T53"/>
    <mergeCell ref="U53:V53"/>
    <mergeCell ref="AC16:AE16"/>
    <mergeCell ref="AC17:AE17"/>
    <mergeCell ref="AC15:AE15"/>
    <mergeCell ref="Q12:R12"/>
    <mergeCell ref="S12:W12"/>
    <mergeCell ref="S13:T13"/>
    <mergeCell ref="U13:V13"/>
    <mergeCell ref="W13:X13"/>
    <mergeCell ref="Y13:AA13"/>
    <mergeCell ref="S14:T14"/>
    <mergeCell ref="U14:V14"/>
    <mergeCell ref="W14:X14"/>
    <mergeCell ref="Y14:AA14"/>
    <mergeCell ref="AD7:AE7"/>
    <mergeCell ref="X12:Y12"/>
    <mergeCell ref="Z12:AA12"/>
    <mergeCell ref="W16:X16"/>
    <mergeCell ref="Y16:AA16"/>
    <mergeCell ref="Q17:R17"/>
    <mergeCell ref="S17:T17"/>
    <mergeCell ref="W17:X17"/>
    <mergeCell ref="Y17:AA17"/>
    <mergeCell ref="Q16:R16"/>
    <mergeCell ref="S16:T16"/>
    <mergeCell ref="U16:V16"/>
    <mergeCell ref="S15:T15"/>
    <mergeCell ref="U15:V15"/>
    <mergeCell ref="W15:X15"/>
    <mergeCell ref="A177:B177"/>
    <mergeCell ref="C177:D177"/>
    <mergeCell ref="E177:F177"/>
    <mergeCell ref="G177:H177"/>
    <mergeCell ref="I177:K177"/>
    <mergeCell ref="M177:O177"/>
    <mergeCell ref="B179:C179"/>
    <mergeCell ref="D179:F179"/>
    <mergeCell ref="G179:H179"/>
    <mergeCell ref="I179:O179"/>
    <mergeCell ref="AC18:AE18"/>
    <mergeCell ref="R20:S20"/>
    <mergeCell ref="T20:V20"/>
    <mergeCell ref="W20:X20"/>
    <mergeCell ref="Y20:AE20"/>
    <mergeCell ref="AD11:AE11"/>
    <mergeCell ref="Y15:AA15"/>
    <mergeCell ref="R23:S23"/>
    <mergeCell ref="T23:V23"/>
    <mergeCell ref="W23:X23"/>
    <mergeCell ref="Y23:AE23"/>
    <mergeCell ref="Q25:T25"/>
    <mergeCell ref="Y25:AE25"/>
    <mergeCell ref="Q26:W29"/>
    <mergeCell ref="Y26:AE30"/>
    <mergeCell ref="Q30:W31"/>
    <mergeCell ref="Y31:AE31"/>
    <mergeCell ref="R21:S21"/>
    <mergeCell ref="T21:V21"/>
    <mergeCell ref="W21:X21"/>
    <mergeCell ref="Y21:Z21"/>
    <mergeCell ref="AA21:AE21"/>
    <mergeCell ref="C198:G198"/>
    <mergeCell ref="B182:C182"/>
    <mergeCell ref="D182:F182"/>
    <mergeCell ref="G182:H182"/>
    <mergeCell ref="I182:O182"/>
    <mergeCell ref="A184:D184"/>
    <mergeCell ref="I184:O184"/>
    <mergeCell ref="A185:G188"/>
    <mergeCell ref="I185:O189"/>
    <mergeCell ref="A189:G190"/>
    <mergeCell ref="I190:O190"/>
    <mergeCell ref="B180:C180"/>
    <mergeCell ref="D180:F180"/>
    <mergeCell ref="G180:H180"/>
    <mergeCell ref="I180:J180"/>
    <mergeCell ref="K180:O180"/>
    <mergeCell ref="B181:C181"/>
    <mergeCell ref="D181:F181"/>
    <mergeCell ref="G181:H181"/>
    <mergeCell ref="I181:K181"/>
    <mergeCell ref="M181:O181"/>
    <mergeCell ref="I191:O192"/>
    <mergeCell ref="B193:E193"/>
    <mergeCell ref="I193:O193"/>
    <mergeCell ref="B194:H194"/>
    <mergeCell ref="I194:O195"/>
    <mergeCell ref="B195:H197"/>
    <mergeCell ref="I196:O197"/>
    <mergeCell ref="C172:D172"/>
    <mergeCell ref="E172:F172"/>
    <mergeCell ref="G172:H172"/>
    <mergeCell ref="I172:K172"/>
    <mergeCell ref="C173:D173"/>
    <mergeCell ref="E173:F173"/>
    <mergeCell ref="G173:H173"/>
    <mergeCell ref="I173:K173"/>
    <mergeCell ref="I174:K174"/>
    <mergeCell ref="M175:O175"/>
    <mergeCell ref="M176:O176"/>
    <mergeCell ref="H161:I161"/>
    <mergeCell ref="J161:N161"/>
    <mergeCell ref="B162:B163"/>
    <mergeCell ref="C162:D162"/>
    <mergeCell ref="E162:F162"/>
    <mergeCell ref="G162:H162"/>
    <mergeCell ref="I162:K162"/>
    <mergeCell ref="M162:O162"/>
    <mergeCell ref="N163:O163"/>
    <mergeCell ref="M174:O174"/>
    <mergeCell ref="A175:B175"/>
    <mergeCell ref="C175:D175"/>
    <mergeCell ref="E175:F175"/>
    <mergeCell ref="G175:H175"/>
    <mergeCell ref="I175:K175"/>
    <mergeCell ref="A176:B176"/>
    <mergeCell ref="C176:D176"/>
    <mergeCell ref="E176:F176"/>
    <mergeCell ref="G176:H176"/>
    <mergeCell ref="I176:K176"/>
    <mergeCell ref="A171:B171"/>
    <mergeCell ref="B153:E153"/>
    <mergeCell ref="I153:O153"/>
    <mergeCell ref="B154:H154"/>
    <mergeCell ref="I154:O155"/>
    <mergeCell ref="B155:H157"/>
    <mergeCell ref="I156:O157"/>
    <mergeCell ref="C158:G158"/>
    <mergeCell ref="A160:C160"/>
    <mergeCell ref="D160:E160"/>
    <mergeCell ref="F160:H160"/>
    <mergeCell ref="B142:C142"/>
    <mergeCell ref="D142:F142"/>
    <mergeCell ref="G142:H142"/>
    <mergeCell ref="I142:O142"/>
    <mergeCell ref="A144:D144"/>
    <mergeCell ref="I144:O144"/>
    <mergeCell ref="A145:G148"/>
    <mergeCell ref="I145:O149"/>
    <mergeCell ref="A149:G150"/>
    <mergeCell ref="I150:O150"/>
    <mergeCell ref="B140:C140"/>
    <mergeCell ref="D140:F140"/>
    <mergeCell ref="G140:H140"/>
    <mergeCell ref="I140:J140"/>
    <mergeCell ref="K140:O140"/>
    <mergeCell ref="B141:C141"/>
    <mergeCell ref="D141:F141"/>
    <mergeCell ref="G141:H141"/>
    <mergeCell ref="I141:K141"/>
    <mergeCell ref="M141:O141"/>
    <mergeCell ref="A137:B137"/>
    <mergeCell ref="C137:D137"/>
    <mergeCell ref="E137:F137"/>
    <mergeCell ref="G137:H137"/>
    <mergeCell ref="I137:K137"/>
    <mergeCell ref="M137:O137"/>
    <mergeCell ref="B139:C139"/>
    <mergeCell ref="D139:F139"/>
    <mergeCell ref="G139:H139"/>
    <mergeCell ref="I139:O139"/>
    <mergeCell ref="A136:B136"/>
    <mergeCell ref="C136:D136"/>
    <mergeCell ref="E136:F136"/>
    <mergeCell ref="G136:H136"/>
    <mergeCell ref="I136:K136"/>
    <mergeCell ref="I134:K134"/>
    <mergeCell ref="M135:O135"/>
    <mergeCell ref="M136:O136"/>
    <mergeCell ref="C132:D132"/>
    <mergeCell ref="E132:F132"/>
    <mergeCell ref="G132:H132"/>
    <mergeCell ref="I132:K132"/>
    <mergeCell ref="C133:D133"/>
    <mergeCell ref="E133:F133"/>
    <mergeCell ref="G133:H133"/>
    <mergeCell ref="I133:K133"/>
    <mergeCell ref="E134:F134"/>
    <mergeCell ref="G134:H134"/>
    <mergeCell ref="C134:D134"/>
    <mergeCell ref="N130:O130"/>
    <mergeCell ref="I111:O112"/>
    <mergeCell ref="B113:E113"/>
    <mergeCell ref="I113:O113"/>
    <mergeCell ref="B114:H114"/>
    <mergeCell ref="I114:O115"/>
    <mergeCell ref="B115:H117"/>
    <mergeCell ref="I116:O117"/>
    <mergeCell ref="C118:G118"/>
    <mergeCell ref="A120:C120"/>
    <mergeCell ref="D120:E120"/>
    <mergeCell ref="F120:H120"/>
    <mergeCell ref="N126:O126"/>
    <mergeCell ref="B121:G121"/>
    <mergeCell ref="A135:B135"/>
    <mergeCell ref="C135:D135"/>
    <mergeCell ref="E135:F135"/>
    <mergeCell ref="G135:H135"/>
    <mergeCell ref="I135:K135"/>
    <mergeCell ref="A131:B131"/>
    <mergeCell ref="C131:G131"/>
    <mergeCell ref="A104:D104"/>
    <mergeCell ref="I104:O104"/>
    <mergeCell ref="A105:G108"/>
    <mergeCell ref="I105:O109"/>
    <mergeCell ref="A109:G110"/>
    <mergeCell ref="I110:O110"/>
    <mergeCell ref="B100:C100"/>
    <mergeCell ref="D100:F100"/>
    <mergeCell ref="G100:H100"/>
    <mergeCell ref="I100:J100"/>
    <mergeCell ref="K100:O100"/>
    <mergeCell ref="B101:C101"/>
    <mergeCell ref="D101:F101"/>
    <mergeCell ref="G101:H101"/>
    <mergeCell ref="I101:K101"/>
    <mergeCell ref="M101:O101"/>
    <mergeCell ref="B122:B123"/>
    <mergeCell ref="C122:D122"/>
    <mergeCell ref="E122:F122"/>
    <mergeCell ref="G122:H122"/>
    <mergeCell ref="I122:K122"/>
    <mergeCell ref="M122:O122"/>
    <mergeCell ref="N123:O123"/>
    <mergeCell ref="B99:C99"/>
    <mergeCell ref="D99:F99"/>
    <mergeCell ref="G99:H99"/>
    <mergeCell ref="I99:O99"/>
    <mergeCell ref="A95:B95"/>
    <mergeCell ref="C95:D95"/>
    <mergeCell ref="E95:F95"/>
    <mergeCell ref="G95:H95"/>
    <mergeCell ref="I95:K95"/>
    <mergeCell ref="A96:B96"/>
    <mergeCell ref="C96:D96"/>
    <mergeCell ref="E96:F96"/>
    <mergeCell ref="G96:H96"/>
    <mergeCell ref="I96:K96"/>
    <mergeCell ref="B102:C102"/>
    <mergeCell ref="D102:F102"/>
    <mergeCell ref="G102:H102"/>
    <mergeCell ref="I102:O102"/>
    <mergeCell ref="I82:K82"/>
    <mergeCell ref="M82:O82"/>
    <mergeCell ref="N83:O83"/>
    <mergeCell ref="B81:G81"/>
    <mergeCell ref="A91:B91"/>
    <mergeCell ref="C91:G91"/>
    <mergeCell ref="C94:D94"/>
    <mergeCell ref="E94:F94"/>
    <mergeCell ref="G94:H94"/>
    <mergeCell ref="C92:D92"/>
    <mergeCell ref="E92:F92"/>
    <mergeCell ref="G92:H92"/>
    <mergeCell ref="I92:K92"/>
    <mergeCell ref="A97:B97"/>
    <mergeCell ref="C97:D97"/>
    <mergeCell ref="E97:F97"/>
    <mergeCell ref="G97:H97"/>
    <mergeCell ref="I97:K97"/>
    <mergeCell ref="M97:O97"/>
    <mergeCell ref="B61:C61"/>
    <mergeCell ref="D61:F61"/>
    <mergeCell ref="C93:D93"/>
    <mergeCell ref="E93:F93"/>
    <mergeCell ref="G93:H93"/>
    <mergeCell ref="I93:K93"/>
    <mergeCell ref="N90:O90"/>
    <mergeCell ref="B20:C20"/>
    <mergeCell ref="C18:D18"/>
    <mergeCell ref="C17:D17"/>
    <mergeCell ref="G21:H21"/>
    <mergeCell ref="I21:J21"/>
    <mergeCell ref="K21:O21"/>
    <mergeCell ref="M18:O18"/>
    <mergeCell ref="G22:H22"/>
    <mergeCell ref="I22:K22"/>
    <mergeCell ref="M22:O22"/>
    <mergeCell ref="D20:F20"/>
    <mergeCell ref="E18:F18"/>
    <mergeCell ref="A57:B57"/>
    <mergeCell ref="C57:D57"/>
    <mergeCell ref="E57:F57"/>
    <mergeCell ref="I37:O38"/>
    <mergeCell ref="A26:G29"/>
    <mergeCell ref="I26:O30"/>
    <mergeCell ref="A30:G31"/>
    <mergeCell ref="G57:H57"/>
    <mergeCell ref="I57:K57"/>
    <mergeCell ref="J42:N42"/>
    <mergeCell ref="G18:H18"/>
    <mergeCell ref="I18:K18"/>
    <mergeCell ref="A80:C80"/>
    <mergeCell ref="G61:H61"/>
    <mergeCell ref="G54:H54"/>
    <mergeCell ref="I54:K54"/>
    <mergeCell ref="M55:O55"/>
    <mergeCell ref="M56:O56"/>
    <mergeCell ref="A1:C1"/>
    <mergeCell ref="F1:H1"/>
    <mergeCell ref="H2:I2"/>
    <mergeCell ref="J2:N2"/>
    <mergeCell ref="H12:I12"/>
    <mergeCell ref="J12:K12"/>
    <mergeCell ref="B3:B4"/>
    <mergeCell ref="C3:D3"/>
    <mergeCell ref="E3:F3"/>
    <mergeCell ref="G3:H3"/>
    <mergeCell ref="I3:K3"/>
    <mergeCell ref="C13:D13"/>
    <mergeCell ref="E13:F13"/>
    <mergeCell ref="G13:H13"/>
    <mergeCell ref="I13:K13"/>
    <mergeCell ref="M15:O15"/>
    <mergeCell ref="C15:D15"/>
    <mergeCell ref="E15:F15"/>
    <mergeCell ref="G15:H15"/>
    <mergeCell ref="D1:E1"/>
    <mergeCell ref="M3:O3"/>
    <mergeCell ref="N4:O4"/>
    <mergeCell ref="I16:K16"/>
    <mergeCell ref="E17:F17"/>
    <mergeCell ref="G17:H17"/>
    <mergeCell ref="I17:K17"/>
    <mergeCell ref="N11:O11"/>
    <mergeCell ref="A17:B17"/>
    <mergeCell ref="M17:O17"/>
    <mergeCell ref="M16:O16"/>
    <mergeCell ref="G20:H20"/>
    <mergeCell ref="Q1:S1"/>
    <mergeCell ref="T1:U1"/>
    <mergeCell ref="V1:X1"/>
    <mergeCell ref="X2:Y2"/>
    <mergeCell ref="Z2:AD2"/>
    <mergeCell ref="A12:B12"/>
    <mergeCell ref="C12:G12"/>
    <mergeCell ref="N7:O7"/>
    <mergeCell ref="B2:G2"/>
    <mergeCell ref="R2:W2"/>
    <mergeCell ref="I55:K55"/>
    <mergeCell ref="C14:D14"/>
    <mergeCell ref="E14:F14"/>
    <mergeCell ref="G14:H14"/>
    <mergeCell ref="I14:K14"/>
    <mergeCell ref="A18:B18"/>
    <mergeCell ref="B21:C21"/>
    <mergeCell ref="C43:D43"/>
    <mergeCell ref="E43:F43"/>
    <mergeCell ref="G43:H43"/>
    <mergeCell ref="I43:K43"/>
    <mergeCell ref="R3:R4"/>
    <mergeCell ref="S3:T3"/>
    <mergeCell ref="U3:V3"/>
    <mergeCell ref="W3:X3"/>
    <mergeCell ref="Y3:AA3"/>
    <mergeCell ref="AC3:AE3"/>
    <mergeCell ref="AD4:AE4"/>
    <mergeCell ref="E55:F55"/>
    <mergeCell ref="G55:H55"/>
    <mergeCell ref="S55:T55"/>
    <mergeCell ref="U55:V55"/>
    <mergeCell ref="W55:X55"/>
    <mergeCell ref="I15:K15"/>
    <mergeCell ref="AS56:AU56"/>
    <mergeCell ref="I25:O25"/>
    <mergeCell ref="I53:K53"/>
    <mergeCell ref="D23:F23"/>
    <mergeCell ref="C39:G39"/>
    <mergeCell ref="A25:D25"/>
    <mergeCell ref="C53:D53"/>
    <mergeCell ref="E53:F53"/>
    <mergeCell ref="G53:H53"/>
    <mergeCell ref="AK54:AL54"/>
    <mergeCell ref="AM54:AN54"/>
    <mergeCell ref="AO54:AQ54"/>
    <mergeCell ref="AS55:AU55"/>
    <mergeCell ref="U17:V17"/>
    <mergeCell ref="Y22:AA22"/>
    <mergeCell ref="AC22:AE22"/>
    <mergeCell ref="A56:B56"/>
    <mergeCell ref="C56:D56"/>
    <mergeCell ref="G16:H16"/>
    <mergeCell ref="I20:O20"/>
    <mergeCell ref="C16:D16"/>
    <mergeCell ref="E16:F16"/>
    <mergeCell ref="AK53:AL53"/>
    <mergeCell ref="AM53:AN53"/>
    <mergeCell ref="AO53:AQ53"/>
    <mergeCell ref="A16:B16"/>
    <mergeCell ref="I60:O60"/>
    <mergeCell ref="I56:K56"/>
    <mergeCell ref="I62:K62"/>
    <mergeCell ref="M62:O62"/>
    <mergeCell ref="I32:O33"/>
    <mergeCell ref="I34:O34"/>
    <mergeCell ref="R22:S22"/>
    <mergeCell ref="T22:V22"/>
    <mergeCell ref="W22:X22"/>
    <mergeCell ref="AI55:AJ55"/>
    <mergeCell ref="AK55:AL55"/>
    <mergeCell ref="AM55:AN55"/>
    <mergeCell ref="M43:O43"/>
    <mergeCell ref="N44:O44"/>
    <mergeCell ref="I31:O31"/>
    <mergeCell ref="AC56:AE56"/>
    <mergeCell ref="Y32:AE33"/>
    <mergeCell ref="R34:U34"/>
    <mergeCell ref="Y34:AE34"/>
    <mergeCell ref="R35:X35"/>
    <mergeCell ref="Y35:AE36"/>
    <mergeCell ref="R36:X38"/>
    <mergeCell ref="Y37:AE38"/>
    <mergeCell ref="S39:W39"/>
    <mergeCell ref="Q41:S41"/>
    <mergeCell ref="T41:U41"/>
    <mergeCell ref="V41:X41"/>
    <mergeCell ref="W53:X53"/>
    <mergeCell ref="Y53:AA53"/>
    <mergeCell ref="R42:W42"/>
    <mergeCell ref="Y57:AA57"/>
    <mergeCell ref="AC57:AE57"/>
    <mergeCell ref="A58:B58"/>
    <mergeCell ref="C58:D58"/>
    <mergeCell ref="E58:F58"/>
    <mergeCell ref="G58:H58"/>
    <mergeCell ref="I58:K58"/>
    <mergeCell ref="I35:O36"/>
    <mergeCell ref="G23:H23"/>
    <mergeCell ref="I23:O23"/>
    <mergeCell ref="D21:F21"/>
    <mergeCell ref="D22:F22"/>
    <mergeCell ref="E56:F56"/>
    <mergeCell ref="G56:H56"/>
    <mergeCell ref="H42:I42"/>
    <mergeCell ref="N51:O51"/>
    <mergeCell ref="G60:H60"/>
    <mergeCell ref="M58:O58"/>
    <mergeCell ref="B42:G42"/>
    <mergeCell ref="N47:O47"/>
    <mergeCell ref="A52:B52"/>
    <mergeCell ref="C52:G52"/>
    <mergeCell ref="B60:C60"/>
    <mergeCell ref="D60:F60"/>
    <mergeCell ref="B34:E34"/>
    <mergeCell ref="B35:H35"/>
    <mergeCell ref="B36:H38"/>
    <mergeCell ref="M57:O57"/>
    <mergeCell ref="A41:C41"/>
    <mergeCell ref="D41:E41"/>
    <mergeCell ref="F41:H41"/>
    <mergeCell ref="B22:C22"/>
    <mergeCell ref="B23:C23"/>
    <mergeCell ref="C55:D55"/>
    <mergeCell ref="AT90:AU90"/>
    <mergeCell ref="AO94:AQ94"/>
    <mergeCell ref="AS95:AU95"/>
    <mergeCell ref="AS96:AU96"/>
    <mergeCell ref="S92:T92"/>
    <mergeCell ref="M134:O134"/>
    <mergeCell ref="I151:O152"/>
    <mergeCell ref="R100:S100"/>
    <mergeCell ref="T100:V100"/>
    <mergeCell ref="W100:X100"/>
    <mergeCell ref="Y100:Z100"/>
    <mergeCell ref="AA100:AE100"/>
    <mergeCell ref="R101:S101"/>
    <mergeCell ref="T101:V101"/>
    <mergeCell ref="W101:X101"/>
    <mergeCell ref="Y101:AA101"/>
    <mergeCell ref="AC101:AE101"/>
    <mergeCell ref="Q97:R97"/>
    <mergeCell ref="H121:I121"/>
    <mergeCell ref="U92:V92"/>
    <mergeCell ref="J121:N121"/>
    <mergeCell ref="S97:T97"/>
    <mergeCell ref="U97:V97"/>
    <mergeCell ref="W97:X97"/>
    <mergeCell ref="S93:T93"/>
    <mergeCell ref="U93:V93"/>
    <mergeCell ref="W93:X93"/>
    <mergeCell ref="Y92:AA92"/>
    <mergeCell ref="AC94:AE94"/>
    <mergeCell ref="Q95:R95"/>
    <mergeCell ref="S95:T95"/>
    <mergeCell ref="U95:V95"/>
    <mergeCell ref="U96:V96"/>
    <mergeCell ref="W96:X96"/>
    <mergeCell ref="Y96:AA96"/>
    <mergeCell ref="C78:G78"/>
    <mergeCell ref="I64:O64"/>
    <mergeCell ref="B73:E73"/>
    <mergeCell ref="I73:O73"/>
    <mergeCell ref="B74:H74"/>
    <mergeCell ref="I74:O75"/>
    <mergeCell ref="B75:H77"/>
    <mergeCell ref="I76:O77"/>
    <mergeCell ref="A65:G68"/>
    <mergeCell ref="I65:O69"/>
    <mergeCell ref="A69:G70"/>
    <mergeCell ref="I70:O70"/>
    <mergeCell ref="I71:O72"/>
    <mergeCell ref="R81:W81"/>
    <mergeCell ref="W92:X92"/>
    <mergeCell ref="Y93:AA93"/>
    <mergeCell ref="A64:D64"/>
    <mergeCell ref="I94:K94"/>
    <mergeCell ref="M95:O95"/>
    <mergeCell ref="M96:O96"/>
    <mergeCell ref="M94:O94"/>
    <mergeCell ref="D80:E80"/>
    <mergeCell ref="F80:H80"/>
    <mergeCell ref="H81:I81"/>
    <mergeCell ref="J81:N81"/>
    <mergeCell ref="B82:B83"/>
    <mergeCell ref="C82:D82"/>
    <mergeCell ref="E82:F82"/>
    <mergeCell ref="G82:H82"/>
    <mergeCell ref="B63:C63"/>
    <mergeCell ref="D63:F63"/>
    <mergeCell ref="G63:H63"/>
    <mergeCell ref="I63:O63"/>
    <mergeCell ref="Q18:R18"/>
    <mergeCell ref="S18:T18"/>
    <mergeCell ref="S54:T54"/>
    <mergeCell ref="U54:V54"/>
    <mergeCell ref="W54:X54"/>
    <mergeCell ref="Y54:AA54"/>
    <mergeCell ref="AC55:AE55"/>
    <mergeCell ref="AM18:AN18"/>
    <mergeCell ref="AO18:AQ18"/>
    <mergeCell ref="AS18:AU18"/>
    <mergeCell ref="AH20:AI20"/>
    <mergeCell ref="AJ20:AL20"/>
    <mergeCell ref="AM20:AN20"/>
    <mergeCell ref="U18:V18"/>
    <mergeCell ref="W18:X18"/>
    <mergeCell ref="Y18:AA18"/>
    <mergeCell ref="AG58:AH58"/>
    <mergeCell ref="AI58:AJ58"/>
    <mergeCell ref="AK58:AL58"/>
    <mergeCell ref="AM58:AN58"/>
    <mergeCell ref="AO58:AQ58"/>
    <mergeCell ref="AS58:AU58"/>
    <mergeCell ref="AI53:AJ53"/>
    <mergeCell ref="C54:D54"/>
    <mergeCell ref="E54:F54"/>
    <mergeCell ref="I61:J61"/>
    <mergeCell ref="K61:O61"/>
    <mergeCell ref="B43:B44"/>
    <mergeCell ref="C174:D174"/>
    <mergeCell ref="E174:F174"/>
    <mergeCell ref="G174:H174"/>
    <mergeCell ref="S174:T174"/>
    <mergeCell ref="U174:V174"/>
    <mergeCell ref="W174:X174"/>
    <mergeCell ref="AI174:AJ174"/>
    <mergeCell ref="AK174:AL174"/>
    <mergeCell ref="AM174:AN174"/>
    <mergeCell ref="AY174:AZ174"/>
    <mergeCell ref="BA174:BB174"/>
    <mergeCell ref="BC174:BD174"/>
    <mergeCell ref="S94:T94"/>
    <mergeCell ref="U94:V94"/>
    <mergeCell ref="W94:X94"/>
    <mergeCell ref="AI94:AJ94"/>
    <mergeCell ref="AK94:AL94"/>
    <mergeCell ref="AM94:AN94"/>
    <mergeCell ref="AY94:AZ94"/>
    <mergeCell ref="BA94:BB94"/>
    <mergeCell ref="BC94:BD94"/>
    <mergeCell ref="B161:G161"/>
    <mergeCell ref="R161:W161"/>
    <mergeCell ref="AH161:AM161"/>
    <mergeCell ref="AX161:BC161"/>
    <mergeCell ref="N170:O170"/>
    <mergeCell ref="AD170:AE170"/>
    <mergeCell ref="AT170:AU170"/>
    <mergeCell ref="W95:X95"/>
    <mergeCell ref="Y95:AA95"/>
    <mergeCell ref="Q96:R96"/>
    <mergeCell ref="S96:T96"/>
  </mergeCells>
  <conditionalFormatting sqref="K5:K10">
    <cfRule type="cellIs" dxfId="309" priority="119" operator="lessThan">
      <formula>J5</formula>
    </cfRule>
    <cfRule type="cellIs" dxfId="308" priority="120" operator="lessThan">
      <formula>K5</formula>
    </cfRule>
  </conditionalFormatting>
  <conditionalFormatting sqref="K45:K50 AA45:AA50 AQ45:AQ50 BG45:BG50">
    <cfRule type="cellIs" dxfId="307" priority="5" operator="lessThan">
      <formula>J45</formula>
    </cfRule>
    <cfRule type="cellIs" dxfId="306" priority="6" operator="lessThan">
      <formula>K45</formula>
    </cfRule>
  </conditionalFormatting>
  <conditionalFormatting sqref="K84:K89 AA84:AA89 AQ84:AQ89 BG84:BG89 K124:K129 AA124:AA129 AQ124:AQ129 BG124:BG129 K164:K169 AA164:AA169 AQ164:AQ169 BG164:BG169">
    <cfRule type="cellIs" dxfId="305" priority="1" operator="lessThan">
      <formula>J84</formula>
    </cfRule>
    <cfRule type="cellIs" dxfId="304" priority="2" operator="lessThan">
      <formula>K84</formula>
    </cfRule>
  </conditionalFormatting>
  <conditionalFormatting sqref="AA5:AA10">
    <cfRule type="cellIs" dxfId="303" priority="13" operator="lessThan">
      <formula>Z5</formula>
    </cfRule>
    <cfRule type="cellIs" dxfId="302" priority="14" operator="lessThan">
      <formula>AA5</formula>
    </cfRule>
  </conditionalFormatting>
  <conditionalFormatting sqref="AQ5:AQ10 BG5:BG10">
    <cfRule type="cellIs" dxfId="301" priority="9" operator="lessThan">
      <formula>AP5</formula>
    </cfRule>
    <cfRule type="cellIs" dxfId="300" priority="10" operator="lessThan">
      <formula>AQ5</formula>
    </cfRule>
  </conditionalFormatting>
  <dataValidations count="1">
    <dataValidation type="list" showDropDown="1" showInputMessage="1" showErrorMessage="1" sqref="A1:K4 A19:K44 P1:P1048576 M173:O1048576 A59:K83 AB5:AB18 AS54:AU58 A138:K163 A98:K123 AB84:AB97 A178:K1048576 AB164:AB177 AR124:AR137 BN2:BN1048576 AR5:AR18 BO1:BX1048576 O2:O4 BH5:BH18 M1:N4 AF1:AF1048576 Q1:AE4 AC14:AE18 AV1:AV1048576 AG1:AU4 AC54:AE58 AS14:AU18 BL1:BM1048576 AW1:BK4 BI14:BK18 BI54:BK58 M14:O44 Q19:AE44 AB45:AB58 AG19:AU44 AR45:AR58 AW19:BK44 AR84:AR97 BH45:BH58 BH84:BH97 M54:O83 Q59:AE83 AC93:AE97 AG59:AU83 AB124:AB137 AS93:AU97 AW59:BK83 BI93:BK97 BH124:BH137 M93:O123 Q98:AE123 AC133:AE137 AG98:AU123 AS133:AU137 AW98:BK123 AR164:AR177 BI133:BK137 L1:L1048576 M133:O163 Q138:AE163 Q178:AE1048576 AC173:AE177 AG138:AU163 AG178:AU1048576 AS173:AU177 AW138:BK163 AW178:BK1048576 BI173:BK177 BH164:BH177" xr:uid="{00000000-0002-0000-0300-000000000000}">
      <formula1>"&amp;&amp;&amp;&amp;&amp;&amp;&amp;&amp;&amp;&amp;&amp;&amp;&amp;&amp;&amp;########@@@@@@@@@@@@@"</formula1>
    </dataValidation>
  </dataValidations>
  <printOptions horizontalCentered="1" verticalCentered="1"/>
  <pageMargins left="0" right="0" top="3.937007874015748E-2" bottom="3.937007874015748E-2" header="0" footer="0.11811023622047245"/>
  <pageSetup paperSize="9" orientation="portrait" horizontalDpi="300" verticalDpi="300" r:id="rId1"/>
  <rowBreaks count="4" manualBreakCount="4">
    <brk id="39" max="16383" man="1"/>
    <brk id="79" max="16383" man="1"/>
    <brk id="119" max="16383" man="1"/>
    <brk id="158" max="16383" man="1"/>
  </rowBreaks>
  <colBreaks count="2" manualBreakCount="2">
    <brk id="15" max="1048575" man="1"/>
    <brk id="31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-0.499984740745262"/>
  </sheetPr>
  <dimension ref="A1:AP1394"/>
  <sheetViews>
    <sheetView showZeros="0" rightToLeft="1" view="pageBreakPreview" zoomScale="130" zoomScaleNormal="100" zoomScaleSheetLayoutView="130" workbookViewId="0">
      <selection activeCell="E4" sqref="E4:X4"/>
    </sheetView>
  </sheetViews>
  <sheetFormatPr defaultColWidth="8.8984375" defaultRowHeight="13.8" x14ac:dyDescent="0.25"/>
  <cols>
    <col min="1" max="1" width="3.3984375" style="4" customWidth="1"/>
    <col min="2" max="2" width="12.8984375" style="198" customWidth="1"/>
    <col min="3" max="3" width="5" style="276" customWidth="1"/>
    <col min="4" max="4" width="8.19921875" style="15" customWidth="1"/>
    <col min="5" max="5" width="3.19921875" style="69" customWidth="1"/>
    <col min="6" max="6" width="2.59765625" style="1" customWidth="1"/>
    <col min="7" max="7" width="2.8984375" style="16" customWidth="1"/>
    <col min="8" max="8" width="2.59765625" style="1" customWidth="1"/>
    <col min="9" max="9" width="3.09765625" style="16" customWidth="1"/>
    <col min="10" max="10" width="2.59765625" style="1" customWidth="1"/>
    <col min="11" max="11" width="3.3984375" style="16" customWidth="1"/>
    <col min="12" max="12" width="2.59765625" style="1" customWidth="1"/>
    <col min="13" max="13" width="3.19921875" style="16" customWidth="1"/>
    <col min="14" max="14" width="2.59765625" style="1" customWidth="1"/>
    <col min="15" max="15" width="3.19921875" style="16" customWidth="1"/>
    <col min="16" max="16" width="2.59765625" style="1" customWidth="1"/>
    <col min="17" max="17" width="3.19921875" style="16" customWidth="1"/>
    <col min="18" max="18" width="5.3984375" style="1" customWidth="1"/>
    <col min="19" max="22" width="4.19921875" style="1" customWidth="1"/>
    <col min="23" max="23" width="7.19921875" style="1" customWidth="1"/>
    <col min="24" max="24" width="4.8984375" style="255" customWidth="1"/>
    <col min="25" max="25" width="7.59765625" style="7" customWidth="1"/>
    <col min="26" max="39" width="8.8984375" style="1" customWidth="1"/>
    <col min="40" max="41" width="8.8984375" style="1"/>
    <col min="42" max="42" width="23.69921875" style="1" customWidth="1"/>
    <col min="43" max="43" width="8.8984375" style="1" customWidth="1"/>
    <col min="44" max="16384" width="8.8984375" style="1"/>
  </cols>
  <sheetData>
    <row r="1" spans="1:42" ht="19.95" customHeight="1" x14ac:dyDescent="0.25">
      <c r="A1" s="587" t="str">
        <f>ادخال1!A2</f>
        <v>دولة ليبيا</v>
      </c>
      <c r="B1" s="587"/>
      <c r="C1" s="587"/>
      <c r="D1" s="587" t="str">
        <f>ادخال1!D2</f>
        <v xml:space="preserve">كشف رصد النتائج النهائية للصف الثالث من مرحلة التعليم الاساسي  </v>
      </c>
      <c r="E1" s="587"/>
      <c r="F1" s="587"/>
      <c r="G1" s="587"/>
      <c r="H1" s="587"/>
      <c r="I1" s="587"/>
      <c r="J1" s="587"/>
      <c r="K1" s="587"/>
      <c r="L1" s="587"/>
      <c r="M1" s="587"/>
      <c r="N1" s="587"/>
      <c r="O1" s="587"/>
      <c r="P1" s="587"/>
      <c r="Q1" s="587"/>
      <c r="R1" s="587"/>
      <c r="S1" s="587"/>
      <c r="T1" s="587"/>
      <c r="U1" s="587"/>
      <c r="V1" s="587"/>
      <c r="W1" s="587"/>
      <c r="X1" s="587"/>
      <c r="Y1" s="22"/>
      <c r="Z1" s="22"/>
      <c r="AC1" s="1">
        <f>SUM(G6,I6,K6,M6,O6,Q6)</f>
        <v>252</v>
      </c>
    </row>
    <row r="2" spans="1:42" ht="14.25" customHeight="1" x14ac:dyDescent="0.25">
      <c r="A2" s="587" t="str">
        <f>ادخال1!A3</f>
        <v>وزارة التعليم</v>
      </c>
      <c r="B2" s="587"/>
      <c r="C2" s="587"/>
      <c r="D2" s="144">
        <f>ادخال1!D3</f>
        <v>0</v>
      </c>
      <c r="E2" s="17">
        <f>ادخال1!E3</f>
        <v>0</v>
      </c>
      <c r="F2" s="17">
        <f>ادخال1!F3</f>
        <v>0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588" t="str">
        <f>ادخال1!M3</f>
        <v>مكتب الامتحانات بمنطقة / تاجوراء</v>
      </c>
      <c r="T2" s="588"/>
      <c r="U2" s="588"/>
      <c r="V2" s="588"/>
      <c r="W2" s="588"/>
      <c r="X2" s="588"/>
      <c r="AC2" s="1">
        <f>SUM(G8,I8,K8,M8,O8,Q8)</f>
        <v>336</v>
      </c>
    </row>
    <row r="3" spans="1:42" ht="19.95" customHeight="1" x14ac:dyDescent="0.25">
      <c r="A3" s="587" t="str">
        <f>ادخال1!A4</f>
        <v>المركز الوطني للامتحانات</v>
      </c>
      <c r="B3" s="587"/>
      <c r="C3" s="587"/>
      <c r="D3" s="589" t="str">
        <f>ادخال1!D4</f>
        <v>المرحلة/</v>
      </c>
      <c r="E3" s="589"/>
      <c r="F3" s="587" t="str">
        <f>ادخال1!E4</f>
        <v>التعليم الاساسي</v>
      </c>
      <c r="G3" s="587"/>
      <c r="H3" s="587"/>
      <c r="I3" s="587"/>
      <c r="J3" s="24">
        <f>ادخال1!H4</f>
        <v>0</v>
      </c>
      <c r="K3" s="24"/>
      <c r="L3" s="24"/>
      <c r="M3" s="24"/>
      <c r="N3" s="24"/>
      <c r="O3" s="24"/>
      <c r="P3" s="24"/>
      <c r="Q3" s="24"/>
      <c r="R3" s="590" t="s">
        <v>161</v>
      </c>
      <c r="S3" s="590"/>
      <c r="T3" s="590"/>
      <c r="U3" s="337"/>
      <c r="V3" s="591" t="str">
        <f>ادخال1!L4</f>
        <v>الثالث</v>
      </c>
      <c r="W3" s="591"/>
      <c r="X3" s="252"/>
      <c r="Y3" s="23"/>
      <c r="Z3" s="23"/>
      <c r="AC3" s="1">
        <f>SUM(G9,I9,K9,M9,O9,Q9)</f>
        <v>840</v>
      </c>
    </row>
    <row r="4" spans="1:42" ht="19.5" customHeight="1" thickBot="1" x14ac:dyDescent="0.3">
      <c r="A4" s="264" t="str">
        <f>ادخال1!A5</f>
        <v>المدرسة/</v>
      </c>
      <c r="B4" s="643" t="str">
        <f>ادخال1!B5</f>
        <v>سهول العلم للتعليم الخاص</v>
      </c>
      <c r="C4" s="643"/>
      <c r="D4" s="643"/>
      <c r="E4" s="644" t="str">
        <f>ادخال1!E5</f>
        <v>العام الدراسي 1446 - 1447 هجرية/ الموافق :  20254 - 2026 ميلادية   مكتب الامتحانات بمنطقة / تاجوراء</v>
      </c>
      <c r="F4" s="644"/>
      <c r="G4" s="644"/>
      <c r="H4" s="644"/>
      <c r="I4" s="644"/>
      <c r="J4" s="644"/>
      <c r="K4" s="644"/>
      <c r="L4" s="644"/>
      <c r="M4" s="644"/>
      <c r="N4" s="644"/>
      <c r="O4" s="644"/>
      <c r="P4" s="644"/>
      <c r="Q4" s="644"/>
      <c r="R4" s="644"/>
      <c r="S4" s="644"/>
      <c r="T4" s="644"/>
      <c r="U4" s="644"/>
      <c r="V4" s="644"/>
      <c r="W4" s="644"/>
      <c r="X4" s="644"/>
      <c r="Y4" s="23"/>
      <c r="Z4" s="23"/>
    </row>
    <row r="5" spans="1:42" ht="17.100000000000001" customHeight="1" thickBot="1" x14ac:dyDescent="0.3">
      <c r="A5" s="645" t="s">
        <v>1</v>
      </c>
      <c r="B5" s="648" t="s">
        <v>0</v>
      </c>
      <c r="C5" s="651" t="s">
        <v>27</v>
      </c>
      <c r="D5" s="653" t="s">
        <v>28</v>
      </c>
      <c r="E5" s="125" t="s">
        <v>13</v>
      </c>
      <c r="F5" s="655" t="s">
        <v>2</v>
      </c>
      <c r="G5" s="656"/>
      <c r="H5" s="657"/>
      <c r="I5" s="656"/>
      <c r="J5" s="657"/>
      <c r="K5" s="656"/>
      <c r="L5" s="656"/>
      <c r="M5" s="656"/>
      <c r="N5" s="657"/>
      <c r="O5" s="656"/>
      <c r="P5" s="657"/>
      <c r="Q5" s="656"/>
      <c r="R5" s="657"/>
      <c r="S5" s="658"/>
      <c r="T5" s="658"/>
      <c r="U5" s="336"/>
      <c r="V5" s="12"/>
      <c r="W5" s="12"/>
      <c r="X5" s="253"/>
      <c r="Y5" s="9"/>
      <c r="Z5" s="631" t="s">
        <v>89</v>
      </c>
      <c r="AN5" s="704" t="s">
        <v>112</v>
      </c>
      <c r="AO5" s="704"/>
      <c r="AP5" s="704"/>
    </row>
    <row r="6" spans="1:42" ht="18" customHeight="1" x14ac:dyDescent="0.25">
      <c r="A6" s="646"/>
      <c r="B6" s="649"/>
      <c r="C6" s="652"/>
      <c r="D6" s="654"/>
      <c r="E6" s="126" t="s">
        <v>21</v>
      </c>
      <c r="F6" s="14">
        <f>ادخال1!F7</f>
        <v>3</v>
      </c>
      <c r="G6" s="95">
        <f>F6*0.3*40</f>
        <v>36</v>
      </c>
      <c r="H6" s="14">
        <f>ادخال1!G7</f>
        <v>6</v>
      </c>
      <c r="I6" s="95">
        <f>H6*0.3*40</f>
        <v>72</v>
      </c>
      <c r="J6" s="14">
        <f>ادخال1!H7</f>
        <v>3</v>
      </c>
      <c r="K6" s="95">
        <f>J6*0.3*40</f>
        <v>36</v>
      </c>
      <c r="L6" s="14">
        <f>ادخال1!I7</f>
        <v>1</v>
      </c>
      <c r="M6" s="95">
        <f>L6*0.3*40</f>
        <v>12</v>
      </c>
      <c r="N6" s="14">
        <f>ادخال1!J7</f>
        <v>5</v>
      </c>
      <c r="O6" s="95">
        <f>N6*0.3*40</f>
        <v>60</v>
      </c>
      <c r="P6" s="14">
        <f>ادخال1!K7</f>
        <v>3</v>
      </c>
      <c r="Q6" s="95">
        <f>P6*0.3*40</f>
        <v>36</v>
      </c>
      <c r="R6" s="632" t="str">
        <f>ادخال1!L7</f>
        <v xml:space="preserve">المجموع </v>
      </c>
      <c r="S6" s="13">
        <f>ادخال1!M7</f>
        <v>1</v>
      </c>
      <c r="T6" s="222">
        <f>ادخال1!N7</f>
        <v>2</v>
      </c>
      <c r="U6" s="5">
        <f>ادخال1!Z7</f>
        <v>1</v>
      </c>
      <c r="V6" s="634" t="s">
        <v>29</v>
      </c>
      <c r="W6" s="636" t="s">
        <v>3</v>
      </c>
      <c r="X6" s="637" t="s">
        <v>26</v>
      </c>
      <c r="Y6" s="9"/>
      <c r="Z6" s="631"/>
      <c r="AC6" s="1">
        <v>0</v>
      </c>
      <c r="AD6" s="1" t="s">
        <v>7</v>
      </c>
      <c r="AF6" s="1">
        <v>0</v>
      </c>
      <c r="AG6" s="1" t="s">
        <v>7</v>
      </c>
      <c r="AI6" s="1">
        <v>0</v>
      </c>
      <c r="AJ6" s="1" t="s">
        <v>7</v>
      </c>
      <c r="AN6" s="704"/>
      <c r="AO6" s="704"/>
      <c r="AP6" s="704"/>
    </row>
    <row r="7" spans="1:42" ht="21" customHeight="1" x14ac:dyDescent="0.25">
      <c r="A7" s="646"/>
      <c r="B7" s="649"/>
      <c r="C7" s="652"/>
      <c r="D7" s="654"/>
      <c r="E7" s="127" t="s">
        <v>22</v>
      </c>
      <c r="F7" s="627" t="str">
        <f>ادخال1!F9</f>
        <v>التربية الإسلامية</v>
      </c>
      <c r="G7" s="95">
        <f>F6*0.3*40</f>
        <v>36</v>
      </c>
      <c r="H7" s="627" t="str">
        <f>ادخال1!G9</f>
        <v>اللغة العربية</v>
      </c>
      <c r="I7" s="95">
        <f>H6*0.3*40</f>
        <v>72</v>
      </c>
      <c r="J7" s="627" t="str">
        <f>ادخال1!H9</f>
        <v>اللغة الإنجليزية</v>
      </c>
      <c r="K7" s="95">
        <f>J6*0.3*40</f>
        <v>36</v>
      </c>
      <c r="L7" s="627" t="str">
        <f>ادخال1!I9</f>
        <v>الحاسوب</v>
      </c>
      <c r="M7" s="95">
        <f>L6*0.3*40</f>
        <v>12</v>
      </c>
      <c r="N7" s="627" t="str">
        <f>ادخال1!J9</f>
        <v>الرياضيات</v>
      </c>
      <c r="O7" s="95">
        <f>N6*0.3*40</f>
        <v>60</v>
      </c>
      <c r="P7" s="627" t="str">
        <f>ادخال1!K9</f>
        <v>العلوم</v>
      </c>
      <c r="Q7" s="95">
        <f>P6*0.3*40</f>
        <v>36</v>
      </c>
      <c r="R7" s="633"/>
      <c r="S7" s="629" t="str">
        <f>ادخال1!M8</f>
        <v>التربية الفنية</v>
      </c>
      <c r="T7" s="630" t="str">
        <f>ادخال1!N8</f>
        <v>التربية البدنية</v>
      </c>
      <c r="U7" s="659" t="str">
        <f>ادخال1!Z8</f>
        <v>مكتبة</v>
      </c>
      <c r="V7" s="635"/>
      <c r="W7" s="628"/>
      <c r="X7" s="638"/>
      <c r="Y7" s="9"/>
      <c r="Z7" s="631"/>
      <c r="AC7" s="1">
        <f>0.4*AC1</f>
        <v>100.80000000000001</v>
      </c>
      <c r="AD7" s="1" t="s">
        <v>4</v>
      </c>
      <c r="AF7" s="1">
        <f>0.4*AC2</f>
        <v>134.4</v>
      </c>
      <c r="AG7" s="1" t="s">
        <v>4</v>
      </c>
      <c r="AI7" s="1">
        <f>0.4*AC3</f>
        <v>336</v>
      </c>
      <c r="AJ7" s="1" t="s">
        <v>4</v>
      </c>
      <c r="AN7" s="704"/>
      <c r="AO7" s="704"/>
      <c r="AP7" s="704"/>
    </row>
    <row r="8" spans="1:42" ht="21" customHeight="1" x14ac:dyDescent="0.25">
      <c r="A8" s="646"/>
      <c r="B8" s="649"/>
      <c r="C8" s="652"/>
      <c r="D8" s="654"/>
      <c r="E8" s="127" t="s">
        <v>23</v>
      </c>
      <c r="F8" s="628"/>
      <c r="G8" s="95">
        <f>F6*0.4*40</f>
        <v>48.000000000000007</v>
      </c>
      <c r="H8" s="628"/>
      <c r="I8" s="95">
        <f>H6*0.4*40</f>
        <v>96.000000000000014</v>
      </c>
      <c r="J8" s="628"/>
      <c r="K8" s="95">
        <f>J6*0.4*40</f>
        <v>48.000000000000007</v>
      </c>
      <c r="L8" s="628"/>
      <c r="M8" s="95">
        <f>L6*0.4*40</f>
        <v>16</v>
      </c>
      <c r="N8" s="628"/>
      <c r="O8" s="95">
        <f>N6*0.4*40</f>
        <v>80</v>
      </c>
      <c r="P8" s="628"/>
      <c r="Q8" s="95">
        <f>P6*0.4*40</f>
        <v>48.000000000000007</v>
      </c>
      <c r="R8" s="633"/>
      <c r="S8" s="629"/>
      <c r="T8" s="630"/>
      <c r="U8" s="659"/>
      <c r="V8" s="635"/>
      <c r="W8" s="628"/>
      <c r="X8" s="638"/>
      <c r="Y8" s="9"/>
      <c r="Z8" s="631"/>
      <c r="AC8" s="1">
        <f>0.65*AC1</f>
        <v>163.80000000000001</v>
      </c>
      <c r="AD8" s="1" t="s">
        <v>5</v>
      </c>
      <c r="AF8" s="1">
        <f>0.65*AC2</f>
        <v>218.4</v>
      </c>
      <c r="AG8" s="1" t="s">
        <v>5</v>
      </c>
      <c r="AI8" s="1">
        <f>0.65*AC3</f>
        <v>546</v>
      </c>
      <c r="AJ8" s="1" t="s">
        <v>5</v>
      </c>
      <c r="AN8" s="704"/>
      <c r="AO8" s="704"/>
      <c r="AP8" s="704"/>
    </row>
    <row r="9" spans="1:42" ht="12.75" customHeight="1" thickBot="1" x14ac:dyDescent="0.3">
      <c r="A9" s="647"/>
      <c r="B9" s="650"/>
      <c r="C9" s="652"/>
      <c r="D9" s="654"/>
      <c r="E9" s="128" t="s">
        <v>24</v>
      </c>
      <c r="F9" s="628"/>
      <c r="G9" s="96">
        <f>SUM(G6:G8)</f>
        <v>120</v>
      </c>
      <c r="H9" s="628"/>
      <c r="I9" s="96">
        <f>SUM(I6:I8)</f>
        <v>240</v>
      </c>
      <c r="J9" s="628"/>
      <c r="K9" s="96">
        <f>SUM(K6:K8)</f>
        <v>120</v>
      </c>
      <c r="L9" s="628"/>
      <c r="M9" s="96">
        <f>SUM(M6:M8)</f>
        <v>40</v>
      </c>
      <c r="N9" s="628"/>
      <c r="O9" s="96">
        <f>SUM(O6:O8)</f>
        <v>200</v>
      </c>
      <c r="P9" s="628"/>
      <c r="Q9" s="96">
        <f>SUM(Q6:Q8)</f>
        <v>120</v>
      </c>
      <c r="R9" s="633"/>
      <c r="S9" s="365" t="str">
        <f>ادخال1!M10</f>
        <v>تقديرات</v>
      </c>
      <c r="T9" s="367" t="str">
        <f>ادخال1!N10</f>
        <v>تقديرات</v>
      </c>
      <c r="U9" s="366" t="str">
        <f>ادخال1!O10</f>
        <v>تقديرات</v>
      </c>
      <c r="V9" s="635"/>
      <c r="W9" s="628"/>
      <c r="X9" s="638"/>
      <c r="Y9" s="9"/>
      <c r="Z9" s="631"/>
      <c r="AC9" s="1">
        <f>0.75*AC1</f>
        <v>189</v>
      </c>
      <c r="AD9" s="1" t="s">
        <v>104</v>
      </c>
      <c r="AF9" s="1">
        <f>0.75*AC2</f>
        <v>252</v>
      </c>
      <c r="AG9" s="1" t="s">
        <v>104</v>
      </c>
      <c r="AI9" s="1">
        <f>0.75*AC3</f>
        <v>630</v>
      </c>
      <c r="AJ9" s="1" t="s">
        <v>104</v>
      </c>
      <c r="AN9" s="704"/>
      <c r="AO9" s="704"/>
      <c r="AP9" s="704"/>
    </row>
    <row r="10" spans="1:42" ht="15" customHeight="1" x14ac:dyDescent="0.25">
      <c r="A10" s="610">
        <v>1</v>
      </c>
      <c r="B10" s="613" t="str">
        <f>VLOOKUP(A10,مسلسل,2,0)</f>
        <v>امجد عمر عبداللطيف سلطان</v>
      </c>
      <c r="C10" s="616">
        <f>IFERROR(VLOOKUP(B10,اسماء,2,0),"")</f>
        <v>42849</v>
      </c>
      <c r="D10" s="619" t="str">
        <f>IFERROR(VLOOKUP($B10,اسماء,3,0),"")</f>
        <v>الهام احمد مصباح</v>
      </c>
      <c r="E10" s="129" t="s">
        <v>30</v>
      </c>
      <c r="F10" s="600">
        <f>IFERROR(VLOOKUP($B10,اسماء,5,0),0)</f>
        <v>36</v>
      </c>
      <c r="G10" s="601"/>
      <c r="H10" s="602">
        <f>IFERROR(VLOOKUP($B10,اسماء,6,0),0)</f>
        <v>70</v>
      </c>
      <c r="I10" s="622"/>
      <c r="J10" s="600">
        <f>IFERROR(VLOOKUP($B10,اسماء,7,0),0)</f>
        <v>36</v>
      </c>
      <c r="K10" s="601"/>
      <c r="L10" s="602">
        <f>IFERROR(VLOOKUP($B10,اسماء,8,0),0)</f>
        <v>12</v>
      </c>
      <c r="M10" s="603"/>
      <c r="N10" s="602">
        <f>IFERROR(VLOOKUP($B10,اسماء,9,0),0)</f>
        <v>59</v>
      </c>
      <c r="O10" s="603"/>
      <c r="P10" s="600">
        <f>IFERROR(VLOOKUP($B10,اسماء,10,0),0)</f>
        <v>36</v>
      </c>
      <c r="Q10" s="603"/>
      <c r="R10" s="371">
        <f>SUM(F10:Q10)</f>
        <v>249</v>
      </c>
      <c r="S10" s="368" t="str">
        <f>IFERROR(VLOOKUP($B10,اسماء,12,0),"")</f>
        <v>جيد جداً</v>
      </c>
      <c r="T10" s="214" t="str">
        <f>IFERROR(VLOOKUP($B10,اسماء,13,0),"")</f>
        <v>جيد جداً</v>
      </c>
      <c r="U10" s="364">
        <f>IFERROR(VLOOKUP($B10,اسماء,14,0),"")</f>
        <v>0</v>
      </c>
      <c r="V10" s="604" t="str">
        <f>IF(Z10="غائب","راسب",IF(R13&gt;0,"ناجح","مرحل"))</f>
        <v>مرحل</v>
      </c>
      <c r="W10" s="19" t="str">
        <f>LOOKUP(R10,$AC$6:$AD$10)</f>
        <v>ممتاز</v>
      </c>
      <c r="X10" s="607">
        <f>R13/$AC$3</f>
        <v>0</v>
      </c>
      <c r="Y10" s="68"/>
      <c r="Z10" s="597">
        <f>IFERROR(VLOOKUP($B10,اسماء,48,0),"")</f>
        <v>0</v>
      </c>
      <c r="AC10" s="1">
        <f>0.85*AC1</f>
        <v>214.2</v>
      </c>
      <c r="AD10" s="1" t="s">
        <v>6</v>
      </c>
      <c r="AF10" s="1">
        <f>0.85*AC2</f>
        <v>285.59999999999997</v>
      </c>
      <c r="AG10" s="1" t="s">
        <v>6</v>
      </c>
      <c r="AI10" s="1">
        <f>0.85*AC3</f>
        <v>714</v>
      </c>
      <c r="AJ10" s="1" t="s">
        <v>6</v>
      </c>
      <c r="AK10" s="671" t="str">
        <f>IF(R13=0,"",R13/1+ROW()*0.00001)</f>
        <v/>
      </c>
      <c r="AL10" s="671" t="str">
        <f>B10</f>
        <v>امجد عمر عبداللطيف سلطان</v>
      </c>
      <c r="AM10" s="696"/>
      <c r="AN10" s="698">
        <v>1</v>
      </c>
      <c r="AO10" s="699" t="str">
        <f>IFERROR(LARGE($AK$10:$AK$1420,AN10),"")</f>
        <v/>
      </c>
      <c r="AP10" s="698" t="str">
        <f>VLOOKUP(AO10,$AK$10:$AL$1530,2,0)</f>
        <v>امجد عمر عبداللطيف سلطان</v>
      </c>
    </row>
    <row r="11" spans="1:42" ht="15" customHeight="1" x14ac:dyDescent="0.25">
      <c r="A11" s="611"/>
      <c r="B11" s="614"/>
      <c r="C11" s="617"/>
      <c r="D11" s="620"/>
      <c r="E11" s="130" t="s">
        <v>31</v>
      </c>
      <c r="F11" s="592">
        <f>IFERROR(VLOOKUP($B10,اسماء,16,0),0)</f>
        <v>0</v>
      </c>
      <c r="G11" s="593"/>
      <c r="H11" s="594">
        <f>IFERROR(VLOOKUP($B10,اسماء,17,0),0)</f>
        <v>0</v>
      </c>
      <c r="I11" s="595"/>
      <c r="J11" s="592">
        <f>IFERROR(VLOOKUP($B10,اسماء,18,0),0)</f>
        <v>0</v>
      </c>
      <c r="K11" s="593"/>
      <c r="L11" s="594">
        <f>IFERROR(VLOOKUP($B10,اسماء,19,0),0)</f>
        <v>0</v>
      </c>
      <c r="M11" s="596"/>
      <c r="N11" s="594">
        <f>IFERROR(VLOOKUP($B10,اسماء,20,0),0)</f>
        <v>0</v>
      </c>
      <c r="O11" s="596"/>
      <c r="P11" s="592">
        <f>IFERROR(VLOOKUP($B10,اسماء,21,0),0)</f>
        <v>0</v>
      </c>
      <c r="Q11" s="596"/>
      <c r="R11" s="372">
        <f t="shared" ref="R11:R12" si="0">SUM(F11:Q11)</f>
        <v>0</v>
      </c>
      <c r="S11" s="369">
        <f>IFERROR(VLOOKUP($B10,اسماء,23,0),"")</f>
        <v>0</v>
      </c>
      <c r="T11" s="306">
        <f>IFERROR(VLOOKUP($B10,اسماء,24,0),"")</f>
        <v>0</v>
      </c>
      <c r="U11" s="122">
        <f>IFERROR(VLOOKUP($B10,اسماء,25,0),"")</f>
        <v>0</v>
      </c>
      <c r="V11" s="605"/>
      <c r="W11" s="20" t="str">
        <f>LOOKUP(R11,$AC$6:$AD$10)</f>
        <v>ضعيف</v>
      </c>
      <c r="X11" s="608"/>
      <c r="Y11" s="8"/>
      <c r="Z11" s="598"/>
      <c r="AK11" s="671"/>
      <c r="AL11" s="671"/>
      <c r="AM11" s="696"/>
      <c r="AN11" s="698"/>
      <c r="AO11" s="699"/>
      <c r="AP11" s="698"/>
    </row>
    <row r="12" spans="1:42" ht="15" customHeight="1" x14ac:dyDescent="0.25">
      <c r="A12" s="611"/>
      <c r="B12" s="614"/>
      <c r="C12" s="617"/>
      <c r="D12" s="620"/>
      <c r="E12" s="130" t="s">
        <v>32</v>
      </c>
      <c r="F12" s="592">
        <f>IFERROR(VLOOKUP($B10,اسماء,27,0),0)</f>
        <v>0</v>
      </c>
      <c r="G12" s="593"/>
      <c r="H12" s="594">
        <f>IFERROR(VLOOKUP($B10,اسماء,28,0),0)</f>
        <v>0</v>
      </c>
      <c r="I12" s="595"/>
      <c r="J12" s="592">
        <f>IFERROR(VLOOKUP($B10,اسماء,29,0),0)</f>
        <v>0</v>
      </c>
      <c r="K12" s="593"/>
      <c r="L12" s="594">
        <f>IFERROR(VLOOKUP($B10,اسماء,30,0),0)</f>
        <v>0</v>
      </c>
      <c r="M12" s="596"/>
      <c r="N12" s="594">
        <f>IFERROR(VLOOKUP($B10,اسماء,31,0),0)</f>
        <v>0</v>
      </c>
      <c r="O12" s="596"/>
      <c r="P12" s="592">
        <f>IFERROR(VLOOKUP($B10,اسماء,32,0),0)</f>
        <v>0</v>
      </c>
      <c r="Q12" s="596"/>
      <c r="R12" s="372">
        <f t="shared" si="0"/>
        <v>0</v>
      </c>
      <c r="S12" s="369">
        <f>IFERROR(VLOOKUP($B10,اسماء,34,0),"")</f>
        <v>0</v>
      </c>
      <c r="T12" s="306">
        <f>IFERROR(VLOOKUP($B10,اسماء,35,0),"")</f>
        <v>0</v>
      </c>
      <c r="U12" s="122">
        <f>IFERROR(VLOOKUP($B10,اسماء,36,0),"")</f>
        <v>0</v>
      </c>
      <c r="V12" s="605"/>
      <c r="W12" s="20" t="str">
        <f>LOOKUP(R12,$AF$6:$AG$10)</f>
        <v>ضعيف</v>
      </c>
      <c r="X12" s="608"/>
      <c r="Y12" s="68"/>
      <c r="Z12" s="598"/>
      <c r="AK12" s="671"/>
      <c r="AL12" s="671"/>
      <c r="AM12" s="696"/>
      <c r="AN12" s="698"/>
      <c r="AO12" s="699"/>
      <c r="AP12" s="698"/>
    </row>
    <row r="13" spans="1:42" ht="15" customHeight="1" thickBot="1" x14ac:dyDescent="0.3">
      <c r="A13" s="612"/>
      <c r="B13" s="615"/>
      <c r="C13" s="618"/>
      <c r="D13" s="621"/>
      <c r="E13" s="124" t="s">
        <v>33</v>
      </c>
      <c r="F13" s="623">
        <f>SUM(F10:G12)</f>
        <v>36</v>
      </c>
      <c r="G13" s="624"/>
      <c r="H13" s="625">
        <f>SUM(H10:I12)</f>
        <v>70</v>
      </c>
      <c r="I13" s="626"/>
      <c r="J13" s="623">
        <f>SUM(J10:K12)</f>
        <v>36</v>
      </c>
      <c r="K13" s="624"/>
      <c r="L13" s="625">
        <f>SUM(L10:M12)</f>
        <v>12</v>
      </c>
      <c r="M13" s="642"/>
      <c r="N13" s="625">
        <f>SUM(N10:O12)</f>
        <v>59</v>
      </c>
      <c r="O13" s="642"/>
      <c r="P13" s="623">
        <f>SUM(P10:Q12)</f>
        <v>36</v>
      </c>
      <c r="Q13" s="642"/>
      <c r="R13" s="88">
        <f>IF(AND(F13&gt;=$G$8,H13&gt;=$I$8,J13&gt;=$K$8,L13&gt;=$M$8,N13&gt;=$O$8,P13&gt;=$Q$8),SUM(F13:Q13),0)</f>
        <v>0</v>
      </c>
      <c r="S13" s="370"/>
      <c r="T13" s="97"/>
      <c r="U13" s="94"/>
      <c r="V13" s="606"/>
      <c r="W13" s="88" t="str">
        <f>LOOKUP(R13,$AI$6:$AJ$10)</f>
        <v>ضعيف</v>
      </c>
      <c r="X13" s="609"/>
      <c r="Y13" s="68"/>
      <c r="Z13" s="599"/>
      <c r="AK13" s="671"/>
      <c r="AL13" s="671"/>
      <c r="AM13" s="696"/>
      <c r="AN13" s="698"/>
      <c r="AO13" s="699"/>
      <c r="AP13" s="698"/>
    </row>
    <row r="14" spans="1:42" ht="15" customHeight="1" x14ac:dyDescent="0.25">
      <c r="A14" s="610">
        <v>2</v>
      </c>
      <c r="B14" s="613" t="str">
        <f>VLOOKUP(A14,مسلسل,2,0)</f>
        <v>إيلاف نورالدين عياد حسين</v>
      </c>
      <c r="C14" s="616">
        <f>IFERROR(VLOOKUP(B14,اسماء,2,0),"")</f>
        <v>42906</v>
      </c>
      <c r="D14" s="619" t="str">
        <f>IFERROR(VLOOKUP($B14,اسماء,3,0),"")</f>
        <v>هند الصادق عبدالقادر رمضان</v>
      </c>
      <c r="E14" s="129" t="s">
        <v>30</v>
      </c>
      <c r="F14" s="600">
        <f>IFERROR(VLOOKUP($B14,اسماء,5,0),0)</f>
        <v>36</v>
      </c>
      <c r="G14" s="601"/>
      <c r="H14" s="602">
        <f>IFERROR(VLOOKUP($B14,اسماء,6,0),0)</f>
        <v>69</v>
      </c>
      <c r="I14" s="622"/>
      <c r="J14" s="600">
        <f>IFERROR(VLOOKUP($B14,اسماء,7,0),0)</f>
        <v>32</v>
      </c>
      <c r="K14" s="601"/>
      <c r="L14" s="602">
        <f>IFERROR(VLOOKUP($B14,اسماء,8,0),0)</f>
        <v>12</v>
      </c>
      <c r="M14" s="603"/>
      <c r="N14" s="602">
        <f>IFERROR(VLOOKUP($B14,اسماء,9,0),0)</f>
        <v>59</v>
      </c>
      <c r="O14" s="603"/>
      <c r="P14" s="600">
        <f>IFERROR(VLOOKUP($B14,اسماء,10,0),0)</f>
        <v>36</v>
      </c>
      <c r="Q14" s="622"/>
      <c r="R14" s="371">
        <f t="shared" ref="R14:R48" si="1">SUM(F14:Q14)</f>
        <v>244</v>
      </c>
      <c r="S14" s="213" t="str">
        <f>IFERROR(VLOOKUP($B14,اسماء,12,0),"")</f>
        <v>جيد جداً</v>
      </c>
      <c r="T14" s="214" t="str">
        <f>IFERROR(VLOOKUP($B14,اسماء,13,0),"")</f>
        <v>جيد جداً</v>
      </c>
      <c r="U14" s="364">
        <f>IFERROR(VLOOKUP($B14,اسماء,14,0),"")</f>
        <v>0</v>
      </c>
      <c r="V14" s="604" t="str">
        <f t="shared" ref="V14" si="2">IF(Z14="غائب","راسب",IF(R17&gt;0,"ناجح","مرحل"))</f>
        <v>مرحل</v>
      </c>
      <c r="W14" s="19" t="str">
        <f t="shared" ref="W14:W15" si="3">LOOKUP(R14,$AC$6:$AD$10)</f>
        <v>ممتاز</v>
      </c>
      <c r="X14" s="639">
        <f t="shared" ref="X14" si="4">R17/$AC$3</f>
        <v>0</v>
      </c>
      <c r="Y14" s="8"/>
      <c r="Z14" s="597">
        <f>IFERROR(VLOOKUP($B14,اسماء,48,0),"")</f>
        <v>0</v>
      </c>
      <c r="AK14" s="667" t="str">
        <f t="shared" ref="AK14" si="5">IF(R17=0,"",R17/1+ROW()*0.00001)</f>
        <v/>
      </c>
      <c r="AL14" s="667" t="str">
        <f>B14</f>
        <v>إيلاف نورالدين عياد حسين</v>
      </c>
      <c r="AM14" s="696"/>
      <c r="AN14" s="698">
        <v>2</v>
      </c>
      <c r="AO14" s="699" t="str">
        <f>IFERROR(LARGE($AK$10:$AK$1420,AN14),"")</f>
        <v/>
      </c>
      <c r="AP14" s="698" t="str">
        <f>VLOOKUP(AO14,$AK$10:$AL$1530,2,0)</f>
        <v>امجد عمر عبداللطيف سلطان</v>
      </c>
    </row>
    <row r="15" spans="1:42" ht="15" customHeight="1" x14ac:dyDescent="0.25">
      <c r="A15" s="611"/>
      <c r="B15" s="614"/>
      <c r="C15" s="617"/>
      <c r="D15" s="620"/>
      <c r="E15" s="130" t="s">
        <v>31</v>
      </c>
      <c r="F15" s="592" t="str">
        <f>IFERROR(VLOOKUP($B14,اسماء,15,0),0)</f>
        <v>الفترة الثانية</v>
      </c>
      <c r="G15" s="593"/>
      <c r="H15" s="594">
        <f>IFERROR(VLOOKUP($B14,اسماء,16,0),0)</f>
        <v>0</v>
      </c>
      <c r="I15" s="595"/>
      <c r="J15" s="592">
        <f>IFERROR(VLOOKUP($B14,اسماء,17,0),0)</f>
        <v>0</v>
      </c>
      <c r="K15" s="593"/>
      <c r="L15" s="594">
        <f>IFERROR(VLOOKUP($B14,اسماء,18,0),0)</f>
        <v>0</v>
      </c>
      <c r="M15" s="596"/>
      <c r="N15" s="594">
        <f>IFERROR(VLOOKUP($B14,اسماء,19,0),0)</f>
        <v>0</v>
      </c>
      <c r="O15" s="596"/>
      <c r="P15" s="592">
        <f>IFERROR(VLOOKUP($B14,اسماء,20,0),0)</f>
        <v>0</v>
      </c>
      <c r="Q15" s="595"/>
      <c r="R15" s="372">
        <f t="shared" si="1"/>
        <v>0</v>
      </c>
      <c r="S15" s="305">
        <f>IFERROR(VLOOKUP($B14,اسماء,23,0),"")</f>
        <v>0</v>
      </c>
      <c r="T15" s="306">
        <f>IFERROR(VLOOKUP($B14,اسماء,24,0),"")</f>
        <v>0</v>
      </c>
      <c r="U15" s="122">
        <f>IFERROR(VLOOKUP($B14,اسماء,25,0),"")</f>
        <v>0</v>
      </c>
      <c r="V15" s="605"/>
      <c r="W15" s="20" t="str">
        <f t="shared" si="3"/>
        <v>ضعيف</v>
      </c>
      <c r="X15" s="640"/>
      <c r="Y15" s="68"/>
      <c r="Z15" s="598"/>
      <c r="AK15" s="667"/>
      <c r="AL15" s="667"/>
      <c r="AM15" s="696"/>
      <c r="AN15" s="698"/>
      <c r="AO15" s="699"/>
      <c r="AP15" s="698"/>
    </row>
    <row r="16" spans="1:42" ht="15" customHeight="1" x14ac:dyDescent="0.25">
      <c r="A16" s="611"/>
      <c r="B16" s="614"/>
      <c r="C16" s="617"/>
      <c r="D16" s="620"/>
      <c r="E16" s="130" t="s">
        <v>32</v>
      </c>
      <c r="F16" s="592">
        <f>IFERROR(VLOOKUP($B14,اسماء,25,0),0)</f>
        <v>0</v>
      </c>
      <c r="G16" s="593"/>
      <c r="H16" s="594" t="str">
        <f>IFERROR(VLOOKUP($B14,اسماء,26,0),0)</f>
        <v>الفترة الثالثة</v>
      </c>
      <c r="I16" s="595"/>
      <c r="J16" s="592">
        <f>IFERROR(VLOOKUP($B14,اسماء,27,0),0)</f>
        <v>0</v>
      </c>
      <c r="K16" s="593"/>
      <c r="L16" s="594">
        <f>IFERROR(VLOOKUP($B14,اسماء,28,0),0)</f>
        <v>0</v>
      </c>
      <c r="M16" s="596"/>
      <c r="N16" s="594">
        <f>IFERROR(VLOOKUP($B14,اسماء,29,0),0)</f>
        <v>0</v>
      </c>
      <c r="O16" s="596"/>
      <c r="P16" s="592">
        <f>IFERROR(VLOOKUP($B14,اسماء,30,0),0)</f>
        <v>0</v>
      </c>
      <c r="Q16" s="595"/>
      <c r="R16" s="372">
        <f t="shared" si="1"/>
        <v>0</v>
      </c>
      <c r="S16" s="305">
        <f>IFERROR(VLOOKUP($B14,اسماء,34,0),"")</f>
        <v>0</v>
      </c>
      <c r="T16" s="306">
        <f>IFERROR(VLOOKUP($B14,اسماء,35,0),"")</f>
        <v>0</v>
      </c>
      <c r="U16" s="122">
        <f>IFERROR(VLOOKUP($B14,اسماء,36,0),"")</f>
        <v>0</v>
      </c>
      <c r="V16" s="605"/>
      <c r="W16" s="20" t="str">
        <f t="shared" ref="W16" si="6">LOOKUP(R16,$AF$6:$AG$10)</f>
        <v>ضعيف</v>
      </c>
      <c r="X16" s="640"/>
      <c r="Y16" s="68"/>
      <c r="Z16" s="598"/>
      <c r="AK16" s="667"/>
      <c r="AL16" s="667"/>
      <c r="AM16" s="696"/>
      <c r="AN16" s="698"/>
      <c r="AO16" s="699"/>
      <c r="AP16" s="698"/>
    </row>
    <row r="17" spans="1:42" ht="15" customHeight="1" thickBot="1" x14ac:dyDescent="0.3">
      <c r="A17" s="612"/>
      <c r="B17" s="615"/>
      <c r="C17" s="618"/>
      <c r="D17" s="621"/>
      <c r="E17" s="124" t="s">
        <v>33</v>
      </c>
      <c r="F17" s="623">
        <f>SUM(F14:G16)</f>
        <v>36</v>
      </c>
      <c r="G17" s="624"/>
      <c r="H17" s="625">
        <f>SUM(H14:I16)</f>
        <v>69</v>
      </c>
      <c r="I17" s="626"/>
      <c r="J17" s="623">
        <f>SUM(J14:K16)</f>
        <v>32</v>
      </c>
      <c r="K17" s="624"/>
      <c r="L17" s="625">
        <f>SUM(L14:M16)</f>
        <v>12</v>
      </c>
      <c r="M17" s="642"/>
      <c r="N17" s="625">
        <f>SUM(N14:O16)</f>
        <v>59</v>
      </c>
      <c r="O17" s="642"/>
      <c r="P17" s="623">
        <f>SUM(P14:Q16)</f>
        <v>36</v>
      </c>
      <c r="Q17" s="626"/>
      <c r="R17" s="88">
        <f t="shared" ref="R17" si="7">IF(AND(F17&gt;=$G$8,H17&gt;=$I$8,J17&gt;=$K$8,L17&gt;=$M$8,N17&gt;=$O$8,P17&gt;=$Q$8),SUM(F17:Q17),0)</f>
        <v>0</v>
      </c>
      <c r="S17" s="251"/>
      <c r="T17" s="97"/>
      <c r="U17" s="94"/>
      <c r="V17" s="606"/>
      <c r="W17" s="88" t="str">
        <f>LOOKUP(R17,$AI$6:$AJ$10)</f>
        <v>ضعيف</v>
      </c>
      <c r="X17" s="641"/>
      <c r="Y17" s="8"/>
      <c r="Z17" s="599"/>
      <c r="AK17" s="667"/>
      <c r="AL17" s="667"/>
      <c r="AM17" s="696"/>
      <c r="AN17" s="698"/>
      <c r="AO17" s="699"/>
      <c r="AP17" s="698"/>
    </row>
    <row r="18" spans="1:42" ht="15" customHeight="1" x14ac:dyDescent="0.25">
      <c r="A18" s="610">
        <v>3</v>
      </c>
      <c r="B18" s="613" t="str">
        <f>VLOOKUP(A18,مسلسل,2,0)</f>
        <v>الحارث مبروك محمد الزوي</v>
      </c>
      <c r="C18" s="616">
        <f>IFERROR(VLOOKUP(B18,اسماء,2,0),"")</f>
        <v>43014</v>
      </c>
      <c r="D18" s="619" t="str">
        <f>IFERROR(VLOOKUP($B18,اسماء,3,0),"")</f>
        <v>سيسبان عبدالحكيم الطاهر</v>
      </c>
      <c r="E18" s="129" t="s">
        <v>30</v>
      </c>
      <c r="F18" s="600">
        <f>IFERROR(VLOOKUP($B18,اسماء,5,0),0)</f>
        <v>36</v>
      </c>
      <c r="G18" s="601"/>
      <c r="H18" s="602">
        <f>IFERROR(VLOOKUP($B18,اسماء,6,0),0)</f>
        <v>71</v>
      </c>
      <c r="I18" s="622"/>
      <c r="J18" s="600">
        <f>IFERROR(VLOOKUP($B18,اسماء,7,0),0)</f>
        <v>36</v>
      </c>
      <c r="K18" s="601"/>
      <c r="L18" s="602">
        <f>IFERROR(VLOOKUP($B18,اسماء,8,0),0)</f>
        <v>12</v>
      </c>
      <c r="M18" s="603"/>
      <c r="N18" s="602">
        <f>IFERROR(VLOOKUP($B18,اسماء,9,0),0)</f>
        <v>59</v>
      </c>
      <c r="O18" s="603"/>
      <c r="P18" s="600">
        <f>IFERROR(VLOOKUP($B18,اسماء,10,0),0)</f>
        <v>36</v>
      </c>
      <c r="Q18" s="622"/>
      <c r="R18" s="371">
        <f t="shared" ref="R18" si="8">SUM(F18:Q18)</f>
        <v>250</v>
      </c>
      <c r="S18" s="213" t="str">
        <f>IFERROR(VLOOKUP($B18,اسماء,12,0),"")</f>
        <v>جيد جداً</v>
      </c>
      <c r="T18" s="214" t="str">
        <f>IFERROR(VLOOKUP($B18,اسماء,13,0),"")</f>
        <v>جيد جداً</v>
      </c>
      <c r="U18" s="364">
        <f>IFERROR(VLOOKUP($B18,اسماء,14,0),"")</f>
        <v>0</v>
      </c>
      <c r="V18" s="604" t="str">
        <f t="shared" ref="V18" si="9">IF(Z18="غائب","راسب",IF(R21&gt;0,"ناجح","مرحل"))</f>
        <v>مرحل</v>
      </c>
      <c r="W18" s="19" t="str">
        <f t="shared" ref="W18:W19" si="10">LOOKUP(R18,$AC$6:$AD$10)</f>
        <v>ممتاز</v>
      </c>
      <c r="X18" s="639">
        <f t="shared" ref="X18" si="11">R21/$AC$3</f>
        <v>0</v>
      </c>
      <c r="Y18" s="68"/>
      <c r="Z18" s="597">
        <f>IFERROR(VLOOKUP($B18,اسماء,48,0),"")</f>
        <v>0</v>
      </c>
      <c r="AK18" s="667" t="str">
        <f t="shared" ref="AK18" si="12">IF(R21=0,"",R21/1+ROW()*0.00001)</f>
        <v/>
      </c>
      <c r="AL18" s="667" t="str">
        <f>B18</f>
        <v>الحارث مبروك محمد الزوي</v>
      </c>
      <c r="AM18" s="696"/>
      <c r="AN18" s="698">
        <v>3</v>
      </c>
      <c r="AO18" s="699" t="str">
        <f>IFERROR(LARGE($AK$10:$AK$1420,AN18),"")</f>
        <v/>
      </c>
      <c r="AP18" s="698" t="str">
        <f>VLOOKUP(AO18,$AK$10:$AL$1530,2,0)</f>
        <v>امجد عمر عبداللطيف سلطان</v>
      </c>
    </row>
    <row r="19" spans="1:42" ht="15" customHeight="1" x14ac:dyDescent="0.25">
      <c r="A19" s="611"/>
      <c r="B19" s="614"/>
      <c r="C19" s="617"/>
      <c r="D19" s="620"/>
      <c r="E19" s="130" t="s">
        <v>31</v>
      </c>
      <c r="F19" s="592" t="str">
        <f>IFERROR(VLOOKUP($B18,اسماء,15,0),0)</f>
        <v>الفترة الثانية</v>
      </c>
      <c r="G19" s="593"/>
      <c r="H19" s="594">
        <f>IFERROR(VLOOKUP($B18,اسماء,16,0),0)</f>
        <v>0</v>
      </c>
      <c r="I19" s="595"/>
      <c r="J19" s="592">
        <f>IFERROR(VLOOKUP($B18,اسماء,17,0),0)</f>
        <v>0</v>
      </c>
      <c r="K19" s="593"/>
      <c r="L19" s="594">
        <f>IFERROR(VLOOKUP($B18,اسماء,18,0),0)</f>
        <v>0</v>
      </c>
      <c r="M19" s="596"/>
      <c r="N19" s="594">
        <f>IFERROR(VLOOKUP($B18,اسماء,19,0),0)</f>
        <v>0</v>
      </c>
      <c r="O19" s="596"/>
      <c r="P19" s="592">
        <f>IFERROR(VLOOKUP($B18,اسماء,20,0),0)</f>
        <v>0</v>
      </c>
      <c r="Q19" s="595"/>
      <c r="R19" s="372">
        <f t="shared" si="1"/>
        <v>0</v>
      </c>
      <c r="S19" s="305">
        <f>IFERROR(VLOOKUP($B18,اسماء,23,0),"")</f>
        <v>0</v>
      </c>
      <c r="T19" s="306">
        <f>IFERROR(VLOOKUP($B18,اسماء,24,0),"")</f>
        <v>0</v>
      </c>
      <c r="U19" s="122">
        <f>IFERROR(VLOOKUP($B18,اسماء,25,0),"")</f>
        <v>0</v>
      </c>
      <c r="V19" s="605"/>
      <c r="W19" s="20" t="str">
        <f t="shared" si="10"/>
        <v>ضعيف</v>
      </c>
      <c r="X19" s="640"/>
      <c r="Y19" s="68"/>
      <c r="Z19" s="598"/>
      <c r="AK19" s="667"/>
      <c r="AL19" s="667"/>
      <c r="AM19" s="696"/>
      <c r="AN19" s="698"/>
      <c r="AO19" s="699"/>
      <c r="AP19" s="698"/>
    </row>
    <row r="20" spans="1:42" ht="15" customHeight="1" x14ac:dyDescent="0.25">
      <c r="A20" s="611"/>
      <c r="B20" s="614"/>
      <c r="C20" s="617"/>
      <c r="D20" s="620"/>
      <c r="E20" s="130" t="s">
        <v>32</v>
      </c>
      <c r="F20" s="592">
        <f>IFERROR(VLOOKUP($B18,اسماء,25,0),0)</f>
        <v>0</v>
      </c>
      <c r="G20" s="593"/>
      <c r="H20" s="594" t="str">
        <f>IFERROR(VLOOKUP($B18,اسماء,26,0),0)</f>
        <v>الفترة الثالثة</v>
      </c>
      <c r="I20" s="595"/>
      <c r="J20" s="592">
        <f>IFERROR(VLOOKUP($B18,اسماء,27,0),0)</f>
        <v>0</v>
      </c>
      <c r="K20" s="593"/>
      <c r="L20" s="594">
        <f>IFERROR(VLOOKUP($B18,اسماء,28,0),0)</f>
        <v>0</v>
      </c>
      <c r="M20" s="596"/>
      <c r="N20" s="594">
        <f>IFERROR(VLOOKUP($B18,اسماء,29,0),0)</f>
        <v>0</v>
      </c>
      <c r="O20" s="596"/>
      <c r="P20" s="592">
        <f>IFERROR(VLOOKUP($B18,اسماء,30,0),0)</f>
        <v>0</v>
      </c>
      <c r="Q20" s="595"/>
      <c r="R20" s="372">
        <f t="shared" si="1"/>
        <v>0</v>
      </c>
      <c r="S20" s="305">
        <f>IFERROR(VLOOKUP($B18,اسماء,34,0),"")</f>
        <v>0</v>
      </c>
      <c r="T20" s="306">
        <f>IFERROR(VLOOKUP($B18,اسماء,35,0),"")</f>
        <v>0</v>
      </c>
      <c r="U20" s="122">
        <f>IFERROR(VLOOKUP($B18,اسماء,36,0),"")</f>
        <v>0</v>
      </c>
      <c r="V20" s="605"/>
      <c r="W20" s="20" t="str">
        <f t="shared" ref="W20" si="13">LOOKUP(R20,$AF$6:$AG$10)</f>
        <v>ضعيف</v>
      </c>
      <c r="X20" s="640"/>
      <c r="Y20" s="8"/>
      <c r="Z20" s="598"/>
      <c r="AK20" s="667"/>
      <c r="AL20" s="667"/>
      <c r="AM20" s="696"/>
      <c r="AN20" s="698"/>
      <c r="AO20" s="699"/>
      <c r="AP20" s="698"/>
    </row>
    <row r="21" spans="1:42" ht="15" customHeight="1" thickBot="1" x14ac:dyDescent="0.3">
      <c r="A21" s="612"/>
      <c r="B21" s="615"/>
      <c r="C21" s="618"/>
      <c r="D21" s="621"/>
      <c r="E21" s="124" t="s">
        <v>33</v>
      </c>
      <c r="F21" s="623">
        <f t="shared" ref="F21" si="14">SUM(F18:G20)</f>
        <v>36</v>
      </c>
      <c r="G21" s="624"/>
      <c r="H21" s="625">
        <f t="shared" ref="H21" si="15">SUM(H18:I20)</f>
        <v>71</v>
      </c>
      <c r="I21" s="626"/>
      <c r="J21" s="623">
        <f t="shared" ref="J21" si="16">SUM(J18:K20)</f>
        <v>36</v>
      </c>
      <c r="K21" s="624"/>
      <c r="L21" s="625">
        <f t="shared" ref="L21" si="17">SUM(L18:M20)</f>
        <v>12</v>
      </c>
      <c r="M21" s="642"/>
      <c r="N21" s="625">
        <f t="shared" ref="N21" si="18">SUM(N18:O20)</f>
        <v>59</v>
      </c>
      <c r="O21" s="642"/>
      <c r="P21" s="623">
        <f t="shared" ref="P21" si="19">SUM(P18:Q20)</f>
        <v>36</v>
      </c>
      <c r="Q21" s="626"/>
      <c r="R21" s="88">
        <f t="shared" ref="R21" si="20">IF(AND(F21&gt;=$G$8,H21&gt;=$I$8,J21&gt;=$K$8,L21&gt;=$M$8,N21&gt;=$O$8,P21&gt;=$Q$8),SUM(F21:Q21),0)</f>
        <v>0</v>
      </c>
      <c r="S21" s="251"/>
      <c r="T21" s="97"/>
      <c r="U21" s="94"/>
      <c r="V21" s="606"/>
      <c r="W21" s="88" t="str">
        <f t="shared" ref="W21" si="21">LOOKUP(R21,$AI$6:$AJ$10)</f>
        <v>ضعيف</v>
      </c>
      <c r="X21" s="641"/>
      <c r="Y21" s="68"/>
      <c r="Z21" s="599"/>
      <c r="AK21" s="667"/>
      <c r="AL21" s="667"/>
      <c r="AM21" s="696"/>
      <c r="AN21" s="698"/>
      <c r="AO21" s="699"/>
      <c r="AP21" s="698"/>
    </row>
    <row r="22" spans="1:42" ht="15" customHeight="1" x14ac:dyDescent="0.25">
      <c r="A22" s="610">
        <v>4</v>
      </c>
      <c r="B22" s="613" t="str">
        <f>VLOOKUP(A22,مسلسل,2,0)</f>
        <v>دانية حسن مفتاح المقوب</v>
      </c>
      <c r="C22" s="616">
        <f>IFERROR(VLOOKUP(B22,اسماء,2,0),"")</f>
        <v>42787</v>
      </c>
      <c r="D22" s="619" t="str">
        <f>IFERROR(VLOOKUP($B22,اسماء,3,0),"")</f>
        <v>مروة الدرعي علي البكوش</v>
      </c>
      <c r="E22" s="129" t="s">
        <v>30</v>
      </c>
      <c r="F22" s="600">
        <f>IFERROR(VLOOKUP($B22,اسماء,5,0),0)</f>
        <v>31</v>
      </c>
      <c r="G22" s="601"/>
      <c r="H22" s="602">
        <f>IFERROR(VLOOKUP($B22,اسماء,6,0),0)</f>
        <v>64</v>
      </c>
      <c r="I22" s="622"/>
      <c r="J22" s="600">
        <f>IFERROR(VLOOKUP($B22,اسماء,7,0),0)</f>
        <v>33</v>
      </c>
      <c r="K22" s="601"/>
      <c r="L22" s="602">
        <f>IFERROR(VLOOKUP($B22,اسماء,8,0),0)</f>
        <v>11</v>
      </c>
      <c r="M22" s="603"/>
      <c r="N22" s="602">
        <f>IFERROR(VLOOKUP($B22,اسماء,9,0),0)</f>
        <v>49</v>
      </c>
      <c r="O22" s="603"/>
      <c r="P22" s="600">
        <f>IFERROR(VLOOKUP($B22,اسماء,10,0),0)</f>
        <v>36</v>
      </c>
      <c r="Q22" s="622"/>
      <c r="R22" s="371">
        <f t="shared" ref="R22" si="22">SUM(F22:Q22)</f>
        <v>224</v>
      </c>
      <c r="S22" s="213" t="str">
        <f>IFERROR(VLOOKUP($B22,اسماء,12,0),"")</f>
        <v>جيد جداً</v>
      </c>
      <c r="T22" s="214" t="str">
        <f>IFERROR(VLOOKUP($B22,اسماء,13,0),"")</f>
        <v>جيد جداً</v>
      </c>
      <c r="U22" s="364">
        <f>IFERROR(VLOOKUP($B22,اسماء,14,0),"")</f>
        <v>0</v>
      </c>
      <c r="V22" s="604" t="str">
        <f t="shared" ref="V22" si="23">IF(Z22="غائب","راسب",IF(R25&gt;0,"ناجح","مرحل"))</f>
        <v>مرحل</v>
      </c>
      <c r="W22" s="19" t="str">
        <f t="shared" ref="W22:W23" si="24">LOOKUP(R22,$AC$6:$AD$10)</f>
        <v>ممتاز</v>
      </c>
      <c r="X22" s="639">
        <f t="shared" ref="X22" si="25">R25/$AC$3</f>
        <v>0</v>
      </c>
      <c r="Y22" s="68"/>
      <c r="Z22" s="597">
        <f>IFERROR(VLOOKUP($B22,اسماء,48,0),"")</f>
        <v>0</v>
      </c>
      <c r="AK22" s="667" t="str">
        <f t="shared" ref="AK22" si="26">IF(R25=0,"",R25/1+ROW()*0.00001)</f>
        <v/>
      </c>
      <c r="AL22" s="667" t="str">
        <f>B22</f>
        <v>دانية حسن مفتاح المقوب</v>
      </c>
      <c r="AM22" s="696"/>
      <c r="AN22" s="698">
        <v>4</v>
      </c>
      <c r="AO22" s="699" t="str">
        <f>IFERROR(LARGE($AK$10:$AK$1420,AN22),"")</f>
        <v/>
      </c>
      <c r="AP22" s="698" t="str">
        <f>VLOOKUP(AO22,$AK$10:$AL$1530,2,0)</f>
        <v>امجد عمر عبداللطيف سلطان</v>
      </c>
    </row>
    <row r="23" spans="1:42" ht="15" customHeight="1" x14ac:dyDescent="0.25">
      <c r="A23" s="611"/>
      <c r="B23" s="614"/>
      <c r="C23" s="617"/>
      <c r="D23" s="620"/>
      <c r="E23" s="130" t="s">
        <v>31</v>
      </c>
      <c r="F23" s="592" t="str">
        <f>IFERROR(VLOOKUP($B22,اسماء,15,0),0)</f>
        <v>الفترة الثانية</v>
      </c>
      <c r="G23" s="593"/>
      <c r="H23" s="594">
        <f>IFERROR(VLOOKUP($B22,اسماء,16,0),0)</f>
        <v>0</v>
      </c>
      <c r="I23" s="595"/>
      <c r="J23" s="592">
        <f>IFERROR(VLOOKUP($B22,اسماء,17,0),0)</f>
        <v>0</v>
      </c>
      <c r="K23" s="593"/>
      <c r="L23" s="594">
        <f>IFERROR(VLOOKUP($B22,اسماء,18,0),0)</f>
        <v>0</v>
      </c>
      <c r="M23" s="596"/>
      <c r="N23" s="594">
        <f>IFERROR(VLOOKUP($B22,اسماء,19,0),0)</f>
        <v>0</v>
      </c>
      <c r="O23" s="596"/>
      <c r="P23" s="592">
        <f>IFERROR(VLOOKUP($B22,اسماء,20,0),0)</f>
        <v>0</v>
      </c>
      <c r="Q23" s="595"/>
      <c r="R23" s="372">
        <f t="shared" si="1"/>
        <v>0</v>
      </c>
      <c r="S23" s="305">
        <f>IFERROR(VLOOKUP($B22,اسماء,23,0),"")</f>
        <v>0</v>
      </c>
      <c r="T23" s="306">
        <f>IFERROR(VLOOKUP($B22,اسماء,24,0),"")</f>
        <v>0</v>
      </c>
      <c r="U23" s="122">
        <f>IFERROR(VLOOKUP($B22,اسماء,25,0),"")</f>
        <v>0</v>
      </c>
      <c r="V23" s="605"/>
      <c r="W23" s="20" t="str">
        <f t="shared" si="24"/>
        <v>ضعيف</v>
      </c>
      <c r="X23" s="640"/>
      <c r="Y23" s="8"/>
      <c r="Z23" s="598"/>
      <c r="AK23" s="667"/>
      <c r="AL23" s="667"/>
      <c r="AM23" s="696"/>
      <c r="AN23" s="698"/>
      <c r="AO23" s="699"/>
      <c r="AP23" s="698"/>
    </row>
    <row r="24" spans="1:42" ht="15" customHeight="1" x14ac:dyDescent="0.25">
      <c r="A24" s="611"/>
      <c r="B24" s="614"/>
      <c r="C24" s="617"/>
      <c r="D24" s="620"/>
      <c r="E24" s="130" t="s">
        <v>32</v>
      </c>
      <c r="F24" s="592">
        <f>IFERROR(VLOOKUP($B22,اسماء,25,0),0)</f>
        <v>0</v>
      </c>
      <c r="G24" s="593"/>
      <c r="H24" s="594" t="str">
        <f>IFERROR(VLOOKUP($B22,اسماء,26,0),0)</f>
        <v xml:space="preserve">الفترة الثالثة  </v>
      </c>
      <c r="I24" s="595"/>
      <c r="J24" s="592">
        <f>IFERROR(VLOOKUP($B22,اسماء,27,0),0)</f>
        <v>0</v>
      </c>
      <c r="K24" s="593"/>
      <c r="L24" s="594">
        <f>IFERROR(VLOOKUP($B22,اسماء,28,0),0)</f>
        <v>0</v>
      </c>
      <c r="M24" s="596"/>
      <c r="N24" s="594">
        <f>IFERROR(VLOOKUP($B22,اسماء,29,0),0)</f>
        <v>0</v>
      </c>
      <c r="O24" s="596"/>
      <c r="P24" s="592">
        <f>IFERROR(VLOOKUP($B22,اسماء,30,0),0)</f>
        <v>0</v>
      </c>
      <c r="Q24" s="595"/>
      <c r="R24" s="372">
        <f t="shared" si="1"/>
        <v>0</v>
      </c>
      <c r="S24" s="305">
        <f>IFERROR(VLOOKUP($B22,اسماء,34,0),"")</f>
        <v>0</v>
      </c>
      <c r="T24" s="306">
        <f>IFERROR(VLOOKUP($B22,اسماء,35,0),"")</f>
        <v>0</v>
      </c>
      <c r="U24" s="122">
        <f>IFERROR(VLOOKUP($B22,اسماء,36,0),"")</f>
        <v>0</v>
      </c>
      <c r="V24" s="605"/>
      <c r="W24" s="20" t="str">
        <f t="shared" ref="W24" si="27">LOOKUP(R24,$AF$6:$AG$10)</f>
        <v>ضعيف</v>
      </c>
      <c r="X24" s="640"/>
      <c r="Y24" s="68"/>
      <c r="Z24" s="598"/>
      <c r="AK24" s="667"/>
      <c r="AL24" s="667"/>
      <c r="AM24" s="696"/>
      <c r="AN24" s="698"/>
      <c r="AO24" s="699"/>
      <c r="AP24" s="698"/>
    </row>
    <row r="25" spans="1:42" ht="15" customHeight="1" thickBot="1" x14ac:dyDescent="0.3">
      <c r="A25" s="612"/>
      <c r="B25" s="615"/>
      <c r="C25" s="618"/>
      <c r="D25" s="621"/>
      <c r="E25" s="124" t="s">
        <v>33</v>
      </c>
      <c r="F25" s="623">
        <f t="shared" ref="F25" si="28">SUM(F22:G24)</f>
        <v>31</v>
      </c>
      <c r="G25" s="624"/>
      <c r="H25" s="625">
        <f t="shared" ref="H25" si="29">SUM(H22:I24)</f>
        <v>64</v>
      </c>
      <c r="I25" s="626"/>
      <c r="J25" s="623">
        <f t="shared" ref="J25" si="30">SUM(J22:K24)</f>
        <v>33</v>
      </c>
      <c r="K25" s="624"/>
      <c r="L25" s="625">
        <f t="shared" ref="L25" si="31">SUM(L22:M24)</f>
        <v>11</v>
      </c>
      <c r="M25" s="642"/>
      <c r="N25" s="625">
        <f t="shared" ref="N25" si="32">SUM(N22:O24)</f>
        <v>49</v>
      </c>
      <c r="O25" s="642"/>
      <c r="P25" s="623">
        <f t="shared" ref="P25" si="33">SUM(P22:Q24)</f>
        <v>36</v>
      </c>
      <c r="Q25" s="626"/>
      <c r="R25" s="88">
        <f t="shared" ref="R25" si="34">IF(AND(F25&gt;=$G$8,H25&gt;=$I$8,J25&gt;=$K$8,L25&gt;=$M$8,N25&gt;=$O$8,P25&gt;=$Q$8),SUM(F25:Q25),0)</f>
        <v>0</v>
      </c>
      <c r="S25" s="251"/>
      <c r="T25" s="97"/>
      <c r="U25" s="94"/>
      <c r="V25" s="606"/>
      <c r="W25" s="88" t="str">
        <f t="shared" ref="W25" si="35">LOOKUP(R25,$AI$6:$AJ$10)</f>
        <v>ضعيف</v>
      </c>
      <c r="X25" s="641"/>
      <c r="Y25" s="68"/>
      <c r="Z25" s="599"/>
      <c r="AK25" s="667"/>
      <c r="AL25" s="667"/>
      <c r="AM25" s="696"/>
      <c r="AN25" s="698"/>
      <c r="AO25" s="699"/>
      <c r="AP25" s="698"/>
    </row>
    <row r="26" spans="1:42" ht="15" customHeight="1" x14ac:dyDescent="0.25">
      <c r="A26" s="610">
        <v>5</v>
      </c>
      <c r="B26" s="613" t="str">
        <f>VLOOKUP(A26,مسلسل,2,0)</f>
        <v>ساجدة عبد السلام شعبان بى</v>
      </c>
      <c r="C26" s="616">
        <f>IFERROR(VLOOKUP(B26,اسماء,2,0),"")</f>
        <v>42772</v>
      </c>
      <c r="D26" s="619" t="str">
        <f>IFERROR(VLOOKUP($B26,اسماء,3,0),"")</f>
        <v>هدى فرحات الجعفري</v>
      </c>
      <c r="E26" s="129" t="s">
        <v>30</v>
      </c>
      <c r="F26" s="600">
        <f>IFERROR(VLOOKUP($B26,اسماء,5,0),0)</f>
        <v>35</v>
      </c>
      <c r="G26" s="601"/>
      <c r="H26" s="602">
        <f>IFERROR(VLOOKUP($B26,اسماء,6,0),0)</f>
        <v>64</v>
      </c>
      <c r="I26" s="622"/>
      <c r="J26" s="600">
        <f>IFERROR(VLOOKUP($B26,اسماء,7,0),0)</f>
        <v>31</v>
      </c>
      <c r="K26" s="601"/>
      <c r="L26" s="602">
        <f>IFERROR(VLOOKUP($B26,اسماء,8,0),0)</f>
        <v>10</v>
      </c>
      <c r="M26" s="603"/>
      <c r="N26" s="602">
        <f>IFERROR(VLOOKUP($B26,اسماء,9,0),0)</f>
        <v>41</v>
      </c>
      <c r="O26" s="603"/>
      <c r="P26" s="600">
        <f>IFERROR(VLOOKUP($B26,اسماء,10,0),0)</f>
        <v>30</v>
      </c>
      <c r="Q26" s="622"/>
      <c r="R26" s="371">
        <f t="shared" ref="R26" si="36">SUM(F26:Q26)</f>
        <v>211</v>
      </c>
      <c r="S26" s="213" t="str">
        <f>IFERROR(VLOOKUP($B26,اسماء,12,0),"")</f>
        <v>جيد جداً</v>
      </c>
      <c r="T26" s="214" t="str">
        <f>IFERROR(VLOOKUP($B26,اسماء,13,0),"")</f>
        <v>جيد جداً</v>
      </c>
      <c r="U26" s="364">
        <f>IFERROR(VLOOKUP($B26,اسماء,14,0),"")</f>
        <v>0</v>
      </c>
      <c r="V26" s="604" t="str">
        <f t="shared" ref="V26" si="37">IF(Z26="غائب","راسب",IF(R29&gt;0,"ناجح","مرحل"))</f>
        <v>مرحل</v>
      </c>
      <c r="W26" s="19" t="str">
        <f t="shared" ref="W26:W27" si="38">LOOKUP(R26,$AC$6:$AD$10)</f>
        <v>جيدجداً</v>
      </c>
      <c r="X26" s="639">
        <f t="shared" ref="X26" si="39">R29/$AC$3</f>
        <v>0</v>
      </c>
      <c r="Y26" s="8"/>
      <c r="Z26" s="597">
        <f>IFERROR(VLOOKUP($B26,اسماء,48,0),"")</f>
        <v>0</v>
      </c>
      <c r="AK26" s="667" t="str">
        <f t="shared" ref="AK26" si="40">IF(R29=0,"",R29/1+ROW()*0.00001)</f>
        <v/>
      </c>
      <c r="AL26" s="667" t="str">
        <f>B26</f>
        <v>ساجدة عبد السلام شعبان بى</v>
      </c>
      <c r="AM26" s="696"/>
      <c r="AN26" s="698">
        <v>5</v>
      </c>
      <c r="AO26" s="699" t="str">
        <f>IFERROR(LARGE($AK$10:$AK$1420,AN26),"")</f>
        <v/>
      </c>
      <c r="AP26" s="698" t="str">
        <f>VLOOKUP(AO26,$AK$10:$AL$1530,2,0)</f>
        <v>امجد عمر عبداللطيف سلطان</v>
      </c>
    </row>
    <row r="27" spans="1:42" ht="15" customHeight="1" x14ac:dyDescent="0.25">
      <c r="A27" s="611"/>
      <c r="B27" s="614"/>
      <c r="C27" s="617"/>
      <c r="D27" s="620"/>
      <c r="E27" s="130" t="s">
        <v>31</v>
      </c>
      <c r="F27" s="592" t="str">
        <f>IFERROR(VLOOKUP($B26,اسماء,15,0),0)</f>
        <v>الفترة الثانية</v>
      </c>
      <c r="G27" s="593"/>
      <c r="H27" s="594">
        <f>IFERROR(VLOOKUP($B26,اسماء,16,0),0)</f>
        <v>0</v>
      </c>
      <c r="I27" s="595"/>
      <c r="J27" s="592">
        <f>IFERROR(VLOOKUP($B26,اسماء,17,0),0)</f>
        <v>0</v>
      </c>
      <c r="K27" s="593"/>
      <c r="L27" s="594">
        <f>IFERROR(VLOOKUP($B26,اسماء,18,0),0)</f>
        <v>0</v>
      </c>
      <c r="M27" s="596"/>
      <c r="N27" s="594">
        <f>IFERROR(VLOOKUP($B26,اسماء,19,0),0)</f>
        <v>0</v>
      </c>
      <c r="O27" s="596"/>
      <c r="P27" s="592">
        <f>IFERROR(VLOOKUP($B26,اسماء,20,0),0)</f>
        <v>0</v>
      </c>
      <c r="Q27" s="595"/>
      <c r="R27" s="372">
        <f t="shared" si="1"/>
        <v>0</v>
      </c>
      <c r="S27" s="305">
        <f>IFERROR(VLOOKUP($B26,اسماء,23,0),"")</f>
        <v>0</v>
      </c>
      <c r="T27" s="306">
        <f>IFERROR(VLOOKUP($B26,اسماء,24,0),"")</f>
        <v>0</v>
      </c>
      <c r="U27" s="122">
        <f>IFERROR(VLOOKUP($B26,اسماء,25,0),"")</f>
        <v>0</v>
      </c>
      <c r="V27" s="605"/>
      <c r="W27" s="20" t="str">
        <f t="shared" si="38"/>
        <v>ضعيف</v>
      </c>
      <c r="X27" s="640"/>
      <c r="Y27" s="68"/>
      <c r="Z27" s="598"/>
      <c r="AK27" s="667"/>
      <c r="AL27" s="667"/>
      <c r="AM27" s="696"/>
      <c r="AN27" s="698"/>
      <c r="AO27" s="699"/>
      <c r="AP27" s="698"/>
    </row>
    <row r="28" spans="1:42" ht="15" customHeight="1" x14ac:dyDescent="0.25">
      <c r="A28" s="611"/>
      <c r="B28" s="614"/>
      <c r="C28" s="617"/>
      <c r="D28" s="620"/>
      <c r="E28" s="130" t="s">
        <v>32</v>
      </c>
      <c r="F28" s="592">
        <f>IFERROR(VLOOKUP($B26,اسماء,25,0),0)</f>
        <v>0</v>
      </c>
      <c r="G28" s="593"/>
      <c r="H28" s="594" t="str">
        <f>IFERROR(VLOOKUP($B26,اسماء,26,0),0)</f>
        <v>الفترة الثالثة</v>
      </c>
      <c r="I28" s="595"/>
      <c r="J28" s="592">
        <f>IFERROR(VLOOKUP($B26,اسماء,27,0),0)</f>
        <v>0</v>
      </c>
      <c r="K28" s="593"/>
      <c r="L28" s="594">
        <f>IFERROR(VLOOKUP($B26,اسماء,28,0),0)</f>
        <v>0</v>
      </c>
      <c r="M28" s="596"/>
      <c r="N28" s="594">
        <f>IFERROR(VLOOKUP($B26,اسماء,29,0),0)</f>
        <v>0</v>
      </c>
      <c r="O28" s="596"/>
      <c r="P28" s="592">
        <f>IFERROR(VLOOKUP($B26,اسماء,30,0),0)</f>
        <v>0</v>
      </c>
      <c r="Q28" s="595"/>
      <c r="R28" s="372">
        <f t="shared" si="1"/>
        <v>0</v>
      </c>
      <c r="S28" s="305">
        <f>IFERROR(VLOOKUP($B26,اسماء,34,0),"")</f>
        <v>0</v>
      </c>
      <c r="T28" s="306">
        <f>IFERROR(VLOOKUP($B26,اسماء,35,0),"")</f>
        <v>0</v>
      </c>
      <c r="U28" s="122">
        <f>IFERROR(VLOOKUP($B26,اسماء,36,0),"")</f>
        <v>0</v>
      </c>
      <c r="V28" s="605"/>
      <c r="W28" s="20" t="str">
        <f t="shared" ref="W28" si="41">LOOKUP(R28,$AF$6:$AG$10)</f>
        <v>ضعيف</v>
      </c>
      <c r="X28" s="640"/>
      <c r="Y28" s="68"/>
      <c r="Z28" s="598"/>
      <c r="AK28" s="667"/>
      <c r="AL28" s="667"/>
      <c r="AM28" s="696"/>
      <c r="AN28" s="698"/>
      <c r="AO28" s="699"/>
      <c r="AP28" s="698"/>
    </row>
    <row r="29" spans="1:42" ht="15" customHeight="1" thickBot="1" x14ac:dyDescent="0.3">
      <c r="A29" s="612"/>
      <c r="B29" s="615"/>
      <c r="C29" s="618"/>
      <c r="D29" s="621"/>
      <c r="E29" s="124" t="s">
        <v>33</v>
      </c>
      <c r="F29" s="623">
        <f t="shared" ref="F29" si="42">SUM(F26:G28)</f>
        <v>35</v>
      </c>
      <c r="G29" s="624"/>
      <c r="H29" s="625">
        <f t="shared" ref="H29" si="43">SUM(H26:I28)</f>
        <v>64</v>
      </c>
      <c r="I29" s="626"/>
      <c r="J29" s="623">
        <f t="shared" ref="J29" si="44">SUM(J26:K28)</f>
        <v>31</v>
      </c>
      <c r="K29" s="624"/>
      <c r="L29" s="625">
        <f t="shared" ref="L29" si="45">SUM(L26:M28)</f>
        <v>10</v>
      </c>
      <c r="M29" s="642"/>
      <c r="N29" s="625">
        <f t="shared" ref="N29" si="46">SUM(N26:O28)</f>
        <v>41</v>
      </c>
      <c r="O29" s="642"/>
      <c r="P29" s="623">
        <f t="shared" ref="P29" si="47">SUM(P26:Q28)</f>
        <v>30</v>
      </c>
      <c r="Q29" s="626"/>
      <c r="R29" s="88">
        <f t="shared" ref="R29" si="48">IF(AND(F29&gt;=$G$8,H29&gt;=$I$8,J29&gt;=$K$8,L29&gt;=$M$8,N29&gt;=$O$8,P29&gt;=$Q$8),SUM(F29:Q29),0)</f>
        <v>0</v>
      </c>
      <c r="S29" s="251"/>
      <c r="T29" s="97"/>
      <c r="U29" s="94"/>
      <c r="V29" s="606"/>
      <c r="W29" s="88" t="str">
        <f t="shared" ref="W29" si="49">LOOKUP(R29,$AI$6:$AJ$10)</f>
        <v>ضعيف</v>
      </c>
      <c r="X29" s="641"/>
      <c r="Y29" s="8"/>
      <c r="Z29" s="599"/>
      <c r="AK29" s="667"/>
      <c r="AL29" s="667"/>
      <c r="AM29" s="696"/>
      <c r="AN29" s="698"/>
      <c r="AO29" s="699"/>
      <c r="AP29" s="698"/>
    </row>
    <row r="30" spans="1:42" ht="15" customHeight="1" x14ac:dyDescent="0.25">
      <c r="A30" s="610">
        <v>6</v>
      </c>
      <c r="B30" s="613" t="str">
        <f>VLOOKUP(A30,مسلسل,2,0)</f>
        <v>عبد العاطى احمد محمود محمد</v>
      </c>
      <c r="C30" s="616">
        <f>IFERROR(VLOOKUP(B30,اسماء,2,0),"")</f>
        <v>42784</v>
      </c>
      <c r="D30" s="619" t="str">
        <f>IFERROR(VLOOKUP($B30,اسماء,3,0),"")</f>
        <v>فاطمة السيد محمد امحمد</v>
      </c>
      <c r="E30" s="129" t="s">
        <v>30</v>
      </c>
      <c r="F30" s="600">
        <f>IFERROR(VLOOKUP($B30,اسماء,5,0),0)</f>
        <v>36</v>
      </c>
      <c r="G30" s="601"/>
      <c r="H30" s="602">
        <f>IFERROR(VLOOKUP($B30,اسماء,6,0),0)</f>
        <v>68</v>
      </c>
      <c r="I30" s="622"/>
      <c r="J30" s="600">
        <f>IFERROR(VLOOKUP($B30,اسماء,7,0),0)</f>
        <v>30</v>
      </c>
      <c r="K30" s="601"/>
      <c r="L30" s="602">
        <f>IFERROR(VLOOKUP($B30,اسماء,8,0),0)</f>
        <v>12</v>
      </c>
      <c r="M30" s="603"/>
      <c r="N30" s="602">
        <f>IFERROR(VLOOKUP($B30,اسماء,9,0),0)</f>
        <v>59</v>
      </c>
      <c r="O30" s="603"/>
      <c r="P30" s="600">
        <f>IFERROR(VLOOKUP($B30,اسماء,10,0),0)</f>
        <v>36</v>
      </c>
      <c r="Q30" s="622"/>
      <c r="R30" s="371">
        <f t="shared" ref="R30" si="50">SUM(F30:Q30)</f>
        <v>241</v>
      </c>
      <c r="S30" s="213" t="str">
        <f>IFERROR(VLOOKUP($B30,اسماء,12,0),"")</f>
        <v>جيد جداً</v>
      </c>
      <c r="T30" s="214" t="str">
        <f>IFERROR(VLOOKUP($B30,اسماء,13,0),"")</f>
        <v>جيد جداً</v>
      </c>
      <c r="U30" s="364">
        <f>IFERROR(VLOOKUP($B30,اسماء,14,0),"")</f>
        <v>0</v>
      </c>
      <c r="V30" s="604" t="str">
        <f t="shared" ref="V30" si="51">IF(Z30="غائب","راسب",IF(R33&gt;0,"ناجح","مرحل"))</f>
        <v>مرحل</v>
      </c>
      <c r="W30" s="19" t="str">
        <f t="shared" ref="W30:W31" si="52">LOOKUP(R30,$AC$6:$AD$10)</f>
        <v>ممتاز</v>
      </c>
      <c r="X30" s="639">
        <f t="shared" ref="X30" si="53">R33/$AC$3</f>
        <v>0</v>
      </c>
      <c r="Y30" s="68"/>
      <c r="Z30" s="597">
        <f>IFERROR(VLOOKUP($B30,اسماء,48,0),"")</f>
        <v>0</v>
      </c>
      <c r="AK30" s="667" t="str">
        <f t="shared" ref="AK30" si="54">IF(R33=0,"",R33/1+ROW()*0.00001)</f>
        <v/>
      </c>
      <c r="AL30" s="667" t="str">
        <f>B30</f>
        <v>عبد العاطى احمد محمود محمد</v>
      </c>
      <c r="AM30" s="696"/>
      <c r="AN30" s="698">
        <v>6</v>
      </c>
      <c r="AO30" s="699" t="str">
        <f>IFERROR(LARGE($AK$10:$AK$1420,AN30),"")</f>
        <v/>
      </c>
      <c r="AP30" s="698" t="str">
        <f>VLOOKUP(AO30,$AK$10:$AL$1530,2,0)</f>
        <v>امجد عمر عبداللطيف سلطان</v>
      </c>
    </row>
    <row r="31" spans="1:42" ht="15" customHeight="1" x14ac:dyDescent="0.25">
      <c r="A31" s="611"/>
      <c r="B31" s="614"/>
      <c r="C31" s="617"/>
      <c r="D31" s="620"/>
      <c r="E31" s="130" t="s">
        <v>31</v>
      </c>
      <c r="F31" s="592" t="str">
        <f>IFERROR(VLOOKUP($B30,اسماء,15,0),0)</f>
        <v>الفترة الثانية</v>
      </c>
      <c r="G31" s="593"/>
      <c r="H31" s="594">
        <f>IFERROR(VLOOKUP($B30,اسماء,16,0),0)</f>
        <v>0</v>
      </c>
      <c r="I31" s="595"/>
      <c r="J31" s="592">
        <f>IFERROR(VLOOKUP($B30,اسماء,17,0),0)</f>
        <v>0</v>
      </c>
      <c r="K31" s="593"/>
      <c r="L31" s="594">
        <f>IFERROR(VLOOKUP($B30,اسماء,18,0),0)</f>
        <v>0</v>
      </c>
      <c r="M31" s="596"/>
      <c r="N31" s="594">
        <f>IFERROR(VLOOKUP($B30,اسماء,19,0),0)</f>
        <v>0</v>
      </c>
      <c r="O31" s="596"/>
      <c r="P31" s="592">
        <f>IFERROR(VLOOKUP($B30,اسماء,20,0),0)</f>
        <v>0</v>
      </c>
      <c r="Q31" s="595"/>
      <c r="R31" s="372">
        <f t="shared" si="1"/>
        <v>0</v>
      </c>
      <c r="S31" s="305">
        <f>IFERROR(VLOOKUP($B30,اسماء,23,0),"")</f>
        <v>0</v>
      </c>
      <c r="T31" s="306">
        <f>IFERROR(VLOOKUP($B30,اسماء,24,0),"")</f>
        <v>0</v>
      </c>
      <c r="U31" s="122">
        <f>IFERROR(VLOOKUP($B30,اسماء,25,0),"")</f>
        <v>0</v>
      </c>
      <c r="V31" s="605"/>
      <c r="W31" s="20" t="str">
        <f t="shared" si="52"/>
        <v>ضعيف</v>
      </c>
      <c r="X31" s="640"/>
      <c r="Y31" s="68"/>
      <c r="Z31" s="598"/>
      <c r="AK31" s="667"/>
      <c r="AL31" s="667"/>
      <c r="AM31" s="696"/>
      <c r="AN31" s="698"/>
      <c r="AO31" s="699"/>
      <c r="AP31" s="698"/>
    </row>
    <row r="32" spans="1:42" ht="15" customHeight="1" x14ac:dyDescent="0.25">
      <c r="A32" s="611"/>
      <c r="B32" s="614"/>
      <c r="C32" s="617"/>
      <c r="D32" s="620"/>
      <c r="E32" s="130" t="s">
        <v>32</v>
      </c>
      <c r="F32" s="592">
        <f>IFERROR(VLOOKUP($B30,اسماء,25,0),0)</f>
        <v>0</v>
      </c>
      <c r="G32" s="593"/>
      <c r="H32" s="594" t="str">
        <f>IFERROR(VLOOKUP($B30,اسماء,26,0),0)</f>
        <v>الفترة الثالثة</v>
      </c>
      <c r="I32" s="595"/>
      <c r="J32" s="592">
        <f>IFERROR(VLOOKUP($B30,اسماء,27,0),0)</f>
        <v>0</v>
      </c>
      <c r="K32" s="593"/>
      <c r="L32" s="594">
        <f>IFERROR(VLOOKUP($B30,اسماء,28,0),0)</f>
        <v>0</v>
      </c>
      <c r="M32" s="596"/>
      <c r="N32" s="594">
        <f>IFERROR(VLOOKUP($B30,اسماء,29,0),0)</f>
        <v>0</v>
      </c>
      <c r="O32" s="596"/>
      <c r="P32" s="592">
        <f>IFERROR(VLOOKUP($B30,اسماء,30,0),0)</f>
        <v>0</v>
      </c>
      <c r="Q32" s="595"/>
      <c r="R32" s="372">
        <f t="shared" si="1"/>
        <v>0</v>
      </c>
      <c r="S32" s="305">
        <f>IFERROR(VLOOKUP($B30,اسماء,34,0),"")</f>
        <v>0</v>
      </c>
      <c r="T32" s="306">
        <f>IFERROR(VLOOKUP($B30,اسماء,35,0),"")</f>
        <v>0</v>
      </c>
      <c r="U32" s="122">
        <f>IFERROR(VLOOKUP($B30,اسماء,36,0),"")</f>
        <v>0</v>
      </c>
      <c r="V32" s="605"/>
      <c r="W32" s="20" t="str">
        <f t="shared" ref="W32" si="55">LOOKUP(R32,$AF$6:$AG$10)</f>
        <v>ضعيف</v>
      </c>
      <c r="X32" s="640"/>
      <c r="Y32" s="8"/>
      <c r="Z32" s="598"/>
      <c r="AK32" s="667"/>
      <c r="AL32" s="667"/>
      <c r="AM32" s="696"/>
      <c r="AN32" s="698"/>
      <c r="AO32" s="699"/>
      <c r="AP32" s="698"/>
    </row>
    <row r="33" spans="1:42" ht="15" customHeight="1" thickBot="1" x14ac:dyDescent="0.3">
      <c r="A33" s="612"/>
      <c r="B33" s="615"/>
      <c r="C33" s="618"/>
      <c r="D33" s="621"/>
      <c r="E33" s="124" t="s">
        <v>33</v>
      </c>
      <c r="F33" s="623">
        <f t="shared" ref="F33" si="56">SUM(F30:G32)</f>
        <v>36</v>
      </c>
      <c r="G33" s="624"/>
      <c r="H33" s="625">
        <f t="shared" ref="H33" si="57">SUM(H30:I32)</f>
        <v>68</v>
      </c>
      <c r="I33" s="626"/>
      <c r="J33" s="623">
        <f t="shared" ref="J33" si="58">SUM(J30:K32)</f>
        <v>30</v>
      </c>
      <c r="K33" s="624"/>
      <c r="L33" s="625">
        <f t="shared" ref="L33" si="59">SUM(L30:M32)</f>
        <v>12</v>
      </c>
      <c r="M33" s="642"/>
      <c r="N33" s="625">
        <f t="shared" ref="N33" si="60">SUM(N30:O32)</f>
        <v>59</v>
      </c>
      <c r="O33" s="642"/>
      <c r="P33" s="623">
        <f t="shared" ref="P33" si="61">SUM(P30:Q32)</f>
        <v>36</v>
      </c>
      <c r="Q33" s="626"/>
      <c r="R33" s="88">
        <f t="shared" ref="R33" si="62">IF(AND(F33&gt;=$G$8,H33&gt;=$I$8,J33&gt;=$K$8,L33&gt;=$M$8,N33&gt;=$O$8,P33&gt;=$Q$8),SUM(F33:Q33),0)</f>
        <v>0</v>
      </c>
      <c r="S33" s="251"/>
      <c r="T33" s="97"/>
      <c r="U33" s="94"/>
      <c r="V33" s="606"/>
      <c r="W33" s="88" t="str">
        <f t="shared" ref="W33" si="63">LOOKUP(R33,$AI$6:$AJ$10)</f>
        <v>ضعيف</v>
      </c>
      <c r="X33" s="641"/>
      <c r="Y33" s="68"/>
      <c r="Z33" s="599"/>
      <c r="AK33" s="667"/>
      <c r="AL33" s="667"/>
      <c r="AM33" s="696"/>
      <c r="AN33" s="698"/>
      <c r="AO33" s="699"/>
      <c r="AP33" s="698"/>
    </row>
    <row r="34" spans="1:42" ht="15" customHeight="1" x14ac:dyDescent="0.25">
      <c r="A34" s="610">
        <v>7</v>
      </c>
      <c r="B34" s="613" t="str">
        <f>VLOOKUP(A34,مسلسل,2,0)</f>
        <v>عبدالقدوس عزالدين سالم ادريدر</v>
      </c>
      <c r="C34" s="616">
        <f>IFERROR(VLOOKUP(B34,اسماء,2,0),"")</f>
        <v>43022</v>
      </c>
      <c r="D34" s="619" t="str">
        <f>IFERROR(VLOOKUP($B34,اسماء,3,0),"")</f>
        <v>إيمان الطاهر على بن جابر</v>
      </c>
      <c r="E34" s="129" t="s">
        <v>30</v>
      </c>
      <c r="F34" s="600">
        <f>IFERROR(VLOOKUP($B34,اسماء,5,0),0)</f>
        <v>29</v>
      </c>
      <c r="G34" s="601"/>
      <c r="H34" s="602">
        <f>IFERROR(VLOOKUP($B34,اسماء,6,0),0)</f>
        <v>64</v>
      </c>
      <c r="I34" s="622"/>
      <c r="J34" s="600">
        <f>IFERROR(VLOOKUP($B34,اسماء,7,0),0)</f>
        <v>29</v>
      </c>
      <c r="K34" s="601"/>
      <c r="L34" s="602">
        <f>IFERROR(VLOOKUP($B34,اسماء,8,0),0)</f>
        <v>11</v>
      </c>
      <c r="M34" s="603"/>
      <c r="N34" s="602">
        <f>IFERROR(VLOOKUP($B34,اسماء,9,0),0)</f>
        <v>55</v>
      </c>
      <c r="O34" s="603"/>
      <c r="P34" s="600">
        <f>IFERROR(VLOOKUP($B34,اسماء,10,0),0)</f>
        <v>36</v>
      </c>
      <c r="Q34" s="622"/>
      <c r="R34" s="371">
        <f t="shared" ref="R34" si="64">SUM(F34:Q34)</f>
        <v>224</v>
      </c>
      <c r="S34" s="213" t="str">
        <f>IFERROR(VLOOKUP($B34,اسماء,12,0),"")</f>
        <v>جيد جداً</v>
      </c>
      <c r="T34" s="214" t="str">
        <f>IFERROR(VLOOKUP($B34,اسماء,13,0),"")</f>
        <v>جيد جداً</v>
      </c>
      <c r="U34" s="364">
        <f>IFERROR(VLOOKUP($B34,اسماء,14,0),"")</f>
        <v>0</v>
      </c>
      <c r="V34" s="604" t="str">
        <f t="shared" ref="V34" si="65">IF(Z34="غائب","راسب",IF(R37&gt;0,"ناجح","مرحل"))</f>
        <v>مرحل</v>
      </c>
      <c r="W34" s="19" t="str">
        <f t="shared" ref="W34:W35" si="66">LOOKUP(R34,$AC$6:$AD$10)</f>
        <v>ممتاز</v>
      </c>
      <c r="X34" s="639">
        <f t="shared" ref="X34" si="67">R37/$AC$3</f>
        <v>0</v>
      </c>
      <c r="Y34" s="68"/>
      <c r="Z34" s="597">
        <f>IFERROR(VLOOKUP($B34,اسماء,48,0),"")</f>
        <v>0</v>
      </c>
      <c r="AK34" s="667" t="str">
        <f t="shared" ref="AK34" si="68">IF(R37=0,"",R37/1+ROW()*0.00001)</f>
        <v/>
      </c>
      <c r="AL34" s="667" t="str">
        <f>B34</f>
        <v>عبدالقدوس عزالدين سالم ادريدر</v>
      </c>
      <c r="AM34" s="696"/>
      <c r="AN34" s="698">
        <v>7</v>
      </c>
      <c r="AO34" s="699" t="str">
        <f>IFERROR(LARGE($AK$10:$AK$1420,AN34),"")</f>
        <v/>
      </c>
      <c r="AP34" s="698" t="str">
        <f>VLOOKUP(AO34,$AK$10:$AL$1530,2,0)</f>
        <v>امجد عمر عبداللطيف سلطان</v>
      </c>
    </row>
    <row r="35" spans="1:42" ht="15" customHeight="1" x14ac:dyDescent="0.25">
      <c r="A35" s="611"/>
      <c r="B35" s="614"/>
      <c r="C35" s="617"/>
      <c r="D35" s="620"/>
      <c r="E35" s="130" t="s">
        <v>31</v>
      </c>
      <c r="F35" s="592" t="str">
        <f>IFERROR(VLOOKUP($B34,اسماء,15,0),0)</f>
        <v>الفترة الثانية</v>
      </c>
      <c r="G35" s="593"/>
      <c r="H35" s="594">
        <f>IFERROR(VLOOKUP($B34,اسماء,16,0),0)</f>
        <v>0</v>
      </c>
      <c r="I35" s="595"/>
      <c r="J35" s="592">
        <f>IFERROR(VLOOKUP($B34,اسماء,17,0),0)</f>
        <v>0</v>
      </c>
      <c r="K35" s="593"/>
      <c r="L35" s="594">
        <f>IFERROR(VLOOKUP($B34,اسماء,18,0),0)</f>
        <v>0</v>
      </c>
      <c r="M35" s="596"/>
      <c r="N35" s="594">
        <f>IFERROR(VLOOKUP($B34,اسماء,19,0),0)</f>
        <v>0</v>
      </c>
      <c r="O35" s="596"/>
      <c r="P35" s="592">
        <f>IFERROR(VLOOKUP($B34,اسماء,20,0),0)</f>
        <v>0</v>
      </c>
      <c r="Q35" s="595"/>
      <c r="R35" s="372">
        <f t="shared" si="1"/>
        <v>0</v>
      </c>
      <c r="S35" s="305">
        <f>IFERROR(VLOOKUP($B34,اسماء,23,0),"")</f>
        <v>0</v>
      </c>
      <c r="T35" s="306">
        <f>IFERROR(VLOOKUP($B34,اسماء,24,0),"")</f>
        <v>0</v>
      </c>
      <c r="U35" s="122">
        <f>IFERROR(VLOOKUP($B34,اسماء,25,0),"")</f>
        <v>0</v>
      </c>
      <c r="V35" s="605"/>
      <c r="W35" s="20" t="str">
        <f t="shared" si="66"/>
        <v>ضعيف</v>
      </c>
      <c r="X35" s="640"/>
      <c r="Y35" s="8"/>
      <c r="Z35" s="598"/>
      <c r="AK35" s="667"/>
      <c r="AL35" s="667"/>
      <c r="AM35" s="696"/>
      <c r="AN35" s="698"/>
      <c r="AO35" s="699"/>
      <c r="AP35" s="698"/>
    </row>
    <row r="36" spans="1:42" ht="15" customHeight="1" x14ac:dyDescent="0.25">
      <c r="A36" s="611"/>
      <c r="B36" s="614"/>
      <c r="C36" s="617"/>
      <c r="D36" s="620"/>
      <c r="E36" s="130" t="s">
        <v>32</v>
      </c>
      <c r="F36" s="592">
        <f>IFERROR(VLOOKUP($B34,اسماء,25,0),0)</f>
        <v>0</v>
      </c>
      <c r="G36" s="593"/>
      <c r="H36" s="594" t="str">
        <f>IFERROR(VLOOKUP($B34,اسماء,26,0),0)</f>
        <v xml:space="preserve">الفترة الثالثة  </v>
      </c>
      <c r="I36" s="595"/>
      <c r="J36" s="592">
        <f>IFERROR(VLOOKUP($B34,اسماء,27,0),0)</f>
        <v>0</v>
      </c>
      <c r="K36" s="593"/>
      <c r="L36" s="594">
        <f>IFERROR(VLOOKUP($B34,اسماء,28,0),0)</f>
        <v>0</v>
      </c>
      <c r="M36" s="596"/>
      <c r="N36" s="594">
        <f>IFERROR(VLOOKUP($B34,اسماء,29,0),0)</f>
        <v>0</v>
      </c>
      <c r="O36" s="596"/>
      <c r="P36" s="592">
        <f>IFERROR(VLOOKUP($B34,اسماء,30,0),0)</f>
        <v>0</v>
      </c>
      <c r="Q36" s="595"/>
      <c r="R36" s="372">
        <f t="shared" si="1"/>
        <v>0</v>
      </c>
      <c r="S36" s="305">
        <f>IFERROR(VLOOKUP($B34,اسماء,34,0),"")</f>
        <v>0</v>
      </c>
      <c r="T36" s="306">
        <f>IFERROR(VLOOKUP($B34,اسماء,35,0),"")</f>
        <v>0</v>
      </c>
      <c r="U36" s="122">
        <f>IFERROR(VLOOKUP($B34,اسماء,36,0),"")</f>
        <v>0</v>
      </c>
      <c r="V36" s="605"/>
      <c r="W36" s="20" t="str">
        <f t="shared" ref="W36" si="69">LOOKUP(R36,$AF$6:$AG$10)</f>
        <v>ضعيف</v>
      </c>
      <c r="X36" s="640"/>
      <c r="Y36" s="68"/>
      <c r="Z36" s="598"/>
      <c r="AK36" s="667"/>
      <c r="AL36" s="667"/>
      <c r="AM36" s="696"/>
      <c r="AN36" s="698"/>
      <c r="AO36" s="699"/>
      <c r="AP36" s="698"/>
    </row>
    <row r="37" spans="1:42" ht="15" customHeight="1" thickBot="1" x14ac:dyDescent="0.3">
      <c r="A37" s="612"/>
      <c r="B37" s="615"/>
      <c r="C37" s="618"/>
      <c r="D37" s="621"/>
      <c r="E37" s="124" t="s">
        <v>33</v>
      </c>
      <c r="F37" s="623">
        <f t="shared" ref="F37" si="70">SUM(F34:G36)</f>
        <v>29</v>
      </c>
      <c r="G37" s="624"/>
      <c r="H37" s="625">
        <f t="shared" ref="H37" si="71">SUM(H34:I36)</f>
        <v>64</v>
      </c>
      <c r="I37" s="626"/>
      <c r="J37" s="623">
        <f t="shared" ref="J37" si="72">SUM(J34:K36)</f>
        <v>29</v>
      </c>
      <c r="K37" s="624"/>
      <c r="L37" s="625">
        <f t="shared" ref="L37" si="73">SUM(L34:M36)</f>
        <v>11</v>
      </c>
      <c r="M37" s="642"/>
      <c r="N37" s="625">
        <f t="shared" ref="N37" si="74">SUM(N34:O36)</f>
        <v>55</v>
      </c>
      <c r="O37" s="642"/>
      <c r="P37" s="623">
        <f t="shared" ref="P37" si="75">SUM(P34:Q36)</f>
        <v>36</v>
      </c>
      <c r="Q37" s="626"/>
      <c r="R37" s="88">
        <f t="shared" ref="R37" si="76">IF(AND(F37&gt;=$G$8,H37&gt;=$I$8,J37&gt;=$K$8,L37&gt;=$M$8,N37&gt;=$O$8,P37&gt;=$Q$8),SUM(F37:Q37),0)</f>
        <v>0</v>
      </c>
      <c r="S37" s="251"/>
      <c r="T37" s="97"/>
      <c r="U37" s="94"/>
      <c r="V37" s="606"/>
      <c r="W37" s="88" t="str">
        <f t="shared" ref="W37" si="77">LOOKUP(R37,$AI$6:$AJ$10)</f>
        <v>ضعيف</v>
      </c>
      <c r="X37" s="641"/>
      <c r="Y37" s="68"/>
      <c r="Z37" s="599"/>
      <c r="AK37" s="667"/>
      <c r="AL37" s="667"/>
      <c r="AM37" s="696"/>
      <c r="AN37" s="698"/>
      <c r="AO37" s="699"/>
      <c r="AP37" s="698"/>
    </row>
    <row r="38" spans="1:42" ht="15" customHeight="1" x14ac:dyDescent="0.25">
      <c r="A38" s="610">
        <v>8</v>
      </c>
      <c r="B38" s="613" t="str">
        <f>VLOOKUP(A38,مسلسل,2,0)</f>
        <v>على عبد السلام شعبان بي</v>
      </c>
      <c r="C38" s="616">
        <f>IFERROR(VLOOKUP(B38,اسماء,2,0),"")</f>
        <v>42772</v>
      </c>
      <c r="D38" s="619" t="str">
        <f>IFERROR(VLOOKUP($B38,اسماء,3,0),"")</f>
        <v>هدى فرحات الجعفري</v>
      </c>
      <c r="E38" s="129" t="s">
        <v>30</v>
      </c>
      <c r="F38" s="600">
        <f>IFERROR(VLOOKUP($B38,اسماء,5,0),0)</f>
        <v>28</v>
      </c>
      <c r="G38" s="601"/>
      <c r="H38" s="602">
        <f>IFERROR(VLOOKUP($B38,اسماء,6,0),0)</f>
        <v>64</v>
      </c>
      <c r="I38" s="622"/>
      <c r="J38" s="600">
        <f>IFERROR(VLOOKUP($B38,اسماء,7,0),0)</f>
        <v>25</v>
      </c>
      <c r="K38" s="601"/>
      <c r="L38" s="602">
        <f>IFERROR(VLOOKUP($B38,اسماء,8,0),0)</f>
        <v>10</v>
      </c>
      <c r="M38" s="603"/>
      <c r="N38" s="602">
        <f>IFERROR(VLOOKUP($B38,اسماء,9,0),0)</f>
        <v>46</v>
      </c>
      <c r="O38" s="603"/>
      <c r="P38" s="600">
        <f>IFERROR(VLOOKUP($B38,اسماء,10,0),0)</f>
        <v>27</v>
      </c>
      <c r="Q38" s="622"/>
      <c r="R38" s="371">
        <f t="shared" ref="R38" si="78">SUM(F38:Q38)</f>
        <v>200</v>
      </c>
      <c r="S38" s="213" t="str">
        <f>IFERROR(VLOOKUP($B38,اسماء,12,0),"")</f>
        <v>جيد جداً</v>
      </c>
      <c r="T38" s="214" t="str">
        <f>IFERROR(VLOOKUP($B38,اسماء,13,0),"")</f>
        <v>جيد جداً</v>
      </c>
      <c r="U38" s="364">
        <f>IFERROR(VLOOKUP($B38,اسماء,14,0),"")</f>
        <v>0</v>
      </c>
      <c r="V38" s="604" t="str">
        <f t="shared" ref="V38" si="79">IF(Z38="غائب","راسب",IF(R41&gt;0,"ناجح","مرحل"))</f>
        <v>مرحل</v>
      </c>
      <c r="W38" s="19" t="str">
        <f t="shared" ref="W38:W39" si="80">LOOKUP(R38,$AC$6:$AD$10)</f>
        <v>جيدجداً</v>
      </c>
      <c r="X38" s="639">
        <f t="shared" ref="X38" si="81">R41/$AC$3</f>
        <v>0</v>
      </c>
      <c r="Y38" s="8"/>
      <c r="Z38" s="597">
        <f>IFERROR(VLOOKUP($B38,اسماء,48,0),"")</f>
        <v>0</v>
      </c>
      <c r="AK38" s="667" t="str">
        <f t="shared" ref="AK38" si="82">IF(R41=0,"",R41/1+ROW()*0.00001)</f>
        <v/>
      </c>
      <c r="AL38" s="667" t="str">
        <f>B38</f>
        <v>على عبد السلام شعبان بي</v>
      </c>
      <c r="AM38" s="696"/>
      <c r="AN38" s="698">
        <v>8</v>
      </c>
      <c r="AO38" s="699" t="str">
        <f>IFERROR(LARGE($AK$10:$AK$1420,AN38),"")</f>
        <v/>
      </c>
      <c r="AP38" s="698" t="str">
        <f>VLOOKUP(AO38,$AK$10:$AL$1530,2,0)</f>
        <v>امجد عمر عبداللطيف سلطان</v>
      </c>
    </row>
    <row r="39" spans="1:42" ht="15" customHeight="1" x14ac:dyDescent="0.25">
      <c r="A39" s="611"/>
      <c r="B39" s="614"/>
      <c r="C39" s="617"/>
      <c r="D39" s="620"/>
      <c r="E39" s="130" t="s">
        <v>31</v>
      </c>
      <c r="F39" s="592" t="str">
        <f>IFERROR(VLOOKUP($B38,اسماء,15,0),0)</f>
        <v>الفترة الثانية</v>
      </c>
      <c r="G39" s="593"/>
      <c r="H39" s="594">
        <f>IFERROR(VLOOKUP($B38,اسماء,16,0),0)</f>
        <v>0</v>
      </c>
      <c r="I39" s="595"/>
      <c r="J39" s="592">
        <f>IFERROR(VLOOKUP($B38,اسماء,17,0),0)</f>
        <v>0</v>
      </c>
      <c r="K39" s="593"/>
      <c r="L39" s="594">
        <f>IFERROR(VLOOKUP($B38,اسماء,18,0),0)</f>
        <v>0</v>
      </c>
      <c r="M39" s="596"/>
      <c r="N39" s="594">
        <f>IFERROR(VLOOKUP($B38,اسماء,19,0),0)</f>
        <v>0</v>
      </c>
      <c r="O39" s="596"/>
      <c r="P39" s="592">
        <f>IFERROR(VLOOKUP($B38,اسماء,20,0),0)</f>
        <v>0</v>
      </c>
      <c r="Q39" s="595"/>
      <c r="R39" s="372">
        <f t="shared" si="1"/>
        <v>0</v>
      </c>
      <c r="S39" s="305">
        <f>IFERROR(VLOOKUP($B38,اسماء,23,0),"")</f>
        <v>0</v>
      </c>
      <c r="T39" s="306">
        <f>IFERROR(VLOOKUP($B38,اسماء,24,0),"")</f>
        <v>0</v>
      </c>
      <c r="U39" s="122">
        <f>IFERROR(VLOOKUP($B38,اسماء,25,0),"")</f>
        <v>0</v>
      </c>
      <c r="V39" s="605"/>
      <c r="W39" s="20" t="str">
        <f t="shared" si="80"/>
        <v>ضعيف</v>
      </c>
      <c r="X39" s="640"/>
      <c r="Y39" s="68"/>
      <c r="Z39" s="598"/>
      <c r="AK39" s="667"/>
      <c r="AL39" s="667"/>
      <c r="AM39" s="696"/>
      <c r="AN39" s="698"/>
      <c r="AO39" s="699"/>
      <c r="AP39" s="698"/>
    </row>
    <row r="40" spans="1:42" ht="15" customHeight="1" x14ac:dyDescent="0.25">
      <c r="A40" s="611"/>
      <c r="B40" s="614"/>
      <c r="C40" s="617"/>
      <c r="D40" s="620"/>
      <c r="E40" s="130" t="s">
        <v>32</v>
      </c>
      <c r="F40" s="592">
        <f>IFERROR(VLOOKUP($B38,اسماء,25,0),0)</f>
        <v>0</v>
      </c>
      <c r="G40" s="593"/>
      <c r="H40" s="594" t="str">
        <f>IFERROR(VLOOKUP($B38,اسماء,26,0),0)</f>
        <v>الفترة الثالثة</v>
      </c>
      <c r="I40" s="595"/>
      <c r="J40" s="592">
        <f>IFERROR(VLOOKUP($B38,اسماء,27,0),0)</f>
        <v>0</v>
      </c>
      <c r="K40" s="593"/>
      <c r="L40" s="594">
        <f>IFERROR(VLOOKUP($B38,اسماء,28,0),0)</f>
        <v>0</v>
      </c>
      <c r="M40" s="596"/>
      <c r="N40" s="594">
        <f>IFERROR(VLOOKUP($B38,اسماء,29,0),0)</f>
        <v>0</v>
      </c>
      <c r="O40" s="596"/>
      <c r="P40" s="592">
        <f>IFERROR(VLOOKUP($B38,اسماء,30,0),0)</f>
        <v>0</v>
      </c>
      <c r="Q40" s="595"/>
      <c r="R40" s="372">
        <f t="shared" si="1"/>
        <v>0</v>
      </c>
      <c r="S40" s="305">
        <f>IFERROR(VLOOKUP($B38,اسماء,34,0),"")</f>
        <v>0</v>
      </c>
      <c r="T40" s="306">
        <f>IFERROR(VLOOKUP($B38,اسماء,35,0),"")</f>
        <v>0</v>
      </c>
      <c r="U40" s="122">
        <f>IFERROR(VLOOKUP($B38,اسماء,36,0),"")</f>
        <v>0</v>
      </c>
      <c r="V40" s="605"/>
      <c r="W40" s="20" t="str">
        <f t="shared" ref="W40" si="83">LOOKUP(R40,$AF$6:$AG$10)</f>
        <v>ضعيف</v>
      </c>
      <c r="X40" s="640"/>
      <c r="Y40" s="68"/>
      <c r="Z40" s="598"/>
      <c r="AK40" s="667"/>
      <c r="AL40" s="667"/>
      <c r="AM40" s="696"/>
      <c r="AN40" s="698"/>
      <c r="AO40" s="699"/>
      <c r="AP40" s="698"/>
    </row>
    <row r="41" spans="1:42" ht="15" customHeight="1" thickBot="1" x14ac:dyDescent="0.3">
      <c r="A41" s="612"/>
      <c r="B41" s="615"/>
      <c r="C41" s="618"/>
      <c r="D41" s="621"/>
      <c r="E41" s="124" t="s">
        <v>33</v>
      </c>
      <c r="F41" s="623">
        <f t="shared" ref="F41" si="84">SUM(F38:G40)</f>
        <v>28</v>
      </c>
      <c r="G41" s="624"/>
      <c r="H41" s="625">
        <f t="shared" ref="H41" si="85">SUM(H38:I40)</f>
        <v>64</v>
      </c>
      <c r="I41" s="626"/>
      <c r="J41" s="623">
        <f t="shared" ref="J41" si="86">SUM(J38:K40)</f>
        <v>25</v>
      </c>
      <c r="K41" s="624"/>
      <c r="L41" s="625">
        <f t="shared" ref="L41" si="87">SUM(L38:M40)</f>
        <v>10</v>
      </c>
      <c r="M41" s="642"/>
      <c r="N41" s="625">
        <f t="shared" ref="N41" si="88">SUM(N38:O40)</f>
        <v>46</v>
      </c>
      <c r="O41" s="642"/>
      <c r="P41" s="623">
        <f t="shared" ref="P41" si="89">SUM(P38:Q40)</f>
        <v>27</v>
      </c>
      <c r="Q41" s="626"/>
      <c r="R41" s="88">
        <f t="shared" ref="R41" si="90">IF(AND(F41&gt;=$G$8,H41&gt;=$I$8,J41&gt;=$K$8,L41&gt;=$M$8,N41&gt;=$O$8,P41&gt;=$Q$8),SUM(F41:Q41),0)</f>
        <v>0</v>
      </c>
      <c r="S41" s="251"/>
      <c r="T41" s="97"/>
      <c r="U41" s="94"/>
      <c r="V41" s="606"/>
      <c r="W41" s="88" t="str">
        <f t="shared" ref="W41" si="91">LOOKUP(R41,$AI$6:$AJ$10)</f>
        <v>ضعيف</v>
      </c>
      <c r="X41" s="641"/>
      <c r="Y41" s="8"/>
      <c r="Z41" s="599"/>
      <c r="AK41" s="667"/>
      <c r="AL41" s="667"/>
      <c r="AM41" s="696"/>
      <c r="AN41" s="698"/>
      <c r="AO41" s="699"/>
      <c r="AP41" s="698"/>
    </row>
    <row r="42" spans="1:42" ht="15" customHeight="1" x14ac:dyDescent="0.25">
      <c r="A42" s="610">
        <v>9</v>
      </c>
      <c r="B42" s="613" t="str">
        <f>VLOOKUP(A42,مسلسل,2,0)</f>
        <v>فاطمة سالم سالم الورفلى</v>
      </c>
      <c r="C42" s="616">
        <f>IFERROR(VLOOKUP(B42,اسماء,2,0),"")</f>
        <v>43084</v>
      </c>
      <c r="D42" s="619" t="str">
        <f>IFERROR(VLOOKUP($B42,اسماء,3,0),"")</f>
        <v>عفاف ساسي علي علي</v>
      </c>
      <c r="E42" s="129" t="s">
        <v>30</v>
      </c>
      <c r="F42" s="600">
        <f>IFERROR(VLOOKUP($B42,اسماء,5,0),0)</f>
        <v>36</v>
      </c>
      <c r="G42" s="601"/>
      <c r="H42" s="602">
        <f>IFERROR(VLOOKUP($B42,اسماء,6,0),0)</f>
        <v>71</v>
      </c>
      <c r="I42" s="622"/>
      <c r="J42" s="600">
        <f>IFERROR(VLOOKUP($B42,اسماء,7,0),0)</f>
        <v>33</v>
      </c>
      <c r="K42" s="601"/>
      <c r="L42" s="602">
        <f>IFERROR(VLOOKUP($B42,اسماء,8,0),0)</f>
        <v>12</v>
      </c>
      <c r="M42" s="603"/>
      <c r="N42" s="602">
        <f>IFERROR(VLOOKUP($B42,اسماء,9,0),0)</f>
        <v>55</v>
      </c>
      <c r="O42" s="603"/>
      <c r="P42" s="600">
        <f>IFERROR(VLOOKUP($B42,اسماء,10,0),0)</f>
        <v>35</v>
      </c>
      <c r="Q42" s="622"/>
      <c r="R42" s="371">
        <f t="shared" ref="R42" si="92">SUM(F42:Q42)</f>
        <v>242</v>
      </c>
      <c r="S42" s="213" t="str">
        <f>IFERROR(VLOOKUP($B42,اسماء,12,0),"")</f>
        <v>جيد جداً</v>
      </c>
      <c r="T42" s="214" t="str">
        <f>IFERROR(VLOOKUP($B42,اسماء,13,0),"")</f>
        <v>جيد جداً</v>
      </c>
      <c r="U42" s="364">
        <f>IFERROR(VLOOKUP($B42,اسماء,14,0),"")</f>
        <v>0</v>
      </c>
      <c r="V42" s="604" t="str">
        <f t="shared" ref="V42" si="93">IF(Z42="غائب","راسب",IF(R45&gt;0,"ناجح","مرحل"))</f>
        <v>مرحل</v>
      </c>
      <c r="W42" s="19" t="str">
        <f t="shared" ref="W42:W43" si="94">LOOKUP(R42,$AC$6:$AD$10)</f>
        <v>ممتاز</v>
      </c>
      <c r="X42" s="639">
        <f t="shared" ref="X42" si="95">R45/$AC$3</f>
        <v>0</v>
      </c>
      <c r="Y42" s="68"/>
      <c r="Z42" s="597">
        <f>IFERROR(VLOOKUP($B42,اسماء,48,0),"")</f>
        <v>0</v>
      </c>
      <c r="AK42" s="667" t="str">
        <f t="shared" ref="AK42" si="96">IF(R45=0,"",R45/1+ROW()*0.00001)</f>
        <v/>
      </c>
      <c r="AL42" s="667" t="str">
        <f>B42</f>
        <v>فاطمة سالم سالم الورفلى</v>
      </c>
      <c r="AM42" s="696"/>
      <c r="AN42" s="698">
        <v>9</v>
      </c>
      <c r="AO42" s="699" t="str">
        <f>IFERROR(LARGE($AK$10:$AK$1420,AN42),"")</f>
        <v/>
      </c>
      <c r="AP42" s="698" t="str">
        <f>VLOOKUP(AO42,$AK$10:$AL$1530,2,0)</f>
        <v>امجد عمر عبداللطيف سلطان</v>
      </c>
    </row>
    <row r="43" spans="1:42" ht="15" customHeight="1" x14ac:dyDescent="0.25">
      <c r="A43" s="611"/>
      <c r="B43" s="614"/>
      <c r="C43" s="617"/>
      <c r="D43" s="620"/>
      <c r="E43" s="130" t="s">
        <v>31</v>
      </c>
      <c r="F43" s="592" t="str">
        <f>IFERROR(VLOOKUP($B42,اسماء,15,0),0)</f>
        <v>الفترة الثانية</v>
      </c>
      <c r="G43" s="593"/>
      <c r="H43" s="594">
        <f>IFERROR(VLOOKUP($B42,اسماء,16,0),0)</f>
        <v>0</v>
      </c>
      <c r="I43" s="595"/>
      <c r="J43" s="592">
        <f>IFERROR(VLOOKUP($B42,اسماء,17,0),0)</f>
        <v>0</v>
      </c>
      <c r="K43" s="593"/>
      <c r="L43" s="594">
        <f>IFERROR(VLOOKUP($B42,اسماء,18,0),0)</f>
        <v>0</v>
      </c>
      <c r="M43" s="596"/>
      <c r="N43" s="594">
        <f>IFERROR(VLOOKUP($B42,اسماء,19,0),0)</f>
        <v>0</v>
      </c>
      <c r="O43" s="596"/>
      <c r="P43" s="592">
        <f>IFERROR(VLOOKUP($B42,اسماء,20,0),0)</f>
        <v>0</v>
      </c>
      <c r="Q43" s="595"/>
      <c r="R43" s="372">
        <f t="shared" si="1"/>
        <v>0</v>
      </c>
      <c r="S43" s="305">
        <f>IFERROR(VLOOKUP($B42,اسماء,23,0),"")</f>
        <v>0</v>
      </c>
      <c r="T43" s="306">
        <f>IFERROR(VLOOKUP($B42,اسماء,24,0),"")</f>
        <v>0</v>
      </c>
      <c r="U43" s="122">
        <f>IFERROR(VLOOKUP($B42,اسماء,25,0),"")</f>
        <v>0</v>
      </c>
      <c r="V43" s="605"/>
      <c r="W43" s="20" t="str">
        <f t="shared" si="94"/>
        <v>ضعيف</v>
      </c>
      <c r="X43" s="640"/>
      <c r="Y43" s="68"/>
      <c r="Z43" s="598"/>
      <c r="AK43" s="667"/>
      <c r="AL43" s="667"/>
      <c r="AM43" s="696"/>
      <c r="AN43" s="698"/>
      <c r="AO43" s="699"/>
      <c r="AP43" s="698"/>
    </row>
    <row r="44" spans="1:42" ht="15" customHeight="1" x14ac:dyDescent="0.25">
      <c r="A44" s="611"/>
      <c r="B44" s="614"/>
      <c r="C44" s="617"/>
      <c r="D44" s="620"/>
      <c r="E44" s="130" t="s">
        <v>32</v>
      </c>
      <c r="F44" s="592">
        <f>IFERROR(VLOOKUP($B42,اسماء,25,0),0)</f>
        <v>0</v>
      </c>
      <c r="G44" s="593"/>
      <c r="H44" s="594" t="str">
        <f>IFERROR(VLOOKUP($B42,اسماء,26,0),0)</f>
        <v>الفترة الثالثة</v>
      </c>
      <c r="I44" s="595"/>
      <c r="J44" s="592">
        <f>IFERROR(VLOOKUP($B42,اسماء,27,0),0)</f>
        <v>0</v>
      </c>
      <c r="K44" s="593"/>
      <c r="L44" s="594">
        <f>IFERROR(VLOOKUP($B42,اسماء,28,0),0)</f>
        <v>0</v>
      </c>
      <c r="M44" s="596"/>
      <c r="N44" s="594">
        <f>IFERROR(VLOOKUP($B42,اسماء,29,0),0)</f>
        <v>0</v>
      </c>
      <c r="O44" s="596"/>
      <c r="P44" s="592">
        <f>IFERROR(VLOOKUP($B42,اسماء,30,0),0)</f>
        <v>0</v>
      </c>
      <c r="Q44" s="595"/>
      <c r="R44" s="372">
        <f t="shared" si="1"/>
        <v>0</v>
      </c>
      <c r="S44" s="305">
        <f>IFERROR(VLOOKUP($B42,اسماء,34,0),"")</f>
        <v>0</v>
      </c>
      <c r="T44" s="306">
        <f>IFERROR(VLOOKUP($B42,اسماء,35,0),"")</f>
        <v>0</v>
      </c>
      <c r="U44" s="122">
        <f>IFERROR(VLOOKUP($B42,اسماء,36,0),"")</f>
        <v>0</v>
      </c>
      <c r="V44" s="605"/>
      <c r="W44" s="20" t="str">
        <f t="shared" ref="W44" si="97">LOOKUP(R44,$AF$6:$AG$10)</f>
        <v>ضعيف</v>
      </c>
      <c r="X44" s="640"/>
      <c r="Y44" s="8"/>
      <c r="Z44" s="598"/>
      <c r="AK44" s="667"/>
      <c r="AL44" s="667"/>
      <c r="AM44" s="696"/>
      <c r="AN44" s="698"/>
      <c r="AO44" s="699"/>
      <c r="AP44" s="698"/>
    </row>
    <row r="45" spans="1:42" ht="15" customHeight="1" thickBot="1" x14ac:dyDescent="0.3">
      <c r="A45" s="612"/>
      <c r="B45" s="615"/>
      <c r="C45" s="618"/>
      <c r="D45" s="621"/>
      <c r="E45" s="124" t="s">
        <v>33</v>
      </c>
      <c r="F45" s="623">
        <f t="shared" ref="F45" si="98">SUM(F42:G44)</f>
        <v>36</v>
      </c>
      <c r="G45" s="624"/>
      <c r="H45" s="625">
        <f t="shared" ref="H45" si="99">SUM(H42:I44)</f>
        <v>71</v>
      </c>
      <c r="I45" s="626"/>
      <c r="J45" s="623">
        <f t="shared" ref="J45" si="100">SUM(J42:K44)</f>
        <v>33</v>
      </c>
      <c r="K45" s="624"/>
      <c r="L45" s="625">
        <f t="shared" ref="L45" si="101">SUM(L42:M44)</f>
        <v>12</v>
      </c>
      <c r="M45" s="642"/>
      <c r="N45" s="625">
        <f t="shared" ref="N45" si="102">SUM(N42:O44)</f>
        <v>55</v>
      </c>
      <c r="O45" s="642"/>
      <c r="P45" s="623">
        <f t="shared" ref="P45" si="103">SUM(P42:Q44)</f>
        <v>35</v>
      </c>
      <c r="Q45" s="626"/>
      <c r="R45" s="88">
        <f t="shared" ref="R45" si="104">IF(AND(F45&gt;=$G$8,H45&gt;=$I$8,J45&gt;=$K$8,L45&gt;=$M$8,N45&gt;=$O$8,P45&gt;=$Q$8),SUM(F45:Q45),0)</f>
        <v>0</v>
      </c>
      <c r="S45" s="251"/>
      <c r="T45" s="97"/>
      <c r="U45" s="94"/>
      <c r="V45" s="606"/>
      <c r="W45" s="88" t="str">
        <f t="shared" ref="W45" si="105">LOOKUP(R45,$AI$6:$AJ$10)</f>
        <v>ضعيف</v>
      </c>
      <c r="X45" s="641"/>
      <c r="Y45" s="68"/>
      <c r="Z45" s="599"/>
      <c r="AK45" s="667"/>
      <c r="AL45" s="667"/>
      <c r="AM45" s="696"/>
      <c r="AN45" s="698"/>
      <c r="AO45" s="699"/>
      <c r="AP45" s="698"/>
    </row>
    <row r="46" spans="1:42" ht="15" customHeight="1" x14ac:dyDescent="0.25">
      <c r="A46" s="660">
        <v>10</v>
      </c>
      <c r="B46" s="613" t="str">
        <f>VLOOKUP(A46,مسلسل,2,0)</f>
        <v>كنان سالم عبد الكريم النفاتى</v>
      </c>
      <c r="C46" s="616">
        <f>IFERROR(VLOOKUP(B46,اسماء,2,0),"")</f>
        <v>43094</v>
      </c>
      <c r="D46" s="619" t="str">
        <f>IFERROR(VLOOKUP($B46,اسماء,3,0),"")</f>
        <v>مروة عيسى محمد</v>
      </c>
      <c r="E46" s="129" t="s">
        <v>30</v>
      </c>
      <c r="F46" s="600">
        <f>IFERROR(VLOOKUP($B46,اسماء,5,0),0)</f>
        <v>36</v>
      </c>
      <c r="G46" s="601"/>
      <c r="H46" s="602">
        <f>IFERROR(VLOOKUP($B46,اسماء,6,0),0)</f>
        <v>71</v>
      </c>
      <c r="I46" s="622"/>
      <c r="J46" s="600">
        <f>IFERROR(VLOOKUP($B46,اسماء,7,0),0)</f>
        <v>36</v>
      </c>
      <c r="K46" s="601"/>
      <c r="L46" s="602">
        <f>IFERROR(VLOOKUP($B46,اسماء,8,0),0)</f>
        <v>12</v>
      </c>
      <c r="M46" s="603"/>
      <c r="N46" s="602">
        <f>IFERROR(VLOOKUP($B46,اسماء,9,0),0)</f>
        <v>60</v>
      </c>
      <c r="O46" s="603"/>
      <c r="P46" s="600">
        <f>IFERROR(VLOOKUP($B46,اسماء,10,0),0)</f>
        <v>36</v>
      </c>
      <c r="Q46" s="622"/>
      <c r="R46" s="371">
        <f t="shared" ref="R46" si="106">SUM(F46:Q46)</f>
        <v>251</v>
      </c>
      <c r="S46" s="213" t="str">
        <f>IFERROR(VLOOKUP($B46,اسماء,12,0),"")</f>
        <v>جيد جداً</v>
      </c>
      <c r="T46" s="214" t="str">
        <f>IFERROR(VLOOKUP($B46,اسماء,13,0),"")</f>
        <v>جيد جداً</v>
      </c>
      <c r="U46" s="364">
        <f>IFERROR(VLOOKUP($B46,اسماء,14,0),"")</f>
        <v>0</v>
      </c>
      <c r="V46" s="604" t="str">
        <f t="shared" ref="V46" si="107">IF(Z46="غائب","راسب",IF(R49&gt;0,"ناجح","مرحل"))</f>
        <v>مرحل</v>
      </c>
      <c r="W46" s="19" t="str">
        <f t="shared" ref="W46:W47" si="108">LOOKUP(R46,$AC$6:$AD$10)</f>
        <v>ممتاز</v>
      </c>
      <c r="X46" s="639">
        <f t="shared" ref="X46" si="109">R49/$AC$3</f>
        <v>0</v>
      </c>
      <c r="Y46" s="68"/>
      <c r="Z46" s="597">
        <f>IFERROR(VLOOKUP($B46,اسماء,48,0),"")</f>
        <v>0</v>
      </c>
      <c r="AK46" s="667" t="str">
        <f t="shared" ref="AK46" si="110">IF(R49=0,"",R49/1+ROW()*0.00001)</f>
        <v/>
      </c>
      <c r="AL46" s="667" t="str">
        <f>B46</f>
        <v>كنان سالم عبد الكريم النفاتى</v>
      </c>
      <c r="AM46" s="696"/>
      <c r="AN46" s="698">
        <v>10</v>
      </c>
      <c r="AO46" s="699" t="str">
        <f>IFERROR(LARGE($AK$10:$AK$1420,AN46),"")</f>
        <v/>
      </c>
      <c r="AP46" s="698" t="str">
        <f>VLOOKUP(AO46,$AK$10:$AL$1530,2,0)</f>
        <v>امجد عمر عبداللطيف سلطان</v>
      </c>
    </row>
    <row r="47" spans="1:42" ht="15" customHeight="1" x14ac:dyDescent="0.25">
      <c r="A47" s="661"/>
      <c r="B47" s="614"/>
      <c r="C47" s="617"/>
      <c r="D47" s="620"/>
      <c r="E47" s="130" t="s">
        <v>31</v>
      </c>
      <c r="F47" s="592" t="str">
        <f>IFERROR(VLOOKUP($B46,اسماء,15,0),0)</f>
        <v>الفترة الثانية</v>
      </c>
      <c r="G47" s="593"/>
      <c r="H47" s="594">
        <f>IFERROR(VLOOKUP($B46,اسماء,16,0),0)</f>
        <v>0</v>
      </c>
      <c r="I47" s="595"/>
      <c r="J47" s="592">
        <f>IFERROR(VLOOKUP($B46,اسماء,17,0),0)</f>
        <v>0</v>
      </c>
      <c r="K47" s="593"/>
      <c r="L47" s="594">
        <f>IFERROR(VLOOKUP($B46,اسماء,18,0),0)</f>
        <v>0</v>
      </c>
      <c r="M47" s="596"/>
      <c r="N47" s="594">
        <f>IFERROR(VLOOKUP($B46,اسماء,19,0),0)</f>
        <v>0</v>
      </c>
      <c r="O47" s="596"/>
      <c r="P47" s="592">
        <f>IFERROR(VLOOKUP($B46,اسماء,20,0),0)</f>
        <v>0</v>
      </c>
      <c r="Q47" s="595"/>
      <c r="R47" s="372">
        <f t="shared" si="1"/>
        <v>0</v>
      </c>
      <c r="S47" s="305">
        <f>IFERROR(VLOOKUP($B46,اسماء,23,0),"")</f>
        <v>0</v>
      </c>
      <c r="T47" s="306">
        <f>IFERROR(VLOOKUP($B46,اسماء,24,0),"")</f>
        <v>0</v>
      </c>
      <c r="U47" s="122">
        <f>IFERROR(VLOOKUP($B46,اسماء,25,0),"")</f>
        <v>0</v>
      </c>
      <c r="V47" s="605"/>
      <c r="W47" s="20" t="str">
        <f t="shared" si="108"/>
        <v>ضعيف</v>
      </c>
      <c r="X47" s="640"/>
      <c r="Y47" s="8"/>
      <c r="Z47" s="598"/>
      <c r="AK47" s="667"/>
      <c r="AL47" s="667"/>
      <c r="AM47" s="696"/>
      <c r="AN47" s="698"/>
      <c r="AO47" s="699"/>
      <c r="AP47" s="698"/>
    </row>
    <row r="48" spans="1:42" ht="15" customHeight="1" x14ac:dyDescent="0.25">
      <c r="A48" s="661"/>
      <c r="B48" s="614"/>
      <c r="C48" s="617"/>
      <c r="D48" s="620"/>
      <c r="E48" s="130" t="s">
        <v>32</v>
      </c>
      <c r="F48" s="592">
        <f>IFERROR(VLOOKUP($B46,اسماء,25,0),0)</f>
        <v>0</v>
      </c>
      <c r="G48" s="593"/>
      <c r="H48" s="594" t="str">
        <f>IFERROR(VLOOKUP($B46,اسماء,26,0),0)</f>
        <v xml:space="preserve">الفترة الثالثة  </v>
      </c>
      <c r="I48" s="595"/>
      <c r="J48" s="592">
        <f>IFERROR(VLOOKUP($B46,اسماء,27,0),0)</f>
        <v>0</v>
      </c>
      <c r="K48" s="593"/>
      <c r="L48" s="594">
        <f>IFERROR(VLOOKUP($B46,اسماء,28,0),0)</f>
        <v>0</v>
      </c>
      <c r="M48" s="596"/>
      <c r="N48" s="594">
        <f>IFERROR(VLOOKUP($B46,اسماء,29,0),0)</f>
        <v>0</v>
      </c>
      <c r="O48" s="596"/>
      <c r="P48" s="592">
        <f>IFERROR(VLOOKUP($B46,اسماء,30,0),0)</f>
        <v>0</v>
      </c>
      <c r="Q48" s="595"/>
      <c r="R48" s="372">
        <f t="shared" si="1"/>
        <v>0</v>
      </c>
      <c r="S48" s="305">
        <f>IFERROR(VLOOKUP($B46,اسماء,34,0),"")</f>
        <v>0</v>
      </c>
      <c r="T48" s="306">
        <f>IFERROR(VLOOKUP($B46,اسماء,35,0),"")</f>
        <v>0</v>
      </c>
      <c r="U48" s="122">
        <f>IFERROR(VLOOKUP($B46,اسماء,36,0),"")</f>
        <v>0</v>
      </c>
      <c r="V48" s="605"/>
      <c r="W48" s="20" t="str">
        <f t="shared" ref="W48" si="111">LOOKUP(R48,$AF$6:$AG$10)</f>
        <v>ضعيف</v>
      </c>
      <c r="X48" s="640"/>
      <c r="Y48" s="68"/>
      <c r="Z48" s="598"/>
      <c r="AK48" s="667"/>
      <c r="AL48" s="667"/>
      <c r="AM48" s="696"/>
      <c r="AN48" s="698"/>
      <c r="AO48" s="699"/>
      <c r="AP48" s="698"/>
    </row>
    <row r="49" spans="1:42" ht="15" customHeight="1" thickBot="1" x14ac:dyDescent="0.3">
      <c r="A49" s="662"/>
      <c r="B49" s="615"/>
      <c r="C49" s="618"/>
      <c r="D49" s="621"/>
      <c r="E49" s="124" t="s">
        <v>33</v>
      </c>
      <c r="F49" s="623">
        <f t="shared" ref="F49" si="112">SUM(F46:G48)</f>
        <v>36</v>
      </c>
      <c r="G49" s="624"/>
      <c r="H49" s="625">
        <f t="shared" ref="H49" si="113">SUM(H46:I48)</f>
        <v>71</v>
      </c>
      <c r="I49" s="626"/>
      <c r="J49" s="623">
        <f t="shared" ref="J49" si="114">SUM(J46:K48)</f>
        <v>36</v>
      </c>
      <c r="K49" s="624"/>
      <c r="L49" s="625">
        <f t="shared" ref="L49" si="115">SUM(L46:M48)</f>
        <v>12</v>
      </c>
      <c r="M49" s="642"/>
      <c r="N49" s="625">
        <f t="shared" ref="N49" si="116">SUM(N46:O48)</f>
        <v>60</v>
      </c>
      <c r="O49" s="642"/>
      <c r="P49" s="623">
        <f t="shared" ref="P49" si="117">SUM(P46:Q48)</f>
        <v>36</v>
      </c>
      <c r="Q49" s="626"/>
      <c r="R49" s="88">
        <f t="shared" ref="R49" si="118">IF(AND(F49&gt;=$G$8,H49&gt;=$I$8,J49&gt;=$K$8,L49&gt;=$M$8,N49&gt;=$O$8,P49&gt;=$Q$8),SUM(F49:Q49),0)</f>
        <v>0</v>
      </c>
      <c r="S49" s="251"/>
      <c r="T49" s="97"/>
      <c r="U49" s="94"/>
      <c r="V49" s="606"/>
      <c r="W49" s="88" t="str">
        <f t="shared" ref="W49" si="119">LOOKUP(R49,$AI$6:$AJ$10)</f>
        <v>ضعيف</v>
      </c>
      <c r="X49" s="641"/>
      <c r="Y49" s="68"/>
      <c r="Z49" s="599"/>
      <c r="AK49" s="667"/>
      <c r="AL49" s="667"/>
      <c r="AM49" s="696"/>
      <c r="AN49" s="698"/>
      <c r="AO49" s="699"/>
      <c r="AP49" s="698"/>
    </row>
    <row r="50" spans="1:42" ht="9.75" customHeight="1" thickBot="1" x14ac:dyDescent="0.3">
      <c r="F50" s="71"/>
      <c r="G50" s="72"/>
      <c r="H50" s="71"/>
      <c r="I50" s="72"/>
      <c r="J50" s="71"/>
      <c r="K50" s="72"/>
      <c r="L50" s="71"/>
      <c r="M50" s="72"/>
      <c r="N50" s="71"/>
      <c r="O50" s="72"/>
      <c r="P50" s="71"/>
      <c r="Q50" s="72"/>
      <c r="R50" s="70"/>
      <c r="S50" s="73"/>
      <c r="T50" s="70"/>
      <c r="U50" s="70"/>
      <c r="V50" s="70"/>
      <c r="W50" s="70"/>
      <c r="X50" s="254"/>
      <c r="Y50" s="68"/>
      <c r="AH50" s="74"/>
    </row>
    <row r="51" spans="1:42" customFormat="1" ht="15" customHeight="1" x14ac:dyDescent="0.3">
      <c r="A51" s="668" t="s">
        <v>9</v>
      </c>
      <c r="B51" s="669"/>
      <c r="C51" s="670"/>
      <c r="D51" s="277" t="s">
        <v>11</v>
      </c>
      <c r="E51" s="674" t="s">
        <v>96</v>
      </c>
      <c r="F51" s="663"/>
      <c r="G51" s="663"/>
      <c r="H51" s="663"/>
      <c r="I51" s="663"/>
      <c r="J51" s="7"/>
      <c r="K51" s="7"/>
      <c r="L51" s="7"/>
      <c r="M51" s="7"/>
      <c r="N51" s="7"/>
      <c r="O51" s="7"/>
      <c r="P51" s="7"/>
      <c r="Q51" s="663" t="s">
        <v>156</v>
      </c>
      <c r="R51" s="663"/>
      <c r="S51" s="663"/>
      <c r="T51" s="663"/>
      <c r="U51" s="663"/>
      <c r="V51" s="663"/>
      <c r="W51" s="1"/>
      <c r="X51" s="255"/>
      <c r="Z51" s="75"/>
      <c r="AA51" s="76"/>
      <c r="AB51" s="76"/>
      <c r="AC51" s="76"/>
      <c r="AD51" s="76"/>
    </row>
    <row r="52" spans="1:42" customFormat="1" ht="15" customHeight="1" x14ac:dyDescent="0.25">
      <c r="A52" s="77" t="s">
        <v>8</v>
      </c>
      <c r="B52" s="671">
        <f>ادخال1!$BJ$3</f>
        <v>0</v>
      </c>
      <c r="C52" s="672"/>
      <c r="D52" s="278"/>
      <c r="E52" s="7" t="s">
        <v>9</v>
      </c>
      <c r="F52" s="673" t="str">
        <f>ادخال1!$BJ$5</f>
        <v>د. عبدالرحمن خليفة العريبي</v>
      </c>
      <c r="G52" s="673"/>
      <c r="H52" s="673"/>
      <c r="I52" s="673"/>
      <c r="J52" s="673"/>
      <c r="K52" s="673"/>
      <c r="L52" s="673"/>
      <c r="M52" s="673"/>
      <c r="N52" s="673"/>
      <c r="O52" s="673"/>
      <c r="P52" s="7"/>
      <c r="Q52" s="673" t="str">
        <f>ادخال1!$BJ$6</f>
        <v>تاجوراء</v>
      </c>
      <c r="R52" s="673"/>
      <c r="S52" s="673"/>
      <c r="T52" s="673"/>
      <c r="U52" s="673"/>
      <c r="V52" s="673"/>
      <c r="W52" s="673"/>
      <c r="X52" s="63"/>
      <c r="Y52" s="63"/>
      <c r="Z52" s="75"/>
      <c r="AA52" s="75"/>
      <c r="AB52" s="75"/>
      <c r="AC52" s="75"/>
    </row>
    <row r="53" spans="1:42" customFormat="1" ht="15" customHeight="1" thickBot="1" x14ac:dyDescent="0.3">
      <c r="A53" s="78" t="s">
        <v>97</v>
      </c>
      <c r="B53" s="665">
        <f>ادخال1!$BJ$4</f>
        <v>0</v>
      </c>
      <c r="C53" s="666"/>
      <c r="D53" s="279"/>
      <c r="E53" s="7" t="s">
        <v>11</v>
      </c>
      <c r="F53" s="667"/>
      <c r="G53" s="667"/>
      <c r="H53" s="667"/>
      <c r="I53" s="667"/>
      <c r="J53" s="667"/>
      <c r="K53" s="667"/>
      <c r="L53" s="667"/>
      <c r="M53" s="667"/>
      <c r="N53" s="667"/>
      <c r="O53" s="667"/>
      <c r="P53" s="7"/>
      <c r="Q53" s="7" t="s">
        <v>11</v>
      </c>
      <c r="R53" s="1"/>
      <c r="S53" s="1"/>
      <c r="T53" s="1"/>
      <c r="U53" s="1"/>
      <c r="V53" s="1"/>
      <c r="W53" s="1"/>
      <c r="X53" s="255"/>
      <c r="Z53" s="75"/>
      <c r="AA53" s="75"/>
      <c r="AB53" s="75"/>
      <c r="AC53" s="75"/>
    </row>
    <row r="54" spans="1:42" customFormat="1" ht="15" customHeight="1" x14ac:dyDescent="0.25">
      <c r="A54" s="663" t="s">
        <v>98</v>
      </c>
      <c r="B54" s="663"/>
      <c r="C54" s="663"/>
      <c r="D54" s="663"/>
      <c r="E54" s="663" t="s">
        <v>99</v>
      </c>
      <c r="F54" s="663"/>
      <c r="G54" s="663"/>
      <c r="H54" s="663"/>
      <c r="I54" s="663"/>
      <c r="J54" s="663"/>
      <c r="K54" s="663"/>
      <c r="L54" s="663"/>
      <c r="M54" s="663"/>
      <c r="N54" s="663"/>
      <c r="O54" s="663"/>
      <c r="P54" s="663"/>
      <c r="Q54" s="663"/>
      <c r="R54" s="7"/>
      <c r="S54" s="664">
        <f ca="1">TODAY()</f>
        <v>46009</v>
      </c>
      <c r="T54" s="664"/>
      <c r="U54" s="664"/>
      <c r="V54" s="664"/>
      <c r="W54" s="664"/>
      <c r="X54" s="255"/>
    </row>
    <row r="55" spans="1:42" customFormat="1" ht="15" customHeight="1" thickBot="1" x14ac:dyDescent="0.3">
      <c r="A55" s="7"/>
      <c r="B55" s="663" t="s">
        <v>100</v>
      </c>
      <c r="C55" s="663"/>
      <c r="D55" s="663"/>
      <c r="E55" s="663" t="s">
        <v>101</v>
      </c>
      <c r="F55" s="663"/>
      <c r="G55" s="663"/>
      <c r="H55" s="663"/>
      <c r="I55" s="663"/>
      <c r="J55" s="663"/>
      <c r="K55" s="663"/>
      <c r="L55" s="663"/>
      <c r="M55" s="663"/>
      <c r="N55" s="663"/>
      <c r="O55" s="663"/>
      <c r="P55" s="663"/>
      <c r="Q55" s="663"/>
      <c r="R55" s="1"/>
      <c r="S55" s="1"/>
      <c r="T55" s="1"/>
      <c r="U55" s="1"/>
      <c r="V55" s="1"/>
      <c r="W55" s="1"/>
      <c r="X55" s="255"/>
    </row>
    <row r="56" spans="1:42" ht="14.85" customHeight="1" thickBot="1" x14ac:dyDescent="0.3">
      <c r="A56" s="610">
        <v>11</v>
      </c>
      <c r="B56" s="613" t="str">
        <f>VLOOKUP(A56,مسلسل,2,0)</f>
        <v>مريم سامى محمد النفاتى</v>
      </c>
      <c r="C56" s="616">
        <f>IFERROR(VLOOKUP(B56,اسماء,2,0),"")</f>
        <v>42780</v>
      </c>
      <c r="D56" s="619" t="str">
        <f>IFERROR(VLOOKUP($B56,اسماء,3,0),"")</f>
        <v>عائشة احمد محمد النفاتي</v>
      </c>
      <c r="E56" s="129" t="s">
        <v>30</v>
      </c>
      <c r="F56" s="600">
        <f>IFERROR(VLOOKUP($B56,اسماء,5,0),0)</f>
        <v>36</v>
      </c>
      <c r="G56" s="601"/>
      <c r="H56" s="602">
        <f>IFERROR(VLOOKUP($B56,اسماء,6,0),0)</f>
        <v>71</v>
      </c>
      <c r="I56" s="622"/>
      <c r="J56" s="600">
        <f>IFERROR(VLOOKUP($B56,اسماء,7,0),0)</f>
        <v>36</v>
      </c>
      <c r="K56" s="601"/>
      <c r="L56" s="602">
        <f>IFERROR(VLOOKUP($B56,اسماء,8,0),0)</f>
        <v>12</v>
      </c>
      <c r="M56" s="603"/>
      <c r="N56" s="602">
        <f>IFERROR(VLOOKUP($B56,اسماء,9,0),0)</f>
        <v>60</v>
      </c>
      <c r="O56" s="603"/>
      <c r="P56" s="600">
        <f>IFERROR(VLOOKUP($B56,اسماء,10,0),0)</f>
        <v>36</v>
      </c>
      <c r="Q56" s="622"/>
      <c r="R56" s="371">
        <f>SUM(F56:Q56)</f>
        <v>251</v>
      </c>
      <c r="S56" s="325" t="str">
        <f>IFERROR(VLOOKUP($B56,اسماء,12,0),"")</f>
        <v>جيد جداً</v>
      </c>
      <c r="T56" s="326" t="str">
        <f>IFERROR(VLOOKUP($B56,اسماء,13,0),"")</f>
        <v>جيد جداً</v>
      </c>
      <c r="U56" s="92">
        <f>IFERROR(VLOOKUP($B56,اسماء,14,0),"")</f>
        <v>0</v>
      </c>
      <c r="V56" s="604" t="str">
        <f t="shared" ref="V56" si="120">IF(Z56="غائب","راسب",IF(R59&gt;0,"ناجح","مرحل"))</f>
        <v>مرحل</v>
      </c>
      <c r="W56" s="19" t="str">
        <f t="shared" ref="W56:W57" si="121">LOOKUP(R56,$AC$6:$AD$10)</f>
        <v>ممتاز</v>
      </c>
      <c r="X56" s="639">
        <f t="shared" ref="X56" si="122">R59/$AC$3</f>
        <v>0</v>
      </c>
      <c r="Y56" s="8"/>
      <c r="Z56" s="597">
        <f>IFERROR(VLOOKUP($B56,اسماء,48,0),"")</f>
        <v>0</v>
      </c>
      <c r="AK56" s="671" t="str">
        <f>IF(R59=0,"",R59/1+ROW()*0.00001)</f>
        <v/>
      </c>
      <c r="AL56" s="671" t="str">
        <f>B56</f>
        <v>مريم سامى محمد النفاتى</v>
      </c>
      <c r="AM56" s="696"/>
      <c r="AN56" s="698">
        <v>11</v>
      </c>
      <c r="AO56" s="699" t="str">
        <f>IFERROR(LARGE($AK$10:$AK$1420,AN56),"")</f>
        <v/>
      </c>
      <c r="AP56" s="698" t="str">
        <f>VLOOKUP(AO56,$AK$10:$AL$1530,2,0)</f>
        <v>امجد عمر عبداللطيف سلطان</v>
      </c>
    </row>
    <row r="57" spans="1:42" ht="14.85" customHeight="1" x14ac:dyDescent="0.25">
      <c r="A57" s="611"/>
      <c r="B57" s="614"/>
      <c r="C57" s="617"/>
      <c r="D57" s="620"/>
      <c r="E57" s="130" t="s">
        <v>31</v>
      </c>
      <c r="F57" s="592">
        <f>IFERROR(VLOOKUP($B56,اسماء,16,0),0)</f>
        <v>0</v>
      </c>
      <c r="G57" s="593"/>
      <c r="H57" s="594">
        <f>IFERROR(VLOOKUP($B56,اسماء,17,0),0)</f>
        <v>0</v>
      </c>
      <c r="I57" s="595"/>
      <c r="J57" s="592">
        <f>IFERROR(VLOOKUP($B56,اسماء,18,0),0)</f>
        <v>0</v>
      </c>
      <c r="K57" s="593"/>
      <c r="L57" s="594">
        <f>IFERROR(VLOOKUP($B56,اسماء,19,0),0)</f>
        <v>0</v>
      </c>
      <c r="M57" s="596"/>
      <c r="N57" s="594">
        <f>IFERROR(VLOOKUP($B56,اسماء,20,0),0)</f>
        <v>0</v>
      </c>
      <c r="O57" s="596"/>
      <c r="P57" s="592">
        <f>IFERROR(VLOOKUP($B56,اسماء,21,0),0)</f>
        <v>0</v>
      </c>
      <c r="Q57" s="595"/>
      <c r="R57" s="372">
        <f t="shared" ref="R57:R58" si="123">SUM(F57:Q57)</f>
        <v>0</v>
      </c>
      <c r="S57" s="305">
        <f>IFERROR(VLOOKUP($B56,اسماء,23,0),"")</f>
        <v>0</v>
      </c>
      <c r="T57" s="306">
        <f>IFERROR(VLOOKUP($B56,اسماء,24,0),"")</f>
        <v>0</v>
      </c>
      <c r="U57" s="122">
        <f>IFERROR(VLOOKUP($B56,اسماء,25,0),"")</f>
        <v>0</v>
      </c>
      <c r="V57" s="605"/>
      <c r="W57" s="19" t="str">
        <f t="shared" si="121"/>
        <v>ضعيف</v>
      </c>
      <c r="X57" s="640"/>
      <c r="Y57" s="68"/>
      <c r="Z57" s="598"/>
      <c r="AK57" s="671"/>
      <c r="AL57" s="671"/>
      <c r="AM57" s="696"/>
      <c r="AN57" s="698"/>
      <c r="AO57" s="699"/>
      <c r="AP57" s="698"/>
    </row>
    <row r="58" spans="1:42" ht="14.85" customHeight="1" x14ac:dyDescent="0.25">
      <c r="A58" s="611"/>
      <c r="B58" s="614"/>
      <c r="C58" s="617"/>
      <c r="D58" s="620"/>
      <c r="E58" s="130" t="s">
        <v>32</v>
      </c>
      <c r="F58" s="592">
        <f>IFERROR(VLOOKUP($B56,اسماء,27,0),0)</f>
        <v>0</v>
      </c>
      <c r="G58" s="593"/>
      <c r="H58" s="594">
        <f>IFERROR(VLOOKUP($B56,اسماء,28,0),0)</f>
        <v>0</v>
      </c>
      <c r="I58" s="595"/>
      <c r="J58" s="592">
        <f>IFERROR(VLOOKUP($B56,اسماء,29,0),0)</f>
        <v>0</v>
      </c>
      <c r="K58" s="593"/>
      <c r="L58" s="594">
        <f>IFERROR(VLOOKUP($B56,اسماء,30,0),0)</f>
        <v>0</v>
      </c>
      <c r="M58" s="596"/>
      <c r="N58" s="594">
        <f>IFERROR(VLOOKUP($B56,اسماء,31,0),0)</f>
        <v>0</v>
      </c>
      <c r="O58" s="596"/>
      <c r="P58" s="592">
        <f>IFERROR(VLOOKUP($B56,اسماء,32,0),0)</f>
        <v>0</v>
      </c>
      <c r="Q58" s="595"/>
      <c r="R58" s="372">
        <f t="shared" si="123"/>
        <v>0</v>
      </c>
      <c r="S58" s="305">
        <f>IFERROR(VLOOKUP($B56,اسماء,34,0),"")</f>
        <v>0</v>
      </c>
      <c r="T58" s="306">
        <f>IFERROR(VLOOKUP($B56,اسماء,35,0),"")</f>
        <v>0</v>
      </c>
      <c r="U58" s="122">
        <f>IFERROR(VLOOKUP($B56,اسماء,36,0),"")</f>
        <v>0</v>
      </c>
      <c r="V58" s="605"/>
      <c r="W58" s="20" t="str">
        <f t="shared" ref="W58" si="124">LOOKUP(R58,$AF$6:$AG$10)</f>
        <v>ضعيف</v>
      </c>
      <c r="X58" s="640"/>
      <c r="Y58" s="68"/>
      <c r="Z58" s="598"/>
      <c r="AK58" s="671"/>
      <c r="AL58" s="671"/>
      <c r="AM58" s="696"/>
      <c r="AN58" s="698"/>
      <c r="AO58" s="699"/>
      <c r="AP58" s="698"/>
    </row>
    <row r="59" spans="1:42" ht="14.85" customHeight="1" thickBot="1" x14ac:dyDescent="0.3">
      <c r="A59" s="612"/>
      <c r="B59" s="615"/>
      <c r="C59" s="618"/>
      <c r="D59" s="621"/>
      <c r="E59" s="124" t="s">
        <v>33</v>
      </c>
      <c r="F59" s="623">
        <f>SUM(F56:G58)</f>
        <v>36</v>
      </c>
      <c r="G59" s="624"/>
      <c r="H59" s="625">
        <f>SUM(H56:I58)</f>
        <v>71</v>
      </c>
      <c r="I59" s="626"/>
      <c r="J59" s="623">
        <f>SUM(J56:K58)</f>
        <v>36</v>
      </c>
      <c r="K59" s="624"/>
      <c r="L59" s="625">
        <f>SUM(L56:M58)</f>
        <v>12</v>
      </c>
      <c r="M59" s="642"/>
      <c r="N59" s="625">
        <f>SUM(N56:O58)</f>
        <v>60</v>
      </c>
      <c r="O59" s="642"/>
      <c r="P59" s="623">
        <f>SUM(P56:Q58)</f>
        <v>36</v>
      </c>
      <c r="Q59" s="626"/>
      <c r="R59" s="88">
        <f>IF(AND(F59&gt;=$G$8,H59&gt;=$I$8,J59&gt;=$K$8,L59&gt;=$M$8,N59&gt;=$O$8,P59&gt;=$Q$8),SUM(F59:Q59),0)</f>
        <v>0</v>
      </c>
      <c r="S59" s="251"/>
      <c r="T59" s="97"/>
      <c r="U59" s="94"/>
      <c r="V59" s="606"/>
      <c r="W59" s="88" t="str">
        <f t="shared" ref="W59" si="125">LOOKUP(R59,$AI$6:$AJ$10)</f>
        <v>ضعيف</v>
      </c>
      <c r="X59" s="641"/>
      <c r="Y59" s="8"/>
      <c r="Z59" s="599"/>
      <c r="AK59" s="671"/>
      <c r="AL59" s="671"/>
      <c r="AM59" s="696"/>
      <c r="AN59" s="698"/>
      <c r="AO59" s="699"/>
      <c r="AP59" s="698"/>
    </row>
    <row r="60" spans="1:42" ht="14.85" customHeight="1" thickBot="1" x14ac:dyDescent="0.3">
      <c r="A60" s="610">
        <v>12</v>
      </c>
      <c r="B60" s="613" t="str">
        <f>VLOOKUP(A60,مسلسل,2,0)</f>
        <v>مناف عبد اللطيف ضويلة القنوش</v>
      </c>
      <c r="C60" s="616">
        <f>IFERROR(VLOOKUP(B60,اسماء,2,0),"")</f>
        <v>42816</v>
      </c>
      <c r="D60" s="619" t="str">
        <f>IFERROR(VLOOKUP($B60,اسماء,3,0),"")</f>
        <v>نعبمة شعبان شعبان</v>
      </c>
      <c r="E60" s="129" t="s">
        <v>30</v>
      </c>
      <c r="F60" s="600">
        <f>IFERROR(VLOOKUP($B60,اسماء,5,0),0)</f>
        <v>35</v>
      </c>
      <c r="G60" s="601"/>
      <c r="H60" s="602">
        <f>IFERROR(VLOOKUP($B60,اسماء,6,0),0)</f>
        <v>70</v>
      </c>
      <c r="I60" s="622"/>
      <c r="J60" s="600">
        <f>IFERROR(VLOOKUP($B60,اسماء,7,0),0)</f>
        <v>36</v>
      </c>
      <c r="K60" s="601"/>
      <c r="L60" s="602">
        <f>IFERROR(VLOOKUP($B60,اسماء,8,0),0)</f>
        <v>12</v>
      </c>
      <c r="M60" s="603"/>
      <c r="N60" s="602">
        <f>IFERROR(VLOOKUP($B60,اسماء,9,0),0)</f>
        <v>51</v>
      </c>
      <c r="O60" s="603"/>
      <c r="P60" s="600">
        <f>IFERROR(VLOOKUP($B60,اسماء,10,0),0)</f>
        <v>35</v>
      </c>
      <c r="Q60" s="622"/>
      <c r="R60" s="371">
        <f t="shared" ref="R60:R94" si="126">SUM(F60:Q60)</f>
        <v>239</v>
      </c>
      <c r="S60" s="213" t="str">
        <f>IFERROR(VLOOKUP($B60,اسماء,12,0),"")</f>
        <v>جيد جداً</v>
      </c>
      <c r="T60" s="214" t="str">
        <f>IFERROR(VLOOKUP($B60,اسماء,13,0),"")</f>
        <v>جيد جداً</v>
      </c>
      <c r="U60" s="364">
        <f>IFERROR(VLOOKUP($B60,اسماء,14,0),"")</f>
        <v>0</v>
      </c>
      <c r="V60" s="604" t="str">
        <f t="shared" ref="V60" si="127">IF(Z60="غائب","راسب",IF(R63&gt;0,"ناجح","مرحل"))</f>
        <v>مرحل</v>
      </c>
      <c r="W60" s="19" t="str">
        <f t="shared" ref="W60:W61" si="128">LOOKUP(R60,$AC$6:$AD$10)</f>
        <v>ممتاز</v>
      </c>
      <c r="X60" s="639">
        <f t="shared" ref="X60" si="129">R63/$AC$3</f>
        <v>0</v>
      </c>
      <c r="Y60" s="68"/>
      <c r="Z60" s="597">
        <f>IFERROR(VLOOKUP($B60,اسماء,48,0),"")</f>
        <v>0</v>
      </c>
      <c r="AK60" s="667" t="str">
        <f t="shared" ref="AK60" si="130">IF(R63=0,"",R63/1+ROW()*0.00001)</f>
        <v/>
      </c>
      <c r="AL60" s="667" t="str">
        <f>B60</f>
        <v>مناف عبد اللطيف ضويلة القنوش</v>
      </c>
      <c r="AM60" s="696"/>
      <c r="AN60" s="698">
        <v>12</v>
      </c>
      <c r="AO60" s="699" t="str">
        <f>IFERROR(LARGE($AK$10:$AK$1420,AN60),"")</f>
        <v/>
      </c>
      <c r="AP60" s="698" t="str">
        <f>VLOOKUP(AO60,$AK$10:$AL$1530,2,0)</f>
        <v>امجد عمر عبداللطيف سلطان</v>
      </c>
    </row>
    <row r="61" spans="1:42" ht="14.85" customHeight="1" x14ac:dyDescent="0.25">
      <c r="A61" s="611"/>
      <c r="B61" s="614"/>
      <c r="C61" s="617"/>
      <c r="D61" s="620"/>
      <c r="E61" s="130" t="s">
        <v>31</v>
      </c>
      <c r="F61" s="592" t="str">
        <f>IFERROR(VLOOKUP($B60,اسماء,15,0),0)</f>
        <v>الفترة الثانية</v>
      </c>
      <c r="G61" s="593"/>
      <c r="H61" s="594">
        <f>IFERROR(VLOOKUP($B60,اسماء,16,0),0)</f>
        <v>0</v>
      </c>
      <c r="I61" s="595"/>
      <c r="J61" s="592">
        <f>IFERROR(VLOOKUP($B60,اسماء,17,0),0)</f>
        <v>0</v>
      </c>
      <c r="K61" s="593"/>
      <c r="L61" s="594">
        <f>IFERROR(VLOOKUP($B60,اسماء,18,0),0)</f>
        <v>0</v>
      </c>
      <c r="M61" s="596"/>
      <c r="N61" s="594">
        <f>IFERROR(VLOOKUP($B60,اسماء,19,0),0)</f>
        <v>0</v>
      </c>
      <c r="O61" s="596"/>
      <c r="P61" s="592">
        <f>IFERROR(VLOOKUP($B60,اسماء,20,0),0)</f>
        <v>0</v>
      </c>
      <c r="Q61" s="595"/>
      <c r="R61" s="372">
        <f t="shared" si="126"/>
        <v>0</v>
      </c>
      <c r="S61" s="305">
        <f>IFERROR(VLOOKUP($B60,اسماء,23,0),"")</f>
        <v>0</v>
      </c>
      <c r="T61" s="306">
        <f>IFERROR(VLOOKUP($B60,اسماء,24,0),"")</f>
        <v>0</v>
      </c>
      <c r="U61" s="122">
        <f>IFERROR(VLOOKUP($B60,اسماء,25,0),"")</f>
        <v>0</v>
      </c>
      <c r="V61" s="605"/>
      <c r="W61" s="19" t="str">
        <f t="shared" si="128"/>
        <v>ضعيف</v>
      </c>
      <c r="X61" s="640"/>
      <c r="Y61" s="68"/>
      <c r="Z61" s="598"/>
      <c r="AK61" s="667"/>
      <c r="AL61" s="667"/>
      <c r="AM61" s="696"/>
      <c r="AN61" s="698"/>
      <c r="AO61" s="699"/>
      <c r="AP61" s="698"/>
    </row>
    <row r="62" spans="1:42" ht="14.85" customHeight="1" x14ac:dyDescent="0.25">
      <c r="A62" s="611"/>
      <c r="B62" s="614"/>
      <c r="C62" s="617"/>
      <c r="D62" s="620"/>
      <c r="E62" s="130" t="s">
        <v>32</v>
      </c>
      <c r="F62" s="592">
        <f>IFERROR(VLOOKUP($B60,اسماء,25,0),0)</f>
        <v>0</v>
      </c>
      <c r="G62" s="593"/>
      <c r="H62" s="594" t="str">
        <f>IFERROR(VLOOKUP($B60,اسماء,26,0),0)</f>
        <v>الفترة الثالثة</v>
      </c>
      <c r="I62" s="595"/>
      <c r="J62" s="592">
        <f>IFERROR(VLOOKUP($B60,اسماء,27,0),0)</f>
        <v>0</v>
      </c>
      <c r="K62" s="593"/>
      <c r="L62" s="594">
        <f>IFERROR(VLOOKUP($B60,اسماء,28,0),0)</f>
        <v>0</v>
      </c>
      <c r="M62" s="596"/>
      <c r="N62" s="594">
        <f>IFERROR(VLOOKUP($B60,اسماء,29,0),0)</f>
        <v>0</v>
      </c>
      <c r="O62" s="596"/>
      <c r="P62" s="592">
        <f>IFERROR(VLOOKUP($B60,اسماء,30,0),0)</f>
        <v>0</v>
      </c>
      <c r="Q62" s="595"/>
      <c r="R62" s="372">
        <f t="shared" si="126"/>
        <v>0</v>
      </c>
      <c r="S62" s="305">
        <f>IFERROR(VLOOKUP($B60,اسماء,34,0),"")</f>
        <v>0</v>
      </c>
      <c r="T62" s="306">
        <f>IFERROR(VLOOKUP($B60,اسماء,35,0),"")</f>
        <v>0</v>
      </c>
      <c r="U62" s="122">
        <f>IFERROR(VLOOKUP($B60,اسماء,36,0),"")</f>
        <v>0</v>
      </c>
      <c r="V62" s="605"/>
      <c r="W62" s="20" t="str">
        <f t="shared" ref="W62" si="131">LOOKUP(R62,$AF$6:$AG$10)</f>
        <v>ضعيف</v>
      </c>
      <c r="X62" s="640"/>
      <c r="Y62" s="8"/>
      <c r="Z62" s="598"/>
      <c r="AK62" s="667"/>
      <c r="AL62" s="667"/>
      <c r="AM62" s="696"/>
      <c r="AN62" s="698"/>
      <c r="AO62" s="699"/>
      <c r="AP62" s="698"/>
    </row>
    <row r="63" spans="1:42" ht="14.85" customHeight="1" thickBot="1" x14ac:dyDescent="0.3">
      <c r="A63" s="612"/>
      <c r="B63" s="615"/>
      <c r="C63" s="618"/>
      <c r="D63" s="621"/>
      <c r="E63" s="124" t="s">
        <v>33</v>
      </c>
      <c r="F63" s="623">
        <f>SUM(F60:G62)</f>
        <v>35</v>
      </c>
      <c r="G63" s="624"/>
      <c r="H63" s="625">
        <f>SUM(H60:I62)</f>
        <v>70</v>
      </c>
      <c r="I63" s="626"/>
      <c r="J63" s="623">
        <f>SUM(J60:K62)</f>
        <v>36</v>
      </c>
      <c r="K63" s="624"/>
      <c r="L63" s="625">
        <f>SUM(L60:M62)</f>
        <v>12</v>
      </c>
      <c r="M63" s="642"/>
      <c r="N63" s="625">
        <f>SUM(N60:O62)</f>
        <v>51</v>
      </c>
      <c r="O63" s="642"/>
      <c r="P63" s="623">
        <f>SUM(P60:Q62)</f>
        <v>35</v>
      </c>
      <c r="Q63" s="626"/>
      <c r="R63" s="88">
        <f t="shared" ref="R63" si="132">IF(AND(F63&gt;=$G$8,H63&gt;=$I$8,J63&gt;=$K$8,L63&gt;=$M$8,N63&gt;=$O$8,P63&gt;=$Q$8),SUM(F63:Q63),0)</f>
        <v>0</v>
      </c>
      <c r="S63" s="251"/>
      <c r="T63" s="97"/>
      <c r="U63" s="94"/>
      <c r="V63" s="606"/>
      <c r="W63" s="88" t="str">
        <f t="shared" ref="W63" si="133">LOOKUP(R63,$AI$6:$AJ$10)</f>
        <v>ضعيف</v>
      </c>
      <c r="X63" s="641"/>
      <c r="Y63" s="68"/>
      <c r="Z63" s="599"/>
      <c r="AK63" s="667"/>
      <c r="AL63" s="667"/>
      <c r="AM63" s="696"/>
      <c r="AN63" s="698"/>
      <c r="AO63" s="699"/>
      <c r="AP63" s="698"/>
    </row>
    <row r="64" spans="1:42" ht="14.85" customHeight="1" thickBot="1" x14ac:dyDescent="0.3">
      <c r="A64" s="610">
        <v>13</v>
      </c>
      <c r="B64" s="613" t="str">
        <f>VLOOKUP(A64,مسلسل,2,0)</f>
        <v>يزن عبد السلام على الأطوش</v>
      </c>
      <c r="C64" s="616">
        <f>IFERROR(VLOOKUP(B64,اسماء,2,0),"")</f>
        <v>42743</v>
      </c>
      <c r="D64" s="619" t="str">
        <f>IFERROR(VLOOKUP($B64,اسماء,3,0),"")</f>
        <v>حنان محمد احميد ابوعائشة</v>
      </c>
      <c r="E64" s="129" t="s">
        <v>30</v>
      </c>
      <c r="F64" s="600">
        <f>IFERROR(VLOOKUP($B64,اسماء,5,0),0)</f>
        <v>36</v>
      </c>
      <c r="G64" s="601"/>
      <c r="H64" s="602">
        <f>IFERROR(VLOOKUP($B64,اسماء,6,0),0)</f>
        <v>71</v>
      </c>
      <c r="I64" s="622"/>
      <c r="J64" s="600">
        <f>IFERROR(VLOOKUP($B64,اسماء,7,0),0)</f>
        <v>36</v>
      </c>
      <c r="K64" s="601"/>
      <c r="L64" s="602">
        <f>IFERROR(VLOOKUP($B64,اسماء,8,0),0)</f>
        <v>12</v>
      </c>
      <c r="M64" s="603"/>
      <c r="N64" s="602">
        <f>IFERROR(VLOOKUP($B64,اسماء,9,0),0)</f>
        <v>60</v>
      </c>
      <c r="O64" s="603"/>
      <c r="P64" s="600">
        <f>IFERROR(VLOOKUP($B64,اسماء,10,0),0)</f>
        <v>36</v>
      </c>
      <c r="Q64" s="622"/>
      <c r="R64" s="371">
        <f t="shared" ref="R64" si="134">SUM(F64:Q64)</f>
        <v>251</v>
      </c>
      <c r="S64" s="213" t="str">
        <f>IFERROR(VLOOKUP($B64,اسماء,12,0),"")</f>
        <v>جيد جداً</v>
      </c>
      <c r="T64" s="214" t="str">
        <f>IFERROR(VLOOKUP($B64,اسماء,13,0),"")</f>
        <v>جيد جداً</v>
      </c>
      <c r="U64" s="364">
        <f>IFERROR(VLOOKUP($B64,اسماء,14,0),"")</f>
        <v>0</v>
      </c>
      <c r="V64" s="604" t="str">
        <f t="shared" ref="V64" si="135">IF(Z64="غائب","راسب",IF(R67&gt;0,"ناجح","مرحل"))</f>
        <v>مرحل</v>
      </c>
      <c r="W64" s="19" t="str">
        <f t="shared" ref="W64:W65" si="136">LOOKUP(R64,$AC$6:$AD$10)</f>
        <v>ممتاز</v>
      </c>
      <c r="X64" s="639">
        <f t="shared" ref="X64" si="137">R67/$AC$3</f>
        <v>0</v>
      </c>
      <c r="Y64" s="68"/>
      <c r="Z64" s="597">
        <f>IFERROR(VLOOKUP($B64,اسماء,48,0),"")</f>
        <v>0</v>
      </c>
      <c r="AK64" s="667" t="str">
        <f t="shared" ref="AK64" si="138">IF(R67=0,"",R67/1+ROW()*0.00001)</f>
        <v/>
      </c>
      <c r="AL64" s="667" t="str">
        <f>B64</f>
        <v>يزن عبد السلام على الأطوش</v>
      </c>
      <c r="AM64" s="696"/>
      <c r="AN64" s="698">
        <v>13</v>
      </c>
      <c r="AO64" s="699" t="str">
        <f>IFERROR(LARGE($AK$10:$AK$1420,AN64),"")</f>
        <v/>
      </c>
      <c r="AP64" s="698" t="str">
        <f>VLOOKUP(AO64,$AK$10:$AL$1530,2,0)</f>
        <v>امجد عمر عبداللطيف سلطان</v>
      </c>
    </row>
    <row r="65" spans="1:42" ht="14.85" customHeight="1" x14ac:dyDescent="0.25">
      <c r="A65" s="611"/>
      <c r="B65" s="614"/>
      <c r="C65" s="617"/>
      <c r="D65" s="620"/>
      <c r="E65" s="130" t="s">
        <v>31</v>
      </c>
      <c r="F65" s="592" t="str">
        <f>IFERROR(VLOOKUP($B64,اسماء,15,0),0)</f>
        <v>الفترة الثانية</v>
      </c>
      <c r="G65" s="593"/>
      <c r="H65" s="594">
        <f>IFERROR(VLOOKUP($B64,اسماء,16,0),0)</f>
        <v>0</v>
      </c>
      <c r="I65" s="595"/>
      <c r="J65" s="592">
        <f>IFERROR(VLOOKUP($B64,اسماء,17,0),0)</f>
        <v>0</v>
      </c>
      <c r="K65" s="593"/>
      <c r="L65" s="594">
        <f>IFERROR(VLOOKUP($B64,اسماء,18,0),0)</f>
        <v>0</v>
      </c>
      <c r="M65" s="596"/>
      <c r="N65" s="594">
        <f>IFERROR(VLOOKUP($B64,اسماء,19,0),0)</f>
        <v>0</v>
      </c>
      <c r="O65" s="596"/>
      <c r="P65" s="592">
        <f>IFERROR(VLOOKUP($B64,اسماء,20,0),0)</f>
        <v>0</v>
      </c>
      <c r="Q65" s="595"/>
      <c r="R65" s="372">
        <f t="shared" si="126"/>
        <v>0</v>
      </c>
      <c r="S65" s="305">
        <f>IFERROR(VLOOKUP($B64,اسماء,23,0),"")</f>
        <v>0</v>
      </c>
      <c r="T65" s="306">
        <f>IFERROR(VLOOKUP($B64,اسماء,24,0),"")</f>
        <v>0</v>
      </c>
      <c r="U65" s="122">
        <f>IFERROR(VLOOKUP($B64,اسماء,25,0),"")</f>
        <v>0</v>
      </c>
      <c r="V65" s="605"/>
      <c r="W65" s="19" t="str">
        <f t="shared" si="136"/>
        <v>ضعيف</v>
      </c>
      <c r="X65" s="640"/>
      <c r="Y65" s="8"/>
      <c r="Z65" s="598"/>
      <c r="AK65" s="667"/>
      <c r="AL65" s="667"/>
      <c r="AM65" s="696"/>
      <c r="AN65" s="698"/>
      <c r="AO65" s="699"/>
      <c r="AP65" s="698"/>
    </row>
    <row r="66" spans="1:42" ht="14.85" customHeight="1" x14ac:dyDescent="0.25">
      <c r="A66" s="611"/>
      <c r="B66" s="614"/>
      <c r="C66" s="617"/>
      <c r="D66" s="620"/>
      <c r="E66" s="130" t="s">
        <v>32</v>
      </c>
      <c r="F66" s="592">
        <f>IFERROR(VLOOKUP($B64,اسماء,25,0),0)</f>
        <v>0</v>
      </c>
      <c r="G66" s="593"/>
      <c r="H66" s="594" t="str">
        <f>IFERROR(VLOOKUP($B64,اسماء,26,0),0)</f>
        <v xml:space="preserve">الفترة الثالثة  </v>
      </c>
      <c r="I66" s="595"/>
      <c r="J66" s="592">
        <f>IFERROR(VLOOKUP($B64,اسماء,27,0),0)</f>
        <v>0</v>
      </c>
      <c r="K66" s="593"/>
      <c r="L66" s="594">
        <f>IFERROR(VLOOKUP($B64,اسماء,28,0),0)</f>
        <v>0</v>
      </c>
      <c r="M66" s="596"/>
      <c r="N66" s="594">
        <f>IFERROR(VLOOKUP($B64,اسماء,29,0),0)</f>
        <v>0</v>
      </c>
      <c r="O66" s="596"/>
      <c r="P66" s="592">
        <f>IFERROR(VLOOKUP($B64,اسماء,30,0),0)</f>
        <v>0</v>
      </c>
      <c r="Q66" s="595"/>
      <c r="R66" s="372">
        <f t="shared" si="126"/>
        <v>0</v>
      </c>
      <c r="S66" s="305">
        <f>IFERROR(VLOOKUP($B64,اسماء,34,0),"")</f>
        <v>0</v>
      </c>
      <c r="T66" s="306">
        <f>IFERROR(VLOOKUP($B64,اسماء,35,0),"")</f>
        <v>0</v>
      </c>
      <c r="U66" s="122">
        <f>IFERROR(VLOOKUP($B64,اسماء,36,0),"")</f>
        <v>0</v>
      </c>
      <c r="V66" s="605"/>
      <c r="W66" s="20" t="str">
        <f t="shared" ref="W66" si="139">LOOKUP(R66,$AF$6:$AG$10)</f>
        <v>ضعيف</v>
      </c>
      <c r="X66" s="640"/>
      <c r="Y66" s="68"/>
      <c r="Z66" s="598"/>
      <c r="AK66" s="667"/>
      <c r="AL66" s="667"/>
      <c r="AM66" s="696"/>
      <c r="AN66" s="698"/>
      <c r="AO66" s="699"/>
      <c r="AP66" s="698"/>
    </row>
    <row r="67" spans="1:42" ht="14.85" customHeight="1" thickBot="1" x14ac:dyDescent="0.3">
      <c r="A67" s="612"/>
      <c r="B67" s="615"/>
      <c r="C67" s="618"/>
      <c r="D67" s="621"/>
      <c r="E67" s="124" t="s">
        <v>33</v>
      </c>
      <c r="F67" s="623">
        <f t="shared" ref="F67" si="140">SUM(F64:G66)</f>
        <v>36</v>
      </c>
      <c r="G67" s="624"/>
      <c r="H67" s="625">
        <f t="shared" ref="H67" si="141">SUM(H64:I66)</f>
        <v>71</v>
      </c>
      <c r="I67" s="626"/>
      <c r="J67" s="623">
        <f t="shared" ref="J67" si="142">SUM(J64:K66)</f>
        <v>36</v>
      </c>
      <c r="K67" s="624"/>
      <c r="L67" s="625">
        <f t="shared" ref="L67" si="143">SUM(L64:M66)</f>
        <v>12</v>
      </c>
      <c r="M67" s="642"/>
      <c r="N67" s="625">
        <f t="shared" ref="N67" si="144">SUM(N64:O66)</f>
        <v>60</v>
      </c>
      <c r="O67" s="642"/>
      <c r="P67" s="623">
        <f t="shared" ref="P67" si="145">SUM(P64:Q66)</f>
        <v>36</v>
      </c>
      <c r="Q67" s="626"/>
      <c r="R67" s="88">
        <f t="shared" ref="R67" si="146">IF(AND(F67&gt;=$G$8,H67&gt;=$I$8,J67&gt;=$K$8,L67&gt;=$M$8,N67&gt;=$O$8,P67&gt;=$Q$8),SUM(F67:Q67),0)</f>
        <v>0</v>
      </c>
      <c r="S67" s="251"/>
      <c r="T67" s="97"/>
      <c r="U67" s="94"/>
      <c r="V67" s="606"/>
      <c r="W67" s="88" t="str">
        <f t="shared" ref="W67" si="147">LOOKUP(R67,$AI$6:$AJ$10)</f>
        <v>ضعيف</v>
      </c>
      <c r="X67" s="641"/>
      <c r="Y67" s="68"/>
      <c r="Z67" s="599"/>
      <c r="AK67" s="667"/>
      <c r="AL67" s="667"/>
      <c r="AM67" s="696"/>
      <c r="AN67" s="698"/>
      <c r="AO67" s="699"/>
      <c r="AP67" s="698"/>
    </row>
    <row r="68" spans="1:42" ht="14.85" customHeight="1" thickBot="1" x14ac:dyDescent="0.3">
      <c r="A68" s="610">
        <v>14</v>
      </c>
      <c r="B68" s="613" t="str">
        <f>VLOOKUP(A68,مسلسل,2,0)</f>
        <v>ايلياء محمد عوض الحداد</v>
      </c>
      <c r="C68" s="616">
        <f>IFERROR(VLOOKUP(B68,اسماء,2,0),"")</f>
        <v>42821</v>
      </c>
      <c r="D68" s="619" t="str">
        <f>IFERROR(VLOOKUP($B68,اسماء,3,0),"")</f>
        <v>غادة صالح فرج القذافي</v>
      </c>
      <c r="E68" s="129" t="s">
        <v>30</v>
      </c>
      <c r="F68" s="600">
        <f>IFERROR(VLOOKUP($B68,اسماء,5,0),0)</f>
        <v>36</v>
      </c>
      <c r="G68" s="601"/>
      <c r="H68" s="602">
        <f>IFERROR(VLOOKUP($B68,اسماء,6,0),0)</f>
        <v>71</v>
      </c>
      <c r="I68" s="622"/>
      <c r="J68" s="600">
        <f>IFERROR(VLOOKUP($B68,اسماء,7,0),0)</f>
        <v>34</v>
      </c>
      <c r="K68" s="601"/>
      <c r="L68" s="602">
        <f>IFERROR(VLOOKUP($B68,اسماء,8,0),0)</f>
        <v>12</v>
      </c>
      <c r="M68" s="603"/>
      <c r="N68" s="602">
        <f>IFERROR(VLOOKUP($B68,اسماء,9,0),0)</f>
        <v>56</v>
      </c>
      <c r="O68" s="603"/>
      <c r="P68" s="600">
        <f>IFERROR(VLOOKUP($B68,اسماء,10,0),0)</f>
        <v>35</v>
      </c>
      <c r="Q68" s="622"/>
      <c r="R68" s="371">
        <f t="shared" ref="R68" si="148">SUM(F68:Q68)</f>
        <v>244</v>
      </c>
      <c r="S68" s="213" t="str">
        <f>IFERROR(VLOOKUP($B68,اسماء,12,0),"")</f>
        <v>جيد جداً</v>
      </c>
      <c r="T68" s="214" t="str">
        <f>IFERROR(VLOOKUP($B68,اسماء,13,0),"")</f>
        <v>جيد جداً</v>
      </c>
      <c r="U68" s="364">
        <f>IFERROR(VLOOKUP($B68,اسماء,14,0),"")</f>
        <v>0</v>
      </c>
      <c r="V68" s="604" t="str">
        <f t="shared" ref="V68" si="149">IF(Z68="غائب","راسب",IF(R71&gt;0,"ناجح","مرحل"))</f>
        <v>مرحل</v>
      </c>
      <c r="W68" s="19" t="str">
        <f t="shared" ref="W68:W69" si="150">LOOKUP(R68,$AC$6:$AD$10)</f>
        <v>ممتاز</v>
      </c>
      <c r="X68" s="639">
        <f t="shared" ref="X68" si="151">R71/$AC$3</f>
        <v>0</v>
      </c>
      <c r="Y68" s="8"/>
      <c r="Z68" s="597">
        <f>IFERROR(VLOOKUP($B68,اسماء,48,0),"")</f>
        <v>0</v>
      </c>
      <c r="AK68" s="667" t="str">
        <f t="shared" ref="AK68" si="152">IF(R71=0,"",R71/1+ROW()*0.00001)</f>
        <v/>
      </c>
      <c r="AL68" s="667" t="str">
        <f>B68</f>
        <v>ايلياء محمد عوض الحداد</v>
      </c>
      <c r="AM68" s="696"/>
      <c r="AN68" s="698">
        <v>14</v>
      </c>
      <c r="AO68" s="699" t="str">
        <f>IFERROR(LARGE($AK$10:$AK$1420,AN68),"")</f>
        <v/>
      </c>
      <c r="AP68" s="698" t="str">
        <f>VLOOKUP(AO68,$AK$10:$AL$1530,2,0)</f>
        <v>امجد عمر عبداللطيف سلطان</v>
      </c>
    </row>
    <row r="69" spans="1:42" ht="14.85" customHeight="1" x14ac:dyDescent="0.25">
      <c r="A69" s="611"/>
      <c r="B69" s="614"/>
      <c r="C69" s="617"/>
      <c r="D69" s="620"/>
      <c r="E69" s="130" t="s">
        <v>31</v>
      </c>
      <c r="F69" s="592" t="str">
        <f>IFERROR(VLOOKUP($B68,اسماء,15,0),0)</f>
        <v>الفترة الثانية</v>
      </c>
      <c r="G69" s="593"/>
      <c r="H69" s="594">
        <f>IFERROR(VLOOKUP($B68,اسماء,16,0),0)</f>
        <v>0</v>
      </c>
      <c r="I69" s="595"/>
      <c r="J69" s="592">
        <f>IFERROR(VLOOKUP($B68,اسماء,17,0),0)</f>
        <v>0</v>
      </c>
      <c r="K69" s="593"/>
      <c r="L69" s="594">
        <f>IFERROR(VLOOKUP($B68,اسماء,18,0),0)</f>
        <v>0</v>
      </c>
      <c r="M69" s="596"/>
      <c r="N69" s="594">
        <f>IFERROR(VLOOKUP($B68,اسماء,19,0),0)</f>
        <v>0</v>
      </c>
      <c r="O69" s="596"/>
      <c r="P69" s="592">
        <f>IFERROR(VLOOKUP($B68,اسماء,20,0),0)</f>
        <v>0</v>
      </c>
      <c r="Q69" s="595"/>
      <c r="R69" s="372">
        <f t="shared" si="126"/>
        <v>0</v>
      </c>
      <c r="S69" s="305">
        <f>IFERROR(VLOOKUP($B68,اسماء,23,0),"")</f>
        <v>0</v>
      </c>
      <c r="T69" s="306">
        <f>IFERROR(VLOOKUP($B68,اسماء,24,0),"")</f>
        <v>0</v>
      </c>
      <c r="U69" s="122">
        <f>IFERROR(VLOOKUP($B68,اسماء,25,0),"")</f>
        <v>0</v>
      </c>
      <c r="V69" s="605"/>
      <c r="W69" s="19" t="str">
        <f t="shared" si="150"/>
        <v>ضعيف</v>
      </c>
      <c r="X69" s="640"/>
      <c r="Y69" s="68"/>
      <c r="Z69" s="598"/>
      <c r="AK69" s="667"/>
      <c r="AL69" s="667"/>
      <c r="AM69" s="696"/>
      <c r="AN69" s="698"/>
      <c r="AO69" s="699"/>
      <c r="AP69" s="698"/>
    </row>
    <row r="70" spans="1:42" ht="14.85" customHeight="1" x14ac:dyDescent="0.25">
      <c r="A70" s="611"/>
      <c r="B70" s="614"/>
      <c r="C70" s="617"/>
      <c r="D70" s="620"/>
      <c r="E70" s="130" t="s">
        <v>32</v>
      </c>
      <c r="F70" s="592">
        <f>IFERROR(VLOOKUP($B68,اسماء,25,0),0)</f>
        <v>0</v>
      </c>
      <c r="G70" s="593"/>
      <c r="H70" s="594" t="str">
        <f>IFERROR(VLOOKUP($B68,اسماء,26,0),0)</f>
        <v>الفترة الثالثة</v>
      </c>
      <c r="I70" s="595"/>
      <c r="J70" s="592">
        <f>IFERROR(VLOOKUP($B68,اسماء,27,0),0)</f>
        <v>0</v>
      </c>
      <c r="K70" s="593"/>
      <c r="L70" s="594">
        <f>IFERROR(VLOOKUP($B68,اسماء,28,0),0)</f>
        <v>0</v>
      </c>
      <c r="M70" s="596"/>
      <c r="N70" s="594">
        <f>IFERROR(VLOOKUP($B68,اسماء,29,0),0)</f>
        <v>0</v>
      </c>
      <c r="O70" s="596"/>
      <c r="P70" s="592">
        <f>IFERROR(VLOOKUP($B68,اسماء,30,0),0)</f>
        <v>0</v>
      </c>
      <c r="Q70" s="595"/>
      <c r="R70" s="372">
        <f t="shared" si="126"/>
        <v>0</v>
      </c>
      <c r="S70" s="305">
        <f>IFERROR(VLOOKUP($B68,اسماء,34,0),"")</f>
        <v>0</v>
      </c>
      <c r="T70" s="306">
        <f>IFERROR(VLOOKUP($B68,اسماء,35,0),"")</f>
        <v>0</v>
      </c>
      <c r="U70" s="122">
        <f>IFERROR(VLOOKUP($B68,اسماء,36,0),"")</f>
        <v>0</v>
      </c>
      <c r="V70" s="605"/>
      <c r="W70" s="20" t="str">
        <f t="shared" ref="W70" si="153">LOOKUP(R70,$AF$6:$AG$10)</f>
        <v>ضعيف</v>
      </c>
      <c r="X70" s="640"/>
      <c r="Y70" s="68"/>
      <c r="Z70" s="598"/>
      <c r="AK70" s="667"/>
      <c r="AL70" s="667"/>
      <c r="AM70" s="696"/>
      <c r="AN70" s="698"/>
      <c r="AO70" s="699"/>
      <c r="AP70" s="698"/>
    </row>
    <row r="71" spans="1:42" ht="14.85" customHeight="1" thickBot="1" x14ac:dyDescent="0.3">
      <c r="A71" s="612"/>
      <c r="B71" s="615"/>
      <c r="C71" s="618"/>
      <c r="D71" s="621"/>
      <c r="E71" s="124" t="s">
        <v>33</v>
      </c>
      <c r="F71" s="623">
        <f t="shared" ref="F71" si="154">SUM(F68:G70)</f>
        <v>36</v>
      </c>
      <c r="G71" s="624"/>
      <c r="H71" s="625">
        <f t="shared" ref="H71" si="155">SUM(H68:I70)</f>
        <v>71</v>
      </c>
      <c r="I71" s="626"/>
      <c r="J71" s="623">
        <f t="shared" ref="J71" si="156">SUM(J68:K70)</f>
        <v>34</v>
      </c>
      <c r="K71" s="624"/>
      <c r="L71" s="625">
        <f t="shared" ref="L71" si="157">SUM(L68:M70)</f>
        <v>12</v>
      </c>
      <c r="M71" s="642"/>
      <c r="N71" s="625">
        <f t="shared" ref="N71" si="158">SUM(N68:O70)</f>
        <v>56</v>
      </c>
      <c r="O71" s="642"/>
      <c r="P71" s="623">
        <f t="shared" ref="P71" si="159">SUM(P68:Q70)</f>
        <v>35</v>
      </c>
      <c r="Q71" s="626"/>
      <c r="R71" s="88">
        <f t="shared" ref="R71" si="160">IF(AND(F71&gt;=$G$8,H71&gt;=$I$8,J71&gt;=$K$8,L71&gt;=$M$8,N71&gt;=$O$8,P71&gt;=$Q$8),SUM(F71:Q71),0)</f>
        <v>0</v>
      </c>
      <c r="S71" s="251"/>
      <c r="T71" s="97"/>
      <c r="U71" s="94"/>
      <c r="V71" s="606"/>
      <c r="W71" s="88" t="str">
        <f t="shared" ref="W71" si="161">LOOKUP(R71,$AI$6:$AJ$10)</f>
        <v>ضعيف</v>
      </c>
      <c r="X71" s="641"/>
      <c r="Y71" s="8"/>
      <c r="Z71" s="599"/>
      <c r="AK71" s="667"/>
      <c r="AL71" s="667"/>
      <c r="AM71" s="696"/>
      <c r="AN71" s="698"/>
      <c r="AO71" s="699"/>
      <c r="AP71" s="698"/>
    </row>
    <row r="72" spans="1:42" ht="14.85" customHeight="1" thickBot="1" x14ac:dyDescent="0.3">
      <c r="A72" s="610">
        <v>15</v>
      </c>
      <c r="B72" s="613" t="str">
        <f>VLOOKUP(A72,مسلسل,2,0)</f>
        <v>يوسف انويجى عثمان ابوزويدة</v>
      </c>
      <c r="C72" s="616">
        <f>IFERROR(VLOOKUP(B72,اسماء,2,0),"")</f>
        <v>42778</v>
      </c>
      <c r="D72" s="619" t="str">
        <f>IFERROR(VLOOKUP($B72,اسماء,3,0),"")</f>
        <v>هاجر مصطفى محمد فرحات</v>
      </c>
      <c r="E72" s="129" t="s">
        <v>30</v>
      </c>
      <c r="F72" s="600">
        <f>IFERROR(VLOOKUP($B72,اسماء,5,0),0)</f>
        <v>36</v>
      </c>
      <c r="G72" s="601"/>
      <c r="H72" s="602">
        <f>IFERROR(VLOOKUP($B72,اسماء,6,0),0)</f>
        <v>68</v>
      </c>
      <c r="I72" s="622"/>
      <c r="J72" s="600">
        <f>IFERROR(VLOOKUP($B72,اسماء,7,0),0)</f>
        <v>31</v>
      </c>
      <c r="K72" s="601"/>
      <c r="L72" s="602">
        <f>IFERROR(VLOOKUP($B72,اسماء,8,0),0)</f>
        <v>12</v>
      </c>
      <c r="M72" s="603"/>
      <c r="N72" s="602">
        <f>IFERROR(VLOOKUP($B72,اسماء,9,0),0)</f>
        <v>56</v>
      </c>
      <c r="O72" s="603"/>
      <c r="P72" s="600">
        <f>IFERROR(VLOOKUP($B72,اسماء,10,0),0)</f>
        <v>36</v>
      </c>
      <c r="Q72" s="622"/>
      <c r="R72" s="371">
        <f t="shared" ref="R72" si="162">SUM(F72:Q72)</f>
        <v>239</v>
      </c>
      <c r="S72" s="213" t="str">
        <f>IFERROR(VLOOKUP($B72,اسماء,12,0),"")</f>
        <v>جيد جداً</v>
      </c>
      <c r="T72" s="214" t="str">
        <f>IFERROR(VLOOKUP($B72,اسماء,13,0),"")</f>
        <v>جيد جداً</v>
      </c>
      <c r="U72" s="364">
        <f>IFERROR(VLOOKUP($B72,اسماء,14,0),"")</f>
        <v>0</v>
      </c>
      <c r="V72" s="604" t="str">
        <f t="shared" ref="V72" si="163">IF(Z72="غائب","راسب",IF(R75&gt;0,"ناجح","مرحل"))</f>
        <v>مرحل</v>
      </c>
      <c r="W72" s="19" t="str">
        <f t="shared" ref="W72:W73" si="164">LOOKUP(R72,$AC$6:$AD$10)</f>
        <v>ممتاز</v>
      </c>
      <c r="X72" s="639">
        <f t="shared" ref="X72" si="165">R75/$AC$3</f>
        <v>0</v>
      </c>
      <c r="Y72" s="68"/>
      <c r="Z72" s="597">
        <f>IFERROR(VLOOKUP($B72,اسماء,48,0),"")</f>
        <v>0</v>
      </c>
      <c r="AK72" s="667" t="str">
        <f t="shared" ref="AK72" si="166">IF(R75=0,"",R75/1+ROW()*0.00001)</f>
        <v/>
      </c>
      <c r="AL72" s="667" t="str">
        <f>B72</f>
        <v>يوسف انويجى عثمان ابوزويدة</v>
      </c>
      <c r="AM72" s="696"/>
      <c r="AN72" s="698">
        <v>15</v>
      </c>
      <c r="AO72" s="699" t="str">
        <f>IFERROR(LARGE($AK$10:$AK$1420,AN72),"")</f>
        <v/>
      </c>
      <c r="AP72" s="698" t="str">
        <f>VLOOKUP(AO72,$AK$10:$AL$1530,2,0)</f>
        <v>امجد عمر عبداللطيف سلطان</v>
      </c>
    </row>
    <row r="73" spans="1:42" ht="14.85" customHeight="1" x14ac:dyDescent="0.25">
      <c r="A73" s="611"/>
      <c r="B73" s="614"/>
      <c r="C73" s="617"/>
      <c r="D73" s="620"/>
      <c r="E73" s="130" t="s">
        <v>31</v>
      </c>
      <c r="F73" s="592" t="str">
        <f>IFERROR(VLOOKUP($B72,اسماء,15,0),0)</f>
        <v>الفترة الثانية</v>
      </c>
      <c r="G73" s="593"/>
      <c r="H73" s="594">
        <f>IFERROR(VLOOKUP($B72,اسماء,16,0),0)</f>
        <v>0</v>
      </c>
      <c r="I73" s="595"/>
      <c r="J73" s="592">
        <f>IFERROR(VLOOKUP($B72,اسماء,17,0),0)</f>
        <v>0</v>
      </c>
      <c r="K73" s="593"/>
      <c r="L73" s="594">
        <f>IFERROR(VLOOKUP($B72,اسماء,18,0),0)</f>
        <v>0</v>
      </c>
      <c r="M73" s="596"/>
      <c r="N73" s="594">
        <f>IFERROR(VLOOKUP($B72,اسماء,19,0),0)</f>
        <v>0</v>
      </c>
      <c r="O73" s="596"/>
      <c r="P73" s="592">
        <f>IFERROR(VLOOKUP($B72,اسماء,20,0),0)</f>
        <v>0</v>
      </c>
      <c r="Q73" s="595"/>
      <c r="R73" s="372">
        <f t="shared" si="126"/>
        <v>0</v>
      </c>
      <c r="S73" s="305">
        <f>IFERROR(VLOOKUP($B72,اسماء,23,0),"")</f>
        <v>0</v>
      </c>
      <c r="T73" s="306">
        <f>IFERROR(VLOOKUP($B72,اسماء,24,0),"")</f>
        <v>0</v>
      </c>
      <c r="U73" s="122">
        <f>IFERROR(VLOOKUP($B72,اسماء,25,0),"")</f>
        <v>0</v>
      </c>
      <c r="V73" s="605"/>
      <c r="W73" s="19" t="str">
        <f t="shared" si="164"/>
        <v>ضعيف</v>
      </c>
      <c r="X73" s="640"/>
      <c r="Y73" s="68"/>
      <c r="Z73" s="598"/>
      <c r="AK73" s="667"/>
      <c r="AL73" s="667"/>
      <c r="AM73" s="696"/>
      <c r="AN73" s="698"/>
      <c r="AO73" s="699"/>
      <c r="AP73" s="698"/>
    </row>
    <row r="74" spans="1:42" ht="14.85" customHeight="1" x14ac:dyDescent="0.25">
      <c r="A74" s="611"/>
      <c r="B74" s="614"/>
      <c r="C74" s="617"/>
      <c r="D74" s="620"/>
      <c r="E74" s="130" t="s">
        <v>32</v>
      </c>
      <c r="F74" s="592">
        <f>IFERROR(VLOOKUP($B72,اسماء,25,0),0)</f>
        <v>0</v>
      </c>
      <c r="G74" s="593"/>
      <c r="H74" s="594" t="str">
        <f>IFERROR(VLOOKUP($B72,اسماء,26,0),0)</f>
        <v>الفترة الثالثة</v>
      </c>
      <c r="I74" s="595"/>
      <c r="J74" s="592">
        <f>IFERROR(VLOOKUP($B72,اسماء,27,0),0)</f>
        <v>0</v>
      </c>
      <c r="K74" s="593"/>
      <c r="L74" s="594">
        <f>IFERROR(VLOOKUP($B72,اسماء,28,0),0)</f>
        <v>0</v>
      </c>
      <c r="M74" s="596"/>
      <c r="N74" s="594">
        <f>IFERROR(VLOOKUP($B72,اسماء,29,0),0)</f>
        <v>0</v>
      </c>
      <c r="O74" s="596"/>
      <c r="P74" s="592">
        <f>IFERROR(VLOOKUP($B72,اسماء,30,0),0)</f>
        <v>0</v>
      </c>
      <c r="Q74" s="595"/>
      <c r="R74" s="372">
        <f t="shared" si="126"/>
        <v>0</v>
      </c>
      <c r="S74" s="305">
        <f>IFERROR(VLOOKUP($B72,اسماء,34,0),"")</f>
        <v>0</v>
      </c>
      <c r="T74" s="306">
        <f>IFERROR(VLOOKUP($B72,اسماء,35,0),"")</f>
        <v>0</v>
      </c>
      <c r="U74" s="122">
        <f>IFERROR(VLOOKUP($B72,اسماء,36,0),"")</f>
        <v>0</v>
      </c>
      <c r="V74" s="605"/>
      <c r="W74" s="20" t="str">
        <f t="shared" ref="W74" si="167">LOOKUP(R74,$AF$6:$AG$10)</f>
        <v>ضعيف</v>
      </c>
      <c r="X74" s="640"/>
      <c r="Y74" s="8"/>
      <c r="Z74" s="598"/>
      <c r="AK74" s="667"/>
      <c r="AL74" s="667"/>
      <c r="AM74" s="696"/>
      <c r="AN74" s="698"/>
      <c r="AO74" s="699"/>
      <c r="AP74" s="698"/>
    </row>
    <row r="75" spans="1:42" ht="14.85" customHeight="1" thickBot="1" x14ac:dyDescent="0.3">
      <c r="A75" s="612"/>
      <c r="B75" s="615"/>
      <c r="C75" s="618"/>
      <c r="D75" s="621"/>
      <c r="E75" s="124" t="s">
        <v>33</v>
      </c>
      <c r="F75" s="623">
        <f t="shared" ref="F75" si="168">SUM(F72:G74)</f>
        <v>36</v>
      </c>
      <c r="G75" s="624"/>
      <c r="H75" s="625">
        <f t="shared" ref="H75" si="169">SUM(H72:I74)</f>
        <v>68</v>
      </c>
      <c r="I75" s="626"/>
      <c r="J75" s="623">
        <f t="shared" ref="J75" si="170">SUM(J72:K74)</f>
        <v>31</v>
      </c>
      <c r="K75" s="624"/>
      <c r="L75" s="625">
        <f t="shared" ref="L75" si="171">SUM(L72:M74)</f>
        <v>12</v>
      </c>
      <c r="M75" s="642"/>
      <c r="N75" s="625">
        <f t="shared" ref="N75" si="172">SUM(N72:O74)</f>
        <v>56</v>
      </c>
      <c r="O75" s="642"/>
      <c r="P75" s="623">
        <f t="shared" ref="P75" si="173">SUM(P72:Q74)</f>
        <v>36</v>
      </c>
      <c r="Q75" s="626"/>
      <c r="R75" s="88">
        <f t="shared" ref="R75" si="174">IF(AND(F75&gt;=$G$8,H75&gt;=$I$8,J75&gt;=$K$8,L75&gt;=$M$8,N75&gt;=$O$8,P75&gt;=$Q$8),SUM(F75:Q75),0)</f>
        <v>0</v>
      </c>
      <c r="S75" s="251"/>
      <c r="T75" s="97"/>
      <c r="U75" s="94"/>
      <c r="V75" s="606"/>
      <c r="W75" s="88" t="str">
        <f t="shared" ref="W75" si="175">LOOKUP(R75,$AI$6:$AJ$10)</f>
        <v>ضعيف</v>
      </c>
      <c r="X75" s="641"/>
      <c r="Y75" s="68"/>
      <c r="Z75" s="599"/>
      <c r="AK75" s="667"/>
      <c r="AL75" s="667"/>
      <c r="AM75" s="696"/>
      <c r="AN75" s="698"/>
      <c r="AO75" s="699"/>
      <c r="AP75" s="698"/>
    </row>
    <row r="76" spans="1:42" ht="14.85" customHeight="1" thickBot="1" x14ac:dyDescent="0.3">
      <c r="A76" s="610">
        <v>16</v>
      </c>
      <c r="B76" s="613" t="str">
        <f>VLOOKUP(A76,مسلسل,2,0)</f>
        <v>ريم احمد ابوبكر النفاتى</v>
      </c>
      <c r="C76" s="616">
        <f>IFERROR(VLOOKUP(B76,اسماء,2,0),"")</f>
        <v>42818</v>
      </c>
      <c r="D76" s="619" t="str">
        <f>IFERROR(VLOOKUP($B76,اسماء,3,0),"")</f>
        <v>رويدة محمد عامر النفاتي</v>
      </c>
      <c r="E76" s="129" t="s">
        <v>30</v>
      </c>
      <c r="F76" s="600">
        <f>IFERROR(VLOOKUP($B76,اسماء,5,0),0)</f>
        <v>36</v>
      </c>
      <c r="G76" s="601"/>
      <c r="H76" s="602">
        <f>IFERROR(VLOOKUP($B76,اسماء,6,0),0)</f>
        <v>71</v>
      </c>
      <c r="I76" s="622"/>
      <c r="J76" s="600">
        <f>IFERROR(VLOOKUP($B76,اسماء,7,0),0)</f>
        <v>35</v>
      </c>
      <c r="K76" s="601"/>
      <c r="L76" s="602">
        <f>IFERROR(VLOOKUP($B76,اسماء,8,0),0)</f>
        <v>12</v>
      </c>
      <c r="M76" s="603"/>
      <c r="N76" s="602">
        <f>IFERROR(VLOOKUP($B76,اسماء,9,0),0)</f>
        <v>60</v>
      </c>
      <c r="O76" s="603"/>
      <c r="P76" s="600">
        <f>IFERROR(VLOOKUP($B76,اسماء,10,0),0)</f>
        <v>36</v>
      </c>
      <c r="Q76" s="622"/>
      <c r="R76" s="371">
        <f t="shared" ref="R76" si="176">SUM(F76:Q76)</f>
        <v>250</v>
      </c>
      <c r="S76" s="213" t="str">
        <f>IFERROR(VLOOKUP($B76,اسماء,12,0),"")</f>
        <v>جيد جداً</v>
      </c>
      <c r="T76" s="214" t="str">
        <f>IFERROR(VLOOKUP($B76,اسماء,13,0),"")</f>
        <v>جيد جداً</v>
      </c>
      <c r="U76" s="364">
        <f>IFERROR(VLOOKUP($B76,اسماء,14,0),"")</f>
        <v>0</v>
      </c>
      <c r="V76" s="604" t="str">
        <f t="shared" ref="V76" si="177">IF(Z76="غائب","راسب",IF(R79&gt;0,"ناجح","مرحل"))</f>
        <v>مرحل</v>
      </c>
      <c r="W76" s="19" t="str">
        <f t="shared" ref="W76:W77" si="178">LOOKUP(R76,$AC$6:$AD$10)</f>
        <v>ممتاز</v>
      </c>
      <c r="X76" s="639">
        <f t="shared" ref="X76" si="179">R79/$AC$3</f>
        <v>0</v>
      </c>
      <c r="Y76" s="68"/>
      <c r="Z76" s="597">
        <f>IFERROR(VLOOKUP($B76,اسماء,48,0),"")</f>
        <v>0</v>
      </c>
      <c r="AK76" s="667" t="str">
        <f t="shared" ref="AK76" si="180">IF(R79=0,"",R79/1+ROW()*0.00001)</f>
        <v/>
      </c>
      <c r="AL76" s="667" t="str">
        <f>B76</f>
        <v>ريم احمد ابوبكر النفاتى</v>
      </c>
      <c r="AM76" s="696"/>
      <c r="AN76" s="698">
        <v>16</v>
      </c>
      <c r="AO76" s="699" t="str">
        <f>IFERROR(LARGE($AK$10:$AK$1420,AN76),"")</f>
        <v/>
      </c>
      <c r="AP76" s="698" t="str">
        <f>VLOOKUP(AO76,$AK$10:$AL$1530,2,0)</f>
        <v>امجد عمر عبداللطيف سلطان</v>
      </c>
    </row>
    <row r="77" spans="1:42" ht="14.85" customHeight="1" x14ac:dyDescent="0.25">
      <c r="A77" s="611"/>
      <c r="B77" s="614"/>
      <c r="C77" s="617"/>
      <c r="D77" s="620"/>
      <c r="E77" s="130" t="s">
        <v>31</v>
      </c>
      <c r="F77" s="592" t="str">
        <f>IFERROR(VLOOKUP($B76,اسماء,15,0),0)</f>
        <v>الفترة الثانية</v>
      </c>
      <c r="G77" s="593"/>
      <c r="H77" s="594">
        <f>IFERROR(VLOOKUP($B76,اسماء,16,0),0)</f>
        <v>0</v>
      </c>
      <c r="I77" s="595"/>
      <c r="J77" s="592">
        <f>IFERROR(VLOOKUP($B76,اسماء,17,0),0)</f>
        <v>0</v>
      </c>
      <c r="K77" s="593"/>
      <c r="L77" s="594">
        <f>IFERROR(VLOOKUP($B76,اسماء,18,0),0)</f>
        <v>0</v>
      </c>
      <c r="M77" s="596"/>
      <c r="N77" s="594">
        <f>IFERROR(VLOOKUP($B76,اسماء,19,0),0)</f>
        <v>0</v>
      </c>
      <c r="O77" s="596"/>
      <c r="P77" s="592">
        <f>IFERROR(VLOOKUP($B76,اسماء,20,0),0)</f>
        <v>0</v>
      </c>
      <c r="Q77" s="595"/>
      <c r="R77" s="372">
        <f t="shared" si="126"/>
        <v>0</v>
      </c>
      <c r="S77" s="305">
        <f>IFERROR(VLOOKUP($B76,اسماء,23,0),"")</f>
        <v>0</v>
      </c>
      <c r="T77" s="306">
        <f>IFERROR(VLOOKUP($B76,اسماء,24,0),"")</f>
        <v>0</v>
      </c>
      <c r="U77" s="122">
        <f>IFERROR(VLOOKUP($B76,اسماء,25,0),"")</f>
        <v>0</v>
      </c>
      <c r="V77" s="605"/>
      <c r="W77" s="19" t="str">
        <f t="shared" si="178"/>
        <v>ضعيف</v>
      </c>
      <c r="X77" s="640"/>
      <c r="Y77" s="8"/>
      <c r="Z77" s="598"/>
      <c r="AK77" s="667"/>
      <c r="AL77" s="667"/>
      <c r="AM77" s="696"/>
      <c r="AN77" s="698"/>
      <c r="AO77" s="699"/>
      <c r="AP77" s="698"/>
    </row>
    <row r="78" spans="1:42" ht="14.85" customHeight="1" x14ac:dyDescent="0.25">
      <c r="A78" s="611"/>
      <c r="B78" s="614"/>
      <c r="C78" s="617"/>
      <c r="D78" s="620"/>
      <c r="E78" s="130" t="s">
        <v>32</v>
      </c>
      <c r="F78" s="592">
        <f>IFERROR(VLOOKUP($B76,اسماء,25,0),0)</f>
        <v>0</v>
      </c>
      <c r="G78" s="593"/>
      <c r="H78" s="594" t="str">
        <f>IFERROR(VLOOKUP($B76,اسماء,26,0),0)</f>
        <v xml:space="preserve">الفترة الثالثة  </v>
      </c>
      <c r="I78" s="595"/>
      <c r="J78" s="592">
        <f>IFERROR(VLOOKUP($B76,اسماء,27,0),0)</f>
        <v>0</v>
      </c>
      <c r="K78" s="593"/>
      <c r="L78" s="594">
        <f>IFERROR(VLOOKUP($B76,اسماء,28,0),0)</f>
        <v>0</v>
      </c>
      <c r="M78" s="596"/>
      <c r="N78" s="594">
        <f>IFERROR(VLOOKUP($B76,اسماء,29,0),0)</f>
        <v>0</v>
      </c>
      <c r="O78" s="596"/>
      <c r="P78" s="592">
        <f>IFERROR(VLOOKUP($B76,اسماء,30,0),0)</f>
        <v>0</v>
      </c>
      <c r="Q78" s="595"/>
      <c r="R78" s="372">
        <f t="shared" si="126"/>
        <v>0</v>
      </c>
      <c r="S78" s="305">
        <f>IFERROR(VLOOKUP($B76,اسماء,34,0),"")</f>
        <v>0</v>
      </c>
      <c r="T78" s="306">
        <f>IFERROR(VLOOKUP($B76,اسماء,35,0),"")</f>
        <v>0</v>
      </c>
      <c r="U78" s="122">
        <f>IFERROR(VLOOKUP($B76,اسماء,36,0),"")</f>
        <v>0</v>
      </c>
      <c r="V78" s="605"/>
      <c r="W78" s="20" t="str">
        <f t="shared" ref="W78" si="181">LOOKUP(R78,$AF$6:$AG$10)</f>
        <v>ضعيف</v>
      </c>
      <c r="X78" s="640"/>
      <c r="Y78" s="68"/>
      <c r="Z78" s="598"/>
      <c r="AK78" s="667"/>
      <c r="AL78" s="667"/>
      <c r="AM78" s="696"/>
      <c r="AN78" s="698"/>
      <c r="AO78" s="699"/>
      <c r="AP78" s="698"/>
    </row>
    <row r="79" spans="1:42" ht="14.85" customHeight="1" thickBot="1" x14ac:dyDescent="0.3">
      <c r="A79" s="612"/>
      <c r="B79" s="615"/>
      <c r="C79" s="618"/>
      <c r="D79" s="621"/>
      <c r="E79" s="124" t="s">
        <v>33</v>
      </c>
      <c r="F79" s="623">
        <f t="shared" ref="F79" si="182">SUM(F76:G78)</f>
        <v>36</v>
      </c>
      <c r="G79" s="624"/>
      <c r="H79" s="625">
        <f t="shared" ref="H79" si="183">SUM(H76:I78)</f>
        <v>71</v>
      </c>
      <c r="I79" s="626"/>
      <c r="J79" s="623">
        <f t="shared" ref="J79" si="184">SUM(J76:K78)</f>
        <v>35</v>
      </c>
      <c r="K79" s="624"/>
      <c r="L79" s="625">
        <f t="shared" ref="L79" si="185">SUM(L76:M78)</f>
        <v>12</v>
      </c>
      <c r="M79" s="642"/>
      <c r="N79" s="625">
        <f t="shared" ref="N79" si="186">SUM(N76:O78)</f>
        <v>60</v>
      </c>
      <c r="O79" s="642"/>
      <c r="P79" s="623">
        <f t="shared" ref="P79" si="187">SUM(P76:Q78)</f>
        <v>36</v>
      </c>
      <c r="Q79" s="626"/>
      <c r="R79" s="88">
        <f t="shared" ref="R79" si="188">IF(AND(F79&gt;=$G$8,H79&gt;=$I$8,J79&gt;=$K$8,L79&gt;=$M$8,N79&gt;=$O$8,P79&gt;=$Q$8),SUM(F79:Q79),0)</f>
        <v>0</v>
      </c>
      <c r="S79" s="251"/>
      <c r="T79" s="97"/>
      <c r="U79" s="94"/>
      <c r="V79" s="606"/>
      <c r="W79" s="88" t="str">
        <f t="shared" ref="W79" si="189">LOOKUP(R79,$AI$6:$AJ$10)</f>
        <v>ضعيف</v>
      </c>
      <c r="X79" s="641"/>
      <c r="Y79" s="68"/>
      <c r="Z79" s="599"/>
      <c r="AK79" s="667"/>
      <c r="AL79" s="667"/>
      <c r="AM79" s="696"/>
      <c r="AN79" s="698"/>
      <c r="AO79" s="699"/>
      <c r="AP79" s="698"/>
    </row>
    <row r="80" spans="1:42" ht="14.85" customHeight="1" thickBot="1" x14ac:dyDescent="0.3">
      <c r="A80" s="610">
        <v>17</v>
      </c>
      <c r="B80" s="613">
        <f>VLOOKUP(A80,مسلسل,2,0)</f>
        <v>0</v>
      </c>
      <c r="C80" s="616" t="str">
        <f>IFERROR(VLOOKUP(B80,اسماء,2,0),"")</f>
        <v/>
      </c>
      <c r="D80" s="619" t="str">
        <f>IFERROR(VLOOKUP($B80,اسماء,3,0),"")</f>
        <v/>
      </c>
      <c r="E80" s="129" t="s">
        <v>30</v>
      </c>
      <c r="F80" s="600">
        <f>IFERROR(VLOOKUP($B80,اسماء,5,0),0)</f>
        <v>0</v>
      </c>
      <c r="G80" s="601"/>
      <c r="H80" s="602">
        <f>IFERROR(VLOOKUP($B80,اسماء,6,0),0)</f>
        <v>0</v>
      </c>
      <c r="I80" s="622"/>
      <c r="J80" s="600">
        <f>IFERROR(VLOOKUP($B80,اسماء,7,0),0)</f>
        <v>0</v>
      </c>
      <c r="K80" s="601"/>
      <c r="L80" s="602">
        <f>IFERROR(VLOOKUP($B80,اسماء,8,0),0)</f>
        <v>0</v>
      </c>
      <c r="M80" s="603"/>
      <c r="N80" s="602">
        <f>IFERROR(VLOOKUP($B80,اسماء,9,0),0)</f>
        <v>0</v>
      </c>
      <c r="O80" s="603"/>
      <c r="P80" s="600">
        <f>IFERROR(VLOOKUP($B80,اسماء,10,0),0)</f>
        <v>0</v>
      </c>
      <c r="Q80" s="622"/>
      <c r="R80" s="371">
        <f t="shared" ref="R80" si="190">SUM(F80:Q80)</f>
        <v>0</v>
      </c>
      <c r="S80" s="213" t="str">
        <f>IFERROR(VLOOKUP($B80,اسماء,12,0),"")</f>
        <v/>
      </c>
      <c r="T80" s="214" t="str">
        <f>IFERROR(VLOOKUP($B80,اسماء,13,0),"")</f>
        <v/>
      </c>
      <c r="U80" s="364" t="str">
        <f>IFERROR(VLOOKUP($B80,اسماء,14,0),"")</f>
        <v/>
      </c>
      <c r="V80" s="604" t="str">
        <f t="shared" ref="V80" si="191">IF(Z80="غائب","راسب",IF(R83&gt;0,"ناجح","مرحل"))</f>
        <v>مرحل</v>
      </c>
      <c r="W80" s="19" t="str">
        <f t="shared" ref="W80:W81" si="192">LOOKUP(R80,$AC$6:$AD$10)</f>
        <v>ضعيف</v>
      </c>
      <c r="X80" s="639">
        <f t="shared" ref="X80" si="193">R83/$AC$3</f>
        <v>0</v>
      </c>
      <c r="Y80" s="8"/>
      <c r="Z80" s="597" t="str">
        <f>IFERROR(VLOOKUP($B80,اسماء,48,0),"")</f>
        <v/>
      </c>
      <c r="AK80" s="667" t="str">
        <f t="shared" ref="AK80" si="194">IF(R83=0,"",R83/1+ROW()*0.00001)</f>
        <v/>
      </c>
      <c r="AL80" s="667">
        <f>B80</f>
        <v>0</v>
      </c>
      <c r="AM80" s="696"/>
      <c r="AN80" s="698">
        <v>17</v>
      </c>
      <c r="AO80" s="699" t="str">
        <f>IFERROR(LARGE($AK$10:$AK$1420,AN80),"")</f>
        <v/>
      </c>
      <c r="AP80" s="698" t="str">
        <f>VLOOKUP(AO80,$AK$10:$AL$1530,2,0)</f>
        <v>امجد عمر عبداللطيف سلطان</v>
      </c>
    </row>
    <row r="81" spans="1:42" ht="14.85" customHeight="1" x14ac:dyDescent="0.25">
      <c r="A81" s="611"/>
      <c r="B81" s="614"/>
      <c r="C81" s="617"/>
      <c r="D81" s="620"/>
      <c r="E81" s="130" t="s">
        <v>31</v>
      </c>
      <c r="F81" s="592">
        <f>IFERROR(VLOOKUP($B80,اسماء,15,0),0)</f>
        <v>0</v>
      </c>
      <c r="G81" s="593"/>
      <c r="H81" s="594">
        <f>IFERROR(VLOOKUP($B80,اسماء,16,0),0)</f>
        <v>0</v>
      </c>
      <c r="I81" s="595"/>
      <c r="J81" s="592">
        <f>IFERROR(VLOOKUP($B80,اسماء,17,0),0)</f>
        <v>0</v>
      </c>
      <c r="K81" s="593"/>
      <c r="L81" s="594">
        <f>IFERROR(VLOOKUP($B80,اسماء,18,0),0)</f>
        <v>0</v>
      </c>
      <c r="M81" s="596"/>
      <c r="N81" s="594">
        <f>IFERROR(VLOOKUP($B80,اسماء,19,0),0)</f>
        <v>0</v>
      </c>
      <c r="O81" s="596"/>
      <c r="P81" s="592">
        <f>IFERROR(VLOOKUP($B80,اسماء,20,0),0)</f>
        <v>0</v>
      </c>
      <c r="Q81" s="595"/>
      <c r="R81" s="372">
        <f t="shared" si="126"/>
        <v>0</v>
      </c>
      <c r="S81" s="305" t="str">
        <f>IFERROR(VLOOKUP($B80,اسماء,23,0),"")</f>
        <v/>
      </c>
      <c r="T81" s="306" t="str">
        <f>IFERROR(VLOOKUP($B80,اسماء,24,0),"")</f>
        <v/>
      </c>
      <c r="U81" s="122" t="str">
        <f>IFERROR(VLOOKUP($B80,اسماء,25,0),"")</f>
        <v/>
      </c>
      <c r="V81" s="605"/>
      <c r="W81" s="19" t="str">
        <f t="shared" si="192"/>
        <v>ضعيف</v>
      </c>
      <c r="X81" s="640"/>
      <c r="Y81" s="68"/>
      <c r="Z81" s="598"/>
      <c r="AK81" s="667"/>
      <c r="AL81" s="667"/>
      <c r="AM81" s="696"/>
      <c r="AN81" s="698"/>
      <c r="AO81" s="699"/>
      <c r="AP81" s="698"/>
    </row>
    <row r="82" spans="1:42" ht="14.85" customHeight="1" x14ac:dyDescent="0.25">
      <c r="A82" s="611"/>
      <c r="B82" s="614"/>
      <c r="C82" s="617"/>
      <c r="D82" s="620"/>
      <c r="E82" s="130" t="s">
        <v>32</v>
      </c>
      <c r="F82" s="592">
        <f>IFERROR(VLOOKUP($B80,اسماء,25,0),0)</f>
        <v>0</v>
      </c>
      <c r="G82" s="593"/>
      <c r="H82" s="594">
        <f>IFERROR(VLOOKUP($B80,اسماء,26,0),0)</f>
        <v>0</v>
      </c>
      <c r="I82" s="595"/>
      <c r="J82" s="592">
        <f>IFERROR(VLOOKUP($B80,اسماء,27,0),0)</f>
        <v>0</v>
      </c>
      <c r="K82" s="593"/>
      <c r="L82" s="594">
        <f>IFERROR(VLOOKUP($B80,اسماء,28,0),0)</f>
        <v>0</v>
      </c>
      <c r="M82" s="596"/>
      <c r="N82" s="594">
        <f>IFERROR(VLOOKUP($B80,اسماء,29,0),0)</f>
        <v>0</v>
      </c>
      <c r="O82" s="596"/>
      <c r="P82" s="592">
        <f>IFERROR(VLOOKUP($B80,اسماء,30,0),0)</f>
        <v>0</v>
      </c>
      <c r="Q82" s="595"/>
      <c r="R82" s="372">
        <f t="shared" si="126"/>
        <v>0</v>
      </c>
      <c r="S82" s="305" t="str">
        <f>IFERROR(VLOOKUP($B80,اسماء,34,0),"")</f>
        <v/>
      </c>
      <c r="T82" s="306" t="str">
        <f>IFERROR(VLOOKUP($B80,اسماء,35,0),"")</f>
        <v/>
      </c>
      <c r="U82" s="122" t="str">
        <f>IFERROR(VLOOKUP($B80,اسماء,36,0),"")</f>
        <v/>
      </c>
      <c r="V82" s="605"/>
      <c r="W82" s="20" t="str">
        <f t="shared" ref="W82" si="195">LOOKUP(R82,$AF$6:$AG$10)</f>
        <v>ضعيف</v>
      </c>
      <c r="X82" s="640"/>
      <c r="Y82" s="68"/>
      <c r="Z82" s="598"/>
      <c r="AK82" s="667"/>
      <c r="AL82" s="667"/>
      <c r="AM82" s="696"/>
      <c r="AN82" s="698"/>
      <c r="AO82" s="699"/>
      <c r="AP82" s="698"/>
    </row>
    <row r="83" spans="1:42" ht="14.85" customHeight="1" thickBot="1" x14ac:dyDescent="0.3">
      <c r="A83" s="612"/>
      <c r="B83" s="615"/>
      <c r="C83" s="618"/>
      <c r="D83" s="621"/>
      <c r="E83" s="124" t="s">
        <v>33</v>
      </c>
      <c r="F83" s="623">
        <f t="shared" ref="F83" si="196">SUM(F80:G82)</f>
        <v>0</v>
      </c>
      <c r="G83" s="624"/>
      <c r="H83" s="625">
        <f t="shared" ref="H83" si="197">SUM(H80:I82)</f>
        <v>0</v>
      </c>
      <c r="I83" s="626"/>
      <c r="J83" s="623">
        <f t="shared" ref="J83" si="198">SUM(J80:K82)</f>
        <v>0</v>
      </c>
      <c r="K83" s="624"/>
      <c r="L83" s="625">
        <f t="shared" ref="L83" si="199">SUM(L80:M82)</f>
        <v>0</v>
      </c>
      <c r="M83" s="642"/>
      <c r="N83" s="625">
        <f t="shared" ref="N83" si="200">SUM(N80:O82)</f>
        <v>0</v>
      </c>
      <c r="O83" s="642"/>
      <c r="P83" s="623">
        <f t="shared" ref="P83" si="201">SUM(P80:Q82)</f>
        <v>0</v>
      </c>
      <c r="Q83" s="626"/>
      <c r="R83" s="88">
        <f t="shared" ref="R83" si="202">IF(AND(F83&gt;=$G$8,H83&gt;=$I$8,J83&gt;=$K$8,L83&gt;=$M$8,N83&gt;=$O$8,P83&gt;=$Q$8),SUM(F83:Q83),0)</f>
        <v>0</v>
      </c>
      <c r="S83" s="251"/>
      <c r="T83" s="97"/>
      <c r="U83" s="94"/>
      <c r="V83" s="606"/>
      <c r="W83" s="88" t="str">
        <f t="shared" ref="W83" si="203">LOOKUP(R83,$AI$6:$AJ$10)</f>
        <v>ضعيف</v>
      </c>
      <c r="X83" s="641"/>
      <c r="Y83" s="8"/>
      <c r="Z83" s="599"/>
      <c r="AK83" s="667"/>
      <c r="AL83" s="667"/>
      <c r="AM83" s="696"/>
      <c r="AN83" s="698"/>
      <c r="AO83" s="699"/>
      <c r="AP83" s="698"/>
    </row>
    <row r="84" spans="1:42" ht="14.85" customHeight="1" thickBot="1" x14ac:dyDescent="0.3">
      <c r="A84" s="610">
        <v>18</v>
      </c>
      <c r="B84" s="613">
        <f>VLOOKUP(A84,مسلسل,2,0)</f>
        <v>0</v>
      </c>
      <c r="C84" s="616" t="str">
        <f>IFERROR(VLOOKUP(B84,اسماء,2,0),"")</f>
        <v/>
      </c>
      <c r="D84" s="619" t="str">
        <f>IFERROR(VLOOKUP($B84,اسماء,3,0),"")</f>
        <v/>
      </c>
      <c r="E84" s="129" t="s">
        <v>30</v>
      </c>
      <c r="F84" s="600">
        <f>IFERROR(VLOOKUP($B84,اسماء,5,0),0)</f>
        <v>0</v>
      </c>
      <c r="G84" s="601"/>
      <c r="H84" s="602">
        <f>IFERROR(VLOOKUP($B84,اسماء,6,0),0)</f>
        <v>0</v>
      </c>
      <c r="I84" s="622"/>
      <c r="J84" s="600">
        <f>IFERROR(VLOOKUP($B84,اسماء,7,0),0)</f>
        <v>0</v>
      </c>
      <c r="K84" s="601"/>
      <c r="L84" s="602">
        <f>IFERROR(VLOOKUP($B84,اسماء,8,0),0)</f>
        <v>0</v>
      </c>
      <c r="M84" s="603"/>
      <c r="N84" s="602">
        <f>IFERROR(VLOOKUP($B84,اسماء,9,0),0)</f>
        <v>0</v>
      </c>
      <c r="O84" s="603"/>
      <c r="P84" s="600">
        <f>IFERROR(VLOOKUP($B84,اسماء,10,0),0)</f>
        <v>0</v>
      </c>
      <c r="Q84" s="622"/>
      <c r="R84" s="371">
        <f t="shared" ref="R84" si="204">SUM(F84:Q84)</f>
        <v>0</v>
      </c>
      <c r="S84" s="213" t="str">
        <f>IFERROR(VLOOKUP($B84,اسماء,12,0),"")</f>
        <v/>
      </c>
      <c r="T84" s="214" t="str">
        <f>IFERROR(VLOOKUP($B84,اسماء,13,0),"")</f>
        <v/>
      </c>
      <c r="U84" s="364" t="str">
        <f>IFERROR(VLOOKUP($B84,اسماء,14,0),"")</f>
        <v/>
      </c>
      <c r="V84" s="604" t="str">
        <f t="shared" ref="V84" si="205">IF(Z84="غائب","راسب",IF(R87&gt;0,"ناجح","مرحل"))</f>
        <v>مرحل</v>
      </c>
      <c r="W84" s="19" t="str">
        <f t="shared" ref="W84:W85" si="206">LOOKUP(R84,$AC$6:$AD$10)</f>
        <v>ضعيف</v>
      </c>
      <c r="X84" s="639">
        <f t="shared" ref="X84" si="207">R87/$AC$3</f>
        <v>0</v>
      </c>
      <c r="Y84" s="68"/>
      <c r="Z84" s="597" t="str">
        <f>IFERROR(VLOOKUP($B84,اسماء,48,0),"")</f>
        <v/>
      </c>
      <c r="AK84" s="667" t="str">
        <f t="shared" ref="AK84" si="208">IF(R87=0,"",R87/1+ROW()*0.00001)</f>
        <v/>
      </c>
      <c r="AL84" s="667">
        <f>B84</f>
        <v>0</v>
      </c>
      <c r="AM84" s="696"/>
      <c r="AN84" s="698">
        <v>18</v>
      </c>
      <c r="AO84" s="699" t="str">
        <f>IFERROR(LARGE($AK$10:$AK$1420,AN84),"")</f>
        <v/>
      </c>
      <c r="AP84" s="698" t="str">
        <f>VLOOKUP(AO84,$AK$10:$AL$1530,2,0)</f>
        <v>امجد عمر عبداللطيف سلطان</v>
      </c>
    </row>
    <row r="85" spans="1:42" ht="14.85" customHeight="1" x14ac:dyDescent="0.25">
      <c r="A85" s="611"/>
      <c r="B85" s="614"/>
      <c r="C85" s="617"/>
      <c r="D85" s="620"/>
      <c r="E85" s="130" t="s">
        <v>31</v>
      </c>
      <c r="F85" s="592">
        <f>IFERROR(VLOOKUP($B84,اسماء,15,0),0)</f>
        <v>0</v>
      </c>
      <c r="G85" s="593"/>
      <c r="H85" s="594">
        <f>IFERROR(VLOOKUP($B84,اسماء,16,0),0)</f>
        <v>0</v>
      </c>
      <c r="I85" s="595"/>
      <c r="J85" s="592">
        <f>IFERROR(VLOOKUP($B84,اسماء,17,0),0)</f>
        <v>0</v>
      </c>
      <c r="K85" s="593"/>
      <c r="L85" s="594">
        <f>IFERROR(VLOOKUP($B84,اسماء,18,0),0)</f>
        <v>0</v>
      </c>
      <c r="M85" s="596"/>
      <c r="N85" s="594">
        <f>IFERROR(VLOOKUP($B84,اسماء,19,0),0)</f>
        <v>0</v>
      </c>
      <c r="O85" s="596"/>
      <c r="P85" s="592">
        <f>IFERROR(VLOOKUP($B84,اسماء,20,0),0)</f>
        <v>0</v>
      </c>
      <c r="Q85" s="595"/>
      <c r="R85" s="372">
        <f t="shared" si="126"/>
        <v>0</v>
      </c>
      <c r="S85" s="305" t="str">
        <f>IFERROR(VLOOKUP($B84,اسماء,23,0),"")</f>
        <v/>
      </c>
      <c r="T85" s="306" t="str">
        <f>IFERROR(VLOOKUP($B84,اسماء,24,0),"")</f>
        <v/>
      </c>
      <c r="U85" s="122" t="str">
        <f>IFERROR(VLOOKUP($B84,اسماء,25,0),"")</f>
        <v/>
      </c>
      <c r="V85" s="605"/>
      <c r="W85" s="19" t="str">
        <f t="shared" si="206"/>
        <v>ضعيف</v>
      </c>
      <c r="X85" s="640"/>
      <c r="Y85" s="68"/>
      <c r="Z85" s="598"/>
      <c r="AK85" s="667"/>
      <c r="AL85" s="667"/>
      <c r="AM85" s="696"/>
      <c r="AN85" s="698"/>
      <c r="AO85" s="699"/>
      <c r="AP85" s="698"/>
    </row>
    <row r="86" spans="1:42" ht="14.85" customHeight="1" x14ac:dyDescent="0.25">
      <c r="A86" s="611"/>
      <c r="B86" s="614"/>
      <c r="C86" s="617"/>
      <c r="D86" s="620"/>
      <c r="E86" s="130" t="s">
        <v>32</v>
      </c>
      <c r="F86" s="592">
        <f>IFERROR(VLOOKUP($B84,اسماء,25,0),0)</f>
        <v>0</v>
      </c>
      <c r="G86" s="593"/>
      <c r="H86" s="594">
        <f>IFERROR(VLOOKUP($B84,اسماء,26,0),0)</f>
        <v>0</v>
      </c>
      <c r="I86" s="595"/>
      <c r="J86" s="592">
        <f>IFERROR(VLOOKUP($B84,اسماء,27,0),0)</f>
        <v>0</v>
      </c>
      <c r="K86" s="593"/>
      <c r="L86" s="594">
        <f>IFERROR(VLOOKUP($B84,اسماء,28,0),0)</f>
        <v>0</v>
      </c>
      <c r="M86" s="596"/>
      <c r="N86" s="594">
        <f>IFERROR(VLOOKUP($B84,اسماء,29,0),0)</f>
        <v>0</v>
      </c>
      <c r="O86" s="596"/>
      <c r="P86" s="592">
        <f>IFERROR(VLOOKUP($B84,اسماء,30,0),0)</f>
        <v>0</v>
      </c>
      <c r="Q86" s="595"/>
      <c r="R86" s="372">
        <f t="shared" si="126"/>
        <v>0</v>
      </c>
      <c r="S86" s="305" t="str">
        <f>IFERROR(VLOOKUP($B84,اسماء,34,0),"")</f>
        <v/>
      </c>
      <c r="T86" s="306" t="str">
        <f>IFERROR(VLOOKUP($B84,اسماء,35,0),"")</f>
        <v/>
      </c>
      <c r="U86" s="122" t="str">
        <f>IFERROR(VLOOKUP($B84,اسماء,36,0),"")</f>
        <v/>
      </c>
      <c r="V86" s="605"/>
      <c r="W86" s="20" t="str">
        <f t="shared" ref="W86" si="209">LOOKUP(R86,$AF$6:$AG$10)</f>
        <v>ضعيف</v>
      </c>
      <c r="X86" s="640"/>
      <c r="Y86" s="8"/>
      <c r="Z86" s="598"/>
      <c r="AK86" s="667"/>
      <c r="AL86" s="667"/>
      <c r="AM86" s="696"/>
      <c r="AN86" s="698"/>
      <c r="AO86" s="699"/>
      <c r="AP86" s="698"/>
    </row>
    <row r="87" spans="1:42" ht="14.85" customHeight="1" thickBot="1" x14ac:dyDescent="0.3">
      <c r="A87" s="612"/>
      <c r="B87" s="615"/>
      <c r="C87" s="618"/>
      <c r="D87" s="621"/>
      <c r="E87" s="124" t="s">
        <v>33</v>
      </c>
      <c r="F87" s="623">
        <f t="shared" ref="F87" si="210">SUM(F84:G86)</f>
        <v>0</v>
      </c>
      <c r="G87" s="624"/>
      <c r="H87" s="625">
        <f t="shared" ref="H87" si="211">SUM(H84:I86)</f>
        <v>0</v>
      </c>
      <c r="I87" s="626"/>
      <c r="J87" s="623">
        <f t="shared" ref="J87" si="212">SUM(J84:K86)</f>
        <v>0</v>
      </c>
      <c r="K87" s="624"/>
      <c r="L87" s="625">
        <f t="shared" ref="L87" si="213">SUM(L84:M86)</f>
        <v>0</v>
      </c>
      <c r="M87" s="642"/>
      <c r="N87" s="625">
        <f t="shared" ref="N87" si="214">SUM(N84:O86)</f>
        <v>0</v>
      </c>
      <c r="O87" s="642"/>
      <c r="P87" s="623">
        <f t="shared" ref="P87" si="215">SUM(P84:Q86)</f>
        <v>0</v>
      </c>
      <c r="Q87" s="626"/>
      <c r="R87" s="88">
        <f t="shared" ref="R87" si="216">IF(AND(F87&gt;=$G$8,H87&gt;=$I$8,J87&gt;=$K$8,L87&gt;=$M$8,N87&gt;=$O$8,P87&gt;=$Q$8),SUM(F87:Q87),0)</f>
        <v>0</v>
      </c>
      <c r="S87" s="251"/>
      <c r="T87" s="97"/>
      <c r="U87" s="94"/>
      <c r="V87" s="606"/>
      <c r="W87" s="88" t="str">
        <f t="shared" ref="W87" si="217">LOOKUP(R87,$AI$6:$AJ$10)</f>
        <v>ضعيف</v>
      </c>
      <c r="X87" s="641"/>
      <c r="Y87" s="68"/>
      <c r="Z87" s="599"/>
      <c r="AK87" s="667"/>
      <c r="AL87" s="667"/>
      <c r="AM87" s="696"/>
      <c r="AN87" s="698"/>
      <c r="AO87" s="699"/>
      <c r="AP87" s="698"/>
    </row>
    <row r="88" spans="1:42" ht="14.85" customHeight="1" thickBot="1" x14ac:dyDescent="0.3">
      <c r="A88" s="610">
        <v>19</v>
      </c>
      <c r="B88" s="613">
        <f>VLOOKUP(A88,مسلسل,2,0)</f>
        <v>0</v>
      </c>
      <c r="C88" s="616" t="str">
        <f>IFERROR(VLOOKUP(B88,اسماء,2,0),"")</f>
        <v/>
      </c>
      <c r="D88" s="619" t="str">
        <f>IFERROR(VLOOKUP($B88,اسماء,3,0),"")</f>
        <v/>
      </c>
      <c r="E88" s="129" t="s">
        <v>30</v>
      </c>
      <c r="F88" s="600">
        <f>IFERROR(VLOOKUP($B88,اسماء,5,0),0)</f>
        <v>0</v>
      </c>
      <c r="G88" s="601"/>
      <c r="H88" s="602">
        <f>IFERROR(VLOOKUP($B88,اسماء,6,0),0)</f>
        <v>0</v>
      </c>
      <c r="I88" s="622"/>
      <c r="J88" s="600">
        <f>IFERROR(VLOOKUP($B88,اسماء,7,0),0)</f>
        <v>0</v>
      </c>
      <c r="K88" s="601"/>
      <c r="L88" s="602">
        <f>IFERROR(VLOOKUP($B88,اسماء,8,0),0)</f>
        <v>0</v>
      </c>
      <c r="M88" s="603"/>
      <c r="N88" s="602">
        <f>IFERROR(VLOOKUP($B88,اسماء,9,0),0)</f>
        <v>0</v>
      </c>
      <c r="O88" s="603"/>
      <c r="P88" s="600">
        <f>IFERROR(VLOOKUP($B88,اسماء,10,0),0)</f>
        <v>0</v>
      </c>
      <c r="Q88" s="622"/>
      <c r="R88" s="371">
        <f t="shared" ref="R88" si="218">SUM(F88:Q88)</f>
        <v>0</v>
      </c>
      <c r="S88" s="213" t="str">
        <f>IFERROR(VLOOKUP($B88,اسماء,12,0),"")</f>
        <v/>
      </c>
      <c r="T88" s="214" t="str">
        <f>IFERROR(VLOOKUP($B88,اسماء,13,0),"")</f>
        <v/>
      </c>
      <c r="U88" s="364" t="str">
        <f>IFERROR(VLOOKUP($B88,اسماء,14,0),"")</f>
        <v/>
      </c>
      <c r="V88" s="604" t="str">
        <f t="shared" ref="V88" si="219">IF(Z88="غائب","راسب",IF(R91&gt;0,"ناجح","مرحل"))</f>
        <v>مرحل</v>
      </c>
      <c r="W88" s="19" t="str">
        <f t="shared" ref="W88:W89" si="220">LOOKUP(R88,$AC$6:$AD$10)</f>
        <v>ضعيف</v>
      </c>
      <c r="X88" s="639">
        <f t="shared" ref="X88" si="221">R91/$AC$3</f>
        <v>0</v>
      </c>
      <c r="Y88" s="68"/>
      <c r="Z88" s="597" t="str">
        <f>IFERROR(VLOOKUP($B88,اسماء,48,0),"")</f>
        <v/>
      </c>
      <c r="AK88" s="667" t="str">
        <f t="shared" ref="AK88" si="222">IF(R91=0,"",R91/1+ROW()*0.00001)</f>
        <v/>
      </c>
      <c r="AL88" s="667">
        <f>B88</f>
        <v>0</v>
      </c>
      <c r="AM88" s="696"/>
      <c r="AN88" s="698">
        <v>19</v>
      </c>
      <c r="AO88" s="699" t="str">
        <f>IFERROR(LARGE($AK$10:$AK$1420,AN88),"")</f>
        <v/>
      </c>
      <c r="AP88" s="698" t="str">
        <f>VLOOKUP(AO88,$AK$10:$AL$1530,2,0)</f>
        <v>امجد عمر عبداللطيف سلطان</v>
      </c>
    </row>
    <row r="89" spans="1:42" ht="14.85" customHeight="1" x14ac:dyDescent="0.25">
      <c r="A89" s="611"/>
      <c r="B89" s="614"/>
      <c r="C89" s="617"/>
      <c r="D89" s="620"/>
      <c r="E89" s="130" t="s">
        <v>31</v>
      </c>
      <c r="F89" s="592">
        <f>IFERROR(VLOOKUP($B88,اسماء,15,0),0)</f>
        <v>0</v>
      </c>
      <c r="G89" s="593"/>
      <c r="H89" s="594">
        <f>IFERROR(VLOOKUP($B88,اسماء,16,0),0)</f>
        <v>0</v>
      </c>
      <c r="I89" s="595"/>
      <c r="J89" s="592">
        <f>IFERROR(VLOOKUP($B88,اسماء,17,0),0)</f>
        <v>0</v>
      </c>
      <c r="K89" s="593"/>
      <c r="L89" s="594">
        <f>IFERROR(VLOOKUP($B88,اسماء,18,0),0)</f>
        <v>0</v>
      </c>
      <c r="M89" s="596"/>
      <c r="N89" s="594">
        <f>IFERROR(VLOOKUP($B88,اسماء,19,0),0)</f>
        <v>0</v>
      </c>
      <c r="O89" s="596"/>
      <c r="P89" s="592">
        <f>IFERROR(VLOOKUP($B88,اسماء,20,0),0)</f>
        <v>0</v>
      </c>
      <c r="Q89" s="595"/>
      <c r="R89" s="372">
        <f t="shared" si="126"/>
        <v>0</v>
      </c>
      <c r="S89" s="305" t="str">
        <f>IFERROR(VLOOKUP($B88,اسماء,23,0),"")</f>
        <v/>
      </c>
      <c r="T89" s="306" t="str">
        <f>IFERROR(VLOOKUP($B88,اسماء,24,0),"")</f>
        <v/>
      </c>
      <c r="U89" s="122" t="str">
        <f>IFERROR(VLOOKUP($B88,اسماء,25,0),"")</f>
        <v/>
      </c>
      <c r="V89" s="605"/>
      <c r="W89" s="19" t="str">
        <f t="shared" si="220"/>
        <v>ضعيف</v>
      </c>
      <c r="X89" s="640"/>
      <c r="Y89" s="8"/>
      <c r="Z89" s="598"/>
      <c r="AK89" s="667"/>
      <c r="AL89" s="667"/>
      <c r="AM89" s="696"/>
      <c r="AN89" s="698"/>
      <c r="AO89" s="699"/>
      <c r="AP89" s="698"/>
    </row>
    <row r="90" spans="1:42" ht="14.85" customHeight="1" x14ac:dyDescent="0.25">
      <c r="A90" s="611"/>
      <c r="B90" s="614"/>
      <c r="C90" s="617"/>
      <c r="D90" s="620"/>
      <c r="E90" s="130" t="s">
        <v>32</v>
      </c>
      <c r="F90" s="592">
        <f>IFERROR(VLOOKUP($B88,اسماء,25,0),0)</f>
        <v>0</v>
      </c>
      <c r="G90" s="593"/>
      <c r="H90" s="594">
        <f>IFERROR(VLOOKUP($B88,اسماء,26,0),0)</f>
        <v>0</v>
      </c>
      <c r="I90" s="595"/>
      <c r="J90" s="592">
        <f>IFERROR(VLOOKUP($B88,اسماء,27,0),0)</f>
        <v>0</v>
      </c>
      <c r="K90" s="593"/>
      <c r="L90" s="594">
        <f>IFERROR(VLOOKUP($B88,اسماء,28,0),0)</f>
        <v>0</v>
      </c>
      <c r="M90" s="596"/>
      <c r="N90" s="594">
        <f>IFERROR(VLOOKUP($B88,اسماء,29,0),0)</f>
        <v>0</v>
      </c>
      <c r="O90" s="596"/>
      <c r="P90" s="592">
        <f>IFERROR(VLOOKUP($B88,اسماء,30,0),0)</f>
        <v>0</v>
      </c>
      <c r="Q90" s="595"/>
      <c r="R90" s="372">
        <f t="shared" si="126"/>
        <v>0</v>
      </c>
      <c r="S90" s="305" t="str">
        <f>IFERROR(VLOOKUP($B88,اسماء,34,0),"")</f>
        <v/>
      </c>
      <c r="T90" s="306" t="str">
        <f>IFERROR(VLOOKUP($B88,اسماء,35,0),"")</f>
        <v/>
      </c>
      <c r="U90" s="122" t="str">
        <f>IFERROR(VLOOKUP($B88,اسماء,36,0),"")</f>
        <v/>
      </c>
      <c r="V90" s="605"/>
      <c r="W90" s="20" t="str">
        <f t="shared" ref="W90" si="223">LOOKUP(R90,$AF$6:$AG$10)</f>
        <v>ضعيف</v>
      </c>
      <c r="X90" s="640"/>
      <c r="Y90" s="68"/>
      <c r="Z90" s="598"/>
      <c r="AK90" s="667"/>
      <c r="AL90" s="667"/>
      <c r="AM90" s="696"/>
      <c r="AN90" s="698"/>
      <c r="AO90" s="699"/>
      <c r="AP90" s="698"/>
    </row>
    <row r="91" spans="1:42" ht="14.85" customHeight="1" thickBot="1" x14ac:dyDescent="0.3">
      <c r="A91" s="612"/>
      <c r="B91" s="615"/>
      <c r="C91" s="618"/>
      <c r="D91" s="621"/>
      <c r="E91" s="124" t="s">
        <v>33</v>
      </c>
      <c r="F91" s="623">
        <f t="shared" ref="F91" si="224">SUM(F88:G90)</f>
        <v>0</v>
      </c>
      <c r="G91" s="624"/>
      <c r="H91" s="625">
        <f t="shared" ref="H91" si="225">SUM(H88:I90)</f>
        <v>0</v>
      </c>
      <c r="I91" s="626"/>
      <c r="J91" s="623">
        <f t="shared" ref="J91" si="226">SUM(J88:K90)</f>
        <v>0</v>
      </c>
      <c r="K91" s="624"/>
      <c r="L91" s="625">
        <f t="shared" ref="L91" si="227">SUM(L88:M90)</f>
        <v>0</v>
      </c>
      <c r="M91" s="642"/>
      <c r="N91" s="625">
        <f t="shared" ref="N91" si="228">SUM(N88:O90)</f>
        <v>0</v>
      </c>
      <c r="O91" s="642"/>
      <c r="P91" s="623">
        <f t="shared" ref="P91" si="229">SUM(P88:Q90)</f>
        <v>0</v>
      </c>
      <c r="Q91" s="626"/>
      <c r="R91" s="88">
        <f t="shared" ref="R91" si="230">IF(AND(F91&gt;=$G$8,H91&gt;=$I$8,J91&gt;=$K$8,L91&gt;=$M$8,N91&gt;=$O$8,P91&gt;=$Q$8),SUM(F91:Q91),0)</f>
        <v>0</v>
      </c>
      <c r="S91" s="251"/>
      <c r="T91" s="97"/>
      <c r="U91" s="94"/>
      <c r="V91" s="606"/>
      <c r="W91" s="88" t="str">
        <f t="shared" ref="W91" si="231">LOOKUP(R91,$AI$6:$AJ$10)</f>
        <v>ضعيف</v>
      </c>
      <c r="X91" s="641"/>
      <c r="Y91" s="68"/>
      <c r="Z91" s="599"/>
      <c r="AK91" s="667"/>
      <c r="AL91" s="667"/>
      <c r="AM91" s="696"/>
      <c r="AN91" s="698"/>
      <c r="AO91" s="699"/>
      <c r="AP91" s="698"/>
    </row>
    <row r="92" spans="1:42" ht="14.85" customHeight="1" thickBot="1" x14ac:dyDescent="0.3">
      <c r="A92" s="610">
        <v>20</v>
      </c>
      <c r="B92" s="613">
        <f>VLOOKUP(A92,مسلسل,2,0)</f>
        <v>0</v>
      </c>
      <c r="C92" s="616" t="str">
        <f>IFERROR(VLOOKUP(B92,اسماء,2,0),"")</f>
        <v/>
      </c>
      <c r="D92" s="619" t="str">
        <f>IFERROR(VLOOKUP($B92,اسماء,3,0),"")</f>
        <v/>
      </c>
      <c r="E92" s="129" t="s">
        <v>30</v>
      </c>
      <c r="F92" s="600">
        <f>IFERROR(VLOOKUP($B92,اسماء,5,0),0)</f>
        <v>0</v>
      </c>
      <c r="G92" s="601"/>
      <c r="H92" s="602">
        <f>IFERROR(VLOOKUP($B92,اسماء,6,0),0)</f>
        <v>0</v>
      </c>
      <c r="I92" s="622"/>
      <c r="J92" s="600">
        <f>IFERROR(VLOOKUP($B92,اسماء,7,0),0)</f>
        <v>0</v>
      </c>
      <c r="K92" s="601"/>
      <c r="L92" s="602">
        <f>IFERROR(VLOOKUP($B92,اسماء,8,0),0)</f>
        <v>0</v>
      </c>
      <c r="M92" s="603"/>
      <c r="N92" s="602">
        <f>IFERROR(VLOOKUP($B92,اسماء,9,0),0)</f>
        <v>0</v>
      </c>
      <c r="O92" s="603"/>
      <c r="P92" s="600">
        <f>IFERROR(VLOOKUP($B92,اسماء,10,0),0)</f>
        <v>0</v>
      </c>
      <c r="Q92" s="622"/>
      <c r="R92" s="371">
        <f t="shared" ref="R92" si="232">SUM(F92:Q92)</f>
        <v>0</v>
      </c>
      <c r="S92" s="213" t="str">
        <f>IFERROR(VLOOKUP($B92,اسماء,12,0),"")</f>
        <v/>
      </c>
      <c r="T92" s="214" t="str">
        <f>IFERROR(VLOOKUP($B92,اسماء,13,0),"")</f>
        <v/>
      </c>
      <c r="U92" s="364" t="str">
        <f>IFERROR(VLOOKUP($B92,اسماء,14,0),"")</f>
        <v/>
      </c>
      <c r="V92" s="604" t="str">
        <f t="shared" ref="V92" si="233">IF(Z92="غائب","راسب",IF(R95&gt;0,"ناجح","مرحل"))</f>
        <v>مرحل</v>
      </c>
      <c r="W92" s="19" t="str">
        <f t="shared" ref="W92:W93" si="234">LOOKUP(R92,$AC$6:$AD$10)</f>
        <v>ضعيف</v>
      </c>
      <c r="X92" s="639">
        <f t="shared" ref="X92" si="235">R95/$AC$3</f>
        <v>0</v>
      </c>
      <c r="Y92" s="8"/>
      <c r="Z92" s="597" t="str">
        <f>IFERROR(VLOOKUP($B92,اسماء,48,0),"")</f>
        <v/>
      </c>
      <c r="AK92" s="667" t="str">
        <f t="shared" ref="AK92" si="236">IF(R95=0,"",R95/1+ROW()*0.00001)</f>
        <v/>
      </c>
      <c r="AL92" s="667">
        <f>B92</f>
        <v>0</v>
      </c>
      <c r="AM92" s="696"/>
      <c r="AN92" s="698">
        <v>20</v>
      </c>
      <c r="AO92" s="699" t="str">
        <f>IFERROR(LARGE($AK$10:$AK$1420,AN92),"")</f>
        <v/>
      </c>
      <c r="AP92" s="698" t="str">
        <f>VLOOKUP(AO92,$AK$10:$AL$1530,2,0)</f>
        <v>امجد عمر عبداللطيف سلطان</v>
      </c>
    </row>
    <row r="93" spans="1:42" ht="14.85" customHeight="1" x14ac:dyDescent="0.25">
      <c r="A93" s="611"/>
      <c r="B93" s="614"/>
      <c r="C93" s="617"/>
      <c r="D93" s="620"/>
      <c r="E93" s="130" t="s">
        <v>31</v>
      </c>
      <c r="F93" s="592">
        <f>IFERROR(VLOOKUP($B92,اسماء,15,0),0)</f>
        <v>0</v>
      </c>
      <c r="G93" s="593"/>
      <c r="H93" s="594">
        <f>IFERROR(VLOOKUP($B92,اسماء,16,0),0)</f>
        <v>0</v>
      </c>
      <c r="I93" s="595"/>
      <c r="J93" s="592">
        <f>IFERROR(VLOOKUP($B92,اسماء,17,0),0)</f>
        <v>0</v>
      </c>
      <c r="K93" s="593"/>
      <c r="L93" s="594">
        <f>IFERROR(VLOOKUP($B92,اسماء,18,0),0)</f>
        <v>0</v>
      </c>
      <c r="M93" s="596"/>
      <c r="N93" s="594">
        <f>IFERROR(VLOOKUP($B92,اسماء,19,0),0)</f>
        <v>0</v>
      </c>
      <c r="O93" s="596"/>
      <c r="P93" s="592">
        <f>IFERROR(VLOOKUP($B92,اسماء,20,0),0)</f>
        <v>0</v>
      </c>
      <c r="Q93" s="595"/>
      <c r="R93" s="372">
        <f t="shared" si="126"/>
        <v>0</v>
      </c>
      <c r="S93" s="305" t="str">
        <f>IFERROR(VLOOKUP($B92,اسماء,23,0),"")</f>
        <v/>
      </c>
      <c r="T93" s="306" t="str">
        <f>IFERROR(VLOOKUP($B92,اسماء,24,0),"")</f>
        <v/>
      </c>
      <c r="U93" s="122" t="str">
        <f>IFERROR(VLOOKUP($B92,اسماء,25,0),"")</f>
        <v/>
      </c>
      <c r="V93" s="605"/>
      <c r="W93" s="19" t="str">
        <f t="shared" si="234"/>
        <v>ضعيف</v>
      </c>
      <c r="X93" s="640"/>
      <c r="Y93" s="68"/>
      <c r="Z93" s="598"/>
      <c r="AK93" s="667"/>
      <c r="AL93" s="667"/>
      <c r="AM93" s="696"/>
      <c r="AN93" s="698"/>
      <c r="AO93" s="699"/>
      <c r="AP93" s="698"/>
    </row>
    <row r="94" spans="1:42" ht="14.85" customHeight="1" x14ac:dyDescent="0.25">
      <c r="A94" s="611"/>
      <c r="B94" s="614"/>
      <c r="C94" s="617"/>
      <c r="D94" s="620"/>
      <c r="E94" s="130" t="s">
        <v>32</v>
      </c>
      <c r="F94" s="592">
        <f>IFERROR(VLOOKUP($B92,اسماء,25,0),0)</f>
        <v>0</v>
      </c>
      <c r="G94" s="593"/>
      <c r="H94" s="594">
        <f>IFERROR(VLOOKUP($B92,اسماء,26,0),0)</f>
        <v>0</v>
      </c>
      <c r="I94" s="595"/>
      <c r="J94" s="592">
        <f>IFERROR(VLOOKUP($B92,اسماء,27,0),0)</f>
        <v>0</v>
      </c>
      <c r="K94" s="593"/>
      <c r="L94" s="594">
        <f>IFERROR(VLOOKUP($B92,اسماء,28,0),0)</f>
        <v>0</v>
      </c>
      <c r="M94" s="596"/>
      <c r="N94" s="594">
        <f>IFERROR(VLOOKUP($B92,اسماء,29,0),0)</f>
        <v>0</v>
      </c>
      <c r="O94" s="596"/>
      <c r="P94" s="592">
        <f>IFERROR(VLOOKUP($B92,اسماء,30,0),0)</f>
        <v>0</v>
      </c>
      <c r="Q94" s="595"/>
      <c r="R94" s="372">
        <f t="shared" si="126"/>
        <v>0</v>
      </c>
      <c r="S94" s="305" t="str">
        <f>IFERROR(VLOOKUP($B92,اسماء,34,0),"")</f>
        <v/>
      </c>
      <c r="T94" s="306" t="str">
        <f>IFERROR(VLOOKUP($B92,اسماء,35,0),"")</f>
        <v/>
      </c>
      <c r="U94" s="122" t="str">
        <f>IFERROR(VLOOKUP($B92,اسماء,36,0),"")</f>
        <v/>
      </c>
      <c r="V94" s="605"/>
      <c r="W94" s="20" t="str">
        <f t="shared" ref="W94" si="237">LOOKUP(R94,$AF$6:$AG$10)</f>
        <v>ضعيف</v>
      </c>
      <c r="X94" s="640"/>
      <c r="Y94" s="68"/>
      <c r="Z94" s="598"/>
      <c r="AK94" s="667"/>
      <c r="AL94" s="667"/>
      <c r="AM94" s="696"/>
      <c r="AN94" s="698"/>
      <c r="AO94" s="699"/>
      <c r="AP94" s="698"/>
    </row>
    <row r="95" spans="1:42" ht="14.85" customHeight="1" thickBot="1" x14ac:dyDescent="0.3">
      <c r="A95" s="612"/>
      <c r="B95" s="615"/>
      <c r="C95" s="618"/>
      <c r="D95" s="621"/>
      <c r="E95" s="124" t="s">
        <v>33</v>
      </c>
      <c r="F95" s="623">
        <f t="shared" ref="F95" si="238">SUM(F92:G94)</f>
        <v>0</v>
      </c>
      <c r="G95" s="624"/>
      <c r="H95" s="625">
        <f t="shared" ref="H95" si="239">SUM(H92:I94)</f>
        <v>0</v>
      </c>
      <c r="I95" s="626"/>
      <c r="J95" s="623">
        <f t="shared" ref="J95" si="240">SUM(J92:K94)</f>
        <v>0</v>
      </c>
      <c r="K95" s="624"/>
      <c r="L95" s="625">
        <f t="shared" ref="L95" si="241">SUM(L92:M94)</f>
        <v>0</v>
      </c>
      <c r="M95" s="642"/>
      <c r="N95" s="625">
        <f t="shared" ref="N95" si="242">SUM(N92:O94)</f>
        <v>0</v>
      </c>
      <c r="O95" s="642"/>
      <c r="P95" s="623">
        <f t="shared" ref="P95" si="243">SUM(P92:Q94)</f>
        <v>0</v>
      </c>
      <c r="Q95" s="626"/>
      <c r="R95" s="88">
        <f t="shared" ref="R95" si="244">IF(AND(F95&gt;=$G$8,H95&gt;=$I$8,J95&gt;=$K$8,L95&gt;=$M$8,N95&gt;=$O$8,P95&gt;=$Q$8),SUM(F95:Q95),0)</f>
        <v>0</v>
      </c>
      <c r="S95" s="251"/>
      <c r="T95" s="97"/>
      <c r="U95" s="94"/>
      <c r="V95" s="606"/>
      <c r="W95" s="88" t="str">
        <f t="shared" ref="W95" si="245">LOOKUP(R95,$AI$6:$AJ$10)</f>
        <v>ضعيف</v>
      </c>
      <c r="X95" s="641"/>
      <c r="Y95" s="8"/>
      <c r="Z95" s="599"/>
      <c r="AK95" s="667"/>
      <c r="AL95" s="667"/>
      <c r="AM95" s="696"/>
      <c r="AN95" s="698"/>
      <c r="AO95" s="699"/>
      <c r="AP95" s="698"/>
    </row>
    <row r="96" spans="1:42" ht="14.85" customHeight="1" thickBot="1" x14ac:dyDescent="0.3">
      <c r="F96" s="71"/>
      <c r="G96" s="72"/>
      <c r="H96" s="71"/>
      <c r="I96" s="72"/>
      <c r="J96" s="71"/>
      <c r="K96" s="72"/>
      <c r="L96" s="71"/>
      <c r="M96" s="72"/>
      <c r="N96" s="71"/>
      <c r="O96" s="72"/>
      <c r="P96" s="71"/>
      <c r="Q96" s="72"/>
      <c r="R96" s="70"/>
      <c r="S96" s="73"/>
      <c r="T96" s="70"/>
      <c r="U96" s="70"/>
      <c r="V96" s="70"/>
      <c r="W96" s="70"/>
      <c r="X96" s="254"/>
      <c r="Y96" s="68"/>
      <c r="AH96" s="74"/>
    </row>
    <row r="97" spans="1:42" customFormat="1" ht="14.85" customHeight="1" x14ac:dyDescent="0.3">
      <c r="A97" s="668" t="s">
        <v>9</v>
      </c>
      <c r="B97" s="669"/>
      <c r="C97" s="670"/>
      <c r="D97" s="277" t="s">
        <v>11</v>
      </c>
      <c r="E97" s="674" t="s">
        <v>96</v>
      </c>
      <c r="F97" s="663"/>
      <c r="G97" s="663"/>
      <c r="H97" s="663"/>
      <c r="I97" s="663"/>
      <c r="J97" s="7"/>
      <c r="K97" s="7"/>
      <c r="L97" s="7"/>
      <c r="M97" s="7"/>
      <c r="N97" s="7"/>
      <c r="O97" s="7"/>
      <c r="P97" s="7"/>
      <c r="Q97" s="663" t="s">
        <v>156</v>
      </c>
      <c r="R97" s="663"/>
      <c r="S97" s="663"/>
      <c r="T97" s="663"/>
      <c r="U97" s="663"/>
      <c r="V97" s="663"/>
      <c r="W97" s="1"/>
      <c r="X97" s="255"/>
      <c r="Z97" s="75"/>
      <c r="AA97" s="76"/>
      <c r="AB97" s="76"/>
      <c r="AC97" s="76"/>
      <c r="AD97" s="76"/>
    </row>
    <row r="98" spans="1:42" customFormat="1" ht="14.85" customHeight="1" x14ac:dyDescent="0.25">
      <c r="A98" s="77" t="s">
        <v>8</v>
      </c>
      <c r="B98" s="671">
        <f>ادخال1!$BJ$3</f>
        <v>0</v>
      </c>
      <c r="C98" s="672"/>
      <c r="D98" s="278"/>
      <c r="E98" s="7" t="s">
        <v>9</v>
      </c>
      <c r="F98" s="673" t="str">
        <f>ادخال1!$BJ$5</f>
        <v>د. عبدالرحمن خليفة العريبي</v>
      </c>
      <c r="G98" s="673"/>
      <c r="H98" s="673"/>
      <c r="I98" s="673"/>
      <c r="J98" s="673"/>
      <c r="K98" s="673"/>
      <c r="L98" s="673"/>
      <c r="M98" s="673"/>
      <c r="N98" s="673"/>
      <c r="O98" s="673"/>
      <c r="P98" s="7"/>
      <c r="Q98" s="673" t="str">
        <f>ادخال1!$BJ$6</f>
        <v>تاجوراء</v>
      </c>
      <c r="R98" s="673"/>
      <c r="S98" s="673"/>
      <c r="T98" s="673"/>
      <c r="U98" s="673"/>
      <c r="V98" s="673"/>
      <c r="W98" s="673"/>
      <c r="X98" s="63"/>
      <c r="Y98" s="63"/>
      <c r="Z98" s="75"/>
      <c r="AA98" s="75"/>
      <c r="AB98" s="75"/>
      <c r="AC98" s="75"/>
    </row>
    <row r="99" spans="1:42" customFormat="1" ht="14.85" customHeight="1" thickBot="1" x14ac:dyDescent="0.3">
      <c r="A99" s="78" t="s">
        <v>97</v>
      </c>
      <c r="B99" s="665">
        <f>ادخال1!$BJ$4</f>
        <v>0</v>
      </c>
      <c r="C99" s="666"/>
      <c r="D99" s="279"/>
      <c r="E99" s="7" t="s">
        <v>11</v>
      </c>
      <c r="F99" s="667"/>
      <c r="G99" s="667"/>
      <c r="H99" s="667"/>
      <c r="I99" s="667"/>
      <c r="J99" s="667"/>
      <c r="K99" s="667"/>
      <c r="L99" s="667"/>
      <c r="M99" s="667"/>
      <c r="N99" s="667"/>
      <c r="O99" s="667"/>
      <c r="P99" s="7"/>
      <c r="Q99" s="7" t="s">
        <v>11</v>
      </c>
      <c r="R99" s="1"/>
      <c r="S99" s="1"/>
      <c r="T99" s="1"/>
      <c r="U99" s="1"/>
      <c r="V99" s="1"/>
      <c r="W99" s="1"/>
      <c r="X99" s="255"/>
      <c r="Z99" s="75"/>
      <c r="AA99" s="75"/>
      <c r="AB99" s="75"/>
      <c r="AC99" s="75"/>
    </row>
    <row r="100" spans="1:42" customFormat="1" ht="14.85" customHeight="1" x14ac:dyDescent="0.25">
      <c r="A100" s="663" t="s">
        <v>98</v>
      </c>
      <c r="B100" s="663"/>
      <c r="C100" s="663"/>
      <c r="D100" s="663"/>
      <c r="E100" s="663" t="s">
        <v>99</v>
      </c>
      <c r="F100" s="663"/>
      <c r="G100" s="663"/>
      <c r="H100" s="663"/>
      <c r="I100" s="663"/>
      <c r="J100" s="663"/>
      <c r="K100" s="663"/>
      <c r="L100" s="663"/>
      <c r="M100" s="663"/>
      <c r="N100" s="663"/>
      <c r="O100" s="663"/>
      <c r="P100" s="663"/>
      <c r="Q100" s="663"/>
      <c r="R100" s="7"/>
      <c r="S100" s="664">
        <f ca="1">TODAY()</f>
        <v>46009</v>
      </c>
      <c r="T100" s="664"/>
      <c r="U100" s="664"/>
      <c r="V100" s="664"/>
      <c r="W100" s="664"/>
      <c r="X100" s="255"/>
    </row>
    <row r="101" spans="1:42" customFormat="1" ht="14.85" customHeight="1" thickBot="1" x14ac:dyDescent="0.3">
      <c r="A101" s="7"/>
      <c r="B101" s="663" t="s">
        <v>100</v>
      </c>
      <c r="C101" s="663"/>
      <c r="D101" s="663"/>
      <c r="E101" s="663" t="s">
        <v>101</v>
      </c>
      <c r="F101" s="663"/>
      <c r="G101" s="663"/>
      <c r="H101" s="663"/>
      <c r="I101" s="663"/>
      <c r="J101" s="663"/>
      <c r="K101" s="663"/>
      <c r="L101" s="663"/>
      <c r="M101" s="663"/>
      <c r="N101" s="663"/>
      <c r="O101" s="663"/>
      <c r="P101" s="663"/>
      <c r="Q101" s="663"/>
      <c r="R101" s="1"/>
      <c r="S101" s="1"/>
      <c r="T101" s="1"/>
      <c r="U101" s="1"/>
      <c r="V101" s="1"/>
      <c r="W101" s="1"/>
      <c r="X101" s="255"/>
    </row>
    <row r="102" spans="1:42" ht="14.85" customHeight="1" thickBot="1" x14ac:dyDescent="0.3">
      <c r="A102" s="610">
        <v>21</v>
      </c>
      <c r="B102" s="613">
        <f>VLOOKUP(A102,مسلسل,2,0)</f>
        <v>0</v>
      </c>
      <c r="C102" s="616" t="str">
        <f>IFERROR(VLOOKUP(B102,اسماء,2,0),"")</f>
        <v/>
      </c>
      <c r="D102" s="619" t="str">
        <f>IFERROR(VLOOKUP($B102,اسماء,3,0),"")</f>
        <v/>
      </c>
      <c r="E102" s="129" t="s">
        <v>30</v>
      </c>
      <c r="F102" s="600">
        <f>IFERROR(VLOOKUP($B102,اسماء,5,0),0)</f>
        <v>0</v>
      </c>
      <c r="G102" s="601"/>
      <c r="H102" s="602">
        <f>IFERROR(VLOOKUP($B102,اسماء,6,0),0)</f>
        <v>0</v>
      </c>
      <c r="I102" s="622"/>
      <c r="J102" s="600">
        <f>IFERROR(VLOOKUP($B102,اسماء,7,0),0)</f>
        <v>0</v>
      </c>
      <c r="K102" s="601"/>
      <c r="L102" s="602">
        <f>IFERROR(VLOOKUP($B102,اسماء,8,0),0)</f>
        <v>0</v>
      </c>
      <c r="M102" s="603"/>
      <c r="N102" s="602">
        <f>IFERROR(VLOOKUP($B102,اسماء,9,0),0)</f>
        <v>0</v>
      </c>
      <c r="O102" s="603"/>
      <c r="P102" s="600">
        <f>IFERROR(VLOOKUP($B102,اسماء,10,0),0)</f>
        <v>0</v>
      </c>
      <c r="Q102" s="622"/>
      <c r="R102" s="371">
        <f>SUM(F102:Q102)</f>
        <v>0</v>
      </c>
      <c r="S102" s="325" t="str">
        <f>IFERROR(VLOOKUP($B102,اسماء,12,0),"")</f>
        <v/>
      </c>
      <c r="T102" s="326" t="str">
        <f>IFERROR(VLOOKUP($B102,اسماء,13,0),"")</f>
        <v/>
      </c>
      <c r="U102" s="92" t="str">
        <f>IFERROR(VLOOKUP($B102,اسماء,14,0),"")</f>
        <v/>
      </c>
      <c r="V102" s="604" t="str">
        <f t="shared" ref="V102" si="246">IF(Z102="غائب","راسب",IF(R105&gt;0,"ناجح","مرحل"))</f>
        <v>مرحل</v>
      </c>
      <c r="W102" s="19" t="str">
        <f t="shared" ref="W102:W103" si="247">LOOKUP(R102,$AC$6:$AD$10)</f>
        <v>ضعيف</v>
      </c>
      <c r="X102" s="639">
        <f t="shared" ref="X102" si="248">R105/$AC$3</f>
        <v>0</v>
      </c>
      <c r="Y102" s="68"/>
      <c r="Z102" s="597" t="str">
        <f>IFERROR(VLOOKUP($B102,اسماء,48,0),"")</f>
        <v/>
      </c>
      <c r="AK102" s="671" t="str">
        <f>IF(R105=0,"",R105/1+ROW()*0.00001)</f>
        <v/>
      </c>
      <c r="AL102" s="671">
        <f>B102</f>
        <v>0</v>
      </c>
      <c r="AM102" s="696"/>
      <c r="AN102" s="698">
        <v>21</v>
      </c>
      <c r="AO102" s="699" t="str">
        <f>IFERROR(LARGE($AK$10:$AK$1420,AN102),"")</f>
        <v/>
      </c>
      <c r="AP102" s="698" t="str">
        <f>VLOOKUP(AO102,$AK$10:$AL$1530,2,0)</f>
        <v>امجد عمر عبداللطيف سلطان</v>
      </c>
    </row>
    <row r="103" spans="1:42" ht="14.85" customHeight="1" x14ac:dyDescent="0.25">
      <c r="A103" s="611"/>
      <c r="B103" s="614"/>
      <c r="C103" s="617"/>
      <c r="D103" s="620"/>
      <c r="E103" s="130" t="s">
        <v>31</v>
      </c>
      <c r="F103" s="592">
        <f>IFERROR(VLOOKUP($B102,اسماء,16,0),0)</f>
        <v>0</v>
      </c>
      <c r="G103" s="593"/>
      <c r="H103" s="594">
        <f>IFERROR(VLOOKUP($B102,اسماء,17,0),0)</f>
        <v>0</v>
      </c>
      <c r="I103" s="595"/>
      <c r="J103" s="592">
        <f>IFERROR(VLOOKUP($B102,اسماء,18,0),0)</f>
        <v>0</v>
      </c>
      <c r="K103" s="593"/>
      <c r="L103" s="594">
        <f>IFERROR(VLOOKUP($B102,اسماء,19,0),0)</f>
        <v>0</v>
      </c>
      <c r="M103" s="596"/>
      <c r="N103" s="594">
        <f>IFERROR(VLOOKUP($B102,اسماء,20,0),0)</f>
        <v>0</v>
      </c>
      <c r="O103" s="596"/>
      <c r="P103" s="592">
        <f>IFERROR(VLOOKUP($B102,اسماء,21,0),0)</f>
        <v>0</v>
      </c>
      <c r="Q103" s="595"/>
      <c r="R103" s="372">
        <f t="shared" ref="R103:R104" si="249">SUM(F103:Q103)</f>
        <v>0</v>
      </c>
      <c r="S103" s="305" t="str">
        <f>IFERROR(VLOOKUP($B102,اسماء,23,0),"")</f>
        <v/>
      </c>
      <c r="T103" s="306" t="str">
        <f>IFERROR(VLOOKUP($B102,اسماء,24,0),"")</f>
        <v/>
      </c>
      <c r="U103" s="122" t="str">
        <f>IFERROR(VLOOKUP($B102,اسماء,25,0),"")</f>
        <v/>
      </c>
      <c r="V103" s="605"/>
      <c r="W103" s="19" t="str">
        <f t="shared" si="247"/>
        <v>ضعيف</v>
      </c>
      <c r="X103" s="640"/>
      <c r="Y103" s="68"/>
      <c r="Z103" s="598"/>
      <c r="AK103" s="671"/>
      <c r="AL103" s="671"/>
      <c r="AM103" s="696"/>
      <c r="AN103" s="698"/>
      <c r="AO103" s="699"/>
      <c r="AP103" s="698"/>
    </row>
    <row r="104" spans="1:42" ht="14.85" customHeight="1" x14ac:dyDescent="0.25">
      <c r="A104" s="611"/>
      <c r="B104" s="614"/>
      <c r="C104" s="617"/>
      <c r="D104" s="620"/>
      <c r="E104" s="130" t="s">
        <v>32</v>
      </c>
      <c r="F104" s="592">
        <f>IFERROR(VLOOKUP($B102,اسماء,27,0),0)</f>
        <v>0</v>
      </c>
      <c r="G104" s="593"/>
      <c r="H104" s="594">
        <f>IFERROR(VLOOKUP($B102,اسماء,28,0),0)</f>
        <v>0</v>
      </c>
      <c r="I104" s="595"/>
      <c r="J104" s="592">
        <f>IFERROR(VLOOKUP($B102,اسماء,29,0),0)</f>
        <v>0</v>
      </c>
      <c r="K104" s="593"/>
      <c r="L104" s="594">
        <f>IFERROR(VLOOKUP($B102,اسماء,30,0),0)</f>
        <v>0</v>
      </c>
      <c r="M104" s="596"/>
      <c r="N104" s="594">
        <f>IFERROR(VLOOKUP($B102,اسماء,31,0),0)</f>
        <v>0</v>
      </c>
      <c r="O104" s="596"/>
      <c r="P104" s="592">
        <f>IFERROR(VLOOKUP($B102,اسماء,32,0),0)</f>
        <v>0</v>
      </c>
      <c r="Q104" s="595"/>
      <c r="R104" s="372">
        <f t="shared" si="249"/>
        <v>0</v>
      </c>
      <c r="S104" s="305" t="str">
        <f>IFERROR(VLOOKUP($B102,اسماء,34,0),"")</f>
        <v/>
      </c>
      <c r="T104" s="306" t="str">
        <f>IFERROR(VLOOKUP($B102,اسماء,35,0),"")</f>
        <v/>
      </c>
      <c r="U104" s="122" t="str">
        <f>IFERROR(VLOOKUP($B102,اسماء,36,0),"")</f>
        <v/>
      </c>
      <c r="V104" s="605"/>
      <c r="W104" s="20" t="str">
        <f t="shared" ref="W104" si="250">LOOKUP(R104,$AF$6:$AG$10)</f>
        <v>ضعيف</v>
      </c>
      <c r="X104" s="640"/>
      <c r="Y104" s="8"/>
      <c r="Z104" s="598"/>
      <c r="AK104" s="671"/>
      <c r="AL104" s="671"/>
      <c r="AM104" s="696"/>
      <c r="AN104" s="698"/>
      <c r="AO104" s="699"/>
      <c r="AP104" s="698"/>
    </row>
    <row r="105" spans="1:42" ht="14.85" customHeight="1" thickBot="1" x14ac:dyDescent="0.3">
      <c r="A105" s="612"/>
      <c r="B105" s="615"/>
      <c r="C105" s="618"/>
      <c r="D105" s="621"/>
      <c r="E105" s="124" t="s">
        <v>33</v>
      </c>
      <c r="F105" s="623">
        <f>SUM(F102:G104)</f>
        <v>0</v>
      </c>
      <c r="G105" s="624"/>
      <c r="H105" s="625">
        <f>SUM(H102:I104)</f>
        <v>0</v>
      </c>
      <c r="I105" s="626"/>
      <c r="J105" s="623">
        <f>SUM(J102:K104)</f>
        <v>0</v>
      </c>
      <c r="K105" s="624"/>
      <c r="L105" s="625">
        <f>SUM(L102:M104)</f>
        <v>0</v>
      </c>
      <c r="M105" s="642"/>
      <c r="N105" s="625">
        <f>SUM(N102:O104)</f>
        <v>0</v>
      </c>
      <c r="O105" s="642"/>
      <c r="P105" s="623">
        <f>SUM(P102:Q104)</f>
        <v>0</v>
      </c>
      <c r="Q105" s="626"/>
      <c r="R105" s="88">
        <f>IF(AND(F105&gt;=$G$8,H105&gt;=$I$8,J105&gt;=$K$8,L105&gt;=$M$8,N105&gt;=$O$8,P105&gt;=$Q$8),SUM(F105:Q105),0)</f>
        <v>0</v>
      </c>
      <c r="S105" s="251"/>
      <c r="T105" s="97"/>
      <c r="U105" s="94"/>
      <c r="V105" s="606"/>
      <c r="W105" s="88" t="str">
        <f t="shared" ref="W105" si="251">LOOKUP(R105,$AI$6:$AJ$10)</f>
        <v>ضعيف</v>
      </c>
      <c r="X105" s="641"/>
      <c r="Y105" s="68"/>
      <c r="Z105" s="599"/>
      <c r="AK105" s="671"/>
      <c r="AL105" s="671"/>
      <c r="AM105" s="696"/>
      <c r="AN105" s="698"/>
      <c r="AO105" s="699"/>
      <c r="AP105" s="698"/>
    </row>
    <row r="106" spans="1:42" ht="14.85" customHeight="1" thickBot="1" x14ac:dyDescent="0.3">
      <c r="A106" s="610">
        <v>22</v>
      </c>
      <c r="B106" s="613">
        <f>VLOOKUP(A106,مسلسل,2,0)</f>
        <v>0</v>
      </c>
      <c r="C106" s="616" t="str">
        <f>IFERROR(VLOOKUP(B106,اسماء,2,0),"")</f>
        <v/>
      </c>
      <c r="D106" s="619" t="str">
        <f>IFERROR(VLOOKUP($B106,اسماء,3,0),"")</f>
        <v/>
      </c>
      <c r="E106" s="129" t="s">
        <v>30</v>
      </c>
      <c r="F106" s="600">
        <f>IFERROR(VLOOKUP($B106,اسماء,5,0),0)</f>
        <v>0</v>
      </c>
      <c r="G106" s="601"/>
      <c r="H106" s="602">
        <f>IFERROR(VLOOKUP($B106,اسماء,6,0),0)</f>
        <v>0</v>
      </c>
      <c r="I106" s="622"/>
      <c r="J106" s="600">
        <f>IFERROR(VLOOKUP($B106,اسماء,7,0),0)</f>
        <v>0</v>
      </c>
      <c r="K106" s="601"/>
      <c r="L106" s="602">
        <f>IFERROR(VLOOKUP($B106,اسماء,8,0),0)</f>
        <v>0</v>
      </c>
      <c r="M106" s="603"/>
      <c r="N106" s="602">
        <f>IFERROR(VLOOKUP($B106,اسماء,9,0),0)</f>
        <v>0</v>
      </c>
      <c r="O106" s="603"/>
      <c r="P106" s="600">
        <f>IFERROR(VLOOKUP($B106,اسماء,10,0),0)</f>
        <v>0</v>
      </c>
      <c r="Q106" s="622"/>
      <c r="R106" s="371">
        <f t="shared" ref="R106:R140" si="252">SUM(F106:Q106)</f>
        <v>0</v>
      </c>
      <c r="S106" s="213" t="str">
        <f>IFERROR(VLOOKUP($B106,اسماء,12,0),"")</f>
        <v/>
      </c>
      <c r="T106" s="214" t="str">
        <f>IFERROR(VLOOKUP($B106,اسماء,13,0),"")</f>
        <v/>
      </c>
      <c r="U106" s="364" t="str">
        <f>IFERROR(VLOOKUP($B106,اسماء,14,0),"")</f>
        <v/>
      </c>
      <c r="V106" s="604" t="str">
        <f t="shared" ref="V106" si="253">IF(Z106="غائب","راسب",IF(R109&gt;0,"ناجح","مرحل"))</f>
        <v>مرحل</v>
      </c>
      <c r="W106" s="19" t="str">
        <f t="shared" ref="W106:W107" si="254">LOOKUP(R106,$AC$6:$AD$10)</f>
        <v>ضعيف</v>
      </c>
      <c r="X106" s="639">
        <f t="shared" ref="X106" si="255">R109/$AC$3</f>
        <v>0</v>
      </c>
      <c r="Y106" s="68"/>
      <c r="Z106" s="597" t="str">
        <f>IFERROR(VLOOKUP($B106,اسماء,48,0),"")</f>
        <v/>
      </c>
      <c r="AK106" s="667" t="str">
        <f t="shared" ref="AK106" si="256">IF(R109=0,"",R109/1+ROW()*0.00001)</f>
        <v/>
      </c>
      <c r="AL106" s="667">
        <f>B106</f>
        <v>0</v>
      </c>
      <c r="AM106" s="696"/>
      <c r="AN106" s="698">
        <v>22</v>
      </c>
      <c r="AO106" s="699" t="str">
        <f>IFERROR(LARGE($AK$10:$AK$1420,AN106),"")</f>
        <v/>
      </c>
      <c r="AP106" s="698" t="str">
        <f>VLOOKUP(AO106,$AK$10:$AL$1530,2,0)</f>
        <v>امجد عمر عبداللطيف سلطان</v>
      </c>
    </row>
    <row r="107" spans="1:42" ht="14.85" customHeight="1" x14ac:dyDescent="0.25">
      <c r="A107" s="611"/>
      <c r="B107" s="614"/>
      <c r="C107" s="617"/>
      <c r="D107" s="620"/>
      <c r="E107" s="130" t="s">
        <v>31</v>
      </c>
      <c r="F107" s="592">
        <f>IFERROR(VLOOKUP($B106,اسماء,15,0),0)</f>
        <v>0</v>
      </c>
      <c r="G107" s="593"/>
      <c r="H107" s="594">
        <f>IFERROR(VLOOKUP($B106,اسماء,16,0),0)</f>
        <v>0</v>
      </c>
      <c r="I107" s="595"/>
      <c r="J107" s="592">
        <f>IFERROR(VLOOKUP($B106,اسماء,17,0),0)</f>
        <v>0</v>
      </c>
      <c r="K107" s="593"/>
      <c r="L107" s="594">
        <f>IFERROR(VLOOKUP($B106,اسماء,18,0),0)</f>
        <v>0</v>
      </c>
      <c r="M107" s="596"/>
      <c r="N107" s="594">
        <f>IFERROR(VLOOKUP($B106,اسماء,19,0),0)</f>
        <v>0</v>
      </c>
      <c r="O107" s="596"/>
      <c r="P107" s="592">
        <f>IFERROR(VLOOKUP($B106,اسماء,20,0),0)</f>
        <v>0</v>
      </c>
      <c r="Q107" s="595"/>
      <c r="R107" s="372">
        <f t="shared" si="252"/>
        <v>0</v>
      </c>
      <c r="S107" s="305" t="str">
        <f>IFERROR(VLOOKUP($B106,اسماء,23,0),"")</f>
        <v/>
      </c>
      <c r="T107" s="306" t="str">
        <f>IFERROR(VLOOKUP($B106,اسماء,24,0),"")</f>
        <v/>
      </c>
      <c r="U107" s="122" t="str">
        <f>IFERROR(VLOOKUP($B106,اسماء,25,0),"")</f>
        <v/>
      </c>
      <c r="V107" s="605"/>
      <c r="W107" s="19" t="str">
        <f t="shared" si="254"/>
        <v>ضعيف</v>
      </c>
      <c r="X107" s="640"/>
      <c r="Y107" s="8"/>
      <c r="Z107" s="598"/>
      <c r="AK107" s="667"/>
      <c r="AL107" s="667"/>
      <c r="AM107" s="696"/>
      <c r="AN107" s="698"/>
      <c r="AO107" s="699"/>
      <c r="AP107" s="698"/>
    </row>
    <row r="108" spans="1:42" ht="14.85" customHeight="1" x14ac:dyDescent="0.25">
      <c r="A108" s="611"/>
      <c r="B108" s="614"/>
      <c r="C108" s="617"/>
      <c r="D108" s="620"/>
      <c r="E108" s="130" t="s">
        <v>32</v>
      </c>
      <c r="F108" s="592">
        <f>IFERROR(VLOOKUP($B106,اسماء,25,0),0)</f>
        <v>0</v>
      </c>
      <c r="G108" s="593"/>
      <c r="H108" s="594">
        <f>IFERROR(VLOOKUP($B106,اسماء,26,0),0)</f>
        <v>0</v>
      </c>
      <c r="I108" s="595"/>
      <c r="J108" s="592">
        <f>IFERROR(VLOOKUP($B106,اسماء,27,0),0)</f>
        <v>0</v>
      </c>
      <c r="K108" s="593"/>
      <c r="L108" s="594">
        <f>IFERROR(VLOOKUP($B106,اسماء,28,0),0)</f>
        <v>0</v>
      </c>
      <c r="M108" s="596"/>
      <c r="N108" s="594">
        <f>IFERROR(VLOOKUP($B106,اسماء,29,0),0)</f>
        <v>0</v>
      </c>
      <c r="O108" s="596"/>
      <c r="P108" s="592">
        <f>IFERROR(VLOOKUP($B106,اسماء,30,0),0)</f>
        <v>0</v>
      </c>
      <c r="Q108" s="595"/>
      <c r="R108" s="372">
        <f t="shared" si="252"/>
        <v>0</v>
      </c>
      <c r="S108" s="305" t="str">
        <f>IFERROR(VLOOKUP($B106,اسماء,34,0),"")</f>
        <v/>
      </c>
      <c r="T108" s="306" t="str">
        <f>IFERROR(VLOOKUP($B106,اسماء,35,0),"")</f>
        <v/>
      </c>
      <c r="U108" s="122" t="str">
        <f>IFERROR(VLOOKUP($B106,اسماء,36,0),"")</f>
        <v/>
      </c>
      <c r="V108" s="605"/>
      <c r="W108" s="20" t="str">
        <f t="shared" ref="W108" si="257">LOOKUP(R108,$AF$6:$AG$10)</f>
        <v>ضعيف</v>
      </c>
      <c r="X108" s="640"/>
      <c r="Y108" s="68"/>
      <c r="Z108" s="598"/>
      <c r="AK108" s="667"/>
      <c r="AL108" s="667"/>
      <c r="AM108" s="696"/>
      <c r="AN108" s="698"/>
      <c r="AO108" s="699"/>
      <c r="AP108" s="698"/>
    </row>
    <row r="109" spans="1:42" ht="14.85" customHeight="1" thickBot="1" x14ac:dyDescent="0.3">
      <c r="A109" s="612"/>
      <c r="B109" s="615"/>
      <c r="C109" s="618"/>
      <c r="D109" s="621"/>
      <c r="E109" s="124" t="s">
        <v>33</v>
      </c>
      <c r="F109" s="623">
        <f>SUM(F106:G108)</f>
        <v>0</v>
      </c>
      <c r="G109" s="624"/>
      <c r="H109" s="625">
        <f>SUM(H106:I108)</f>
        <v>0</v>
      </c>
      <c r="I109" s="626"/>
      <c r="J109" s="623">
        <f>SUM(J106:K108)</f>
        <v>0</v>
      </c>
      <c r="K109" s="624"/>
      <c r="L109" s="625">
        <f>SUM(L106:M108)</f>
        <v>0</v>
      </c>
      <c r="M109" s="642"/>
      <c r="N109" s="625">
        <f>SUM(N106:O108)</f>
        <v>0</v>
      </c>
      <c r="O109" s="642"/>
      <c r="P109" s="623">
        <f>SUM(P106:Q108)</f>
        <v>0</v>
      </c>
      <c r="Q109" s="626"/>
      <c r="R109" s="88">
        <f t="shared" ref="R109" si="258">IF(AND(F109&gt;=$G$8,H109&gt;=$I$8,J109&gt;=$K$8,L109&gt;=$M$8,N109&gt;=$O$8,P109&gt;=$Q$8),SUM(F109:Q109),0)</f>
        <v>0</v>
      </c>
      <c r="S109" s="251"/>
      <c r="T109" s="97"/>
      <c r="U109" s="94"/>
      <c r="V109" s="606"/>
      <c r="W109" s="88" t="str">
        <f t="shared" ref="W109" si="259">LOOKUP(R109,$AI$6:$AJ$10)</f>
        <v>ضعيف</v>
      </c>
      <c r="X109" s="641"/>
      <c r="Y109" s="68"/>
      <c r="Z109" s="599"/>
      <c r="AK109" s="667"/>
      <c r="AL109" s="667"/>
      <c r="AM109" s="696"/>
      <c r="AN109" s="698"/>
      <c r="AO109" s="699"/>
      <c r="AP109" s="698"/>
    </row>
    <row r="110" spans="1:42" ht="14.85" customHeight="1" thickBot="1" x14ac:dyDescent="0.3">
      <c r="A110" s="610">
        <v>23</v>
      </c>
      <c r="B110" s="613">
        <f>VLOOKUP(A110,مسلسل,2,0)</f>
        <v>0</v>
      </c>
      <c r="C110" s="616" t="str">
        <f>IFERROR(VLOOKUP(B110,اسماء,2,0),"")</f>
        <v/>
      </c>
      <c r="D110" s="619" t="str">
        <f>IFERROR(VLOOKUP($B110,اسماء,3,0),"")</f>
        <v/>
      </c>
      <c r="E110" s="129" t="s">
        <v>30</v>
      </c>
      <c r="F110" s="600">
        <f>IFERROR(VLOOKUP($B110,اسماء,5,0),0)</f>
        <v>0</v>
      </c>
      <c r="G110" s="601"/>
      <c r="H110" s="602">
        <f>IFERROR(VLOOKUP($B110,اسماء,6,0),0)</f>
        <v>0</v>
      </c>
      <c r="I110" s="622"/>
      <c r="J110" s="600">
        <f>IFERROR(VLOOKUP($B110,اسماء,7,0),0)</f>
        <v>0</v>
      </c>
      <c r="K110" s="601"/>
      <c r="L110" s="602">
        <f>IFERROR(VLOOKUP($B110,اسماء,8,0),0)</f>
        <v>0</v>
      </c>
      <c r="M110" s="603"/>
      <c r="N110" s="602">
        <f>IFERROR(VLOOKUP($B110,اسماء,9,0),0)</f>
        <v>0</v>
      </c>
      <c r="O110" s="603"/>
      <c r="P110" s="600">
        <f>IFERROR(VLOOKUP($B110,اسماء,10,0),0)</f>
        <v>0</v>
      </c>
      <c r="Q110" s="622"/>
      <c r="R110" s="371">
        <f t="shared" ref="R110" si="260">SUM(F110:Q110)</f>
        <v>0</v>
      </c>
      <c r="S110" s="213" t="str">
        <f>IFERROR(VLOOKUP($B110,اسماء,12,0),"")</f>
        <v/>
      </c>
      <c r="T110" s="214" t="str">
        <f>IFERROR(VLOOKUP($B110,اسماء,13,0),"")</f>
        <v/>
      </c>
      <c r="U110" s="364" t="str">
        <f>IFERROR(VLOOKUP($B110,اسماء,14,0),"")</f>
        <v/>
      </c>
      <c r="V110" s="604" t="str">
        <f t="shared" ref="V110" si="261">IF(Z110="غائب","راسب",IF(R113&gt;0,"ناجح","مرحل"))</f>
        <v>مرحل</v>
      </c>
      <c r="W110" s="19" t="str">
        <f t="shared" ref="W110:W111" si="262">LOOKUP(R110,$AC$6:$AD$10)</f>
        <v>ضعيف</v>
      </c>
      <c r="X110" s="639">
        <f t="shared" ref="X110" si="263">R113/$AC$3</f>
        <v>0</v>
      </c>
      <c r="Y110" s="8"/>
      <c r="Z110" s="597" t="str">
        <f>IFERROR(VLOOKUP($B110,اسماء,48,0),"")</f>
        <v/>
      </c>
      <c r="AK110" s="667" t="str">
        <f t="shared" ref="AK110" si="264">IF(R113=0,"",R113/1+ROW()*0.00001)</f>
        <v/>
      </c>
      <c r="AL110" s="667">
        <f>B110</f>
        <v>0</v>
      </c>
      <c r="AM110" s="696"/>
      <c r="AN110" s="698">
        <v>23</v>
      </c>
      <c r="AO110" s="699" t="str">
        <f>IFERROR(LARGE($AK$10:$AK$1420,AN110),"")</f>
        <v/>
      </c>
      <c r="AP110" s="698" t="str">
        <f>VLOOKUP(AO110,$AK$10:$AL$1530,2,0)</f>
        <v>امجد عمر عبداللطيف سلطان</v>
      </c>
    </row>
    <row r="111" spans="1:42" ht="14.85" customHeight="1" x14ac:dyDescent="0.25">
      <c r="A111" s="611"/>
      <c r="B111" s="614"/>
      <c r="C111" s="617"/>
      <c r="D111" s="620"/>
      <c r="E111" s="130" t="s">
        <v>31</v>
      </c>
      <c r="F111" s="592">
        <f>IFERROR(VLOOKUP($B110,اسماء,15,0),0)</f>
        <v>0</v>
      </c>
      <c r="G111" s="593"/>
      <c r="H111" s="594">
        <f>IFERROR(VLOOKUP($B110,اسماء,16,0),0)</f>
        <v>0</v>
      </c>
      <c r="I111" s="595"/>
      <c r="J111" s="592">
        <f>IFERROR(VLOOKUP($B110,اسماء,17,0),0)</f>
        <v>0</v>
      </c>
      <c r="K111" s="593"/>
      <c r="L111" s="594">
        <f>IFERROR(VLOOKUP($B110,اسماء,18,0),0)</f>
        <v>0</v>
      </c>
      <c r="M111" s="596"/>
      <c r="N111" s="594">
        <f>IFERROR(VLOOKUP($B110,اسماء,19,0),0)</f>
        <v>0</v>
      </c>
      <c r="O111" s="596"/>
      <c r="P111" s="592">
        <f>IFERROR(VLOOKUP($B110,اسماء,20,0),0)</f>
        <v>0</v>
      </c>
      <c r="Q111" s="595"/>
      <c r="R111" s="372">
        <f t="shared" si="252"/>
        <v>0</v>
      </c>
      <c r="S111" s="305" t="str">
        <f>IFERROR(VLOOKUP($B110,اسماء,23,0),"")</f>
        <v/>
      </c>
      <c r="T111" s="306" t="str">
        <f>IFERROR(VLOOKUP($B110,اسماء,24,0),"")</f>
        <v/>
      </c>
      <c r="U111" s="122" t="str">
        <f>IFERROR(VLOOKUP($B110,اسماء,25,0),"")</f>
        <v/>
      </c>
      <c r="V111" s="605"/>
      <c r="W111" s="19" t="str">
        <f t="shared" si="262"/>
        <v>ضعيف</v>
      </c>
      <c r="X111" s="640"/>
      <c r="Y111" s="68"/>
      <c r="Z111" s="598"/>
      <c r="AK111" s="667"/>
      <c r="AL111" s="667"/>
      <c r="AM111" s="696"/>
      <c r="AN111" s="698"/>
      <c r="AO111" s="699"/>
      <c r="AP111" s="698"/>
    </row>
    <row r="112" spans="1:42" ht="14.85" customHeight="1" x14ac:dyDescent="0.25">
      <c r="A112" s="611"/>
      <c r="B112" s="614"/>
      <c r="C112" s="617"/>
      <c r="D112" s="620"/>
      <c r="E112" s="130" t="s">
        <v>32</v>
      </c>
      <c r="F112" s="592">
        <f>IFERROR(VLOOKUP($B110,اسماء,25,0),0)</f>
        <v>0</v>
      </c>
      <c r="G112" s="593"/>
      <c r="H112" s="594">
        <f>IFERROR(VLOOKUP($B110,اسماء,26,0),0)</f>
        <v>0</v>
      </c>
      <c r="I112" s="595"/>
      <c r="J112" s="592">
        <f>IFERROR(VLOOKUP($B110,اسماء,27,0),0)</f>
        <v>0</v>
      </c>
      <c r="K112" s="593"/>
      <c r="L112" s="594">
        <f>IFERROR(VLOOKUP($B110,اسماء,28,0),0)</f>
        <v>0</v>
      </c>
      <c r="M112" s="596"/>
      <c r="N112" s="594">
        <f>IFERROR(VLOOKUP($B110,اسماء,29,0),0)</f>
        <v>0</v>
      </c>
      <c r="O112" s="596"/>
      <c r="P112" s="592">
        <f>IFERROR(VLOOKUP($B110,اسماء,30,0),0)</f>
        <v>0</v>
      </c>
      <c r="Q112" s="595"/>
      <c r="R112" s="372">
        <f t="shared" si="252"/>
        <v>0</v>
      </c>
      <c r="S112" s="305" t="str">
        <f>IFERROR(VLOOKUP($B110,اسماء,34,0),"")</f>
        <v/>
      </c>
      <c r="T112" s="306" t="str">
        <f>IFERROR(VLOOKUP($B110,اسماء,35,0),"")</f>
        <v/>
      </c>
      <c r="U112" s="122" t="str">
        <f>IFERROR(VLOOKUP($B110,اسماء,36,0),"")</f>
        <v/>
      </c>
      <c r="V112" s="605"/>
      <c r="W112" s="20" t="str">
        <f t="shared" ref="W112" si="265">LOOKUP(R112,$AF$6:$AG$10)</f>
        <v>ضعيف</v>
      </c>
      <c r="X112" s="640"/>
      <c r="Y112" s="68"/>
      <c r="Z112" s="598"/>
      <c r="AK112" s="667"/>
      <c r="AL112" s="667"/>
      <c r="AM112" s="696"/>
      <c r="AN112" s="698"/>
      <c r="AO112" s="699"/>
      <c r="AP112" s="698"/>
    </row>
    <row r="113" spans="1:42" ht="14.85" customHeight="1" thickBot="1" x14ac:dyDescent="0.3">
      <c r="A113" s="612"/>
      <c r="B113" s="615"/>
      <c r="C113" s="618"/>
      <c r="D113" s="621"/>
      <c r="E113" s="124" t="s">
        <v>33</v>
      </c>
      <c r="F113" s="623">
        <f t="shared" ref="F113" si="266">SUM(F110:G112)</f>
        <v>0</v>
      </c>
      <c r="G113" s="624"/>
      <c r="H113" s="625">
        <f t="shared" ref="H113" si="267">SUM(H110:I112)</f>
        <v>0</v>
      </c>
      <c r="I113" s="626"/>
      <c r="J113" s="623">
        <f t="shared" ref="J113" si="268">SUM(J110:K112)</f>
        <v>0</v>
      </c>
      <c r="K113" s="624"/>
      <c r="L113" s="625">
        <f t="shared" ref="L113" si="269">SUM(L110:M112)</f>
        <v>0</v>
      </c>
      <c r="M113" s="642"/>
      <c r="N113" s="625">
        <f t="shared" ref="N113" si="270">SUM(N110:O112)</f>
        <v>0</v>
      </c>
      <c r="O113" s="642"/>
      <c r="P113" s="623">
        <f t="shared" ref="P113" si="271">SUM(P110:Q112)</f>
        <v>0</v>
      </c>
      <c r="Q113" s="626"/>
      <c r="R113" s="88">
        <f t="shared" ref="R113" si="272">IF(AND(F113&gt;=$G$8,H113&gt;=$I$8,J113&gt;=$K$8,L113&gt;=$M$8,N113&gt;=$O$8,P113&gt;=$Q$8),SUM(F113:Q113),0)</f>
        <v>0</v>
      </c>
      <c r="S113" s="251"/>
      <c r="T113" s="97"/>
      <c r="U113" s="94"/>
      <c r="V113" s="606"/>
      <c r="W113" s="88" t="str">
        <f t="shared" ref="W113" si="273">LOOKUP(R113,$AI$6:$AJ$10)</f>
        <v>ضعيف</v>
      </c>
      <c r="X113" s="641"/>
      <c r="Y113" s="8"/>
      <c r="Z113" s="599"/>
      <c r="AK113" s="667"/>
      <c r="AL113" s="667"/>
      <c r="AM113" s="696"/>
      <c r="AN113" s="698"/>
      <c r="AO113" s="699"/>
      <c r="AP113" s="698"/>
    </row>
    <row r="114" spans="1:42" ht="14.85" customHeight="1" thickBot="1" x14ac:dyDescent="0.3">
      <c r="A114" s="610">
        <v>24</v>
      </c>
      <c r="B114" s="613">
        <f>VLOOKUP(A114,مسلسل,2,0)</f>
        <v>0</v>
      </c>
      <c r="C114" s="616" t="str">
        <f>IFERROR(VLOOKUP(B114,اسماء,2,0),"")</f>
        <v/>
      </c>
      <c r="D114" s="619" t="str">
        <f>IFERROR(VLOOKUP($B114,اسماء,3,0),"")</f>
        <v/>
      </c>
      <c r="E114" s="129" t="s">
        <v>30</v>
      </c>
      <c r="F114" s="600">
        <f>IFERROR(VLOOKUP($B114,اسماء,5,0),0)</f>
        <v>0</v>
      </c>
      <c r="G114" s="601"/>
      <c r="H114" s="602">
        <f>IFERROR(VLOOKUP($B114,اسماء,6,0),0)</f>
        <v>0</v>
      </c>
      <c r="I114" s="622"/>
      <c r="J114" s="600">
        <f>IFERROR(VLOOKUP($B114,اسماء,7,0),0)</f>
        <v>0</v>
      </c>
      <c r="K114" s="601"/>
      <c r="L114" s="602">
        <f>IFERROR(VLOOKUP($B114,اسماء,8,0),0)</f>
        <v>0</v>
      </c>
      <c r="M114" s="603"/>
      <c r="N114" s="602">
        <f>IFERROR(VLOOKUP($B114,اسماء,9,0),0)</f>
        <v>0</v>
      </c>
      <c r="O114" s="603"/>
      <c r="P114" s="600">
        <f>IFERROR(VLOOKUP($B114,اسماء,10,0),0)</f>
        <v>0</v>
      </c>
      <c r="Q114" s="622"/>
      <c r="R114" s="371">
        <f t="shared" ref="R114" si="274">SUM(F114:Q114)</f>
        <v>0</v>
      </c>
      <c r="S114" s="213" t="str">
        <f>IFERROR(VLOOKUP($B114,اسماء,12,0),"")</f>
        <v/>
      </c>
      <c r="T114" s="214" t="str">
        <f>IFERROR(VLOOKUP($B114,اسماء,13,0),"")</f>
        <v/>
      </c>
      <c r="U114" s="364" t="str">
        <f>IFERROR(VLOOKUP($B114,اسماء,14,0),"")</f>
        <v/>
      </c>
      <c r="V114" s="604" t="str">
        <f t="shared" ref="V114" si="275">IF(Z114="غائب","راسب",IF(R117&gt;0,"ناجح","مرحل"))</f>
        <v>مرحل</v>
      </c>
      <c r="W114" s="19" t="str">
        <f t="shared" ref="W114:W115" si="276">LOOKUP(R114,$AC$6:$AD$10)</f>
        <v>ضعيف</v>
      </c>
      <c r="X114" s="639">
        <f t="shared" ref="X114" si="277">R117/$AC$3</f>
        <v>0</v>
      </c>
      <c r="Y114" s="68"/>
      <c r="Z114" s="597" t="str">
        <f>IFERROR(VLOOKUP($B114,اسماء,48,0),"")</f>
        <v/>
      </c>
      <c r="AK114" s="667" t="str">
        <f t="shared" ref="AK114" si="278">IF(R117=0,"",R117/1+ROW()*0.00001)</f>
        <v/>
      </c>
      <c r="AL114" s="667">
        <f>B114</f>
        <v>0</v>
      </c>
      <c r="AM114" s="696"/>
      <c r="AN114" s="698">
        <v>24</v>
      </c>
      <c r="AO114" s="699" t="str">
        <f>IFERROR(LARGE($AK$10:$AK$1420,AN114),"")</f>
        <v/>
      </c>
      <c r="AP114" s="698" t="str">
        <f>VLOOKUP(AO114,$AK$10:$AL$1530,2,0)</f>
        <v>امجد عمر عبداللطيف سلطان</v>
      </c>
    </row>
    <row r="115" spans="1:42" ht="14.85" customHeight="1" x14ac:dyDescent="0.25">
      <c r="A115" s="611"/>
      <c r="B115" s="614"/>
      <c r="C115" s="617"/>
      <c r="D115" s="620"/>
      <c r="E115" s="130" t="s">
        <v>31</v>
      </c>
      <c r="F115" s="592">
        <f>IFERROR(VLOOKUP($B114,اسماء,15,0),0)</f>
        <v>0</v>
      </c>
      <c r="G115" s="593"/>
      <c r="H115" s="594">
        <f>IFERROR(VLOOKUP($B114,اسماء,16,0),0)</f>
        <v>0</v>
      </c>
      <c r="I115" s="595"/>
      <c r="J115" s="592">
        <f>IFERROR(VLOOKUP($B114,اسماء,17,0),0)</f>
        <v>0</v>
      </c>
      <c r="K115" s="593"/>
      <c r="L115" s="594">
        <f>IFERROR(VLOOKUP($B114,اسماء,18,0),0)</f>
        <v>0</v>
      </c>
      <c r="M115" s="596"/>
      <c r="N115" s="594">
        <f>IFERROR(VLOOKUP($B114,اسماء,19,0),0)</f>
        <v>0</v>
      </c>
      <c r="O115" s="596"/>
      <c r="P115" s="592">
        <f>IFERROR(VLOOKUP($B114,اسماء,20,0),0)</f>
        <v>0</v>
      </c>
      <c r="Q115" s="595"/>
      <c r="R115" s="372">
        <f t="shared" si="252"/>
        <v>0</v>
      </c>
      <c r="S115" s="305" t="str">
        <f>IFERROR(VLOOKUP($B114,اسماء,23,0),"")</f>
        <v/>
      </c>
      <c r="T115" s="306" t="str">
        <f>IFERROR(VLOOKUP($B114,اسماء,24,0),"")</f>
        <v/>
      </c>
      <c r="U115" s="122" t="str">
        <f>IFERROR(VLOOKUP($B114,اسماء,25,0),"")</f>
        <v/>
      </c>
      <c r="V115" s="605"/>
      <c r="W115" s="19" t="str">
        <f t="shared" si="276"/>
        <v>ضعيف</v>
      </c>
      <c r="X115" s="640"/>
      <c r="Y115" s="68"/>
      <c r="Z115" s="598"/>
      <c r="AK115" s="667"/>
      <c r="AL115" s="667"/>
      <c r="AM115" s="696"/>
      <c r="AN115" s="698"/>
      <c r="AO115" s="699"/>
      <c r="AP115" s="698"/>
    </row>
    <row r="116" spans="1:42" ht="14.85" customHeight="1" x14ac:dyDescent="0.25">
      <c r="A116" s="611"/>
      <c r="B116" s="614"/>
      <c r="C116" s="617"/>
      <c r="D116" s="620"/>
      <c r="E116" s="130" t="s">
        <v>32</v>
      </c>
      <c r="F116" s="592">
        <f>IFERROR(VLOOKUP($B114,اسماء,25,0),0)</f>
        <v>0</v>
      </c>
      <c r="G116" s="593"/>
      <c r="H116" s="594">
        <f>IFERROR(VLOOKUP($B114,اسماء,26,0),0)</f>
        <v>0</v>
      </c>
      <c r="I116" s="595"/>
      <c r="J116" s="592">
        <f>IFERROR(VLOOKUP($B114,اسماء,27,0),0)</f>
        <v>0</v>
      </c>
      <c r="K116" s="593"/>
      <c r="L116" s="594">
        <f>IFERROR(VLOOKUP($B114,اسماء,28,0),0)</f>
        <v>0</v>
      </c>
      <c r="M116" s="596"/>
      <c r="N116" s="594">
        <f>IFERROR(VLOOKUP($B114,اسماء,29,0),0)</f>
        <v>0</v>
      </c>
      <c r="O116" s="596"/>
      <c r="P116" s="592">
        <f>IFERROR(VLOOKUP($B114,اسماء,30,0),0)</f>
        <v>0</v>
      </c>
      <c r="Q116" s="595"/>
      <c r="R116" s="372">
        <f t="shared" si="252"/>
        <v>0</v>
      </c>
      <c r="S116" s="305" t="str">
        <f>IFERROR(VLOOKUP($B114,اسماء,34,0),"")</f>
        <v/>
      </c>
      <c r="T116" s="306" t="str">
        <f>IFERROR(VLOOKUP($B114,اسماء,35,0),"")</f>
        <v/>
      </c>
      <c r="U116" s="122" t="str">
        <f>IFERROR(VLOOKUP($B114,اسماء,36,0),"")</f>
        <v/>
      </c>
      <c r="V116" s="605"/>
      <c r="W116" s="20" t="str">
        <f t="shared" ref="W116" si="279">LOOKUP(R116,$AF$6:$AG$10)</f>
        <v>ضعيف</v>
      </c>
      <c r="X116" s="640"/>
      <c r="Y116" s="8"/>
      <c r="Z116" s="598"/>
      <c r="AK116" s="667"/>
      <c r="AL116" s="667"/>
      <c r="AM116" s="696"/>
      <c r="AN116" s="698"/>
      <c r="AO116" s="699"/>
      <c r="AP116" s="698"/>
    </row>
    <row r="117" spans="1:42" ht="14.85" customHeight="1" thickBot="1" x14ac:dyDescent="0.3">
      <c r="A117" s="612"/>
      <c r="B117" s="615"/>
      <c r="C117" s="618"/>
      <c r="D117" s="621"/>
      <c r="E117" s="124" t="s">
        <v>33</v>
      </c>
      <c r="F117" s="623">
        <f t="shared" ref="F117" si="280">SUM(F114:G116)</f>
        <v>0</v>
      </c>
      <c r="G117" s="624"/>
      <c r="H117" s="625">
        <f t="shared" ref="H117" si="281">SUM(H114:I116)</f>
        <v>0</v>
      </c>
      <c r="I117" s="626"/>
      <c r="J117" s="623">
        <f t="shared" ref="J117" si="282">SUM(J114:K116)</f>
        <v>0</v>
      </c>
      <c r="K117" s="624"/>
      <c r="L117" s="625">
        <f t="shared" ref="L117" si="283">SUM(L114:M116)</f>
        <v>0</v>
      </c>
      <c r="M117" s="642"/>
      <c r="N117" s="625">
        <f t="shared" ref="N117" si="284">SUM(N114:O116)</f>
        <v>0</v>
      </c>
      <c r="O117" s="642"/>
      <c r="P117" s="623">
        <f t="shared" ref="P117" si="285">SUM(P114:Q116)</f>
        <v>0</v>
      </c>
      <c r="Q117" s="626"/>
      <c r="R117" s="88">
        <f t="shared" ref="R117" si="286">IF(AND(F117&gt;=$G$8,H117&gt;=$I$8,J117&gt;=$K$8,L117&gt;=$M$8,N117&gt;=$O$8,P117&gt;=$Q$8),SUM(F117:Q117),0)</f>
        <v>0</v>
      </c>
      <c r="S117" s="251"/>
      <c r="T117" s="97"/>
      <c r="U117" s="94"/>
      <c r="V117" s="606"/>
      <c r="W117" s="88" t="str">
        <f t="shared" ref="W117" si="287">LOOKUP(R117,$AI$6:$AJ$10)</f>
        <v>ضعيف</v>
      </c>
      <c r="X117" s="641"/>
      <c r="Y117" s="68"/>
      <c r="Z117" s="599"/>
      <c r="AK117" s="667"/>
      <c r="AL117" s="667"/>
      <c r="AM117" s="696"/>
      <c r="AN117" s="698"/>
      <c r="AO117" s="699"/>
      <c r="AP117" s="698"/>
    </row>
    <row r="118" spans="1:42" ht="14.85" customHeight="1" thickBot="1" x14ac:dyDescent="0.3">
      <c r="A118" s="610">
        <v>25</v>
      </c>
      <c r="B118" s="613">
        <f>VLOOKUP(A118,مسلسل,2,0)</f>
        <v>0</v>
      </c>
      <c r="C118" s="616" t="str">
        <f>IFERROR(VLOOKUP(B118,اسماء,2,0),"")</f>
        <v/>
      </c>
      <c r="D118" s="619" t="str">
        <f>IFERROR(VLOOKUP($B118,اسماء,3,0),"")</f>
        <v/>
      </c>
      <c r="E118" s="129" t="s">
        <v>30</v>
      </c>
      <c r="F118" s="600">
        <f>IFERROR(VLOOKUP($B118,اسماء,5,0),0)</f>
        <v>0</v>
      </c>
      <c r="G118" s="601"/>
      <c r="H118" s="602">
        <f>IFERROR(VLOOKUP($B118,اسماء,6,0),0)</f>
        <v>0</v>
      </c>
      <c r="I118" s="622"/>
      <c r="J118" s="600">
        <f>IFERROR(VLOOKUP($B118,اسماء,7,0),0)</f>
        <v>0</v>
      </c>
      <c r="K118" s="601"/>
      <c r="L118" s="602">
        <f>IFERROR(VLOOKUP($B118,اسماء,8,0),0)</f>
        <v>0</v>
      </c>
      <c r="M118" s="603"/>
      <c r="N118" s="602">
        <f>IFERROR(VLOOKUP($B118,اسماء,9,0),0)</f>
        <v>0</v>
      </c>
      <c r="O118" s="603"/>
      <c r="P118" s="600">
        <f>IFERROR(VLOOKUP($B118,اسماء,10,0),0)</f>
        <v>0</v>
      </c>
      <c r="Q118" s="622"/>
      <c r="R118" s="371">
        <f t="shared" ref="R118" si="288">SUM(F118:Q118)</f>
        <v>0</v>
      </c>
      <c r="S118" s="213" t="str">
        <f>IFERROR(VLOOKUP($B118,اسماء,12,0),"")</f>
        <v/>
      </c>
      <c r="T118" s="214" t="str">
        <f>IFERROR(VLOOKUP($B118,اسماء,13,0),"")</f>
        <v/>
      </c>
      <c r="U118" s="364" t="str">
        <f>IFERROR(VLOOKUP($B118,اسماء,14,0),"")</f>
        <v/>
      </c>
      <c r="V118" s="604" t="str">
        <f t="shared" ref="V118" si="289">IF(Z118="غائب","راسب",IF(R121&gt;0,"ناجح","مرحل"))</f>
        <v>مرحل</v>
      </c>
      <c r="W118" s="19" t="str">
        <f t="shared" ref="W118:W119" si="290">LOOKUP(R118,$AC$6:$AD$10)</f>
        <v>ضعيف</v>
      </c>
      <c r="X118" s="639">
        <f t="shared" ref="X118" si="291">R121/$AC$3</f>
        <v>0</v>
      </c>
      <c r="Y118" s="68"/>
      <c r="Z118" s="597" t="str">
        <f>IFERROR(VLOOKUP($B118,اسماء,48,0),"")</f>
        <v/>
      </c>
      <c r="AK118" s="667" t="str">
        <f t="shared" ref="AK118" si="292">IF(R121=0,"",R121/1+ROW()*0.00001)</f>
        <v/>
      </c>
      <c r="AL118" s="667">
        <f>B118</f>
        <v>0</v>
      </c>
      <c r="AM118" s="696"/>
      <c r="AN118" s="698">
        <v>25</v>
      </c>
      <c r="AO118" s="699" t="str">
        <f>IFERROR(LARGE($AK$10:$AK$1420,AN118),"")</f>
        <v/>
      </c>
      <c r="AP118" s="698" t="str">
        <f>VLOOKUP(AO118,$AK$10:$AL$1530,2,0)</f>
        <v>امجد عمر عبداللطيف سلطان</v>
      </c>
    </row>
    <row r="119" spans="1:42" ht="14.85" customHeight="1" x14ac:dyDescent="0.25">
      <c r="A119" s="611"/>
      <c r="B119" s="614"/>
      <c r="C119" s="617"/>
      <c r="D119" s="620"/>
      <c r="E119" s="130" t="s">
        <v>31</v>
      </c>
      <c r="F119" s="592">
        <f>IFERROR(VLOOKUP($B118,اسماء,15,0),0)</f>
        <v>0</v>
      </c>
      <c r="G119" s="593"/>
      <c r="H119" s="594">
        <f>IFERROR(VLOOKUP($B118,اسماء,16,0),0)</f>
        <v>0</v>
      </c>
      <c r="I119" s="595"/>
      <c r="J119" s="592">
        <f>IFERROR(VLOOKUP($B118,اسماء,17,0),0)</f>
        <v>0</v>
      </c>
      <c r="K119" s="593"/>
      <c r="L119" s="594">
        <f>IFERROR(VLOOKUP($B118,اسماء,18,0),0)</f>
        <v>0</v>
      </c>
      <c r="M119" s="596"/>
      <c r="N119" s="594">
        <f>IFERROR(VLOOKUP($B118,اسماء,19,0),0)</f>
        <v>0</v>
      </c>
      <c r="O119" s="596"/>
      <c r="P119" s="592">
        <f>IFERROR(VLOOKUP($B118,اسماء,20,0),0)</f>
        <v>0</v>
      </c>
      <c r="Q119" s="595"/>
      <c r="R119" s="372">
        <f t="shared" si="252"/>
        <v>0</v>
      </c>
      <c r="S119" s="305" t="str">
        <f>IFERROR(VLOOKUP($B118,اسماء,23,0),"")</f>
        <v/>
      </c>
      <c r="T119" s="306" t="str">
        <f>IFERROR(VLOOKUP($B118,اسماء,24,0),"")</f>
        <v/>
      </c>
      <c r="U119" s="122" t="str">
        <f>IFERROR(VLOOKUP($B118,اسماء,25,0),"")</f>
        <v/>
      </c>
      <c r="V119" s="605"/>
      <c r="W119" s="19" t="str">
        <f t="shared" si="290"/>
        <v>ضعيف</v>
      </c>
      <c r="X119" s="640"/>
      <c r="Y119" s="8"/>
      <c r="Z119" s="598"/>
      <c r="AK119" s="667"/>
      <c r="AL119" s="667"/>
      <c r="AM119" s="696"/>
      <c r="AN119" s="698"/>
      <c r="AO119" s="699"/>
      <c r="AP119" s="698"/>
    </row>
    <row r="120" spans="1:42" ht="14.85" customHeight="1" x14ac:dyDescent="0.25">
      <c r="A120" s="611"/>
      <c r="B120" s="614"/>
      <c r="C120" s="617"/>
      <c r="D120" s="620"/>
      <c r="E120" s="130" t="s">
        <v>32</v>
      </c>
      <c r="F120" s="592">
        <f>IFERROR(VLOOKUP($B118,اسماء,25,0),0)</f>
        <v>0</v>
      </c>
      <c r="G120" s="593"/>
      <c r="H120" s="594">
        <f>IFERROR(VLOOKUP($B118,اسماء,26,0),0)</f>
        <v>0</v>
      </c>
      <c r="I120" s="595"/>
      <c r="J120" s="592">
        <f>IFERROR(VLOOKUP($B118,اسماء,27,0),0)</f>
        <v>0</v>
      </c>
      <c r="K120" s="593"/>
      <c r="L120" s="594">
        <f>IFERROR(VLOOKUP($B118,اسماء,28,0),0)</f>
        <v>0</v>
      </c>
      <c r="M120" s="596"/>
      <c r="N120" s="594">
        <f>IFERROR(VLOOKUP($B118,اسماء,29,0),0)</f>
        <v>0</v>
      </c>
      <c r="O120" s="596"/>
      <c r="P120" s="592">
        <f>IFERROR(VLOOKUP($B118,اسماء,30,0),0)</f>
        <v>0</v>
      </c>
      <c r="Q120" s="595"/>
      <c r="R120" s="372">
        <f t="shared" si="252"/>
        <v>0</v>
      </c>
      <c r="S120" s="305" t="str">
        <f>IFERROR(VLOOKUP($B118,اسماء,34,0),"")</f>
        <v/>
      </c>
      <c r="T120" s="306" t="str">
        <f>IFERROR(VLOOKUP($B118,اسماء,35,0),"")</f>
        <v/>
      </c>
      <c r="U120" s="122" t="str">
        <f>IFERROR(VLOOKUP($B118,اسماء,36,0),"")</f>
        <v/>
      </c>
      <c r="V120" s="605"/>
      <c r="W120" s="20" t="str">
        <f t="shared" ref="W120" si="293">LOOKUP(R120,$AF$6:$AG$10)</f>
        <v>ضعيف</v>
      </c>
      <c r="X120" s="640"/>
      <c r="Y120" s="68"/>
      <c r="Z120" s="598"/>
      <c r="AK120" s="667"/>
      <c r="AL120" s="667"/>
      <c r="AM120" s="696"/>
      <c r="AN120" s="698"/>
      <c r="AO120" s="699"/>
      <c r="AP120" s="698"/>
    </row>
    <row r="121" spans="1:42" ht="14.85" customHeight="1" thickBot="1" x14ac:dyDescent="0.3">
      <c r="A121" s="612"/>
      <c r="B121" s="615"/>
      <c r="C121" s="618"/>
      <c r="D121" s="621"/>
      <c r="E121" s="124" t="s">
        <v>33</v>
      </c>
      <c r="F121" s="623">
        <f t="shared" ref="F121" si="294">SUM(F118:G120)</f>
        <v>0</v>
      </c>
      <c r="G121" s="624"/>
      <c r="H121" s="625">
        <f t="shared" ref="H121" si="295">SUM(H118:I120)</f>
        <v>0</v>
      </c>
      <c r="I121" s="626"/>
      <c r="J121" s="623">
        <f t="shared" ref="J121" si="296">SUM(J118:K120)</f>
        <v>0</v>
      </c>
      <c r="K121" s="624"/>
      <c r="L121" s="625">
        <f t="shared" ref="L121" si="297">SUM(L118:M120)</f>
        <v>0</v>
      </c>
      <c r="M121" s="642"/>
      <c r="N121" s="625">
        <f t="shared" ref="N121" si="298">SUM(N118:O120)</f>
        <v>0</v>
      </c>
      <c r="O121" s="642"/>
      <c r="P121" s="623">
        <f t="shared" ref="P121" si="299">SUM(P118:Q120)</f>
        <v>0</v>
      </c>
      <c r="Q121" s="626"/>
      <c r="R121" s="88">
        <f t="shared" ref="R121" si="300">IF(AND(F121&gt;=$G$8,H121&gt;=$I$8,J121&gt;=$K$8,L121&gt;=$M$8,N121&gt;=$O$8,P121&gt;=$Q$8),SUM(F121:Q121),0)</f>
        <v>0</v>
      </c>
      <c r="S121" s="251"/>
      <c r="T121" s="97"/>
      <c r="U121" s="94"/>
      <c r="V121" s="606"/>
      <c r="W121" s="88" t="str">
        <f t="shared" ref="W121" si="301">LOOKUP(R121,$AI$6:$AJ$10)</f>
        <v>ضعيف</v>
      </c>
      <c r="X121" s="641"/>
      <c r="Y121" s="68"/>
      <c r="Z121" s="599"/>
      <c r="AK121" s="667"/>
      <c r="AL121" s="667"/>
      <c r="AM121" s="696"/>
      <c r="AN121" s="698"/>
      <c r="AO121" s="699"/>
      <c r="AP121" s="698"/>
    </row>
    <row r="122" spans="1:42" ht="14.85" customHeight="1" thickBot="1" x14ac:dyDescent="0.3">
      <c r="A122" s="610">
        <v>26</v>
      </c>
      <c r="B122" s="613">
        <f>VLOOKUP(A122,مسلسل,2,0)</f>
        <v>0</v>
      </c>
      <c r="C122" s="616" t="str">
        <f>IFERROR(VLOOKUP(B122,اسماء,2,0),"")</f>
        <v/>
      </c>
      <c r="D122" s="619" t="str">
        <f>IFERROR(VLOOKUP($B122,اسماء,3,0),"")</f>
        <v/>
      </c>
      <c r="E122" s="129" t="s">
        <v>30</v>
      </c>
      <c r="F122" s="600">
        <f>IFERROR(VLOOKUP($B122,اسماء,5,0),0)</f>
        <v>0</v>
      </c>
      <c r="G122" s="601"/>
      <c r="H122" s="602">
        <f>IFERROR(VLOOKUP($B122,اسماء,6,0),0)</f>
        <v>0</v>
      </c>
      <c r="I122" s="622"/>
      <c r="J122" s="600">
        <f>IFERROR(VLOOKUP($B122,اسماء,7,0),0)</f>
        <v>0</v>
      </c>
      <c r="K122" s="601"/>
      <c r="L122" s="602">
        <f>IFERROR(VLOOKUP($B122,اسماء,8,0),0)</f>
        <v>0</v>
      </c>
      <c r="M122" s="603"/>
      <c r="N122" s="602">
        <f>IFERROR(VLOOKUP($B122,اسماء,9,0),0)</f>
        <v>0</v>
      </c>
      <c r="O122" s="603"/>
      <c r="P122" s="600">
        <f>IFERROR(VLOOKUP($B122,اسماء,10,0),0)</f>
        <v>0</v>
      </c>
      <c r="Q122" s="622"/>
      <c r="R122" s="371">
        <f t="shared" ref="R122" si="302">SUM(F122:Q122)</f>
        <v>0</v>
      </c>
      <c r="S122" s="213" t="str">
        <f>IFERROR(VLOOKUP($B122,اسماء,12,0),"")</f>
        <v/>
      </c>
      <c r="T122" s="214" t="str">
        <f>IFERROR(VLOOKUP($B122,اسماء,13,0),"")</f>
        <v/>
      </c>
      <c r="U122" s="364" t="str">
        <f>IFERROR(VLOOKUP($B122,اسماء,14,0),"")</f>
        <v/>
      </c>
      <c r="V122" s="604" t="str">
        <f t="shared" ref="V122" si="303">IF(Z122="غائب","راسب",IF(R125&gt;0,"ناجح","مرحل"))</f>
        <v>مرحل</v>
      </c>
      <c r="W122" s="19" t="str">
        <f t="shared" ref="W122:W123" si="304">LOOKUP(R122,$AC$6:$AD$10)</f>
        <v>ضعيف</v>
      </c>
      <c r="X122" s="639">
        <f t="shared" ref="X122" si="305">R125/$AC$3</f>
        <v>0</v>
      </c>
      <c r="Y122" s="8"/>
      <c r="Z122" s="597" t="str">
        <f>IFERROR(VLOOKUP($B122,اسماء,48,0),"")</f>
        <v/>
      </c>
      <c r="AK122" s="667" t="str">
        <f t="shared" ref="AK122" si="306">IF(R125=0,"",R125/1+ROW()*0.00001)</f>
        <v/>
      </c>
      <c r="AL122" s="667">
        <f>B122</f>
        <v>0</v>
      </c>
      <c r="AM122" s="696"/>
      <c r="AN122" s="698">
        <v>26</v>
      </c>
      <c r="AO122" s="699" t="str">
        <f>IFERROR(LARGE($AK$10:$AK$1420,AN122),"")</f>
        <v/>
      </c>
      <c r="AP122" s="698" t="str">
        <f>VLOOKUP(AO122,$AK$10:$AL$1530,2,0)</f>
        <v>امجد عمر عبداللطيف سلطان</v>
      </c>
    </row>
    <row r="123" spans="1:42" ht="14.85" customHeight="1" x14ac:dyDescent="0.25">
      <c r="A123" s="611"/>
      <c r="B123" s="614"/>
      <c r="C123" s="617"/>
      <c r="D123" s="620"/>
      <c r="E123" s="130" t="s">
        <v>31</v>
      </c>
      <c r="F123" s="592">
        <f>IFERROR(VLOOKUP($B122,اسماء,15,0),0)</f>
        <v>0</v>
      </c>
      <c r="G123" s="593"/>
      <c r="H123" s="594">
        <f>IFERROR(VLOOKUP($B122,اسماء,16,0),0)</f>
        <v>0</v>
      </c>
      <c r="I123" s="595"/>
      <c r="J123" s="592">
        <f>IFERROR(VLOOKUP($B122,اسماء,17,0),0)</f>
        <v>0</v>
      </c>
      <c r="K123" s="593"/>
      <c r="L123" s="594">
        <f>IFERROR(VLOOKUP($B122,اسماء,18,0),0)</f>
        <v>0</v>
      </c>
      <c r="M123" s="596"/>
      <c r="N123" s="594">
        <f>IFERROR(VLOOKUP($B122,اسماء,19,0),0)</f>
        <v>0</v>
      </c>
      <c r="O123" s="596"/>
      <c r="P123" s="592">
        <f>IFERROR(VLOOKUP($B122,اسماء,20,0),0)</f>
        <v>0</v>
      </c>
      <c r="Q123" s="595"/>
      <c r="R123" s="372">
        <f t="shared" si="252"/>
        <v>0</v>
      </c>
      <c r="S123" s="305" t="str">
        <f>IFERROR(VLOOKUP($B122,اسماء,23,0),"")</f>
        <v/>
      </c>
      <c r="T123" s="306" t="str">
        <f>IFERROR(VLOOKUP($B122,اسماء,24,0),"")</f>
        <v/>
      </c>
      <c r="U123" s="122" t="str">
        <f>IFERROR(VLOOKUP($B122,اسماء,25,0),"")</f>
        <v/>
      </c>
      <c r="V123" s="605"/>
      <c r="W123" s="19" t="str">
        <f t="shared" si="304"/>
        <v>ضعيف</v>
      </c>
      <c r="X123" s="640"/>
      <c r="Y123" s="68"/>
      <c r="Z123" s="598"/>
      <c r="AK123" s="667"/>
      <c r="AL123" s="667"/>
      <c r="AM123" s="696"/>
      <c r="AN123" s="698"/>
      <c r="AO123" s="699"/>
      <c r="AP123" s="698"/>
    </row>
    <row r="124" spans="1:42" ht="14.85" customHeight="1" x14ac:dyDescent="0.25">
      <c r="A124" s="611"/>
      <c r="B124" s="614"/>
      <c r="C124" s="617"/>
      <c r="D124" s="620"/>
      <c r="E124" s="130" t="s">
        <v>32</v>
      </c>
      <c r="F124" s="592">
        <f>IFERROR(VLOOKUP($B122,اسماء,25,0),0)</f>
        <v>0</v>
      </c>
      <c r="G124" s="593"/>
      <c r="H124" s="594">
        <f>IFERROR(VLOOKUP($B122,اسماء,26,0),0)</f>
        <v>0</v>
      </c>
      <c r="I124" s="595"/>
      <c r="J124" s="592">
        <f>IFERROR(VLOOKUP($B122,اسماء,27,0),0)</f>
        <v>0</v>
      </c>
      <c r="K124" s="593"/>
      <c r="L124" s="594">
        <f>IFERROR(VLOOKUP($B122,اسماء,28,0),0)</f>
        <v>0</v>
      </c>
      <c r="M124" s="596"/>
      <c r="N124" s="594">
        <f>IFERROR(VLOOKUP($B122,اسماء,29,0),0)</f>
        <v>0</v>
      </c>
      <c r="O124" s="596"/>
      <c r="P124" s="592">
        <f>IFERROR(VLOOKUP($B122,اسماء,30,0),0)</f>
        <v>0</v>
      </c>
      <c r="Q124" s="595"/>
      <c r="R124" s="372">
        <f t="shared" si="252"/>
        <v>0</v>
      </c>
      <c r="S124" s="305" t="str">
        <f>IFERROR(VLOOKUP($B122,اسماء,34,0),"")</f>
        <v/>
      </c>
      <c r="T124" s="306" t="str">
        <f>IFERROR(VLOOKUP($B122,اسماء,35,0),"")</f>
        <v/>
      </c>
      <c r="U124" s="122" t="str">
        <f>IFERROR(VLOOKUP($B122,اسماء,36,0),"")</f>
        <v/>
      </c>
      <c r="V124" s="605"/>
      <c r="W124" s="20" t="str">
        <f t="shared" ref="W124" si="307">LOOKUP(R124,$AF$6:$AG$10)</f>
        <v>ضعيف</v>
      </c>
      <c r="X124" s="640"/>
      <c r="Y124" s="68"/>
      <c r="Z124" s="598"/>
      <c r="AK124" s="667"/>
      <c r="AL124" s="667"/>
      <c r="AM124" s="696"/>
      <c r="AN124" s="698"/>
      <c r="AO124" s="699"/>
      <c r="AP124" s="698"/>
    </row>
    <row r="125" spans="1:42" ht="14.85" customHeight="1" thickBot="1" x14ac:dyDescent="0.3">
      <c r="A125" s="612"/>
      <c r="B125" s="615"/>
      <c r="C125" s="618"/>
      <c r="D125" s="621"/>
      <c r="E125" s="124" t="s">
        <v>33</v>
      </c>
      <c r="F125" s="623">
        <f t="shared" ref="F125" si="308">SUM(F122:G124)</f>
        <v>0</v>
      </c>
      <c r="G125" s="624"/>
      <c r="H125" s="625">
        <f t="shared" ref="H125" si="309">SUM(H122:I124)</f>
        <v>0</v>
      </c>
      <c r="I125" s="626"/>
      <c r="J125" s="623">
        <f t="shared" ref="J125" si="310">SUM(J122:K124)</f>
        <v>0</v>
      </c>
      <c r="K125" s="624"/>
      <c r="L125" s="625">
        <f t="shared" ref="L125" si="311">SUM(L122:M124)</f>
        <v>0</v>
      </c>
      <c r="M125" s="642"/>
      <c r="N125" s="625">
        <f t="shared" ref="N125" si="312">SUM(N122:O124)</f>
        <v>0</v>
      </c>
      <c r="O125" s="642"/>
      <c r="P125" s="623">
        <f t="shared" ref="P125" si="313">SUM(P122:Q124)</f>
        <v>0</v>
      </c>
      <c r="Q125" s="626"/>
      <c r="R125" s="88">
        <f t="shared" ref="R125" si="314">IF(AND(F125&gt;=$G$8,H125&gt;=$I$8,J125&gt;=$K$8,L125&gt;=$M$8,N125&gt;=$O$8,P125&gt;=$Q$8),SUM(F125:Q125),0)</f>
        <v>0</v>
      </c>
      <c r="S125" s="251"/>
      <c r="T125" s="97"/>
      <c r="U125" s="94"/>
      <c r="V125" s="606"/>
      <c r="W125" s="88" t="str">
        <f t="shared" ref="W125" si="315">LOOKUP(R125,$AI$6:$AJ$10)</f>
        <v>ضعيف</v>
      </c>
      <c r="X125" s="641"/>
      <c r="Y125" s="8"/>
      <c r="Z125" s="599"/>
      <c r="AK125" s="667"/>
      <c r="AL125" s="667"/>
      <c r="AM125" s="696"/>
      <c r="AN125" s="698"/>
      <c r="AO125" s="699"/>
      <c r="AP125" s="698"/>
    </row>
    <row r="126" spans="1:42" ht="14.85" customHeight="1" thickBot="1" x14ac:dyDescent="0.3">
      <c r="A126" s="610">
        <v>27</v>
      </c>
      <c r="B126" s="613">
        <f>VLOOKUP(A126,مسلسل,2,0)</f>
        <v>0</v>
      </c>
      <c r="C126" s="616" t="str">
        <f>IFERROR(VLOOKUP(B126,اسماء,2,0),"")</f>
        <v/>
      </c>
      <c r="D126" s="619" t="str">
        <f>IFERROR(VLOOKUP($B126,اسماء,3,0),"")</f>
        <v/>
      </c>
      <c r="E126" s="129" t="s">
        <v>30</v>
      </c>
      <c r="F126" s="600">
        <f>IFERROR(VLOOKUP($B126,اسماء,5,0),0)</f>
        <v>0</v>
      </c>
      <c r="G126" s="601"/>
      <c r="H126" s="602">
        <f>IFERROR(VLOOKUP($B126,اسماء,6,0),0)</f>
        <v>0</v>
      </c>
      <c r="I126" s="622"/>
      <c r="J126" s="600">
        <f>IFERROR(VLOOKUP($B126,اسماء,7,0),0)</f>
        <v>0</v>
      </c>
      <c r="K126" s="601"/>
      <c r="L126" s="602">
        <f>IFERROR(VLOOKUP($B126,اسماء,8,0),0)</f>
        <v>0</v>
      </c>
      <c r="M126" s="603"/>
      <c r="N126" s="602">
        <f>IFERROR(VLOOKUP($B126,اسماء,9,0),0)</f>
        <v>0</v>
      </c>
      <c r="O126" s="603"/>
      <c r="P126" s="600">
        <f>IFERROR(VLOOKUP($B126,اسماء,10,0),0)</f>
        <v>0</v>
      </c>
      <c r="Q126" s="622"/>
      <c r="R126" s="371">
        <f t="shared" ref="R126" si="316">SUM(F126:Q126)</f>
        <v>0</v>
      </c>
      <c r="S126" s="213" t="str">
        <f>IFERROR(VLOOKUP($B126,اسماء,12,0),"")</f>
        <v/>
      </c>
      <c r="T126" s="214" t="str">
        <f>IFERROR(VLOOKUP($B126,اسماء,13,0),"")</f>
        <v/>
      </c>
      <c r="U126" s="364" t="str">
        <f>IFERROR(VLOOKUP($B126,اسماء,14,0),"")</f>
        <v/>
      </c>
      <c r="V126" s="604" t="str">
        <f t="shared" ref="V126" si="317">IF(Z126="غائب","راسب",IF(R129&gt;0,"ناجح","مرحل"))</f>
        <v>مرحل</v>
      </c>
      <c r="W126" s="19" t="str">
        <f t="shared" ref="W126:W127" si="318">LOOKUP(R126,$AC$6:$AD$10)</f>
        <v>ضعيف</v>
      </c>
      <c r="X126" s="639">
        <f t="shared" ref="X126" si="319">R129/$AC$3</f>
        <v>0</v>
      </c>
      <c r="Y126" s="68"/>
      <c r="Z126" s="597" t="str">
        <f>IFERROR(VLOOKUP($B126,اسماء,48,0),"")</f>
        <v/>
      </c>
      <c r="AK126" s="667" t="str">
        <f t="shared" ref="AK126" si="320">IF(R129=0,"",R129/1+ROW()*0.00001)</f>
        <v/>
      </c>
      <c r="AL126" s="667">
        <f>B126</f>
        <v>0</v>
      </c>
      <c r="AM126" s="696"/>
      <c r="AN126" s="698">
        <v>27</v>
      </c>
      <c r="AO126" s="699" t="str">
        <f>IFERROR(LARGE($AK$10:$AK$1420,AN126),"")</f>
        <v/>
      </c>
      <c r="AP126" s="698" t="str">
        <f>VLOOKUP(AO126,$AK$10:$AL$1530,2,0)</f>
        <v>امجد عمر عبداللطيف سلطان</v>
      </c>
    </row>
    <row r="127" spans="1:42" ht="14.85" customHeight="1" x14ac:dyDescent="0.25">
      <c r="A127" s="611"/>
      <c r="B127" s="614"/>
      <c r="C127" s="617"/>
      <c r="D127" s="620"/>
      <c r="E127" s="130" t="s">
        <v>31</v>
      </c>
      <c r="F127" s="592">
        <f>IFERROR(VLOOKUP($B126,اسماء,15,0),0)</f>
        <v>0</v>
      </c>
      <c r="G127" s="593"/>
      <c r="H127" s="594">
        <f>IFERROR(VLOOKUP($B126,اسماء,16,0),0)</f>
        <v>0</v>
      </c>
      <c r="I127" s="595"/>
      <c r="J127" s="592">
        <f>IFERROR(VLOOKUP($B126,اسماء,17,0),0)</f>
        <v>0</v>
      </c>
      <c r="K127" s="593"/>
      <c r="L127" s="594">
        <f>IFERROR(VLOOKUP($B126,اسماء,18,0),0)</f>
        <v>0</v>
      </c>
      <c r="M127" s="596"/>
      <c r="N127" s="594">
        <f>IFERROR(VLOOKUP($B126,اسماء,19,0),0)</f>
        <v>0</v>
      </c>
      <c r="O127" s="596"/>
      <c r="P127" s="592">
        <f>IFERROR(VLOOKUP($B126,اسماء,20,0),0)</f>
        <v>0</v>
      </c>
      <c r="Q127" s="595"/>
      <c r="R127" s="372">
        <f t="shared" si="252"/>
        <v>0</v>
      </c>
      <c r="S127" s="305" t="str">
        <f>IFERROR(VLOOKUP($B126,اسماء,23,0),"")</f>
        <v/>
      </c>
      <c r="T127" s="306" t="str">
        <f>IFERROR(VLOOKUP($B126,اسماء,24,0),"")</f>
        <v/>
      </c>
      <c r="U127" s="122" t="str">
        <f>IFERROR(VLOOKUP($B126,اسماء,25,0),"")</f>
        <v/>
      </c>
      <c r="V127" s="605"/>
      <c r="W127" s="19" t="str">
        <f t="shared" si="318"/>
        <v>ضعيف</v>
      </c>
      <c r="X127" s="640"/>
      <c r="Y127" s="68"/>
      <c r="Z127" s="598"/>
      <c r="AK127" s="667"/>
      <c r="AL127" s="667"/>
      <c r="AM127" s="696"/>
      <c r="AN127" s="698"/>
      <c r="AO127" s="699"/>
      <c r="AP127" s="698"/>
    </row>
    <row r="128" spans="1:42" ht="14.85" customHeight="1" x14ac:dyDescent="0.25">
      <c r="A128" s="611"/>
      <c r="B128" s="614"/>
      <c r="C128" s="617"/>
      <c r="D128" s="620"/>
      <c r="E128" s="130" t="s">
        <v>32</v>
      </c>
      <c r="F128" s="592">
        <f>IFERROR(VLOOKUP($B126,اسماء,25,0),0)</f>
        <v>0</v>
      </c>
      <c r="G128" s="593"/>
      <c r="H128" s="594">
        <f>IFERROR(VLOOKUP($B126,اسماء,26,0),0)</f>
        <v>0</v>
      </c>
      <c r="I128" s="595"/>
      <c r="J128" s="592">
        <f>IFERROR(VLOOKUP($B126,اسماء,27,0),0)</f>
        <v>0</v>
      </c>
      <c r="K128" s="593"/>
      <c r="L128" s="594">
        <f>IFERROR(VLOOKUP($B126,اسماء,28,0),0)</f>
        <v>0</v>
      </c>
      <c r="M128" s="596"/>
      <c r="N128" s="594">
        <f>IFERROR(VLOOKUP($B126,اسماء,29,0),0)</f>
        <v>0</v>
      </c>
      <c r="O128" s="596"/>
      <c r="P128" s="592">
        <f>IFERROR(VLOOKUP($B126,اسماء,30,0),0)</f>
        <v>0</v>
      </c>
      <c r="Q128" s="595"/>
      <c r="R128" s="372">
        <f t="shared" si="252"/>
        <v>0</v>
      </c>
      <c r="S128" s="305" t="str">
        <f>IFERROR(VLOOKUP($B126,اسماء,34,0),"")</f>
        <v/>
      </c>
      <c r="T128" s="306" t="str">
        <f>IFERROR(VLOOKUP($B126,اسماء,35,0),"")</f>
        <v/>
      </c>
      <c r="U128" s="122" t="str">
        <f>IFERROR(VLOOKUP($B126,اسماء,36,0),"")</f>
        <v/>
      </c>
      <c r="V128" s="605"/>
      <c r="W128" s="20" t="str">
        <f t="shared" ref="W128" si="321">LOOKUP(R128,$AF$6:$AG$10)</f>
        <v>ضعيف</v>
      </c>
      <c r="X128" s="640"/>
      <c r="Y128" s="8"/>
      <c r="Z128" s="598"/>
      <c r="AK128" s="667"/>
      <c r="AL128" s="667"/>
      <c r="AM128" s="696"/>
      <c r="AN128" s="698"/>
      <c r="AO128" s="699"/>
      <c r="AP128" s="698"/>
    </row>
    <row r="129" spans="1:42" ht="14.85" customHeight="1" thickBot="1" x14ac:dyDescent="0.3">
      <c r="A129" s="612"/>
      <c r="B129" s="615"/>
      <c r="C129" s="618"/>
      <c r="D129" s="621"/>
      <c r="E129" s="124" t="s">
        <v>33</v>
      </c>
      <c r="F129" s="623">
        <f t="shared" ref="F129" si="322">SUM(F126:G128)</f>
        <v>0</v>
      </c>
      <c r="G129" s="624"/>
      <c r="H129" s="625">
        <f t="shared" ref="H129" si="323">SUM(H126:I128)</f>
        <v>0</v>
      </c>
      <c r="I129" s="626"/>
      <c r="J129" s="623">
        <f t="shared" ref="J129" si="324">SUM(J126:K128)</f>
        <v>0</v>
      </c>
      <c r="K129" s="624"/>
      <c r="L129" s="625">
        <f t="shared" ref="L129" si="325">SUM(L126:M128)</f>
        <v>0</v>
      </c>
      <c r="M129" s="642"/>
      <c r="N129" s="625">
        <f t="shared" ref="N129" si="326">SUM(N126:O128)</f>
        <v>0</v>
      </c>
      <c r="O129" s="642"/>
      <c r="P129" s="623">
        <f t="shared" ref="P129" si="327">SUM(P126:Q128)</f>
        <v>0</v>
      </c>
      <c r="Q129" s="626"/>
      <c r="R129" s="88">
        <f t="shared" ref="R129" si="328">IF(AND(F129&gt;=$G$8,H129&gt;=$I$8,J129&gt;=$K$8,L129&gt;=$M$8,N129&gt;=$O$8,P129&gt;=$Q$8),SUM(F129:Q129),0)</f>
        <v>0</v>
      </c>
      <c r="S129" s="251"/>
      <c r="T129" s="97"/>
      <c r="U129" s="94"/>
      <c r="V129" s="606"/>
      <c r="W129" s="88" t="str">
        <f t="shared" ref="W129" si="329">LOOKUP(R129,$AI$6:$AJ$10)</f>
        <v>ضعيف</v>
      </c>
      <c r="X129" s="641"/>
      <c r="Y129" s="68"/>
      <c r="Z129" s="599"/>
      <c r="AK129" s="667"/>
      <c r="AL129" s="667"/>
      <c r="AM129" s="696"/>
      <c r="AN129" s="698"/>
      <c r="AO129" s="699"/>
      <c r="AP129" s="698"/>
    </row>
    <row r="130" spans="1:42" ht="14.85" customHeight="1" thickBot="1" x14ac:dyDescent="0.3">
      <c r="A130" s="610">
        <v>28</v>
      </c>
      <c r="B130" s="613">
        <f>VLOOKUP(A130,مسلسل,2,0)</f>
        <v>0</v>
      </c>
      <c r="C130" s="616" t="str">
        <f>IFERROR(VLOOKUP(B130,اسماء,2,0),"")</f>
        <v/>
      </c>
      <c r="D130" s="619" t="str">
        <f>IFERROR(VLOOKUP($B130,اسماء,3,0),"")</f>
        <v/>
      </c>
      <c r="E130" s="129" t="s">
        <v>30</v>
      </c>
      <c r="F130" s="600">
        <f>IFERROR(VLOOKUP($B130,اسماء,5,0),0)</f>
        <v>0</v>
      </c>
      <c r="G130" s="601"/>
      <c r="H130" s="602">
        <f>IFERROR(VLOOKUP($B130,اسماء,6,0),0)</f>
        <v>0</v>
      </c>
      <c r="I130" s="622"/>
      <c r="J130" s="600">
        <f>IFERROR(VLOOKUP($B130,اسماء,7,0),0)</f>
        <v>0</v>
      </c>
      <c r="K130" s="601"/>
      <c r="L130" s="602">
        <f>IFERROR(VLOOKUP($B130,اسماء,8,0),0)</f>
        <v>0</v>
      </c>
      <c r="M130" s="603"/>
      <c r="N130" s="602">
        <f>IFERROR(VLOOKUP($B130,اسماء,9,0),0)</f>
        <v>0</v>
      </c>
      <c r="O130" s="603"/>
      <c r="P130" s="600">
        <f>IFERROR(VLOOKUP($B130,اسماء,10,0),0)</f>
        <v>0</v>
      </c>
      <c r="Q130" s="622"/>
      <c r="R130" s="371">
        <f t="shared" ref="R130" si="330">SUM(F130:Q130)</f>
        <v>0</v>
      </c>
      <c r="S130" s="213" t="str">
        <f>IFERROR(VLOOKUP($B130,اسماء,12,0),"")</f>
        <v/>
      </c>
      <c r="T130" s="214" t="str">
        <f>IFERROR(VLOOKUP($B130,اسماء,13,0),"")</f>
        <v/>
      </c>
      <c r="U130" s="364" t="str">
        <f>IFERROR(VLOOKUP($B130,اسماء,14,0),"")</f>
        <v/>
      </c>
      <c r="V130" s="604" t="str">
        <f t="shared" ref="V130" si="331">IF(Z130="غائب","راسب",IF(R133&gt;0,"ناجح","مرحل"))</f>
        <v>مرحل</v>
      </c>
      <c r="W130" s="19" t="str">
        <f t="shared" ref="W130:W131" si="332">LOOKUP(R130,$AC$6:$AD$10)</f>
        <v>ضعيف</v>
      </c>
      <c r="X130" s="639">
        <f t="shared" ref="X130" si="333">R133/$AC$3</f>
        <v>0</v>
      </c>
      <c r="Y130" s="68"/>
      <c r="Z130" s="597" t="str">
        <f>IFERROR(VLOOKUP($B130,اسماء,48,0),"")</f>
        <v/>
      </c>
      <c r="AK130" s="667" t="str">
        <f t="shared" ref="AK130" si="334">IF(R133=0,"",R133/1+ROW()*0.00001)</f>
        <v/>
      </c>
      <c r="AL130" s="667">
        <f>B130</f>
        <v>0</v>
      </c>
      <c r="AM130" s="696"/>
      <c r="AN130" s="698">
        <v>28</v>
      </c>
      <c r="AO130" s="699" t="str">
        <f>IFERROR(LARGE($AK$10:$AK$1420,AN130),"")</f>
        <v/>
      </c>
      <c r="AP130" s="698" t="str">
        <f>VLOOKUP(AO130,$AK$10:$AL$1530,2,0)</f>
        <v>امجد عمر عبداللطيف سلطان</v>
      </c>
    </row>
    <row r="131" spans="1:42" ht="14.85" customHeight="1" x14ac:dyDescent="0.25">
      <c r="A131" s="611"/>
      <c r="B131" s="614"/>
      <c r="C131" s="617"/>
      <c r="D131" s="620"/>
      <c r="E131" s="130" t="s">
        <v>31</v>
      </c>
      <c r="F131" s="592">
        <f>IFERROR(VLOOKUP($B130,اسماء,15,0),0)</f>
        <v>0</v>
      </c>
      <c r="G131" s="593"/>
      <c r="H131" s="594">
        <f>IFERROR(VLOOKUP($B130,اسماء,16,0),0)</f>
        <v>0</v>
      </c>
      <c r="I131" s="595"/>
      <c r="J131" s="592">
        <f>IFERROR(VLOOKUP($B130,اسماء,17,0),0)</f>
        <v>0</v>
      </c>
      <c r="K131" s="593"/>
      <c r="L131" s="594">
        <f>IFERROR(VLOOKUP($B130,اسماء,18,0),0)</f>
        <v>0</v>
      </c>
      <c r="M131" s="596"/>
      <c r="N131" s="594">
        <f>IFERROR(VLOOKUP($B130,اسماء,19,0),0)</f>
        <v>0</v>
      </c>
      <c r="O131" s="596"/>
      <c r="P131" s="592">
        <f>IFERROR(VLOOKUP($B130,اسماء,20,0),0)</f>
        <v>0</v>
      </c>
      <c r="Q131" s="595"/>
      <c r="R131" s="372">
        <f t="shared" si="252"/>
        <v>0</v>
      </c>
      <c r="S131" s="305" t="str">
        <f>IFERROR(VLOOKUP($B130,اسماء,23,0),"")</f>
        <v/>
      </c>
      <c r="T131" s="306" t="str">
        <f>IFERROR(VLOOKUP($B130,اسماء,24,0),"")</f>
        <v/>
      </c>
      <c r="U131" s="122" t="str">
        <f>IFERROR(VLOOKUP($B130,اسماء,25,0),"")</f>
        <v/>
      </c>
      <c r="V131" s="605"/>
      <c r="W131" s="19" t="str">
        <f t="shared" si="332"/>
        <v>ضعيف</v>
      </c>
      <c r="X131" s="640"/>
      <c r="Y131" s="8"/>
      <c r="Z131" s="598"/>
      <c r="AK131" s="667"/>
      <c r="AL131" s="667"/>
      <c r="AM131" s="696"/>
      <c r="AN131" s="698"/>
      <c r="AO131" s="699"/>
      <c r="AP131" s="698"/>
    </row>
    <row r="132" spans="1:42" ht="14.85" customHeight="1" x14ac:dyDescent="0.25">
      <c r="A132" s="611"/>
      <c r="B132" s="614"/>
      <c r="C132" s="617"/>
      <c r="D132" s="620"/>
      <c r="E132" s="130" t="s">
        <v>32</v>
      </c>
      <c r="F132" s="592">
        <f>IFERROR(VLOOKUP($B130,اسماء,25,0),0)</f>
        <v>0</v>
      </c>
      <c r="G132" s="593"/>
      <c r="H132" s="594">
        <f>IFERROR(VLOOKUP($B130,اسماء,26,0),0)</f>
        <v>0</v>
      </c>
      <c r="I132" s="595"/>
      <c r="J132" s="592">
        <f>IFERROR(VLOOKUP($B130,اسماء,27,0),0)</f>
        <v>0</v>
      </c>
      <c r="K132" s="593"/>
      <c r="L132" s="594">
        <f>IFERROR(VLOOKUP($B130,اسماء,28,0),0)</f>
        <v>0</v>
      </c>
      <c r="M132" s="596"/>
      <c r="N132" s="594">
        <f>IFERROR(VLOOKUP($B130,اسماء,29,0),0)</f>
        <v>0</v>
      </c>
      <c r="O132" s="596"/>
      <c r="P132" s="592">
        <f>IFERROR(VLOOKUP($B130,اسماء,30,0),0)</f>
        <v>0</v>
      </c>
      <c r="Q132" s="595"/>
      <c r="R132" s="372">
        <f t="shared" si="252"/>
        <v>0</v>
      </c>
      <c r="S132" s="305" t="str">
        <f>IFERROR(VLOOKUP($B130,اسماء,34,0),"")</f>
        <v/>
      </c>
      <c r="T132" s="306" t="str">
        <f>IFERROR(VLOOKUP($B130,اسماء,35,0),"")</f>
        <v/>
      </c>
      <c r="U132" s="122" t="str">
        <f>IFERROR(VLOOKUP($B130,اسماء,36,0),"")</f>
        <v/>
      </c>
      <c r="V132" s="605"/>
      <c r="W132" s="20" t="str">
        <f t="shared" ref="W132" si="335">LOOKUP(R132,$AF$6:$AG$10)</f>
        <v>ضعيف</v>
      </c>
      <c r="X132" s="640"/>
      <c r="Y132" s="68"/>
      <c r="Z132" s="598"/>
      <c r="AK132" s="667"/>
      <c r="AL132" s="667"/>
      <c r="AM132" s="696"/>
      <c r="AN132" s="698"/>
      <c r="AO132" s="699"/>
      <c r="AP132" s="698"/>
    </row>
    <row r="133" spans="1:42" ht="14.85" customHeight="1" thickBot="1" x14ac:dyDescent="0.3">
      <c r="A133" s="612"/>
      <c r="B133" s="615"/>
      <c r="C133" s="618"/>
      <c r="D133" s="621"/>
      <c r="E133" s="124" t="s">
        <v>33</v>
      </c>
      <c r="F133" s="623">
        <f t="shared" ref="F133" si="336">SUM(F130:G132)</f>
        <v>0</v>
      </c>
      <c r="G133" s="624"/>
      <c r="H133" s="625">
        <f t="shared" ref="H133" si="337">SUM(H130:I132)</f>
        <v>0</v>
      </c>
      <c r="I133" s="626"/>
      <c r="J133" s="623">
        <f t="shared" ref="J133" si="338">SUM(J130:K132)</f>
        <v>0</v>
      </c>
      <c r="K133" s="624"/>
      <c r="L133" s="625">
        <f t="shared" ref="L133" si="339">SUM(L130:M132)</f>
        <v>0</v>
      </c>
      <c r="M133" s="642"/>
      <c r="N133" s="625">
        <f t="shared" ref="N133" si="340">SUM(N130:O132)</f>
        <v>0</v>
      </c>
      <c r="O133" s="642"/>
      <c r="P133" s="623">
        <f t="shared" ref="P133" si="341">SUM(P130:Q132)</f>
        <v>0</v>
      </c>
      <c r="Q133" s="626"/>
      <c r="R133" s="88">
        <f t="shared" ref="R133" si="342">IF(AND(F133&gt;=$G$8,H133&gt;=$I$8,J133&gt;=$K$8,L133&gt;=$M$8,N133&gt;=$O$8,P133&gt;=$Q$8),SUM(F133:Q133),0)</f>
        <v>0</v>
      </c>
      <c r="S133" s="251"/>
      <c r="T133" s="97"/>
      <c r="U133" s="94"/>
      <c r="V133" s="606"/>
      <c r="W133" s="88" t="str">
        <f t="shared" ref="W133" si="343">LOOKUP(R133,$AI$6:$AJ$10)</f>
        <v>ضعيف</v>
      </c>
      <c r="X133" s="641"/>
      <c r="Y133" s="68"/>
      <c r="Z133" s="599"/>
      <c r="AK133" s="667"/>
      <c r="AL133" s="667"/>
      <c r="AM133" s="696"/>
      <c r="AN133" s="698"/>
      <c r="AO133" s="699"/>
      <c r="AP133" s="698"/>
    </row>
    <row r="134" spans="1:42" ht="14.85" customHeight="1" thickBot="1" x14ac:dyDescent="0.3">
      <c r="A134" s="610">
        <v>29</v>
      </c>
      <c r="B134" s="613">
        <f>VLOOKUP(A134,مسلسل,2,0)</f>
        <v>0</v>
      </c>
      <c r="C134" s="616" t="str">
        <f>IFERROR(VLOOKUP(B134,اسماء,2,0),"")</f>
        <v/>
      </c>
      <c r="D134" s="619" t="str">
        <f>IFERROR(VLOOKUP($B134,اسماء,3,0),"")</f>
        <v/>
      </c>
      <c r="E134" s="129" t="s">
        <v>30</v>
      </c>
      <c r="F134" s="600">
        <f>IFERROR(VLOOKUP($B134,اسماء,5,0),0)</f>
        <v>0</v>
      </c>
      <c r="G134" s="601"/>
      <c r="H134" s="602">
        <f>IFERROR(VLOOKUP($B134,اسماء,6,0),0)</f>
        <v>0</v>
      </c>
      <c r="I134" s="622"/>
      <c r="J134" s="600">
        <f>IFERROR(VLOOKUP($B134,اسماء,7,0),0)</f>
        <v>0</v>
      </c>
      <c r="K134" s="601"/>
      <c r="L134" s="602">
        <f>IFERROR(VLOOKUP($B134,اسماء,8,0),0)</f>
        <v>0</v>
      </c>
      <c r="M134" s="603"/>
      <c r="N134" s="602">
        <f>IFERROR(VLOOKUP($B134,اسماء,9,0),0)</f>
        <v>0</v>
      </c>
      <c r="O134" s="603"/>
      <c r="P134" s="600">
        <f>IFERROR(VLOOKUP($B134,اسماء,10,0),0)</f>
        <v>0</v>
      </c>
      <c r="Q134" s="622"/>
      <c r="R134" s="371">
        <f t="shared" ref="R134" si="344">SUM(F134:Q134)</f>
        <v>0</v>
      </c>
      <c r="S134" s="213" t="str">
        <f>IFERROR(VLOOKUP($B134,اسماء,12,0),"")</f>
        <v/>
      </c>
      <c r="T134" s="214" t="str">
        <f>IFERROR(VLOOKUP($B134,اسماء,13,0),"")</f>
        <v/>
      </c>
      <c r="U134" s="364" t="str">
        <f>IFERROR(VLOOKUP($B134,اسماء,14,0),"")</f>
        <v/>
      </c>
      <c r="V134" s="604" t="str">
        <f t="shared" ref="V134" si="345">IF(Z134="غائب","راسب",IF(R137&gt;0,"ناجح","مرحل"))</f>
        <v>مرحل</v>
      </c>
      <c r="W134" s="19" t="str">
        <f t="shared" ref="W134:W135" si="346">LOOKUP(R134,$AC$6:$AD$10)</f>
        <v>ضعيف</v>
      </c>
      <c r="X134" s="639">
        <f t="shared" ref="X134" si="347">R137/$AC$3</f>
        <v>0</v>
      </c>
      <c r="Y134" s="8"/>
      <c r="Z134" s="597" t="str">
        <f>IFERROR(VLOOKUP($B134,اسماء,48,0),"")</f>
        <v/>
      </c>
      <c r="AK134" s="667" t="str">
        <f t="shared" ref="AK134" si="348">IF(R137=0,"",R137/1+ROW()*0.00001)</f>
        <v/>
      </c>
      <c r="AL134" s="667">
        <f>B134</f>
        <v>0</v>
      </c>
      <c r="AM134" s="696"/>
      <c r="AN134" s="698">
        <v>29</v>
      </c>
      <c r="AO134" s="699" t="str">
        <f>IFERROR(LARGE($AK$10:$AK$1420,AN134),"")</f>
        <v/>
      </c>
      <c r="AP134" s="698" t="str">
        <f>VLOOKUP(AO134,$AK$10:$AL$1530,2,0)</f>
        <v>امجد عمر عبداللطيف سلطان</v>
      </c>
    </row>
    <row r="135" spans="1:42" ht="14.85" customHeight="1" x14ac:dyDescent="0.25">
      <c r="A135" s="611"/>
      <c r="B135" s="614"/>
      <c r="C135" s="617"/>
      <c r="D135" s="620"/>
      <c r="E135" s="130" t="s">
        <v>31</v>
      </c>
      <c r="F135" s="592">
        <f>IFERROR(VLOOKUP($B134,اسماء,15,0),0)</f>
        <v>0</v>
      </c>
      <c r="G135" s="593"/>
      <c r="H135" s="594">
        <f>IFERROR(VLOOKUP($B134,اسماء,16,0),0)</f>
        <v>0</v>
      </c>
      <c r="I135" s="595"/>
      <c r="J135" s="592">
        <f>IFERROR(VLOOKUP($B134,اسماء,17,0),0)</f>
        <v>0</v>
      </c>
      <c r="K135" s="593"/>
      <c r="L135" s="594">
        <f>IFERROR(VLOOKUP($B134,اسماء,18,0),0)</f>
        <v>0</v>
      </c>
      <c r="M135" s="596"/>
      <c r="N135" s="594">
        <f>IFERROR(VLOOKUP($B134,اسماء,19,0),0)</f>
        <v>0</v>
      </c>
      <c r="O135" s="596"/>
      <c r="P135" s="592">
        <f>IFERROR(VLOOKUP($B134,اسماء,20,0),0)</f>
        <v>0</v>
      </c>
      <c r="Q135" s="595"/>
      <c r="R135" s="372">
        <f t="shared" si="252"/>
        <v>0</v>
      </c>
      <c r="S135" s="305" t="str">
        <f>IFERROR(VLOOKUP($B134,اسماء,23,0),"")</f>
        <v/>
      </c>
      <c r="T135" s="306" t="str">
        <f>IFERROR(VLOOKUP($B134,اسماء,24,0),"")</f>
        <v/>
      </c>
      <c r="U135" s="122" t="str">
        <f>IFERROR(VLOOKUP($B134,اسماء,25,0),"")</f>
        <v/>
      </c>
      <c r="V135" s="605"/>
      <c r="W135" s="19" t="str">
        <f t="shared" si="346"/>
        <v>ضعيف</v>
      </c>
      <c r="X135" s="640"/>
      <c r="Y135" s="68"/>
      <c r="Z135" s="598"/>
      <c r="AK135" s="667"/>
      <c r="AL135" s="667"/>
      <c r="AM135" s="696"/>
      <c r="AN135" s="698"/>
      <c r="AO135" s="699"/>
      <c r="AP135" s="698"/>
    </row>
    <row r="136" spans="1:42" ht="14.85" customHeight="1" x14ac:dyDescent="0.25">
      <c r="A136" s="611"/>
      <c r="B136" s="614"/>
      <c r="C136" s="617"/>
      <c r="D136" s="620"/>
      <c r="E136" s="130" t="s">
        <v>32</v>
      </c>
      <c r="F136" s="592">
        <f>IFERROR(VLOOKUP($B134,اسماء,25,0),0)</f>
        <v>0</v>
      </c>
      <c r="G136" s="593"/>
      <c r="H136" s="594">
        <f>IFERROR(VLOOKUP($B134,اسماء,26,0),0)</f>
        <v>0</v>
      </c>
      <c r="I136" s="595"/>
      <c r="J136" s="592">
        <f>IFERROR(VLOOKUP($B134,اسماء,27,0),0)</f>
        <v>0</v>
      </c>
      <c r="K136" s="593"/>
      <c r="L136" s="594">
        <f>IFERROR(VLOOKUP($B134,اسماء,28,0),0)</f>
        <v>0</v>
      </c>
      <c r="M136" s="596"/>
      <c r="N136" s="594">
        <f>IFERROR(VLOOKUP($B134,اسماء,29,0),0)</f>
        <v>0</v>
      </c>
      <c r="O136" s="596"/>
      <c r="P136" s="592">
        <f>IFERROR(VLOOKUP($B134,اسماء,30,0),0)</f>
        <v>0</v>
      </c>
      <c r="Q136" s="595"/>
      <c r="R136" s="372">
        <f t="shared" si="252"/>
        <v>0</v>
      </c>
      <c r="S136" s="305" t="str">
        <f>IFERROR(VLOOKUP($B134,اسماء,34,0),"")</f>
        <v/>
      </c>
      <c r="T136" s="306" t="str">
        <f>IFERROR(VLOOKUP($B134,اسماء,35,0),"")</f>
        <v/>
      </c>
      <c r="U136" s="122" t="str">
        <f>IFERROR(VLOOKUP($B134,اسماء,36,0),"")</f>
        <v/>
      </c>
      <c r="V136" s="605"/>
      <c r="W136" s="20" t="str">
        <f t="shared" ref="W136" si="349">LOOKUP(R136,$AF$6:$AG$10)</f>
        <v>ضعيف</v>
      </c>
      <c r="X136" s="640"/>
      <c r="Y136" s="68"/>
      <c r="Z136" s="598"/>
      <c r="AK136" s="667"/>
      <c r="AL136" s="667"/>
      <c r="AM136" s="696"/>
      <c r="AN136" s="698"/>
      <c r="AO136" s="699"/>
      <c r="AP136" s="698"/>
    </row>
    <row r="137" spans="1:42" ht="14.85" customHeight="1" thickBot="1" x14ac:dyDescent="0.3">
      <c r="A137" s="612"/>
      <c r="B137" s="615"/>
      <c r="C137" s="618"/>
      <c r="D137" s="621"/>
      <c r="E137" s="124" t="s">
        <v>33</v>
      </c>
      <c r="F137" s="623">
        <f t="shared" ref="F137" si="350">SUM(F134:G136)</f>
        <v>0</v>
      </c>
      <c r="G137" s="624"/>
      <c r="H137" s="625">
        <f t="shared" ref="H137" si="351">SUM(H134:I136)</f>
        <v>0</v>
      </c>
      <c r="I137" s="626"/>
      <c r="J137" s="623">
        <f t="shared" ref="J137" si="352">SUM(J134:K136)</f>
        <v>0</v>
      </c>
      <c r="K137" s="624"/>
      <c r="L137" s="625">
        <f t="shared" ref="L137" si="353">SUM(L134:M136)</f>
        <v>0</v>
      </c>
      <c r="M137" s="642"/>
      <c r="N137" s="625">
        <f t="shared" ref="N137" si="354">SUM(N134:O136)</f>
        <v>0</v>
      </c>
      <c r="O137" s="642"/>
      <c r="P137" s="623">
        <f t="shared" ref="P137" si="355">SUM(P134:Q136)</f>
        <v>0</v>
      </c>
      <c r="Q137" s="626"/>
      <c r="R137" s="88">
        <f t="shared" ref="R137" si="356">IF(AND(F137&gt;=$G$8,H137&gt;=$I$8,J137&gt;=$K$8,L137&gt;=$M$8,N137&gt;=$O$8,P137&gt;=$Q$8),SUM(F137:Q137),0)</f>
        <v>0</v>
      </c>
      <c r="S137" s="251"/>
      <c r="T137" s="97"/>
      <c r="U137" s="94"/>
      <c r="V137" s="606"/>
      <c r="W137" s="88" t="str">
        <f t="shared" ref="W137" si="357">LOOKUP(R137,$AI$6:$AJ$10)</f>
        <v>ضعيف</v>
      </c>
      <c r="X137" s="641"/>
      <c r="Y137" s="8"/>
      <c r="Z137" s="599"/>
      <c r="AK137" s="667"/>
      <c r="AL137" s="667"/>
      <c r="AM137" s="696"/>
      <c r="AN137" s="698"/>
      <c r="AO137" s="699"/>
      <c r="AP137" s="698"/>
    </row>
    <row r="138" spans="1:42" ht="14.85" customHeight="1" thickBot="1" x14ac:dyDescent="0.3">
      <c r="A138" s="610">
        <v>30</v>
      </c>
      <c r="B138" s="613">
        <f>VLOOKUP(A138,مسلسل,2,0)</f>
        <v>0</v>
      </c>
      <c r="C138" s="616" t="str">
        <f>IFERROR(VLOOKUP(B138,اسماء,2,0),"")</f>
        <v/>
      </c>
      <c r="D138" s="619" t="str">
        <f>IFERROR(VLOOKUP($B138,اسماء,3,0),"")</f>
        <v/>
      </c>
      <c r="E138" s="129" t="s">
        <v>30</v>
      </c>
      <c r="F138" s="600">
        <f>IFERROR(VLOOKUP($B138,اسماء,5,0),0)</f>
        <v>0</v>
      </c>
      <c r="G138" s="601"/>
      <c r="H138" s="602">
        <f>IFERROR(VLOOKUP($B138,اسماء,6,0),0)</f>
        <v>0</v>
      </c>
      <c r="I138" s="622"/>
      <c r="J138" s="600">
        <f>IFERROR(VLOOKUP($B138,اسماء,7,0),0)</f>
        <v>0</v>
      </c>
      <c r="K138" s="601"/>
      <c r="L138" s="602">
        <f>IFERROR(VLOOKUP($B138,اسماء,8,0),0)</f>
        <v>0</v>
      </c>
      <c r="M138" s="603"/>
      <c r="N138" s="602">
        <f>IFERROR(VLOOKUP($B138,اسماء,9,0),0)</f>
        <v>0</v>
      </c>
      <c r="O138" s="603"/>
      <c r="P138" s="600">
        <f>IFERROR(VLOOKUP($B138,اسماء,10,0),0)</f>
        <v>0</v>
      </c>
      <c r="Q138" s="622"/>
      <c r="R138" s="371">
        <f t="shared" ref="R138" si="358">SUM(F138:Q138)</f>
        <v>0</v>
      </c>
      <c r="S138" s="213" t="str">
        <f>IFERROR(VLOOKUP($B138,اسماء,12,0),"")</f>
        <v/>
      </c>
      <c r="T138" s="214" t="str">
        <f>IFERROR(VLOOKUP($B138,اسماء,13,0),"")</f>
        <v/>
      </c>
      <c r="U138" s="364" t="str">
        <f>IFERROR(VLOOKUP($B138,اسماء,14,0),"")</f>
        <v/>
      </c>
      <c r="V138" s="604" t="str">
        <f t="shared" ref="V138" si="359">IF(Z138="غائب","راسب",IF(R141&gt;0,"ناجح","مرحل"))</f>
        <v>مرحل</v>
      </c>
      <c r="W138" s="19" t="str">
        <f t="shared" ref="W138:W139" si="360">LOOKUP(R138,$AC$6:$AD$10)</f>
        <v>ضعيف</v>
      </c>
      <c r="X138" s="639">
        <f t="shared" ref="X138" si="361">R141/$AC$3</f>
        <v>0</v>
      </c>
      <c r="Y138" s="68"/>
      <c r="Z138" s="597" t="str">
        <f>IFERROR(VLOOKUP($B138,اسماء,48,0),"")</f>
        <v/>
      </c>
      <c r="AK138" s="667" t="str">
        <f t="shared" ref="AK138" si="362">IF(R141=0,"",R141/1+ROW()*0.00001)</f>
        <v/>
      </c>
      <c r="AL138" s="667">
        <f>B138</f>
        <v>0</v>
      </c>
      <c r="AM138" s="696"/>
      <c r="AN138" s="698">
        <v>30</v>
      </c>
      <c r="AO138" s="699" t="str">
        <f>IFERROR(LARGE($AK$10:$AK$1420,AN138),"")</f>
        <v/>
      </c>
      <c r="AP138" s="698" t="str">
        <f>VLOOKUP(AO138,$AK$10:$AL$1530,2,0)</f>
        <v>امجد عمر عبداللطيف سلطان</v>
      </c>
    </row>
    <row r="139" spans="1:42" ht="14.85" customHeight="1" x14ac:dyDescent="0.25">
      <c r="A139" s="611"/>
      <c r="B139" s="614"/>
      <c r="C139" s="617"/>
      <c r="D139" s="620"/>
      <c r="E139" s="130" t="s">
        <v>31</v>
      </c>
      <c r="F139" s="592">
        <f>IFERROR(VLOOKUP($B138,اسماء,15,0),0)</f>
        <v>0</v>
      </c>
      <c r="G139" s="593"/>
      <c r="H139" s="594">
        <f>IFERROR(VLOOKUP($B138,اسماء,16,0),0)</f>
        <v>0</v>
      </c>
      <c r="I139" s="595"/>
      <c r="J139" s="592">
        <f>IFERROR(VLOOKUP($B138,اسماء,17,0),0)</f>
        <v>0</v>
      </c>
      <c r="K139" s="593"/>
      <c r="L139" s="594">
        <f>IFERROR(VLOOKUP($B138,اسماء,18,0),0)</f>
        <v>0</v>
      </c>
      <c r="M139" s="596"/>
      <c r="N139" s="594">
        <f>IFERROR(VLOOKUP($B138,اسماء,19,0),0)</f>
        <v>0</v>
      </c>
      <c r="O139" s="596"/>
      <c r="P139" s="592">
        <f>IFERROR(VLOOKUP($B138,اسماء,20,0),0)</f>
        <v>0</v>
      </c>
      <c r="Q139" s="595"/>
      <c r="R139" s="372">
        <f t="shared" si="252"/>
        <v>0</v>
      </c>
      <c r="S139" s="305" t="str">
        <f>IFERROR(VLOOKUP($B138,اسماء,23,0),"")</f>
        <v/>
      </c>
      <c r="T139" s="306" t="str">
        <f>IFERROR(VLOOKUP($B138,اسماء,24,0),"")</f>
        <v/>
      </c>
      <c r="U139" s="122" t="str">
        <f>IFERROR(VLOOKUP($B138,اسماء,25,0),"")</f>
        <v/>
      </c>
      <c r="V139" s="605"/>
      <c r="W139" s="19" t="str">
        <f t="shared" si="360"/>
        <v>ضعيف</v>
      </c>
      <c r="X139" s="640"/>
      <c r="Y139" s="68"/>
      <c r="Z139" s="598"/>
      <c r="AK139" s="667"/>
      <c r="AL139" s="667"/>
      <c r="AM139" s="696"/>
      <c r="AN139" s="698"/>
      <c r="AO139" s="699"/>
      <c r="AP139" s="698"/>
    </row>
    <row r="140" spans="1:42" ht="14.85" customHeight="1" x14ac:dyDescent="0.25">
      <c r="A140" s="611"/>
      <c r="B140" s="614"/>
      <c r="C140" s="617"/>
      <c r="D140" s="620"/>
      <c r="E140" s="130" t="s">
        <v>32</v>
      </c>
      <c r="F140" s="592">
        <f>IFERROR(VLOOKUP($B138,اسماء,25,0),0)</f>
        <v>0</v>
      </c>
      <c r="G140" s="593"/>
      <c r="H140" s="594">
        <f>IFERROR(VLOOKUP($B138,اسماء,26,0),0)</f>
        <v>0</v>
      </c>
      <c r="I140" s="595"/>
      <c r="J140" s="592">
        <f>IFERROR(VLOOKUP($B138,اسماء,27,0),0)</f>
        <v>0</v>
      </c>
      <c r="K140" s="593"/>
      <c r="L140" s="594">
        <f>IFERROR(VLOOKUP($B138,اسماء,28,0),0)</f>
        <v>0</v>
      </c>
      <c r="M140" s="596"/>
      <c r="N140" s="594">
        <f>IFERROR(VLOOKUP($B138,اسماء,29,0),0)</f>
        <v>0</v>
      </c>
      <c r="O140" s="596"/>
      <c r="P140" s="592">
        <f>IFERROR(VLOOKUP($B138,اسماء,30,0),0)</f>
        <v>0</v>
      </c>
      <c r="Q140" s="595"/>
      <c r="R140" s="372">
        <f t="shared" si="252"/>
        <v>0</v>
      </c>
      <c r="S140" s="305" t="str">
        <f>IFERROR(VLOOKUP($B138,اسماء,34,0),"")</f>
        <v/>
      </c>
      <c r="T140" s="306" t="str">
        <f>IFERROR(VLOOKUP($B138,اسماء,35,0),"")</f>
        <v/>
      </c>
      <c r="U140" s="122" t="str">
        <f>IFERROR(VLOOKUP($B138,اسماء,36,0),"")</f>
        <v/>
      </c>
      <c r="V140" s="605"/>
      <c r="W140" s="20" t="str">
        <f t="shared" ref="W140" si="363">LOOKUP(R140,$AF$6:$AG$10)</f>
        <v>ضعيف</v>
      </c>
      <c r="X140" s="640"/>
      <c r="Y140" s="8"/>
      <c r="Z140" s="598"/>
      <c r="AK140" s="667"/>
      <c r="AL140" s="667"/>
      <c r="AM140" s="696"/>
      <c r="AN140" s="698"/>
      <c r="AO140" s="699"/>
      <c r="AP140" s="698"/>
    </row>
    <row r="141" spans="1:42" ht="14.85" customHeight="1" thickBot="1" x14ac:dyDescent="0.3">
      <c r="A141" s="612"/>
      <c r="B141" s="615"/>
      <c r="C141" s="618"/>
      <c r="D141" s="621"/>
      <c r="E141" s="124" t="s">
        <v>33</v>
      </c>
      <c r="F141" s="623">
        <f t="shared" ref="F141" si="364">SUM(F138:G140)</f>
        <v>0</v>
      </c>
      <c r="G141" s="624"/>
      <c r="H141" s="625">
        <f t="shared" ref="H141" si="365">SUM(H138:I140)</f>
        <v>0</v>
      </c>
      <c r="I141" s="626"/>
      <c r="J141" s="623">
        <f t="shared" ref="J141" si="366">SUM(J138:K140)</f>
        <v>0</v>
      </c>
      <c r="K141" s="624"/>
      <c r="L141" s="625">
        <f t="shared" ref="L141" si="367">SUM(L138:M140)</f>
        <v>0</v>
      </c>
      <c r="M141" s="642"/>
      <c r="N141" s="625">
        <f t="shared" ref="N141" si="368">SUM(N138:O140)</f>
        <v>0</v>
      </c>
      <c r="O141" s="642"/>
      <c r="P141" s="623">
        <f t="shared" ref="P141" si="369">SUM(P138:Q140)</f>
        <v>0</v>
      </c>
      <c r="Q141" s="626"/>
      <c r="R141" s="88">
        <f t="shared" ref="R141" si="370">IF(AND(F141&gt;=$G$8,H141&gt;=$I$8,J141&gt;=$K$8,L141&gt;=$M$8,N141&gt;=$O$8,P141&gt;=$Q$8),SUM(F141:Q141),0)</f>
        <v>0</v>
      </c>
      <c r="S141" s="251"/>
      <c r="T141" s="97"/>
      <c r="U141" s="94"/>
      <c r="V141" s="606"/>
      <c r="W141" s="88" t="str">
        <f t="shared" ref="W141" si="371">LOOKUP(R141,$AI$6:$AJ$10)</f>
        <v>ضعيف</v>
      </c>
      <c r="X141" s="641"/>
      <c r="Y141" s="68"/>
      <c r="Z141" s="599"/>
      <c r="AK141" s="667"/>
      <c r="AL141" s="667"/>
      <c r="AM141" s="696"/>
      <c r="AN141" s="698"/>
      <c r="AO141" s="699"/>
      <c r="AP141" s="698"/>
    </row>
    <row r="142" spans="1:42" ht="14.85" customHeight="1" thickBot="1" x14ac:dyDescent="0.3">
      <c r="F142" s="71"/>
      <c r="G142" s="72"/>
      <c r="H142" s="71"/>
      <c r="I142" s="72"/>
      <c r="J142" s="71"/>
      <c r="K142" s="72"/>
      <c r="L142" s="71"/>
      <c r="M142" s="72"/>
      <c r="N142" s="71"/>
      <c r="O142" s="72"/>
      <c r="P142" s="71"/>
      <c r="Q142" s="72"/>
      <c r="R142" s="70"/>
      <c r="S142" s="73"/>
      <c r="T142" s="70"/>
      <c r="U142" s="70"/>
      <c r="V142" s="70"/>
      <c r="W142" s="70"/>
      <c r="X142" s="254"/>
      <c r="Y142" s="68"/>
      <c r="AH142" s="74"/>
    </row>
    <row r="143" spans="1:42" customFormat="1" ht="14.85" customHeight="1" x14ac:dyDescent="0.3">
      <c r="A143" s="668" t="s">
        <v>9</v>
      </c>
      <c r="B143" s="669"/>
      <c r="C143" s="670"/>
      <c r="D143" s="277" t="s">
        <v>11</v>
      </c>
      <c r="E143" s="674" t="s">
        <v>96</v>
      </c>
      <c r="F143" s="663"/>
      <c r="G143" s="663"/>
      <c r="H143" s="663"/>
      <c r="I143" s="663"/>
      <c r="J143" s="7"/>
      <c r="K143" s="7"/>
      <c r="L143" s="7"/>
      <c r="M143" s="7"/>
      <c r="N143" s="7"/>
      <c r="O143" s="7"/>
      <c r="P143" s="7"/>
      <c r="Q143" s="663" t="s">
        <v>156</v>
      </c>
      <c r="R143" s="663"/>
      <c r="S143" s="663"/>
      <c r="T143" s="663"/>
      <c r="U143" s="663"/>
      <c r="V143" s="663"/>
      <c r="W143" s="1"/>
      <c r="X143" s="255"/>
      <c r="Z143" s="75"/>
      <c r="AA143" s="76"/>
      <c r="AB143" s="76"/>
      <c r="AC143" s="76"/>
      <c r="AD143" s="76"/>
    </row>
    <row r="144" spans="1:42" customFormat="1" ht="14.85" customHeight="1" x14ac:dyDescent="0.25">
      <c r="A144" s="77" t="s">
        <v>8</v>
      </c>
      <c r="B144" s="671">
        <f>ادخال1!$BJ$3</f>
        <v>0</v>
      </c>
      <c r="C144" s="672"/>
      <c r="D144" s="278"/>
      <c r="E144" s="7" t="s">
        <v>9</v>
      </c>
      <c r="F144" s="673" t="str">
        <f>ادخال1!$BJ$5</f>
        <v>د. عبدالرحمن خليفة العريبي</v>
      </c>
      <c r="G144" s="673"/>
      <c r="H144" s="673"/>
      <c r="I144" s="673"/>
      <c r="J144" s="673"/>
      <c r="K144" s="673"/>
      <c r="L144" s="673"/>
      <c r="M144" s="673"/>
      <c r="N144" s="673"/>
      <c r="O144" s="673"/>
      <c r="P144" s="7"/>
      <c r="Q144" s="673" t="str">
        <f>ادخال1!$BJ$6</f>
        <v>تاجوراء</v>
      </c>
      <c r="R144" s="673"/>
      <c r="S144" s="673"/>
      <c r="T144" s="673"/>
      <c r="U144" s="673"/>
      <c r="V144" s="673"/>
      <c r="W144" s="673"/>
      <c r="X144" s="63"/>
      <c r="Y144" s="63"/>
      <c r="Z144" s="75"/>
      <c r="AA144" s="75"/>
      <c r="AB144" s="75"/>
      <c r="AC144" s="75"/>
    </row>
    <row r="145" spans="1:42" customFormat="1" ht="14.85" customHeight="1" thickBot="1" x14ac:dyDescent="0.3">
      <c r="A145" s="78" t="s">
        <v>97</v>
      </c>
      <c r="B145" s="665">
        <f>ادخال1!$BJ$4</f>
        <v>0</v>
      </c>
      <c r="C145" s="666"/>
      <c r="D145" s="279"/>
      <c r="E145" s="7" t="s">
        <v>11</v>
      </c>
      <c r="F145" s="667"/>
      <c r="G145" s="667"/>
      <c r="H145" s="667"/>
      <c r="I145" s="667"/>
      <c r="J145" s="667"/>
      <c r="K145" s="667"/>
      <c r="L145" s="667"/>
      <c r="M145" s="667"/>
      <c r="N145" s="667"/>
      <c r="O145" s="667"/>
      <c r="P145" s="7"/>
      <c r="Q145" s="7" t="s">
        <v>11</v>
      </c>
      <c r="R145" s="1"/>
      <c r="S145" s="1"/>
      <c r="T145" s="1"/>
      <c r="U145" s="1"/>
      <c r="V145" s="1"/>
      <c r="W145" s="1"/>
      <c r="X145" s="255"/>
      <c r="Z145" s="75"/>
      <c r="AA145" s="75"/>
      <c r="AB145" s="75"/>
      <c r="AC145" s="75"/>
    </row>
    <row r="146" spans="1:42" customFormat="1" ht="14.85" customHeight="1" x14ac:dyDescent="0.25">
      <c r="A146" s="663" t="s">
        <v>98</v>
      </c>
      <c r="B146" s="663"/>
      <c r="C146" s="663"/>
      <c r="D146" s="663"/>
      <c r="E146" s="663" t="s">
        <v>99</v>
      </c>
      <c r="F146" s="663"/>
      <c r="G146" s="663"/>
      <c r="H146" s="663"/>
      <c r="I146" s="663"/>
      <c r="J146" s="663"/>
      <c r="K146" s="663"/>
      <c r="L146" s="663"/>
      <c r="M146" s="663"/>
      <c r="N146" s="663"/>
      <c r="O146" s="663"/>
      <c r="P146" s="663"/>
      <c r="Q146" s="663"/>
      <c r="R146" s="7"/>
      <c r="S146" s="664">
        <f ca="1">TODAY()</f>
        <v>46009</v>
      </c>
      <c r="T146" s="664"/>
      <c r="U146" s="664"/>
      <c r="V146" s="664"/>
      <c r="W146" s="664"/>
      <c r="X146" s="255"/>
    </row>
    <row r="147" spans="1:42" customFormat="1" ht="14.85" customHeight="1" thickBot="1" x14ac:dyDescent="0.3">
      <c r="A147" s="7"/>
      <c r="B147" s="663" t="s">
        <v>100</v>
      </c>
      <c r="C147" s="663"/>
      <c r="D147" s="663"/>
      <c r="E147" s="663" t="s">
        <v>101</v>
      </c>
      <c r="F147" s="663"/>
      <c r="G147" s="663"/>
      <c r="H147" s="663"/>
      <c r="I147" s="663"/>
      <c r="J147" s="663"/>
      <c r="K147" s="663"/>
      <c r="L147" s="663"/>
      <c r="M147" s="663"/>
      <c r="N147" s="663"/>
      <c r="O147" s="663"/>
      <c r="P147" s="663"/>
      <c r="Q147" s="663"/>
      <c r="R147" s="1"/>
      <c r="S147" s="1"/>
      <c r="T147" s="1"/>
      <c r="U147" s="1"/>
      <c r="V147" s="1"/>
      <c r="W147" s="1"/>
      <c r="X147" s="255"/>
    </row>
    <row r="148" spans="1:42" ht="14.85" customHeight="1" thickBot="1" x14ac:dyDescent="0.3">
      <c r="A148" s="610">
        <v>31</v>
      </c>
      <c r="B148" s="613">
        <f>VLOOKUP(A148,مسلسل,2,0)</f>
        <v>0</v>
      </c>
      <c r="C148" s="616" t="str">
        <f>IFERROR(VLOOKUP(B148,اسماء,2,0),"")</f>
        <v/>
      </c>
      <c r="D148" s="619" t="str">
        <f>IFERROR(VLOOKUP($B148,اسماء,3,0),"")</f>
        <v/>
      </c>
      <c r="E148" s="129" t="s">
        <v>30</v>
      </c>
      <c r="F148" s="600">
        <f>IFERROR(VLOOKUP($B148,اسماء,5,0),0)</f>
        <v>0</v>
      </c>
      <c r="G148" s="601"/>
      <c r="H148" s="602">
        <f>IFERROR(VLOOKUP($B148,اسماء,6,0),0)</f>
        <v>0</v>
      </c>
      <c r="I148" s="622"/>
      <c r="J148" s="600">
        <f>IFERROR(VLOOKUP($B148,اسماء,7,0),0)</f>
        <v>0</v>
      </c>
      <c r="K148" s="601"/>
      <c r="L148" s="602">
        <f>IFERROR(VLOOKUP($B148,اسماء,8,0),0)</f>
        <v>0</v>
      </c>
      <c r="M148" s="603"/>
      <c r="N148" s="602">
        <f>IFERROR(VLOOKUP($B148,اسماء,9,0),0)</f>
        <v>0</v>
      </c>
      <c r="O148" s="603"/>
      <c r="P148" s="600">
        <f>IFERROR(VLOOKUP($B148,اسماء,10,0),0)</f>
        <v>0</v>
      </c>
      <c r="Q148" s="622"/>
      <c r="R148" s="371">
        <f>SUM(F148:Q148)</f>
        <v>0</v>
      </c>
      <c r="S148" s="325" t="str">
        <f>IFERROR(VLOOKUP($B148,اسماء,12,0),"")</f>
        <v/>
      </c>
      <c r="T148" s="326" t="str">
        <f>IFERROR(VLOOKUP($B148,اسماء,13,0),"")</f>
        <v/>
      </c>
      <c r="U148" s="92" t="str">
        <f>IFERROR(VLOOKUP($B148,اسماء,14,0),"")</f>
        <v/>
      </c>
      <c r="V148" s="604" t="str">
        <f t="shared" ref="V148" si="372">IF(Z148="غائب","راسب",IF(R151&gt;0,"ناجح","مرحل"))</f>
        <v>مرحل</v>
      </c>
      <c r="W148" s="19" t="str">
        <f t="shared" ref="W148:W149" si="373">LOOKUP(R148,$AC$6:$AD$10)</f>
        <v>ضعيف</v>
      </c>
      <c r="X148" s="639">
        <f t="shared" ref="X148" si="374">R151/$AC$3</f>
        <v>0</v>
      </c>
      <c r="Y148" s="68"/>
      <c r="Z148" s="597" t="str">
        <f>IFERROR(VLOOKUP($B148,اسماء,48,0),"")</f>
        <v/>
      </c>
      <c r="AK148" s="671" t="str">
        <f>IF(R151=0,"",R151/1+ROW()*0.00001)</f>
        <v/>
      </c>
      <c r="AL148" s="671">
        <f>B148</f>
        <v>0</v>
      </c>
      <c r="AM148" s="696"/>
      <c r="AN148" s="698">
        <v>31</v>
      </c>
      <c r="AO148" s="699" t="str">
        <f>IFERROR(LARGE($AK$10:$AK$1420,AN148),"")</f>
        <v/>
      </c>
      <c r="AP148" s="698" t="str">
        <f>VLOOKUP(AO148,$AK$10:$AL$1530,2,0)</f>
        <v>امجد عمر عبداللطيف سلطان</v>
      </c>
    </row>
    <row r="149" spans="1:42" ht="14.85" customHeight="1" x14ac:dyDescent="0.25">
      <c r="A149" s="611"/>
      <c r="B149" s="614"/>
      <c r="C149" s="617"/>
      <c r="D149" s="620"/>
      <c r="E149" s="130" t="s">
        <v>31</v>
      </c>
      <c r="F149" s="592">
        <f>IFERROR(VLOOKUP($B148,اسماء,16,0),0)</f>
        <v>0</v>
      </c>
      <c r="G149" s="593"/>
      <c r="H149" s="594">
        <f>IFERROR(VLOOKUP($B148,اسماء,17,0),0)</f>
        <v>0</v>
      </c>
      <c r="I149" s="595"/>
      <c r="J149" s="592">
        <f>IFERROR(VLOOKUP($B148,اسماء,18,0),0)</f>
        <v>0</v>
      </c>
      <c r="K149" s="593"/>
      <c r="L149" s="594">
        <f>IFERROR(VLOOKUP($B148,اسماء,19,0),0)</f>
        <v>0</v>
      </c>
      <c r="M149" s="596"/>
      <c r="N149" s="594">
        <f>IFERROR(VLOOKUP($B148,اسماء,20,0),0)</f>
        <v>0</v>
      </c>
      <c r="O149" s="596"/>
      <c r="P149" s="592">
        <f>IFERROR(VLOOKUP($B148,اسماء,21,0),0)</f>
        <v>0</v>
      </c>
      <c r="Q149" s="595"/>
      <c r="R149" s="372">
        <f t="shared" ref="R149:R150" si="375">SUM(F149:Q149)</f>
        <v>0</v>
      </c>
      <c r="S149" s="305" t="str">
        <f>IFERROR(VLOOKUP($B148,اسماء,23,0),"")</f>
        <v/>
      </c>
      <c r="T149" s="306" t="str">
        <f>IFERROR(VLOOKUP($B148,اسماء,24,0),"")</f>
        <v/>
      </c>
      <c r="U149" s="122" t="str">
        <f>IFERROR(VLOOKUP($B148,اسماء,25,0),"")</f>
        <v/>
      </c>
      <c r="V149" s="605"/>
      <c r="W149" s="19" t="str">
        <f t="shared" si="373"/>
        <v>ضعيف</v>
      </c>
      <c r="X149" s="640"/>
      <c r="Y149" s="8"/>
      <c r="Z149" s="598"/>
      <c r="AK149" s="671"/>
      <c r="AL149" s="671"/>
      <c r="AM149" s="696"/>
      <c r="AN149" s="698"/>
      <c r="AO149" s="699"/>
      <c r="AP149" s="698"/>
    </row>
    <row r="150" spans="1:42" ht="14.85" customHeight="1" x14ac:dyDescent="0.25">
      <c r="A150" s="611"/>
      <c r="B150" s="614"/>
      <c r="C150" s="617"/>
      <c r="D150" s="620"/>
      <c r="E150" s="130" t="s">
        <v>32</v>
      </c>
      <c r="F150" s="592">
        <f>IFERROR(VLOOKUP($B148,اسماء,27,0),0)</f>
        <v>0</v>
      </c>
      <c r="G150" s="593"/>
      <c r="H150" s="594">
        <f>IFERROR(VLOOKUP($B148,اسماء,28,0),0)</f>
        <v>0</v>
      </c>
      <c r="I150" s="595"/>
      <c r="J150" s="592">
        <f>IFERROR(VLOOKUP($B148,اسماء,29,0),0)</f>
        <v>0</v>
      </c>
      <c r="K150" s="593"/>
      <c r="L150" s="594">
        <f>IFERROR(VLOOKUP($B148,اسماء,30,0),0)</f>
        <v>0</v>
      </c>
      <c r="M150" s="596"/>
      <c r="N150" s="594">
        <f>IFERROR(VLOOKUP($B148,اسماء,31,0),0)</f>
        <v>0</v>
      </c>
      <c r="O150" s="596"/>
      <c r="P150" s="592">
        <f>IFERROR(VLOOKUP($B148,اسماء,32,0),0)</f>
        <v>0</v>
      </c>
      <c r="Q150" s="595"/>
      <c r="R150" s="372">
        <f t="shared" si="375"/>
        <v>0</v>
      </c>
      <c r="S150" s="305" t="str">
        <f>IFERROR(VLOOKUP($B148,اسماء,34,0),"")</f>
        <v/>
      </c>
      <c r="T150" s="306" t="str">
        <f>IFERROR(VLOOKUP($B148,اسماء,35,0),"")</f>
        <v/>
      </c>
      <c r="U150" s="122" t="str">
        <f>IFERROR(VLOOKUP($B148,اسماء,36,0),"")</f>
        <v/>
      </c>
      <c r="V150" s="605"/>
      <c r="W150" s="20" t="str">
        <f t="shared" ref="W150" si="376">LOOKUP(R150,$AF$6:$AG$10)</f>
        <v>ضعيف</v>
      </c>
      <c r="X150" s="640"/>
      <c r="Y150" s="68"/>
      <c r="Z150" s="598"/>
      <c r="AK150" s="671"/>
      <c r="AL150" s="671"/>
      <c r="AM150" s="696"/>
      <c r="AN150" s="698"/>
      <c r="AO150" s="699"/>
      <c r="AP150" s="698"/>
    </row>
    <row r="151" spans="1:42" ht="14.85" customHeight="1" thickBot="1" x14ac:dyDescent="0.3">
      <c r="A151" s="612"/>
      <c r="B151" s="615"/>
      <c r="C151" s="618"/>
      <c r="D151" s="621"/>
      <c r="E151" s="124" t="s">
        <v>33</v>
      </c>
      <c r="F151" s="623">
        <f>SUM(F148:G150)</f>
        <v>0</v>
      </c>
      <c r="G151" s="624"/>
      <c r="H151" s="625">
        <f>SUM(H148:I150)</f>
        <v>0</v>
      </c>
      <c r="I151" s="626"/>
      <c r="J151" s="623">
        <f>SUM(J148:K150)</f>
        <v>0</v>
      </c>
      <c r="K151" s="624"/>
      <c r="L151" s="625">
        <f>SUM(L148:M150)</f>
        <v>0</v>
      </c>
      <c r="M151" s="642"/>
      <c r="N151" s="625">
        <f>SUM(N148:O150)</f>
        <v>0</v>
      </c>
      <c r="O151" s="642"/>
      <c r="P151" s="623">
        <f>SUM(P148:Q150)</f>
        <v>0</v>
      </c>
      <c r="Q151" s="626"/>
      <c r="R151" s="88">
        <f>IF(AND(F151&gt;=$G$8,H151&gt;=$I$8,J151&gt;=$K$8,L151&gt;=$M$8,N151&gt;=$O$8,P151&gt;=$Q$8),SUM(F151:Q151),0)</f>
        <v>0</v>
      </c>
      <c r="S151" s="251"/>
      <c r="T151" s="97"/>
      <c r="U151" s="94"/>
      <c r="V151" s="606"/>
      <c r="W151" s="88" t="str">
        <f t="shared" ref="W151" si="377">LOOKUP(R151,$AI$6:$AJ$10)</f>
        <v>ضعيف</v>
      </c>
      <c r="X151" s="641"/>
      <c r="Y151" s="68"/>
      <c r="Z151" s="599"/>
      <c r="AK151" s="671"/>
      <c r="AL151" s="671"/>
      <c r="AM151" s="696"/>
      <c r="AN151" s="698"/>
      <c r="AO151" s="699"/>
      <c r="AP151" s="698"/>
    </row>
    <row r="152" spans="1:42" ht="14.85" customHeight="1" thickBot="1" x14ac:dyDescent="0.3">
      <c r="A152" s="610">
        <v>32</v>
      </c>
      <c r="B152" s="613">
        <f>VLOOKUP(A152,مسلسل,2,0)</f>
        <v>0</v>
      </c>
      <c r="C152" s="616" t="str">
        <f>IFERROR(VLOOKUP(B152,اسماء,2,0),"")</f>
        <v/>
      </c>
      <c r="D152" s="619" t="str">
        <f>IFERROR(VLOOKUP($B152,اسماء,3,0),"")</f>
        <v/>
      </c>
      <c r="E152" s="129" t="s">
        <v>30</v>
      </c>
      <c r="F152" s="600">
        <f>IFERROR(VLOOKUP($B152,اسماء,5,0),0)</f>
        <v>0</v>
      </c>
      <c r="G152" s="601"/>
      <c r="H152" s="602">
        <f>IFERROR(VLOOKUP($B152,اسماء,6,0),0)</f>
        <v>0</v>
      </c>
      <c r="I152" s="622"/>
      <c r="J152" s="600">
        <f>IFERROR(VLOOKUP($B152,اسماء,7,0),0)</f>
        <v>0</v>
      </c>
      <c r="K152" s="601"/>
      <c r="L152" s="602">
        <f>IFERROR(VLOOKUP($B152,اسماء,8,0),0)</f>
        <v>0</v>
      </c>
      <c r="M152" s="603"/>
      <c r="N152" s="602">
        <f>IFERROR(VLOOKUP($B152,اسماء,9,0),0)</f>
        <v>0</v>
      </c>
      <c r="O152" s="603"/>
      <c r="P152" s="600">
        <f>IFERROR(VLOOKUP($B152,اسماء,10,0),0)</f>
        <v>0</v>
      </c>
      <c r="Q152" s="622"/>
      <c r="R152" s="371">
        <f t="shared" ref="R152:R186" si="378">SUM(F152:Q152)</f>
        <v>0</v>
      </c>
      <c r="S152" s="213" t="str">
        <f>IFERROR(VLOOKUP($B152,اسماء,12,0),"")</f>
        <v/>
      </c>
      <c r="T152" s="214" t="str">
        <f>IFERROR(VLOOKUP($B152,اسماء,13,0),"")</f>
        <v/>
      </c>
      <c r="U152" s="364" t="str">
        <f>IFERROR(VLOOKUP($B152,اسماء,14,0),"")</f>
        <v/>
      </c>
      <c r="V152" s="604" t="str">
        <f t="shared" ref="V152" si="379">IF(Z152="غائب","راسب",IF(R155&gt;0,"ناجح","مرحل"))</f>
        <v>مرحل</v>
      </c>
      <c r="W152" s="19" t="str">
        <f t="shared" ref="W152:W153" si="380">LOOKUP(R152,$AC$6:$AD$10)</f>
        <v>ضعيف</v>
      </c>
      <c r="X152" s="639">
        <f t="shared" ref="X152" si="381">R155/$AC$3</f>
        <v>0</v>
      </c>
      <c r="Y152" s="8"/>
      <c r="Z152" s="597" t="str">
        <f>IFERROR(VLOOKUP($B152,اسماء,48,0),"")</f>
        <v/>
      </c>
      <c r="AK152" s="667" t="str">
        <f t="shared" ref="AK152" si="382">IF(R155=0,"",R155/1+ROW()*0.00001)</f>
        <v/>
      </c>
      <c r="AL152" s="667">
        <f>B152</f>
        <v>0</v>
      </c>
      <c r="AM152" s="696"/>
      <c r="AN152" s="698">
        <v>32</v>
      </c>
      <c r="AO152" s="699" t="str">
        <f>IFERROR(LARGE($AK$10:$AK$1420,AN152),"")</f>
        <v/>
      </c>
      <c r="AP152" s="698" t="str">
        <f>VLOOKUP(AO152,$AK$10:$AL$1530,2,0)</f>
        <v>امجد عمر عبداللطيف سلطان</v>
      </c>
    </row>
    <row r="153" spans="1:42" ht="14.85" customHeight="1" x14ac:dyDescent="0.25">
      <c r="A153" s="611"/>
      <c r="B153" s="614"/>
      <c r="C153" s="617"/>
      <c r="D153" s="620"/>
      <c r="E153" s="130" t="s">
        <v>31</v>
      </c>
      <c r="F153" s="592">
        <f>IFERROR(VLOOKUP($B152,اسماء,15,0),0)</f>
        <v>0</v>
      </c>
      <c r="G153" s="593"/>
      <c r="H153" s="594">
        <f>IFERROR(VLOOKUP($B152,اسماء,16,0),0)</f>
        <v>0</v>
      </c>
      <c r="I153" s="595"/>
      <c r="J153" s="592">
        <f>IFERROR(VLOOKUP($B152,اسماء,17,0),0)</f>
        <v>0</v>
      </c>
      <c r="K153" s="593"/>
      <c r="L153" s="594">
        <f>IFERROR(VLOOKUP($B152,اسماء,18,0),0)</f>
        <v>0</v>
      </c>
      <c r="M153" s="596"/>
      <c r="N153" s="594">
        <f>IFERROR(VLOOKUP($B152,اسماء,19,0),0)</f>
        <v>0</v>
      </c>
      <c r="O153" s="596"/>
      <c r="P153" s="592">
        <f>IFERROR(VLOOKUP($B152,اسماء,20,0),0)</f>
        <v>0</v>
      </c>
      <c r="Q153" s="595"/>
      <c r="R153" s="372">
        <f t="shared" si="378"/>
        <v>0</v>
      </c>
      <c r="S153" s="305" t="str">
        <f>IFERROR(VLOOKUP($B152,اسماء,23,0),"")</f>
        <v/>
      </c>
      <c r="T153" s="306" t="str">
        <f>IFERROR(VLOOKUP($B152,اسماء,24,0),"")</f>
        <v/>
      </c>
      <c r="U153" s="122" t="str">
        <f>IFERROR(VLOOKUP($B152,اسماء,25,0),"")</f>
        <v/>
      </c>
      <c r="V153" s="605"/>
      <c r="W153" s="19" t="str">
        <f t="shared" si="380"/>
        <v>ضعيف</v>
      </c>
      <c r="X153" s="640"/>
      <c r="Y153" s="68"/>
      <c r="Z153" s="598"/>
      <c r="AK153" s="667"/>
      <c r="AL153" s="667"/>
      <c r="AM153" s="696"/>
      <c r="AN153" s="698"/>
      <c r="AO153" s="699"/>
      <c r="AP153" s="698"/>
    </row>
    <row r="154" spans="1:42" ht="14.85" customHeight="1" x14ac:dyDescent="0.25">
      <c r="A154" s="611"/>
      <c r="B154" s="614"/>
      <c r="C154" s="617"/>
      <c r="D154" s="620"/>
      <c r="E154" s="130" t="s">
        <v>32</v>
      </c>
      <c r="F154" s="592">
        <f>IFERROR(VLOOKUP($B152,اسماء,25,0),0)</f>
        <v>0</v>
      </c>
      <c r="G154" s="593"/>
      <c r="H154" s="594">
        <f>IFERROR(VLOOKUP($B152,اسماء,26,0),0)</f>
        <v>0</v>
      </c>
      <c r="I154" s="595"/>
      <c r="J154" s="592">
        <f>IFERROR(VLOOKUP($B152,اسماء,27,0),0)</f>
        <v>0</v>
      </c>
      <c r="K154" s="593"/>
      <c r="L154" s="594">
        <f>IFERROR(VLOOKUP($B152,اسماء,28,0),0)</f>
        <v>0</v>
      </c>
      <c r="M154" s="596"/>
      <c r="N154" s="594">
        <f>IFERROR(VLOOKUP($B152,اسماء,29,0),0)</f>
        <v>0</v>
      </c>
      <c r="O154" s="596"/>
      <c r="P154" s="592">
        <f>IFERROR(VLOOKUP($B152,اسماء,30,0),0)</f>
        <v>0</v>
      </c>
      <c r="Q154" s="595"/>
      <c r="R154" s="372">
        <f t="shared" si="378"/>
        <v>0</v>
      </c>
      <c r="S154" s="305" t="str">
        <f>IFERROR(VLOOKUP($B152,اسماء,34,0),"")</f>
        <v/>
      </c>
      <c r="T154" s="306" t="str">
        <f>IFERROR(VLOOKUP($B152,اسماء,35,0),"")</f>
        <v/>
      </c>
      <c r="U154" s="122" t="str">
        <f>IFERROR(VLOOKUP($B152,اسماء,36,0),"")</f>
        <v/>
      </c>
      <c r="V154" s="605"/>
      <c r="W154" s="20" t="str">
        <f t="shared" ref="W154" si="383">LOOKUP(R154,$AF$6:$AG$10)</f>
        <v>ضعيف</v>
      </c>
      <c r="X154" s="640"/>
      <c r="Y154" s="68"/>
      <c r="Z154" s="598"/>
      <c r="AK154" s="667"/>
      <c r="AL154" s="667"/>
      <c r="AM154" s="696"/>
      <c r="AN154" s="698"/>
      <c r="AO154" s="699"/>
      <c r="AP154" s="698"/>
    </row>
    <row r="155" spans="1:42" ht="14.85" customHeight="1" thickBot="1" x14ac:dyDescent="0.3">
      <c r="A155" s="612"/>
      <c r="B155" s="615"/>
      <c r="C155" s="618"/>
      <c r="D155" s="621"/>
      <c r="E155" s="124" t="s">
        <v>33</v>
      </c>
      <c r="F155" s="623">
        <f>SUM(F152:G154)</f>
        <v>0</v>
      </c>
      <c r="G155" s="624"/>
      <c r="H155" s="625">
        <f>SUM(H152:I154)</f>
        <v>0</v>
      </c>
      <c r="I155" s="626"/>
      <c r="J155" s="623">
        <f>SUM(J152:K154)</f>
        <v>0</v>
      </c>
      <c r="K155" s="624"/>
      <c r="L155" s="625">
        <f>SUM(L152:M154)</f>
        <v>0</v>
      </c>
      <c r="M155" s="642"/>
      <c r="N155" s="625">
        <f>SUM(N152:O154)</f>
        <v>0</v>
      </c>
      <c r="O155" s="642"/>
      <c r="P155" s="623">
        <f>SUM(P152:Q154)</f>
        <v>0</v>
      </c>
      <c r="Q155" s="626"/>
      <c r="R155" s="88">
        <f t="shared" ref="R155" si="384">IF(AND(F155&gt;=$G$8,H155&gt;=$I$8,J155&gt;=$K$8,L155&gt;=$M$8,N155&gt;=$O$8,P155&gt;=$Q$8),SUM(F155:Q155),0)</f>
        <v>0</v>
      </c>
      <c r="S155" s="251"/>
      <c r="T155" s="97"/>
      <c r="U155" s="94"/>
      <c r="V155" s="606"/>
      <c r="W155" s="88" t="str">
        <f t="shared" ref="W155" si="385">LOOKUP(R155,$AI$6:$AJ$10)</f>
        <v>ضعيف</v>
      </c>
      <c r="X155" s="641"/>
      <c r="Y155" s="8"/>
      <c r="Z155" s="599"/>
      <c r="AK155" s="667"/>
      <c r="AL155" s="667"/>
      <c r="AM155" s="696"/>
      <c r="AN155" s="698"/>
      <c r="AO155" s="699"/>
      <c r="AP155" s="698"/>
    </row>
    <row r="156" spans="1:42" ht="14.85" customHeight="1" thickBot="1" x14ac:dyDescent="0.3">
      <c r="A156" s="610">
        <v>33</v>
      </c>
      <c r="B156" s="613">
        <f>VLOOKUP(A156,مسلسل,2,0)</f>
        <v>0</v>
      </c>
      <c r="C156" s="616" t="str">
        <f>IFERROR(VLOOKUP(B156,اسماء,2,0),"")</f>
        <v/>
      </c>
      <c r="D156" s="619" t="str">
        <f>IFERROR(VLOOKUP($B156,اسماء,3,0),"")</f>
        <v/>
      </c>
      <c r="E156" s="129" t="s">
        <v>30</v>
      </c>
      <c r="F156" s="600">
        <f>IFERROR(VLOOKUP($B156,اسماء,5,0),0)</f>
        <v>0</v>
      </c>
      <c r="G156" s="601"/>
      <c r="H156" s="602">
        <f>IFERROR(VLOOKUP($B156,اسماء,6,0),0)</f>
        <v>0</v>
      </c>
      <c r="I156" s="622"/>
      <c r="J156" s="600">
        <f>IFERROR(VLOOKUP($B156,اسماء,7,0),0)</f>
        <v>0</v>
      </c>
      <c r="K156" s="601"/>
      <c r="L156" s="602">
        <f>IFERROR(VLOOKUP($B156,اسماء,8,0),0)</f>
        <v>0</v>
      </c>
      <c r="M156" s="603"/>
      <c r="N156" s="602">
        <f>IFERROR(VLOOKUP($B156,اسماء,9,0),0)</f>
        <v>0</v>
      </c>
      <c r="O156" s="603"/>
      <c r="P156" s="600">
        <f>IFERROR(VLOOKUP($B156,اسماء,10,0),0)</f>
        <v>0</v>
      </c>
      <c r="Q156" s="622"/>
      <c r="R156" s="371">
        <f t="shared" ref="R156" si="386">SUM(F156:Q156)</f>
        <v>0</v>
      </c>
      <c r="S156" s="213" t="str">
        <f>IFERROR(VLOOKUP($B156,اسماء,12,0),"")</f>
        <v/>
      </c>
      <c r="T156" s="214" t="str">
        <f>IFERROR(VLOOKUP($B156,اسماء,13,0),"")</f>
        <v/>
      </c>
      <c r="U156" s="364" t="str">
        <f>IFERROR(VLOOKUP($B156,اسماء,14,0),"")</f>
        <v/>
      </c>
      <c r="V156" s="604" t="str">
        <f t="shared" ref="V156" si="387">IF(Z156="غائب","راسب",IF(R159&gt;0,"ناجح","مرحل"))</f>
        <v>مرحل</v>
      </c>
      <c r="W156" s="19" t="str">
        <f t="shared" ref="W156:W157" si="388">LOOKUP(R156,$AC$6:$AD$10)</f>
        <v>ضعيف</v>
      </c>
      <c r="X156" s="639">
        <f t="shared" ref="X156" si="389">R159/$AC$3</f>
        <v>0</v>
      </c>
      <c r="Y156" s="68"/>
      <c r="Z156" s="597" t="str">
        <f>IFERROR(VLOOKUP($B156,اسماء,48,0),"")</f>
        <v/>
      </c>
      <c r="AK156" s="667" t="str">
        <f t="shared" ref="AK156" si="390">IF(R159=0,"",R159/1+ROW()*0.00001)</f>
        <v/>
      </c>
      <c r="AL156" s="667">
        <f>B156</f>
        <v>0</v>
      </c>
      <c r="AM156" s="696"/>
      <c r="AN156" s="698">
        <v>33</v>
      </c>
      <c r="AO156" s="699" t="str">
        <f>IFERROR(LARGE($AK$10:$AK$1420,AN156),"")</f>
        <v/>
      </c>
      <c r="AP156" s="698" t="str">
        <f>VLOOKUP(AO156,$AK$10:$AL$1530,2,0)</f>
        <v>امجد عمر عبداللطيف سلطان</v>
      </c>
    </row>
    <row r="157" spans="1:42" ht="14.85" customHeight="1" x14ac:dyDescent="0.25">
      <c r="A157" s="611"/>
      <c r="B157" s="614"/>
      <c r="C157" s="617"/>
      <c r="D157" s="620"/>
      <c r="E157" s="130" t="s">
        <v>31</v>
      </c>
      <c r="F157" s="592">
        <f>IFERROR(VLOOKUP($B156,اسماء,15,0),0)</f>
        <v>0</v>
      </c>
      <c r="G157" s="593"/>
      <c r="H157" s="594">
        <f>IFERROR(VLOOKUP($B156,اسماء,16,0),0)</f>
        <v>0</v>
      </c>
      <c r="I157" s="595"/>
      <c r="J157" s="592">
        <f>IFERROR(VLOOKUP($B156,اسماء,17,0),0)</f>
        <v>0</v>
      </c>
      <c r="K157" s="593"/>
      <c r="L157" s="594">
        <f>IFERROR(VLOOKUP($B156,اسماء,18,0),0)</f>
        <v>0</v>
      </c>
      <c r="M157" s="596"/>
      <c r="N157" s="594">
        <f>IFERROR(VLOOKUP($B156,اسماء,19,0),0)</f>
        <v>0</v>
      </c>
      <c r="O157" s="596"/>
      <c r="P157" s="592">
        <f>IFERROR(VLOOKUP($B156,اسماء,20,0),0)</f>
        <v>0</v>
      </c>
      <c r="Q157" s="595"/>
      <c r="R157" s="372">
        <f t="shared" si="378"/>
        <v>0</v>
      </c>
      <c r="S157" s="305" t="str">
        <f>IFERROR(VLOOKUP($B156,اسماء,23,0),"")</f>
        <v/>
      </c>
      <c r="T157" s="306" t="str">
        <f>IFERROR(VLOOKUP($B156,اسماء,24,0),"")</f>
        <v/>
      </c>
      <c r="U157" s="122" t="str">
        <f>IFERROR(VLOOKUP($B156,اسماء,25,0),"")</f>
        <v/>
      </c>
      <c r="V157" s="605"/>
      <c r="W157" s="19" t="str">
        <f t="shared" si="388"/>
        <v>ضعيف</v>
      </c>
      <c r="X157" s="640"/>
      <c r="Y157" s="68"/>
      <c r="Z157" s="598"/>
      <c r="AK157" s="667"/>
      <c r="AL157" s="667"/>
      <c r="AM157" s="696"/>
      <c r="AN157" s="698"/>
      <c r="AO157" s="699"/>
      <c r="AP157" s="698"/>
    </row>
    <row r="158" spans="1:42" ht="14.85" customHeight="1" x14ac:dyDescent="0.25">
      <c r="A158" s="611"/>
      <c r="B158" s="614"/>
      <c r="C158" s="617"/>
      <c r="D158" s="620"/>
      <c r="E158" s="130" t="s">
        <v>32</v>
      </c>
      <c r="F158" s="592">
        <f>IFERROR(VLOOKUP($B156,اسماء,25,0),0)</f>
        <v>0</v>
      </c>
      <c r="G158" s="593"/>
      <c r="H158" s="594">
        <f>IFERROR(VLOOKUP($B156,اسماء,26,0),0)</f>
        <v>0</v>
      </c>
      <c r="I158" s="595"/>
      <c r="J158" s="592">
        <f>IFERROR(VLOOKUP($B156,اسماء,27,0),0)</f>
        <v>0</v>
      </c>
      <c r="K158" s="593"/>
      <c r="L158" s="594">
        <f>IFERROR(VLOOKUP($B156,اسماء,28,0),0)</f>
        <v>0</v>
      </c>
      <c r="M158" s="596"/>
      <c r="N158" s="594">
        <f>IFERROR(VLOOKUP($B156,اسماء,29,0),0)</f>
        <v>0</v>
      </c>
      <c r="O158" s="596"/>
      <c r="P158" s="592">
        <f>IFERROR(VLOOKUP($B156,اسماء,30,0),0)</f>
        <v>0</v>
      </c>
      <c r="Q158" s="595"/>
      <c r="R158" s="372">
        <f t="shared" si="378"/>
        <v>0</v>
      </c>
      <c r="S158" s="305" t="str">
        <f>IFERROR(VLOOKUP($B156,اسماء,34,0),"")</f>
        <v/>
      </c>
      <c r="T158" s="306" t="str">
        <f>IFERROR(VLOOKUP($B156,اسماء,35,0),"")</f>
        <v/>
      </c>
      <c r="U158" s="122" t="str">
        <f>IFERROR(VLOOKUP($B156,اسماء,36,0),"")</f>
        <v/>
      </c>
      <c r="V158" s="605"/>
      <c r="W158" s="20" t="str">
        <f t="shared" ref="W158" si="391">LOOKUP(R158,$AF$6:$AG$10)</f>
        <v>ضعيف</v>
      </c>
      <c r="X158" s="640"/>
      <c r="Y158" s="8"/>
      <c r="Z158" s="598"/>
      <c r="AK158" s="667"/>
      <c r="AL158" s="667"/>
      <c r="AM158" s="696"/>
      <c r="AN158" s="698"/>
      <c r="AO158" s="699"/>
      <c r="AP158" s="698"/>
    </row>
    <row r="159" spans="1:42" ht="14.85" customHeight="1" thickBot="1" x14ac:dyDescent="0.3">
      <c r="A159" s="612"/>
      <c r="B159" s="615"/>
      <c r="C159" s="618"/>
      <c r="D159" s="621"/>
      <c r="E159" s="124" t="s">
        <v>33</v>
      </c>
      <c r="F159" s="623">
        <f t="shared" ref="F159" si="392">SUM(F156:G158)</f>
        <v>0</v>
      </c>
      <c r="G159" s="624"/>
      <c r="H159" s="625">
        <f t="shared" ref="H159" si="393">SUM(H156:I158)</f>
        <v>0</v>
      </c>
      <c r="I159" s="626"/>
      <c r="J159" s="623">
        <f t="shared" ref="J159" si="394">SUM(J156:K158)</f>
        <v>0</v>
      </c>
      <c r="K159" s="624"/>
      <c r="L159" s="625">
        <f t="shared" ref="L159" si="395">SUM(L156:M158)</f>
        <v>0</v>
      </c>
      <c r="M159" s="642"/>
      <c r="N159" s="625">
        <f t="shared" ref="N159" si="396">SUM(N156:O158)</f>
        <v>0</v>
      </c>
      <c r="O159" s="642"/>
      <c r="P159" s="623">
        <f t="shared" ref="P159" si="397">SUM(P156:Q158)</f>
        <v>0</v>
      </c>
      <c r="Q159" s="626"/>
      <c r="R159" s="88">
        <f t="shared" ref="R159" si="398">IF(AND(F159&gt;=$G$8,H159&gt;=$I$8,J159&gt;=$K$8,L159&gt;=$M$8,N159&gt;=$O$8,P159&gt;=$Q$8),SUM(F159:Q159),0)</f>
        <v>0</v>
      </c>
      <c r="S159" s="251"/>
      <c r="T159" s="97"/>
      <c r="U159" s="94"/>
      <c r="V159" s="606"/>
      <c r="W159" s="88" t="str">
        <f t="shared" ref="W159" si="399">LOOKUP(R159,$AI$6:$AJ$10)</f>
        <v>ضعيف</v>
      </c>
      <c r="X159" s="641"/>
      <c r="Y159" s="68"/>
      <c r="Z159" s="599"/>
      <c r="AK159" s="667"/>
      <c r="AL159" s="667"/>
      <c r="AM159" s="696"/>
      <c r="AN159" s="698"/>
      <c r="AO159" s="699"/>
      <c r="AP159" s="698"/>
    </row>
    <row r="160" spans="1:42" ht="14.85" customHeight="1" thickBot="1" x14ac:dyDescent="0.3">
      <c r="A160" s="610">
        <v>34</v>
      </c>
      <c r="B160" s="613">
        <f>VLOOKUP(A160,مسلسل,2,0)</f>
        <v>0</v>
      </c>
      <c r="C160" s="616" t="str">
        <f>IFERROR(VLOOKUP(B160,اسماء,2,0),"")</f>
        <v/>
      </c>
      <c r="D160" s="619" t="str">
        <f>IFERROR(VLOOKUP($B160,اسماء,3,0),"")</f>
        <v/>
      </c>
      <c r="E160" s="129" t="s">
        <v>30</v>
      </c>
      <c r="F160" s="600">
        <f>IFERROR(VLOOKUP($B160,اسماء,5,0),0)</f>
        <v>0</v>
      </c>
      <c r="G160" s="601"/>
      <c r="H160" s="602">
        <f>IFERROR(VLOOKUP($B160,اسماء,6,0),0)</f>
        <v>0</v>
      </c>
      <c r="I160" s="622"/>
      <c r="J160" s="600">
        <f>IFERROR(VLOOKUP($B160,اسماء,7,0),0)</f>
        <v>0</v>
      </c>
      <c r="K160" s="601"/>
      <c r="L160" s="602">
        <f>IFERROR(VLOOKUP($B160,اسماء,8,0),0)</f>
        <v>0</v>
      </c>
      <c r="M160" s="603"/>
      <c r="N160" s="602">
        <f>IFERROR(VLOOKUP($B160,اسماء,9,0),0)</f>
        <v>0</v>
      </c>
      <c r="O160" s="603"/>
      <c r="P160" s="600">
        <f>IFERROR(VLOOKUP($B160,اسماء,10,0),0)</f>
        <v>0</v>
      </c>
      <c r="Q160" s="622"/>
      <c r="R160" s="371">
        <f t="shared" ref="R160" si="400">SUM(F160:Q160)</f>
        <v>0</v>
      </c>
      <c r="S160" s="213" t="str">
        <f>IFERROR(VLOOKUP($B160,اسماء,12,0),"")</f>
        <v/>
      </c>
      <c r="T160" s="214" t="str">
        <f>IFERROR(VLOOKUP($B160,اسماء,13,0),"")</f>
        <v/>
      </c>
      <c r="U160" s="364" t="str">
        <f>IFERROR(VLOOKUP($B160,اسماء,14,0),"")</f>
        <v/>
      </c>
      <c r="V160" s="604" t="str">
        <f t="shared" ref="V160" si="401">IF(Z160="غائب","راسب",IF(R163&gt;0,"ناجح","مرحل"))</f>
        <v>مرحل</v>
      </c>
      <c r="W160" s="19" t="str">
        <f t="shared" ref="W160:W161" si="402">LOOKUP(R160,$AC$6:$AD$10)</f>
        <v>ضعيف</v>
      </c>
      <c r="X160" s="639">
        <f t="shared" ref="X160" si="403">R163/$AC$3</f>
        <v>0</v>
      </c>
      <c r="Y160" s="68"/>
      <c r="Z160" s="597" t="str">
        <f>IFERROR(VLOOKUP($B160,اسماء,48,0),"")</f>
        <v/>
      </c>
      <c r="AK160" s="667" t="str">
        <f t="shared" ref="AK160" si="404">IF(R163=0,"",R163/1+ROW()*0.00001)</f>
        <v/>
      </c>
      <c r="AL160" s="667">
        <f>B160</f>
        <v>0</v>
      </c>
      <c r="AM160" s="696"/>
      <c r="AN160" s="698">
        <v>34</v>
      </c>
      <c r="AO160" s="699" t="str">
        <f>IFERROR(LARGE($AK$10:$AK$1420,AN160),"")</f>
        <v/>
      </c>
      <c r="AP160" s="698" t="str">
        <f>VLOOKUP(AO160,$AK$10:$AL$1530,2,0)</f>
        <v>امجد عمر عبداللطيف سلطان</v>
      </c>
    </row>
    <row r="161" spans="1:42" ht="14.85" customHeight="1" x14ac:dyDescent="0.25">
      <c r="A161" s="611"/>
      <c r="B161" s="614"/>
      <c r="C161" s="617"/>
      <c r="D161" s="620"/>
      <c r="E161" s="130" t="s">
        <v>31</v>
      </c>
      <c r="F161" s="592">
        <f>IFERROR(VLOOKUP($B160,اسماء,15,0),0)</f>
        <v>0</v>
      </c>
      <c r="G161" s="593"/>
      <c r="H161" s="594">
        <f>IFERROR(VLOOKUP($B160,اسماء,16,0),0)</f>
        <v>0</v>
      </c>
      <c r="I161" s="595"/>
      <c r="J161" s="592">
        <f>IFERROR(VLOOKUP($B160,اسماء,17,0),0)</f>
        <v>0</v>
      </c>
      <c r="K161" s="593"/>
      <c r="L161" s="594">
        <f>IFERROR(VLOOKUP($B160,اسماء,18,0),0)</f>
        <v>0</v>
      </c>
      <c r="M161" s="596"/>
      <c r="N161" s="594">
        <f>IFERROR(VLOOKUP($B160,اسماء,19,0),0)</f>
        <v>0</v>
      </c>
      <c r="O161" s="596"/>
      <c r="P161" s="592">
        <f>IFERROR(VLOOKUP($B160,اسماء,20,0),0)</f>
        <v>0</v>
      </c>
      <c r="Q161" s="595"/>
      <c r="R161" s="372">
        <f t="shared" si="378"/>
        <v>0</v>
      </c>
      <c r="S161" s="305" t="str">
        <f>IFERROR(VLOOKUP($B160,اسماء,23,0),"")</f>
        <v/>
      </c>
      <c r="T161" s="306" t="str">
        <f>IFERROR(VLOOKUP($B160,اسماء,24,0),"")</f>
        <v/>
      </c>
      <c r="U161" s="122" t="str">
        <f>IFERROR(VLOOKUP($B160,اسماء,25,0),"")</f>
        <v/>
      </c>
      <c r="V161" s="605"/>
      <c r="W161" s="19" t="str">
        <f t="shared" si="402"/>
        <v>ضعيف</v>
      </c>
      <c r="X161" s="640"/>
      <c r="Y161" s="8"/>
      <c r="Z161" s="598"/>
      <c r="AK161" s="667"/>
      <c r="AL161" s="667"/>
      <c r="AM161" s="696"/>
      <c r="AN161" s="698"/>
      <c r="AO161" s="699"/>
      <c r="AP161" s="698"/>
    </row>
    <row r="162" spans="1:42" ht="14.85" customHeight="1" x14ac:dyDescent="0.25">
      <c r="A162" s="611"/>
      <c r="B162" s="614"/>
      <c r="C162" s="617"/>
      <c r="D162" s="620"/>
      <c r="E162" s="130" t="s">
        <v>32</v>
      </c>
      <c r="F162" s="592">
        <f>IFERROR(VLOOKUP($B160,اسماء,25,0),0)</f>
        <v>0</v>
      </c>
      <c r="G162" s="593"/>
      <c r="H162" s="594">
        <f>IFERROR(VLOOKUP($B160,اسماء,26,0),0)</f>
        <v>0</v>
      </c>
      <c r="I162" s="595"/>
      <c r="J162" s="592">
        <f>IFERROR(VLOOKUP($B160,اسماء,27,0),0)</f>
        <v>0</v>
      </c>
      <c r="K162" s="593"/>
      <c r="L162" s="594">
        <f>IFERROR(VLOOKUP($B160,اسماء,28,0),0)</f>
        <v>0</v>
      </c>
      <c r="M162" s="596"/>
      <c r="N162" s="594">
        <f>IFERROR(VLOOKUP($B160,اسماء,29,0),0)</f>
        <v>0</v>
      </c>
      <c r="O162" s="596"/>
      <c r="P162" s="592">
        <f>IFERROR(VLOOKUP($B160,اسماء,30,0),0)</f>
        <v>0</v>
      </c>
      <c r="Q162" s="595"/>
      <c r="R162" s="372">
        <f t="shared" si="378"/>
        <v>0</v>
      </c>
      <c r="S162" s="305" t="str">
        <f>IFERROR(VLOOKUP($B160,اسماء,34,0),"")</f>
        <v/>
      </c>
      <c r="T162" s="306" t="str">
        <f>IFERROR(VLOOKUP($B160,اسماء,35,0),"")</f>
        <v/>
      </c>
      <c r="U162" s="122" t="str">
        <f>IFERROR(VLOOKUP($B160,اسماء,36,0),"")</f>
        <v/>
      </c>
      <c r="V162" s="605"/>
      <c r="W162" s="20" t="str">
        <f t="shared" ref="W162" si="405">LOOKUP(R162,$AF$6:$AG$10)</f>
        <v>ضعيف</v>
      </c>
      <c r="X162" s="640"/>
      <c r="Y162" s="68"/>
      <c r="Z162" s="598"/>
      <c r="AK162" s="667"/>
      <c r="AL162" s="667"/>
      <c r="AM162" s="696"/>
      <c r="AN162" s="698"/>
      <c r="AO162" s="699"/>
      <c r="AP162" s="698"/>
    </row>
    <row r="163" spans="1:42" ht="14.85" customHeight="1" thickBot="1" x14ac:dyDescent="0.3">
      <c r="A163" s="612"/>
      <c r="B163" s="615"/>
      <c r="C163" s="618"/>
      <c r="D163" s="621"/>
      <c r="E163" s="124" t="s">
        <v>33</v>
      </c>
      <c r="F163" s="623">
        <f t="shared" ref="F163" si="406">SUM(F160:G162)</f>
        <v>0</v>
      </c>
      <c r="G163" s="624"/>
      <c r="H163" s="625">
        <f t="shared" ref="H163" si="407">SUM(H160:I162)</f>
        <v>0</v>
      </c>
      <c r="I163" s="626"/>
      <c r="J163" s="623">
        <f t="shared" ref="J163" si="408">SUM(J160:K162)</f>
        <v>0</v>
      </c>
      <c r="K163" s="624"/>
      <c r="L163" s="625">
        <f t="shared" ref="L163" si="409">SUM(L160:M162)</f>
        <v>0</v>
      </c>
      <c r="M163" s="642"/>
      <c r="N163" s="625">
        <f t="shared" ref="N163" si="410">SUM(N160:O162)</f>
        <v>0</v>
      </c>
      <c r="O163" s="642"/>
      <c r="P163" s="623">
        <f t="shared" ref="P163" si="411">SUM(P160:Q162)</f>
        <v>0</v>
      </c>
      <c r="Q163" s="626"/>
      <c r="R163" s="88">
        <f t="shared" ref="R163" si="412">IF(AND(F163&gt;=$G$8,H163&gt;=$I$8,J163&gt;=$K$8,L163&gt;=$M$8,N163&gt;=$O$8,P163&gt;=$Q$8),SUM(F163:Q163),0)</f>
        <v>0</v>
      </c>
      <c r="S163" s="251"/>
      <c r="T163" s="97"/>
      <c r="U163" s="94"/>
      <c r="V163" s="606"/>
      <c r="W163" s="88" t="str">
        <f t="shared" ref="W163" si="413">LOOKUP(R163,$AI$6:$AJ$10)</f>
        <v>ضعيف</v>
      </c>
      <c r="X163" s="641"/>
      <c r="Y163" s="68"/>
      <c r="Z163" s="599"/>
      <c r="AK163" s="667"/>
      <c r="AL163" s="667"/>
      <c r="AM163" s="696"/>
      <c r="AN163" s="698"/>
      <c r="AO163" s="699"/>
      <c r="AP163" s="698"/>
    </row>
    <row r="164" spans="1:42" ht="14.85" customHeight="1" thickBot="1" x14ac:dyDescent="0.3">
      <c r="A164" s="610">
        <v>35</v>
      </c>
      <c r="B164" s="613">
        <f>VLOOKUP(A164,مسلسل,2,0)</f>
        <v>0</v>
      </c>
      <c r="C164" s="616" t="str">
        <f>IFERROR(VLOOKUP(B164,اسماء,2,0),"")</f>
        <v/>
      </c>
      <c r="D164" s="619" t="str">
        <f>IFERROR(VLOOKUP($B164,اسماء,3,0),"")</f>
        <v/>
      </c>
      <c r="E164" s="129" t="s">
        <v>30</v>
      </c>
      <c r="F164" s="600">
        <f>IFERROR(VLOOKUP($B164,اسماء,5,0),0)</f>
        <v>0</v>
      </c>
      <c r="G164" s="601"/>
      <c r="H164" s="602">
        <f>IFERROR(VLOOKUP($B164,اسماء,6,0),0)</f>
        <v>0</v>
      </c>
      <c r="I164" s="622"/>
      <c r="J164" s="600">
        <f>IFERROR(VLOOKUP($B164,اسماء,7,0),0)</f>
        <v>0</v>
      </c>
      <c r="K164" s="601"/>
      <c r="L164" s="602">
        <f>IFERROR(VLOOKUP($B164,اسماء,8,0),0)</f>
        <v>0</v>
      </c>
      <c r="M164" s="603"/>
      <c r="N164" s="602">
        <f>IFERROR(VLOOKUP($B164,اسماء,9,0),0)</f>
        <v>0</v>
      </c>
      <c r="O164" s="603"/>
      <c r="P164" s="600">
        <f>IFERROR(VLOOKUP($B164,اسماء,10,0),0)</f>
        <v>0</v>
      </c>
      <c r="Q164" s="622"/>
      <c r="R164" s="371">
        <f t="shared" ref="R164" si="414">SUM(F164:Q164)</f>
        <v>0</v>
      </c>
      <c r="S164" s="213" t="str">
        <f>IFERROR(VLOOKUP($B164,اسماء,12,0),"")</f>
        <v/>
      </c>
      <c r="T164" s="214" t="str">
        <f>IFERROR(VLOOKUP($B164,اسماء,13,0),"")</f>
        <v/>
      </c>
      <c r="U164" s="364" t="str">
        <f>IFERROR(VLOOKUP($B164,اسماء,14,0),"")</f>
        <v/>
      </c>
      <c r="V164" s="604" t="str">
        <f t="shared" ref="V164" si="415">IF(Z164="غائب","راسب",IF(R167&gt;0,"ناجح","مرحل"))</f>
        <v>مرحل</v>
      </c>
      <c r="W164" s="19" t="str">
        <f t="shared" ref="W164:W165" si="416">LOOKUP(R164,$AC$6:$AD$10)</f>
        <v>ضعيف</v>
      </c>
      <c r="X164" s="639">
        <f t="shared" ref="X164" si="417">R167/$AC$3</f>
        <v>0</v>
      </c>
      <c r="Y164" s="8"/>
      <c r="Z164" s="597" t="str">
        <f>IFERROR(VLOOKUP($B164,اسماء,48,0),"")</f>
        <v/>
      </c>
      <c r="AK164" s="667" t="str">
        <f t="shared" ref="AK164" si="418">IF(R167=0,"",R167/1+ROW()*0.00001)</f>
        <v/>
      </c>
      <c r="AL164" s="667">
        <f>B164</f>
        <v>0</v>
      </c>
      <c r="AM164" s="696"/>
      <c r="AN164" s="698">
        <v>35</v>
      </c>
      <c r="AO164" s="699" t="str">
        <f>IFERROR(LARGE($AK$10:$AK$1420,AN164),"")</f>
        <v/>
      </c>
      <c r="AP164" s="698" t="str">
        <f>VLOOKUP(AO164,$AK$10:$AL$1530,2,0)</f>
        <v>امجد عمر عبداللطيف سلطان</v>
      </c>
    </row>
    <row r="165" spans="1:42" ht="14.85" customHeight="1" x14ac:dyDescent="0.25">
      <c r="A165" s="611"/>
      <c r="B165" s="614"/>
      <c r="C165" s="617"/>
      <c r="D165" s="620"/>
      <c r="E165" s="130" t="s">
        <v>31</v>
      </c>
      <c r="F165" s="592">
        <f>IFERROR(VLOOKUP($B164,اسماء,15,0),0)</f>
        <v>0</v>
      </c>
      <c r="G165" s="593"/>
      <c r="H165" s="594">
        <f>IFERROR(VLOOKUP($B164,اسماء,16,0),0)</f>
        <v>0</v>
      </c>
      <c r="I165" s="595"/>
      <c r="J165" s="592">
        <f>IFERROR(VLOOKUP($B164,اسماء,17,0),0)</f>
        <v>0</v>
      </c>
      <c r="K165" s="593"/>
      <c r="L165" s="594">
        <f>IFERROR(VLOOKUP($B164,اسماء,18,0),0)</f>
        <v>0</v>
      </c>
      <c r="M165" s="596"/>
      <c r="N165" s="594">
        <f>IFERROR(VLOOKUP($B164,اسماء,19,0),0)</f>
        <v>0</v>
      </c>
      <c r="O165" s="596"/>
      <c r="P165" s="592">
        <f>IFERROR(VLOOKUP($B164,اسماء,20,0),0)</f>
        <v>0</v>
      </c>
      <c r="Q165" s="595"/>
      <c r="R165" s="372">
        <f t="shared" si="378"/>
        <v>0</v>
      </c>
      <c r="S165" s="305" t="str">
        <f>IFERROR(VLOOKUP($B164,اسماء,23,0),"")</f>
        <v/>
      </c>
      <c r="T165" s="306" t="str">
        <f>IFERROR(VLOOKUP($B164,اسماء,24,0),"")</f>
        <v/>
      </c>
      <c r="U165" s="122" t="str">
        <f>IFERROR(VLOOKUP($B164,اسماء,25,0),"")</f>
        <v/>
      </c>
      <c r="V165" s="605"/>
      <c r="W165" s="19" t="str">
        <f t="shared" si="416"/>
        <v>ضعيف</v>
      </c>
      <c r="X165" s="640"/>
      <c r="Y165" s="68"/>
      <c r="Z165" s="598"/>
      <c r="AK165" s="667"/>
      <c r="AL165" s="667"/>
      <c r="AM165" s="696"/>
      <c r="AN165" s="698"/>
      <c r="AO165" s="699"/>
      <c r="AP165" s="698"/>
    </row>
    <row r="166" spans="1:42" ht="14.85" customHeight="1" x14ac:dyDescent="0.25">
      <c r="A166" s="611"/>
      <c r="B166" s="614"/>
      <c r="C166" s="617"/>
      <c r="D166" s="620"/>
      <c r="E166" s="130" t="s">
        <v>32</v>
      </c>
      <c r="F166" s="592">
        <f>IFERROR(VLOOKUP($B164,اسماء,25,0),0)</f>
        <v>0</v>
      </c>
      <c r="G166" s="593"/>
      <c r="H166" s="594">
        <f>IFERROR(VLOOKUP($B164,اسماء,26,0),0)</f>
        <v>0</v>
      </c>
      <c r="I166" s="595"/>
      <c r="J166" s="592">
        <f>IFERROR(VLOOKUP($B164,اسماء,27,0),0)</f>
        <v>0</v>
      </c>
      <c r="K166" s="593"/>
      <c r="L166" s="594">
        <f>IFERROR(VLOOKUP($B164,اسماء,28,0),0)</f>
        <v>0</v>
      </c>
      <c r="M166" s="596"/>
      <c r="N166" s="594">
        <f>IFERROR(VLOOKUP($B164,اسماء,29,0),0)</f>
        <v>0</v>
      </c>
      <c r="O166" s="596"/>
      <c r="P166" s="592">
        <f>IFERROR(VLOOKUP($B164,اسماء,30,0),0)</f>
        <v>0</v>
      </c>
      <c r="Q166" s="595"/>
      <c r="R166" s="372">
        <f t="shared" si="378"/>
        <v>0</v>
      </c>
      <c r="S166" s="305" t="str">
        <f>IFERROR(VLOOKUP($B164,اسماء,34,0),"")</f>
        <v/>
      </c>
      <c r="T166" s="306" t="str">
        <f>IFERROR(VLOOKUP($B164,اسماء,35,0),"")</f>
        <v/>
      </c>
      <c r="U166" s="122" t="str">
        <f>IFERROR(VLOOKUP($B164,اسماء,36,0),"")</f>
        <v/>
      </c>
      <c r="V166" s="605"/>
      <c r="W166" s="20" t="str">
        <f t="shared" ref="W166" si="419">LOOKUP(R166,$AF$6:$AG$10)</f>
        <v>ضعيف</v>
      </c>
      <c r="X166" s="640"/>
      <c r="Y166" s="68"/>
      <c r="Z166" s="598"/>
      <c r="AK166" s="667"/>
      <c r="AL166" s="667"/>
      <c r="AM166" s="696"/>
      <c r="AN166" s="698"/>
      <c r="AO166" s="699"/>
      <c r="AP166" s="698"/>
    </row>
    <row r="167" spans="1:42" ht="14.85" customHeight="1" thickBot="1" x14ac:dyDescent="0.3">
      <c r="A167" s="612"/>
      <c r="B167" s="615"/>
      <c r="C167" s="618"/>
      <c r="D167" s="621"/>
      <c r="E167" s="124" t="s">
        <v>33</v>
      </c>
      <c r="F167" s="623">
        <f t="shared" ref="F167" si="420">SUM(F164:G166)</f>
        <v>0</v>
      </c>
      <c r="G167" s="624"/>
      <c r="H167" s="625">
        <f t="shared" ref="H167" si="421">SUM(H164:I166)</f>
        <v>0</v>
      </c>
      <c r="I167" s="626"/>
      <c r="J167" s="623">
        <f t="shared" ref="J167" si="422">SUM(J164:K166)</f>
        <v>0</v>
      </c>
      <c r="K167" s="624"/>
      <c r="L167" s="625">
        <f t="shared" ref="L167" si="423">SUM(L164:M166)</f>
        <v>0</v>
      </c>
      <c r="M167" s="642"/>
      <c r="N167" s="625">
        <f t="shared" ref="N167" si="424">SUM(N164:O166)</f>
        <v>0</v>
      </c>
      <c r="O167" s="642"/>
      <c r="P167" s="623">
        <f t="shared" ref="P167" si="425">SUM(P164:Q166)</f>
        <v>0</v>
      </c>
      <c r="Q167" s="626"/>
      <c r="R167" s="88">
        <f t="shared" ref="R167" si="426">IF(AND(F167&gt;=$G$8,H167&gt;=$I$8,J167&gt;=$K$8,L167&gt;=$M$8,N167&gt;=$O$8,P167&gt;=$Q$8),SUM(F167:Q167),0)</f>
        <v>0</v>
      </c>
      <c r="S167" s="251"/>
      <c r="T167" s="97"/>
      <c r="U167" s="94"/>
      <c r="V167" s="606"/>
      <c r="W167" s="88" t="str">
        <f t="shared" ref="W167" si="427">LOOKUP(R167,$AI$6:$AJ$10)</f>
        <v>ضعيف</v>
      </c>
      <c r="X167" s="641"/>
      <c r="Y167" s="8"/>
      <c r="Z167" s="599"/>
      <c r="AK167" s="667"/>
      <c r="AL167" s="667"/>
      <c r="AM167" s="696"/>
      <c r="AN167" s="698"/>
      <c r="AO167" s="699"/>
      <c r="AP167" s="698"/>
    </row>
    <row r="168" spans="1:42" ht="14.85" customHeight="1" thickBot="1" x14ac:dyDescent="0.3">
      <c r="A168" s="610">
        <v>36</v>
      </c>
      <c r="B168" s="613">
        <f>VLOOKUP(A168,مسلسل,2,0)</f>
        <v>0</v>
      </c>
      <c r="C168" s="616" t="str">
        <f>IFERROR(VLOOKUP(B168,اسماء,2,0),"")</f>
        <v/>
      </c>
      <c r="D168" s="619" t="str">
        <f>IFERROR(VLOOKUP($B168,اسماء,3,0),"")</f>
        <v/>
      </c>
      <c r="E168" s="129" t="s">
        <v>30</v>
      </c>
      <c r="F168" s="600">
        <f>IFERROR(VLOOKUP($B168,اسماء,5,0),0)</f>
        <v>0</v>
      </c>
      <c r="G168" s="601"/>
      <c r="H168" s="602">
        <f>IFERROR(VLOOKUP($B168,اسماء,6,0),0)</f>
        <v>0</v>
      </c>
      <c r="I168" s="622"/>
      <c r="J168" s="600">
        <f>IFERROR(VLOOKUP($B168,اسماء,7,0),0)</f>
        <v>0</v>
      </c>
      <c r="K168" s="601"/>
      <c r="L168" s="602">
        <f>IFERROR(VLOOKUP($B168,اسماء,8,0),0)</f>
        <v>0</v>
      </c>
      <c r="M168" s="603"/>
      <c r="N168" s="602">
        <f>IFERROR(VLOOKUP($B168,اسماء,9,0),0)</f>
        <v>0</v>
      </c>
      <c r="O168" s="603"/>
      <c r="P168" s="600">
        <f>IFERROR(VLOOKUP($B168,اسماء,10,0),0)</f>
        <v>0</v>
      </c>
      <c r="Q168" s="622"/>
      <c r="R168" s="371">
        <f t="shared" ref="R168" si="428">SUM(F168:Q168)</f>
        <v>0</v>
      </c>
      <c r="S168" s="213" t="str">
        <f>IFERROR(VLOOKUP($B168,اسماء,12,0),"")</f>
        <v/>
      </c>
      <c r="T168" s="214" t="str">
        <f>IFERROR(VLOOKUP($B168,اسماء,13,0),"")</f>
        <v/>
      </c>
      <c r="U168" s="364" t="str">
        <f>IFERROR(VLOOKUP($B168,اسماء,14,0),"")</f>
        <v/>
      </c>
      <c r="V168" s="604" t="str">
        <f t="shared" ref="V168" si="429">IF(Z168="غائب","راسب",IF(R171&gt;0,"ناجح","مرحل"))</f>
        <v>مرحل</v>
      </c>
      <c r="W168" s="19" t="str">
        <f t="shared" ref="W168:W169" si="430">LOOKUP(R168,$AC$6:$AD$10)</f>
        <v>ضعيف</v>
      </c>
      <c r="X168" s="639">
        <f t="shared" ref="X168" si="431">R171/$AC$3</f>
        <v>0</v>
      </c>
      <c r="Y168" s="68"/>
      <c r="Z168" s="597" t="str">
        <f>IFERROR(VLOOKUP($B168,اسماء,48,0),"")</f>
        <v/>
      </c>
      <c r="AK168" s="667" t="str">
        <f t="shared" ref="AK168" si="432">IF(R171=0,"",R171/1+ROW()*0.00001)</f>
        <v/>
      </c>
      <c r="AL168" s="667">
        <f>B168</f>
        <v>0</v>
      </c>
      <c r="AM168" s="696"/>
      <c r="AN168" s="698">
        <v>36</v>
      </c>
      <c r="AO168" s="699" t="str">
        <f>IFERROR(LARGE($AK$10:$AK$1420,AN168),"")</f>
        <v/>
      </c>
      <c r="AP168" s="698" t="str">
        <f>VLOOKUP(AO168,$AK$10:$AL$1530,2,0)</f>
        <v>امجد عمر عبداللطيف سلطان</v>
      </c>
    </row>
    <row r="169" spans="1:42" ht="14.85" customHeight="1" x14ac:dyDescent="0.25">
      <c r="A169" s="611"/>
      <c r="B169" s="614"/>
      <c r="C169" s="617"/>
      <c r="D169" s="620"/>
      <c r="E169" s="130" t="s">
        <v>31</v>
      </c>
      <c r="F169" s="592">
        <f>IFERROR(VLOOKUP($B168,اسماء,15,0),0)</f>
        <v>0</v>
      </c>
      <c r="G169" s="593"/>
      <c r="H169" s="594">
        <f>IFERROR(VLOOKUP($B168,اسماء,16,0),0)</f>
        <v>0</v>
      </c>
      <c r="I169" s="595"/>
      <c r="J169" s="592">
        <f>IFERROR(VLOOKUP($B168,اسماء,17,0),0)</f>
        <v>0</v>
      </c>
      <c r="K169" s="593"/>
      <c r="L169" s="594">
        <f>IFERROR(VLOOKUP($B168,اسماء,18,0),0)</f>
        <v>0</v>
      </c>
      <c r="M169" s="596"/>
      <c r="N169" s="594">
        <f>IFERROR(VLOOKUP($B168,اسماء,19,0),0)</f>
        <v>0</v>
      </c>
      <c r="O169" s="596"/>
      <c r="P169" s="592">
        <f>IFERROR(VLOOKUP($B168,اسماء,20,0),0)</f>
        <v>0</v>
      </c>
      <c r="Q169" s="595"/>
      <c r="R169" s="372">
        <f t="shared" si="378"/>
        <v>0</v>
      </c>
      <c r="S169" s="305" t="str">
        <f>IFERROR(VLOOKUP($B168,اسماء,23,0),"")</f>
        <v/>
      </c>
      <c r="T169" s="306" t="str">
        <f>IFERROR(VLOOKUP($B168,اسماء,24,0),"")</f>
        <v/>
      </c>
      <c r="U169" s="122" t="str">
        <f>IFERROR(VLOOKUP($B168,اسماء,25,0),"")</f>
        <v/>
      </c>
      <c r="V169" s="605"/>
      <c r="W169" s="19" t="str">
        <f t="shared" si="430"/>
        <v>ضعيف</v>
      </c>
      <c r="X169" s="640"/>
      <c r="Y169" s="68"/>
      <c r="Z169" s="598"/>
      <c r="AK169" s="667"/>
      <c r="AL169" s="667"/>
      <c r="AM169" s="696"/>
      <c r="AN169" s="698"/>
      <c r="AO169" s="699"/>
      <c r="AP169" s="698"/>
    </row>
    <row r="170" spans="1:42" ht="14.85" customHeight="1" x14ac:dyDescent="0.25">
      <c r="A170" s="611"/>
      <c r="B170" s="614"/>
      <c r="C170" s="617"/>
      <c r="D170" s="620"/>
      <c r="E170" s="130" t="s">
        <v>32</v>
      </c>
      <c r="F170" s="592">
        <f>IFERROR(VLOOKUP($B168,اسماء,25,0),0)</f>
        <v>0</v>
      </c>
      <c r="G170" s="593"/>
      <c r="H170" s="594">
        <f>IFERROR(VLOOKUP($B168,اسماء,26,0),0)</f>
        <v>0</v>
      </c>
      <c r="I170" s="595"/>
      <c r="J170" s="592">
        <f>IFERROR(VLOOKUP($B168,اسماء,27,0),0)</f>
        <v>0</v>
      </c>
      <c r="K170" s="593"/>
      <c r="L170" s="594">
        <f>IFERROR(VLOOKUP($B168,اسماء,28,0),0)</f>
        <v>0</v>
      </c>
      <c r="M170" s="596"/>
      <c r="N170" s="594">
        <f>IFERROR(VLOOKUP($B168,اسماء,29,0),0)</f>
        <v>0</v>
      </c>
      <c r="O170" s="596"/>
      <c r="P170" s="592">
        <f>IFERROR(VLOOKUP($B168,اسماء,30,0),0)</f>
        <v>0</v>
      </c>
      <c r="Q170" s="595"/>
      <c r="R170" s="372">
        <f t="shared" si="378"/>
        <v>0</v>
      </c>
      <c r="S170" s="305" t="str">
        <f>IFERROR(VLOOKUP($B168,اسماء,34,0),"")</f>
        <v/>
      </c>
      <c r="T170" s="306" t="str">
        <f>IFERROR(VLOOKUP($B168,اسماء,35,0),"")</f>
        <v/>
      </c>
      <c r="U170" s="122" t="str">
        <f>IFERROR(VLOOKUP($B168,اسماء,36,0),"")</f>
        <v/>
      </c>
      <c r="V170" s="605"/>
      <c r="W170" s="20" t="str">
        <f t="shared" ref="W170" si="433">LOOKUP(R170,$AF$6:$AG$10)</f>
        <v>ضعيف</v>
      </c>
      <c r="X170" s="640"/>
      <c r="Y170" s="8"/>
      <c r="Z170" s="598"/>
      <c r="AK170" s="667"/>
      <c r="AL170" s="667"/>
      <c r="AM170" s="696"/>
      <c r="AN170" s="698"/>
      <c r="AO170" s="699"/>
      <c r="AP170" s="698"/>
    </row>
    <row r="171" spans="1:42" ht="14.85" customHeight="1" thickBot="1" x14ac:dyDescent="0.3">
      <c r="A171" s="612"/>
      <c r="B171" s="615"/>
      <c r="C171" s="618"/>
      <c r="D171" s="621"/>
      <c r="E171" s="124" t="s">
        <v>33</v>
      </c>
      <c r="F171" s="623">
        <f t="shared" ref="F171" si="434">SUM(F168:G170)</f>
        <v>0</v>
      </c>
      <c r="G171" s="624"/>
      <c r="H171" s="625">
        <f t="shared" ref="H171" si="435">SUM(H168:I170)</f>
        <v>0</v>
      </c>
      <c r="I171" s="626"/>
      <c r="J171" s="623">
        <f t="shared" ref="J171" si="436">SUM(J168:K170)</f>
        <v>0</v>
      </c>
      <c r="K171" s="624"/>
      <c r="L171" s="625">
        <f t="shared" ref="L171" si="437">SUM(L168:M170)</f>
        <v>0</v>
      </c>
      <c r="M171" s="642"/>
      <c r="N171" s="625">
        <f t="shared" ref="N171" si="438">SUM(N168:O170)</f>
        <v>0</v>
      </c>
      <c r="O171" s="642"/>
      <c r="P171" s="623">
        <f t="shared" ref="P171" si="439">SUM(P168:Q170)</f>
        <v>0</v>
      </c>
      <c r="Q171" s="626"/>
      <c r="R171" s="88">
        <f t="shared" ref="R171" si="440">IF(AND(F171&gt;=$G$8,H171&gt;=$I$8,J171&gt;=$K$8,L171&gt;=$M$8,N171&gt;=$O$8,P171&gt;=$Q$8),SUM(F171:Q171),0)</f>
        <v>0</v>
      </c>
      <c r="S171" s="251"/>
      <c r="T171" s="97"/>
      <c r="U171" s="94"/>
      <c r="V171" s="606"/>
      <c r="W171" s="88" t="str">
        <f t="shared" ref="W171" si="441">LOOKUP(R171,$AI$6:$AJ$10)</f>
        <v>ضعيف</v>
      </c>
      <c r="X171" s="641"/>
      <c r="Y171" s="68"/>
      <c r="Z171" s="599"/>
      <c r="AK171" s="667"/>
      <c r="AL171" s="667"/>
      <c r="AM171" s="696"/>
      <c r="AN171" s="698"/>
      <c r="AO171" s="699"/>
      <c r="AP171" s="698"/>
    </row>
    <row r="172" spans="1:42" ht="14.85" customHeight="1" thickBot="1" x14ac:dyDescent="0.3">
      <c r="A172" s="610">
        <v>37</v>
      </c>
      <c r="B172" s="613">
        <f>VLOOKUP(A172,مسلسل,2,0)</f>
        <v>0</v>
      </c>
      <c r="C172" s="616" t="str">
        <f>IFERROR(VLOOKUP(B172,اسماء,2,0),"")</f>
        <v/>
      </c>
      <c r="D172" s="619" t="str">
        <f>IFERROR(VLOOKUP($B172,اسماء,3,0),"")</f>
        <v/>
      </c>
      <c r="E172" s="129" t="s">
        <v>30</v>
      </c>
      <c r="F172" s="600">
        <f>IFERROR(VLOOKUP($B172,اسماء,5,0),0)</f>
        <v>0</v>
      </c>
      <c r="G172" s="601"/>
      <c r="H172" s="602">
        <f>IFERROR(VLOOKUP($B172,اسماء,6,0),0)</f>
        <v>0</v>
      </c>
      <c r="I172" s="622"/>
      <c r="J172" s="600">
        <f>IFERROR(VLOOKUP($B172,اسماء,7,0),0)</f>
        <v>0</v>
      </c>
      <c r="K172" s="601"/>
      <c r="L172" s="602">
        <f>IFERROR(VLOOKUP($B172,اسماء,8,0),0)</f>
        <v>0</v>
      </c>
      <c r="M172" s="603"/>
      <c r="N172" s="602">
        <f>IFERROR(VLOOKUP($B172,اسماء,9,0),0)</f>
        <v>0</v>
      </c>
      <c r="O172" s="603"/>
      <c r="P172" s="600">
        <f>IFERROR(VLOOKUP($B172,اسماء,10,0),0)</f>
        <v>0</v>
      </c>
      <c r="Q172" s="622"/>
      <c r="R172" s="371">
        <f t="shared" ref="R172" si="442">SUM(F172:Q172)</f>
        <v>0</v>
      </c>
      <c r="S172" s="213" t="str">
        <f>IFERROR(VLOOKUP($B172,اسماء,12,0),"")</f>
        <v/>
      </c>
      <c r="T172" s="214" t="str">
        <f>IFERROR(VLOOKUP($B172,اسماء,13,0),"")</f>
        <v/>
      </c>
      <c r="U172" s="364" t="str">
        <f>IFERROR(VLOOKUP($B172,اسماء,14,0),"")</f>
        <v/>
      </c>
      <c r="V172" s="604" t="str">
        <f t="shared" ref="V172" si="443">IF(Z172="غائب","راسب",IF(R175&gt;0,"ناجح","مرحل"))</f>
        <v>مرحل</v>
      </c>
      <c r="W172" s="19" t="str">
        <f t="shared" ref="W172:W173" si="444">LOOKUP(R172,$AC$6:$AD$10)</f>
        <v>ضعيف</v>
      </c>
      <c r="X172" s="639">
        <f t="shared" ref="X172" si="445">R175/$AC$3</f>
        <v>0</v>
      </c>
      <c r="Y172" s="68"/>
      <c r="Z172" s="597" t="str">
        <f>IFERROR(VLOOKUP($B172,اسماء,48,0),"")</f>
        <v/>
      </c>
      <c r="AK172" s="667" t="str">
        <f t="shared" ref="AK172" si="446">IF(R175=0,"",R175/1+ROW()*0.00001)</f>
        <v/>
      </c>
      <c r="AL172" s="667">
        <f>B172</f>
        <v>0</v>
      </c>
      <c r="AM172" s="696"/>
      <c r="AN172" s="698">
        <v>37</v>
      </c>
      <c r="AO172" s="699" t="str">
        <f>IFERROR(LARGE($AK$10:$AK$1420,AN172),"")</f>
        <v/>
      </c>
      <c r="AP172" s="698" t="str">
        <f>VLOOKUP(AO172,$AK$10:$AL$1530,2,0)</f>
        <v>امجد عمر عبداللطيف سلطان</v>
      </c>
    </row>
    <row r="173" spans="1:42" ht="14.85" customHeight="1" x14ac:dyDescent="0.25">
      <c r="A173" s="611"/>
      <c r="B173" s="614"/>
      <c r="C173" s="617"/>
      <c r="D173" s="620"/>
      <c r="E173" s="130" t="s">
        <v>31</v>
      </c>
      <c r="F173" s="592">
        <f>IFERROR(VLOOKUP($B172,اسماء,15,0),0)</f>
        <v>0</v>
      </c>
      <c r="G173" s="593"/>
      <c r="H173" s="594">
        <f>IFERROR(VLOOKUP($B172,اسماء,16,0),0)</f>
        <v>0</v>
      </c>
      <c r="I173" s="595"/>
      <c r="J173" s="592">
        <f>IFERROR(VLOOKUP($B172,اسماء,17,0),0)</f>
        <v>0</v>
      </c>
      <c r="K173" s="593"/>
      <c r="L173" s="594">
        <f>IFERROR(VLOOKUP($B172,اسماء,18,0),0)</f>
        <v>0</v>
      </c>
      <c r="M173" s="596"/>
      <c r="N173" s="594">
        <f>IFERROR(VLOOKUP($B172,اسماء,19,0),0)</f>
        <v>0</v>
      </c>
      <c r="O173" s="596"/>
      <c r="P173" s="592">
        <f>IFERROR(VLOOKUP($B172,اسماء,20,0),0)</f>
        <v>0</v>
      </c>
      <c r="Q173" s="595"/>
      <c r="R173" s="372">
        <f t="shared" si="378"/>
        <v>0</v>
      </c>
      <c r="S173" s="305" t="str">
        <f>IFERROR(VLOOKUP($B172,اسماء,23,0),"")</f>
        <v/>
      </c>
      <c r="T173" s="306" t="str">
        <f>IFERROR(VLOOKUP($B172,اسماء,24,0),"")</f>
        <v/>
      </c>
      <c r="U173" s="122" t="str">
        <f>IFERROR(VLOOKUP($B172,اسماء,25,0),"")</f>
        <v/>
      </c>
      <c r="V173" s="605"/>
      <c r="W173" s="19" t="str">
        <f t="shared" si="444"/>
        <v>ضعيف</v>
      </c>
      <c r="X173" s="640"/>
      <c r="Y173" s="8"/>
      <c r="Z173" s="598"/>
      <c r="AK173" s="667"/>
      <c r="AL173" s="667"/>
      <c r="AM173" s="696"/>
      <c r="AN173" s="698"/>
      <c r="AO173" s="699"/>
      <c r="AP173" s="698"/>
    </row>
    <row r="174" spans="1:42" ht="14.85" customHeight="1" x14ac:dyDescent="0.25">
      <c r="A174" s="611"/>
      <c r="B174" s="614"/>
      <c r="C174" s="617"/>
      <c r="D174" s="620"/>
      <c r="E174" s="130" t="s">
        <v>32</v>
      </c>
      <c r="F174" s="592">
        <f>IFERROR(VLOOKUP($B172,اسماء,25,0),0)</f>
        <v>0</v>
      </c>
      <c r="G174" s="593"/>
      <c r="H174" s="594">
        <f>IFERROR(VLOOKUP($B172,اسماء,26,0),0)</f>
        <v>0</v>
      </c>
      <c r="I174" s="595"/>
      <c r="J174" s="592">
        <f>IFERROR(VLOOKUP($B172,اسماء,27,0),0)</f>
        <v>0</v>
      </c>
      <c r="K174" s="593"/>
      <c r="L174" s="594">
        <f>IFERROR(VLOOKUP($B172,اسماء,28,0),0)</f>
        <v>0</v>
      </c>
      <c r="M174" s="596"/>
      <c r="N174" s="594">
        <f>IFERROR(VLOOKUP($B172,اسماء,29,0),0)</f>
        <v>0</v>
      </c>
      <c r="O174" s="596"/>
      <c r="P174" s="592">
        <f>IFERROR(VLOOKUP($B172,اسماء,30,0),0)</f>
        <v>0</v>
      </c>
      <c r="Q174" s="595"/>
      <c r="R174" s="372">
        <f t="shared" si="378"/>
        <v>0</v>
      </c>
      <c r="S174" s="305" t="str">
        <f>IFERROR(VLOOKUP($B172,اسماء,34,0),"")</f>
        <v/>
      </c>
      <c r="T174" s="306" t="str">
        <f>IFERROR(VLOOKUP($B172,اسماء,35,0),"")</f>
        <v/>
      </c>
      <c r="U174" s="122" t="str">
        <f>IFERROR(VLOOKUP($B172,اسماء,36,0),"")</f>
        <v/>
      </c>
      <c r="V174" s="605"/>
      <c r="W174" s="20" t="str">
        <f t="shared" ref="W174" si="447">LOOKUP(R174,$AF$6:$AG$10)</f>
        <v>ضعيف</v>
      </c>
      <c r="X174" s="640"/>
      <c r="Y174" s="68"/>
      <c r="Z174" s="598"/>
      <c r="AK174" s="667"/>
      <c r="AL174" s="667"/>
      <c r="AM174" s="696"/>
      <c r="AN174" s="698"/>
      <c r="AO174" s="699"/>
      <c r="AP174" s="698"/>
    </row>
    <row r="175" spans="1:42" ht="14.85" customHeight="1" thickBot="1" x14ac:dyDescent="0.3">
      <c r="A175" s="612"/>
      <c r="B175" s="615"/>
      <c r="C175" s="618"/>
      <c r="D175" s="621"/>
      <c r="E175" s="124" t="s">
        <v>33</v>
      </c>
      <c r="F175" s="623">
        <f t="shared" ref="F175" si="448">SUM(F172:G174)</f>
        <v>0</v>
      </c>
      <c r="G175" s="624"/>
      <c r="H175" s="625">
        <f t="shared" ref="H175" si="449">SUM(H172:I174)</f>
        <v>0</v>
      </c>
      <c r="I175" s="626"/>
      <c r="J175" s="623">
        <f t="shared" ref="J175" si="450">SUM(J172:K174)</f>
        <v>0</v>
      </c>
      <c r="K175" s="624"/>
      <c r="L175" s="625">
        <f t="shared" ref="L175" si="451">SUM(L172:M174)</f>
        <v>0</v>
      </c>
      <c r="M175" s="642"/>
      <c r="N175" s="625">
        <f t="shared" ref="N175" si="452">SUM(N172:O174)</f>
        <v>0</v>
      </c>
      <c r="O175" s="642"/>
      <c r="P175" s="623">
        <f t="shared" ref="P175" si="453">SUM(P172:Q174)</f>
        <v>0</v>
      </c>
      <c r="Q175" s="626"/>
      <c r="R175" s="88">
        <f t="shared" ref="R175" si="454">IF(AND(F175&gt;=$G$8,H175&gt;=$I$8,J175&gt;=$K$8,L175&gt;=$M$8,N175&gt;=$O$8,P175&gt;=$Q$8),SUM(F175:Q175),0)</f>
        <v>0</v>
      </c>
      <c r="S175" s="251"/>
      <c r="T175" s="97"/>
      <c r="U175" s="94"/>
      <c r="V175" s="606"/>
      <c r="W175" s="88" t="str">
        <f t="shared" ref="W175" si="455">LOOKUP(R175,$AI$6:$AJ$10)</f>
        <v>ضعيف</v>
      </c>
      <c r="X175" s="641"/>
      <c r="Y175" s="68"/>
      <c r="Z175" s="599"/>
      <c r="AK175" s="667"/>
      <c r="AL175" s="667"/>
      <c r="AM175" s="696"/>
      <c r="AN175" s="698"/>
      <c r="AO175" s="699"/>
      <c r="AP175" s="698"/>
    </row>
    <row r="176" spans="1:42" ht="14.85" customHeight="1" thickBot="1" x14ac:dyDescent="0.3">
      <c r="A176" s="610">
        <v>38</v>
      </c>
      <c r="B176" s="613">
        <f>VLOOKUP(A176,مسلسل,2,0)</f>
        <v>0</v>
      </c>
      <c r="C176" s="616" t="str">
        <f>IFERROR(VLOOKUP(B176,اسماء,2,0),"")</f>
        <v/>
      </c>
      <c r="D176" s="619" t="str">
        <f>IFERROR(VLOOKUP($B176,اسماء,3,0),"")</f>
        <v/>
      </c>
      <c r="E176" s="129" t="s">
        <v>30</v>
      </c>
      <c r="F176" s="600">
        <f>IFERROR(VLOOKUP($B176,اسماء,5,0),0)</f>
        <v>0</v>
      </c>
      <c r="G176" s="601"/>
      <c r="H176" s="602">
        <f>IFERROR(VLOOKUP($B176,اسماء,6,0),0)</f>
        <v>0</v>
      </c>
      <c r="I176" s="622"/>
      <c r="J176" s="600">
        <f>IFERROR(VLOOKUP($B176,اسماء,7,0),0)</f>
        <v>0</v>
      </c>
      <c r="K176" s="601"/>
      <c r="L176" s="602">
        <f>IFERROR(VLOOKUP($B176,اسماء,8,0),0)</f>
        <v>0</v>
      </c>
      <c r="M176" s="603"/>
      <c r="N176" s="602">
        <f>IFERROR(VLOOKUP($B176,اسماء,9,0),0)</f>
        <v>0</v>
      </c>
      <c r="O176" s="603"/>
      <c r="P176" s="600">
        <f>IFERROR(VLOOKUP($B176,اسماء,10,0),0)</f>
        <v>0</v>
      </c>
      <c r="Q176" s="622"/>
      <c r="R176" s="371">
        <f t="shared" ref="R176" si="456">SUM(F176:Q176)</f>
        <v>0</v>
      </c>
      <c r="S176" s="213" t="str">
        <f>IFERROR(VLOOKUP($B176,اسماء,12,0),"")</f>
        <v/>
      </c>
      <c r="T176" s="214" t="str">
        <f>IFERROR(VLOOKUP($B176,اسماء,13,0),"")</f>
        <v/>
      </c>
      <c r="U176" s="364" t="str">
        <f>IFERROR(VLOOKUP($B176,اسماء,14,0),"")</f>
        <v/>
      </c>
      <c r="V176" s="604" t="str">
        <f t="shared" ref="V176" si="457">IF(Z176="غائب","راسب",IF(R179&gt;0,"ناجح","مرحل"))</f>
        <v>مرحل</v>
      </c>
      <c r="W176" s="19" t="str">
        <f t="shared" ref="W176:W177" si="458">LOOKUP(R176,$AC$6:$AD$10)</f>
        <v>ضعيف</v>
      </c>
      <c r="X176" s="639">
        <f t="shared" ref="X176" si="459">R179/$AC$3</f>
        <v>0</v>
      </c>
      <c r="Y176" s="8"/>
      <c r="Z176" s="597" t="str">
        <f>IFERROR(VLOOKUP($B176,اسماء,48,0),"")</f>
        <v/>
      </c>
      <c r="AK176" s="667" t="str">
        <f t="shared" ref="AK176" si="460">IF(R179=0,"",R179/1+ROW()*0.00001)</f>
        <v/>
      </c>
      <c r="AL176" s="667">
        <f>B176</f>
        <v>0</v>
      </c>
      <c r="AM176" s="696"/>
      <c r="AN176" s="698">
        <v>38</v>
      </c>
      <c r="AO176" s="699" t="str">
        <f>IFERROR(LARGE($AK$10:$AK$1420,AN176),"")</f>
        <v/>
      </c>
      <c r="AP176" s="698" t="str">
        <f>VLOOKUP(AO176,$AK$10:$AL$1530,2,0)</f>
        <v>امجد عمر عبداللطيف سلطان</v>
      </c>
    </row>
    <row r="177" spans="1:42" ht="14.85" customHeight="1" x14ac:dyDescent="0.25">
      <c r="A177" s="611"/>
      <c r="B177" s="614"/>
      <c r="C177" s="617"/>
      <c r="D177" s="620"/>
      <c r="E177" s="130" t="s">
        <v>31</v>
      </c>
      <c r="F177" s="592">
        <f>IFERROR(VLOOKUP($B176,اسماء,15,0),0)</f>
        <v>0</v>
      </c>
      <c r="G177" s="593"/>
      <c r="H177" s="594">
        <f>IFERROR(VLOOKUP($B176,اسماء,16,0),0)</f>
        <v>0</v>
      </c>
      <c r="I177" s="595"/>
      <c r="J177" s="592">
        <f>IFERROR(VLOOKUP($B176,اسماء,17,0),0)</f>
        <v>0</v>
      </c>
      <c r="K177" s="593"/>
      <c r="L177" s="594">
        <f>IFERROR(VLOOKUP($B176,اسماء,18,0),0)</f>
        <v>0</v>
      </c>
      <c r="M177" s="596"/>
      <c r="N177" s="594">
        <f>IFERROR(VLOOKUP($B176,اسماء,19,0),0)</f>
        <v>0</v>
      </c>
      <c r="O177" s="596"/>
      <c r="P177" s="592">
        <f>IFERROR(VLOOKUP($B176,اسماء,20,0),0)</f>
        <v>0</v>
      </c>
      <c r="Q177" s="595"/>
      <c r="R177" s="372">
        <f t="shared" si="378"/>
        <v>0</v>
      </c>
      <c r="S177" s="305" t="str">
        <f>IFERROR(VLOOKUP($B176,اسماء,23,0),"")</f>
        <v/>
      </c>
      <c r="T177" s="306" t="str">
        <f>IFERROR(VLOOKUP($B176,اسماء,24,0),"")</f>
        <v/>
      </c>
      <c r="U177" s="122" t="str">
        <f>IFERROR(VLOOKUP($B176,اسماء,25,0),"")</f>
        <v/>
      </c>
      <c r="V177" s="605"/>
      <c r="W177" s="19" t="str">
        <f t="shared" si="458"/>
        <v>ضعيف</v>
      </c>
      <c r="X177" s="640"/>
      <c r="Y177" s="68"/>
      <c r="Z177" s="598"/>
      <c r="AK177" s="667"/>
      <c r="AL177" s="667"/>
      <c r="AM177" s="696"/>
      <c r="AN177" s="698"/>
      <c r="AO177" s="699"/>
      <c r="AP177" s="698"/>
    </row>
    <row r="178" spans="1:42" ht="14.85" customHeight="1" x14ac:dyDescent="0.25">
      <c r="A178" s="611"/>
      <c r="B178" s="614"/>
      <c r="C178" s="617"/>
      <c r="D178" s="620"/>
      <c r="E178" s="130" t="s">
        <v>32</v>
      </c>
      <c r="F178" s="592">
        <f>IFERROR(VLOOKUP($B176,اسماء,25,0),0)</f>
        <v>0</v>
      </c>
      <c r="G178" s="593"/>
      <c r="H178" s="594">
        <f>IFERROR(VLOOKUP($B176,اسماء,26,0),0)</f>
        <v>0</v>
      </c>
      <c r="I178" s="595"/>
      <c r="J178" s="592">
        <f>IFERROR(VLOOKUP($B176,اسماء,27,0),0)</f>
        <v>0</v>
      </c>
      <c r="K178" s="593"/>
      <c r="L178" s="594">
        <f>IFERROR(VLOOKUP($B176,اسماء,28,0),0)</f>
        <v>0</v>
      </c>
      <c r="M178" s="596"/>
      <c r="N178" s="594">
        <f>IFERROR(VLOOKUP($B176,اسماء,29,0),0)</f>
        <v>0</v>
      </c>
      <c r="O178" s="596"/>
      <c r="P178" s="592">
        <f>IFERROR(VLOOKUP($B176,اسماء,30,0),0)</f>
        <v>0</v>
      </c>
      <c r="Q178" s="595"/>
      <c r="R178" s="372">
        <f t="shared" si="378"/>
        <v>0</v>
      </c>
      <c r="S178" s="305" t="str">
        <f>IFERROR(VLOOKUP($B176,اسماء,34,0),"")</f>
        <v/>
      </c>
      <c r="T178" s="306" t="str">
        <f>IFERROR(VLOOKUP($B176,اسماء,35,0),"")</f>
        <v/>
      </c>
      <c r="U178" s="122" t="str">
        <f>IFERROR(VLOOKUP($B176,اسماء,36,0),"")</f>
        <v/>
      </c>
      <c r="V178" s="605"/>
      <c r="W178" s="20" t="str">
        <f t="shared" ref="W178" si="461">LOOKUP(R178,$AF$6:$AG$10)</f>
        <v>ضعيف</v>
      </c>
      <c r="X178" s="640"/>
      <c r="Y178" s="68"/>
      <c r="Z178" s="598"/>
      <c r="AK178" s="667"/>
      <c r="AL178" s="667"/>
      <c r="AM178" s="696"/>
      <c r="AN178" s="698"/>
      <c r="AO178" s="699"/>
      <c r="AP178" s="698"/>
    </row>
    <row r="179" spans="1:42" ht="14.85" customHeight="1" thickBot="1" x14ac:dyDescent="0.3">
      <c r="A179" s="612"/>
      <c r="B179" s="615"/>
      <c r="C179" s="618"/>
      <c r="D179" s="621"/>
      <c r="E179" s="124" t="s">
        <v>33</v>
      </c>
      <c r="F179" s="623">
        <f t="shared" ref="F179" si="462">SUM(F176:G178)</f>
        <v>0</v>
      </c>
      <c r="G179" s="624"/>
      <c r="H179" s="625">
        <f t="shared" ref="H179" si="463">SUM(H176:I178)</f>
        <v>0</v>
      </c>
      <c r="I179" s="626"/>
      <c r="J179" s="623">
        <f t="shared" ref="J179" si="464">SUM(J176:K178)</f>
        <v>0</v>
      </c>
      <c r="K179" s="624"/>
      <c r="L179" s="625">
        <f t="shared" ref="L179" si="465">SUM(L176:M178)</f>
        <v>0</v>
      </c>
      <c r="M179" s="642"/>
      <c r="N179" s="625">
        <f t="shared" ref="N179" si="466">SUM(N176:O178)</f>
        <v>0</v>
      </c>
      <c r="O179" s="642"/>
      <c r="P179" s="623">
        <f t="shared" ref="P179" si="467">SUM(P176:Q178)</f>
        <v>0</v>
      </c>
      <c r="Q179" s="626"/>
      <c r="R179" s="88">
        <f t="shared" ref="R179" si="468">IF(AND(F179&gt;=$G$8,H179&gt;=$I$8,J179&gt;=$K$8,L179&gt;=$M$8,N179&gt;=$O$8,P179&gt;=$Q$8),SUM(F179:Q179),0)</f>
        <v>0</v>
      </c>
      <c r="S179" s="251"/>
      <c r="T179" s="97"/>
      <c r="U179" s="94"/>
      <c r="V179" s="606"/>
      <c r="W179" s="88" t="str">
        <f t="shared" ref="W179" si="469">LOOKUP(R179,$AI$6:$AJ$10)</f>
        <v>ضعيف</v>
      </c>
      <c r="X179" s="641"/>
      <c r="Y179" s="8"/>
      <c r="Z179" s="599"/>
      <c r="AK179" s="667"/>
      <c r="AL179" s="667"/>
      <c r="AM179" s="696"/>
      <c r="AN179" s="698"/>
      <c r="AO179" s="699"/>
      <c r="AP179" s="698"/>
    </row>
    <row r="180" spans="1:42" ht="14.85" customHeight="1" thickBot="1" x14ac:dyDescent="0.3">
      <c r="A180" s="610">
        <v>39</v>
      </c>
      <c r="B180" s="613">
        <f>VLOOKUP(A180,مسلسل,2,0)</f>
        <v>0</v>
      </c>
      <c r="C180" s="616" t="str">
        <f>IFERROR(VLOOKUP(B180,اسماء,2,0),"")</f>
        <v/>
      </c>
      <c r="D180" s="619" t="str">
        <f>IFERROR(VLOOKUP($B180,اسماء,3,0),"")</f>
        <v/>
      </c>
      <c r="E180" s="129" t="s">
        <v>30</v>
      </c>
      <c r="F180" s="600">
        <f>IFERROR(VLOOKUP($B180,اسماء,5,0),0)</f>
        <v>0</v>
      </c>
      <c r="G180" s="601"/>
      <c r="H180" s="602">
        <f>IFERROR(VLOOKUP($B180,اسماء,6,0),0)</f>
        <v>0</v>
      </c>
      <c r="I180" s="622"/>
      <c r="J180" s="600">
        <f>IFERROR(VLOOKUP($B180,اسماء,7,0),0)</f>
        <v>0</v>
      </c>
      <c r="K180" s="601"/>
      <c r="L180" s="602">
        <f>IFERROR(VLOOKUP($B180,اسماء,8,0),0)</f>
        <v>0</v>
      </c>
      <c r="M180" s="603"/>
      <c r="N180" s="602">
        <f>IFERROR(VLOOKUP($B180,اسماء,9,0),0)</f>
        <v>0</v>
      </c>
      <c r="O180" s="603"/>
      <c r="P180" s="600">
        <f>IFERROR(VLOOKUP($B180,اسماء,10,0),0)</f>
        <v>0</v>
      </c>
      <c r="Q180" s="622"/>
      <c r="R180" s="371">
        <f t="shared" ref="R180" si="470">SUM(F180:Q180)</f>
        <v>0</v>
      </c>
      <c r="S180" s="213" t="str">
        <f>IFERROR(VLOOKUP($B180,اسماء,12,0),"")</f>
        <v/>
      </c>
      <c r="T180" s="214" t="str">
        <f>IFERROR(VLOOKUP($B180,اسماء,13,0),"")</f>
        <v/>
      </c>
      <c r="U180" s="364" t="str">
        <f>IFERROR(VLOOKUP($B180,اسماء,14,0),"")</f>
        <v/>
      </c>
      <c r="V180" s="604" t="str">
        <f t="shared" ref="V180" si="471">IF(Z180="غائب","راسب",IF(R183&gt;0,"ناجح","مرحل"))</f>
        <v>مرحل</v>
      </c>
      <c r="W180" s="19" t="str">
        <f t="shared" ref="W180:W181" si="472">LOOKUP(R180,$AC$6:$AD$10)</f>
        <v>ضعيف</v>
      </c>
      <c r="X180" s="639">
        <f t="shared" ref="X180" si="473">R183/$AC$3</f>
        <v>0</v>
      </c>
      <c r="Y180" s="68"/>
      <c r="Z180" s="597" t="str">
        <f>IFERROR(VLOOKUP($B180,اسماء,48,0),"")</f>
        <v/>
      </c>
      <c r="AK180" s="667" t="str">
        <f t="shared" ref="AK180" si="474">IF(R183=0,"",R183/1+ROW()*0.00001)</f>
        <v/>
      </c>
      <c r="AL180" s="667">
        <f>B180</f>
        <v>0</v>
      </c>
      <c r="AM180" s="696"/>
      <c r="AN180" s="698">
        <v>39</v>
      </c>
      <c r="AO180" s="699" t="str">
        <f>IFERROR(LARGE($AK$10:$AK$1420,AN180),"")</f>
        <v/>
      </c>
      <c r="AP180" s="698" t="str">
        <f>VLOOKUP(AO180,$AK$10:$AL$1530,2,0)</f>
        <v>امجد عمر عبداللطيف سلطان</v>
      </c>
    </row>
    <row r="181" spans="1:42" ht="14.85" customHeight="1" x14ac:dyDescent="0.25">
      <c r="A181" s="611"/>
      <c r="B181" s="614"/>
      <c r="C181" s="617"/>
      <c r="D181" s="620"/>
      <c r="E181" s="130" t="s">
        <v>31</v>
      </c>
      <c r="F181" s="592">
        <f>IFERROR(VLOOKUP($B180,اسماء,15,0),0)</f>
        <v>0</v>
      </c>
      <c r="G181" s="593"/>
      <c r="H181" s="594">
        <f>IFERROR(VLOOKUP($B180,اسماء,16,0),0)</f>
        <v>0</v>
      </c>
      <c r="I181" s="595"/>
      <c r="J181" s="592">
        <f>IFERROR(VLOOKUP($B180,اسماء,17,0),0)</f>
        <v>0</v>
      </c>
      <c r="K181" s="593"/>
      <c r="L181" s="594">
        <f>IFERROR(VLOOKUP($B180,اسماء,18,0),0)</f>
        <v>0</v>
      </c>
      <c r="M181" s="596"/>
      <c r="N181" s="594">
        <f>IFERROR(VLOOKUP($B180,اسماء,19,0),0)</f>
        <v>0</v>
      </c>
      <c r="O181" s="596"/>
      <c r="P181" s="592">
        <f>IFERROR(VLOOKUP($B180,اسماء,20,0),0)</f>
        <v>0</v>
      </c>
      <c r="Q181" s="595"/>
      <c r="R181" s="372">
        <f t="shared" si="378"/>
        <v>0</v>
      </c>
      <c r="S181" s="305" t="str">
        <f>IFERROR(VLOOKUP($B180,اسماء,23,0),"")</f>
        <v/>
      </c>
      <c r="T181" s="306" t="str">
        <f>IFERROR(VLOOKUP($B180,اسماء,24,0),"")</f>
        <v/>
      </c>
      <c r="U181" s="122" t="str">
        <f>IFERROR(VLOOKUP($B180,اسماء,25,0),"")</f>
        <v/>
      </c>
      <c r="V181" s="605"/>
      <c r="W181" s="19" t="str">
        <f t="shared" si="472"/>
        <v>ضعيف</v>
      </c>
      <c r="X181" s="640"/>
      <c r="Y181" s="68"/>
      <c r="Z181" s="598"/>
      <c r="AK181" s="667"/>
      <c r="AL181" s="667"/>
      <c r="AM181" s="696"/>
      <c r="AN181" s="698"/>
      <c r="AO181" s="699"/>
      <c r="AP181" s="698"/>
    </row>
    <row r="182" spans="1:42" ht="14.85" customHeight="1" x14ac:dyDescent="0.25">
      <c r="A182" s="611"/>
      <c r="B182" s="614"/>
      <c r="C182" s="617"/>
      <c r="D182" s="620"/>
      <c r="E182" s="130" t="s">
        <v>32</v>
      </c>
      <c r="F182" s="592">
        <f>IFERROR(VLOOKUP($B180,اسماء,25,0),0)</f>
        <v>0</v>
      </c>
      <c r="G182" s="593"/>
      <c r="H182" s="594">
        <f>IFERROR(VLOOKUP($B180,اسماء,26,0),0)</f>
        <v>0</v>
      </c>
      <c r="I182" s="595"/>
      <c r="J182" s="592">
        <f>IFERROR(VLOOKUP($B180,اسماء,27,0),0)</f>
        <v>0</v>
      </c>
      <c r="K182" s="593"/>
      <c r="L182" s="594">
        <f>IFERROR(VLOOKUP($B180,اسماء,28,0),0)</f>
        <v>0</v>
      </c>
      <c r="M182" s="596"/>
      <c r="N182" s="594">
        <f>IFERROR(VLOOKUP($B180,اسماء,29,0),0)</f>
        <v>0</v>
      </c>
      <c r="O182" s="596"/>
      <c r="P182" s="592">
        <f>IFERROR(VLOOKUP($B180,اسماء,30,0),0)</f>
        <v>0</v>
      </c>
      <c r="Q182" s="595"/>
      <c r="R182" s="372">
        <f t="shared" si="378"/>
        <v>0</v>
      </c>
      <c r="S182" s="305" t="str">
        <f>IFERROR(VLOOKUP($B180,اسماء,34,0),"")</f>
        <v/>
      </c>
      <c r="T182" s="306" t="str">
        <f>IFERROR(VLOOKUP($B180,اسماء,35,0),"")</f>
        <v/>
      </c>
      <c r="U182" s="122" t="str">
        <f>IFERROR(VLOOKUP($B180,اسماء,36,0),"")</f>
        <v/>
      </c>
      <c r="V182" s="605"/>
      <c r="W182" s="20" t="str">
        <f t="shared" ref="W182" si="475">LOOKUP(R182,$AF$6:$AG$10)</f>
        <v>ضعيف</v>
      </c>
      <c r="X182" s="640"/>
      <c r="Y182" s="8"/>
      <c r="Z182" s="598"/>
      <c r="AK182" s="667"/>
      <c r="AL182" s="667"/>
      <c r="AM182" s="696"/>
      <c r="AN182" s="698"/>
      <c r="AO182" s="699"/>
      <c r="AP182" s="698"/>
    </row>
    <row r="183" spans="1:42" ht="14.85" customHeight="1" thickBot="1" x14ac:dyDescent="0.3">
      <c r="A183" s="612"/>
      <c r="B183" s="615"/>
      <c r="C183" s="618"/>
      <c r="D183" s="621"/>
      <c r="E183" s="124" t="s">
        <v>33</v>
      </c>
      <c r="F183" s="623">
        <f t="shared" ref="F183" si="476">SUM(F180:G182)</f>
        <v>0</v>
      </c>
      <c r="G183" s="624"/>
      <c r="H183" s="625">
        <f t="shared" ref="H183" si="477">SUM(H180:I182)</f>
        <v>0</v>
      </c>
      <c r="I183" s="626"/>
      <c r="J183" s="623">
        <f t="shared" ref="J183" si="478">SUM(J180:K182)</f>
        <v>0</v>
      </c>
      <c r="K183" s="624"/>
      <c r="L183" s="625">
        <f t="shared" ref="L183" si="479">SUM(L180:M182)</f>
        <v>0</v>
      </c>
      <c r="M183" s="642"/>
      <c r="N183" s="625">
        <f t="shared" ref="N183" si="480">SUM(N180:O182)</f>
        <v>0</v>
      </c>
      <c r="O183" s="642"/>
      <c r="P183" s="623">
        <f t="shared" ref="P183" si="481">SUM(P180:Q182)</f>
        <v>0</v>
      </c>
      <c r="Q183" s="626"/>
      <c r="R183" s="88">
        <f t="shared" ref="R183" si="482">IF(AND(F183&gt;=$G$8,H183&gt;=$I$8,J183&gt;=$K$8,L183&gt;=$M$8,N183&gt;=$O$8,P183&gt;=$Q$8),SUM(F183:Q183),0)</f>
        <v>0</v>
      </c>
      <c r="S183" s="251"/>
      <c r="T183" s="97"/>
      <c r="U183" s="94"/>
      <c r="V183" s="606"/>
      <c r="W183" s="88" t="str">
        <f t="shared" ref="W183" si="483">LOOKUP(R183,$AI$6:$AJ$10)</f>
        <v>ضعيف</v>
      </c>
      <c r="X183" s="641"/>
      <c r="Y183" s="68"/>
      <c r="Z183" s="599"/>
      <c r="AK183" s="667"/>
      <c r="AL183" s="667"/>
      <c r="AM183" s="696"/>
      <c r="AN183" s="698"/>
      <c r="AO183" s="699"/>
      <c r="AP183" s="698"/>
    </row>
    <row r="184" spans="1:42" ht="14.85" customHeight="1" thickBot="1" x14ac:dyDescent="0.3">
      <c r="A184" s="610">
        <v>40</v>
      </c>
      <c r="B184" s="613">
        <f>VLOOKUP(A184,مسلسل,2,0)</f>
        <v>0</v>
      </c>
      <c r="C184" s="616" t="str">
        <f>IFERROR(VLOOKUP(B184,اسماء,2,0),"")</f>
        <v/>
      </c>
      <c r="D184" s="619" t="str">
        <f>IFERROR(VLOOKUP($B184,اسماء,3,0),"")</f>
        <v/>
      </c>
      <c r="E184" s="129" t="s">
        <v>30</v>
      </c>
      <c r="F184" s="600">
        <f>IFERROR(VLOOKUP($B184,اسماء,5,0),0)</f>
        <v>0</v>
      </c>
      <c r="G184" s="601"/>
      <c r="H184" s="602">
        <f>IFERROR(VLOOKUP($B184,اسماء,6,0),0)</f>
        <v>0</v>
      </c>
      <c r="I184" s="622"/>
      <c r="J184" s="600">
        <f>IFERROR(VLOOKUP($B184,اسماء,7,0),0)</f>
        <v>0</v>
      </c>
      <c r="K184" s="601"/>
      <c r="L184" s="602">
        <f>IFERROR(VLOOKUP($B184,اسماء,8,0),0)</f>
        <v>0</v>
      </c>
      <c r="M184" s="603"/>
      <c r="N184" s="602">
        <f>IFERROR(VLOOKUP($B184,اسماء,9,0),0)</f>
        <v>0</v>
      </c>
      <c r="O184" s="603"/>
      <c r="P184" s="600">
        <f>IFERROR(VLOOKUP($B184,اسماء,10,0),0)</f>
        <v>0</v>
      </c>
      <c r="Q184" s="622"/>
      <c r="R184" s="371">
        <f t="shared" ref="R184" si="484">SUM(F184:Q184)</f>
        <v>0</v>
      </c>
      <c r="S184" s="213" t="str">
        <f>IFERROR(VLOOKUP($B184,اسماء,12,0),"")</f>
        <v/>
      </c>
      <c r="T184" s="214" t="str">
        <f>IFERROR(VLOOKUP($B184,اسماء,13,0),"")</f>
        <v/>
      </c>
      <c r="U184" s="364" t="str">
        <f>IFERROR(VLOOKUP($B184,اسماء,14,0),"")</f>
        <v/>
      </c>
      <c r="V184" s="604" t="str">
        <f t="shared" ref="V184" si="485">IF(Z184="غائب","راسب",IF(R187&gt;0,"ناجح","مرحل"))</f>
        <v>مرحل</v>
      </c>
      <c r="W184" s="19" t="str">
        <f t="shared" ref="W184:W185" si="486">LOOKUP(R184,$AC$6:$AD$10)</f>
        <v>ضعيف</v>
      </c>
      <c r="X184" s="639">
        <f t="shared" ref="X184" si="487">R187/$AC$3</f>
        <v>0</v>
      </c>
      <c r="Y184" s="68"/>
      <c r="Z184" s="597" t="str">
        <f>IFERROR(VLOOKUP($B184,اسماء,48,0),"")</f>
        <v/>
      </c>
      <c r="AK184" s="667" t="str">
        <f t="shared" ref="AK184" si="488">IF(R187=0,"",R187/1+ROW()*0.00001)</f>
        <v/>
      </c>
      <c r="AL184" s="667">
        <f>B184</f>
        <v>0</v>
      </c>
      <c r="AM184" s="696"/>
      <c r="AN184" s="698">
        <v>40</v>
      </c>
      <c r="AO184" s="699" t="str">
        <f>IFERROR(LARGE($AK$10:$AK$1420,AN184),"")</f>
        <v/>
      </c>
      <c r="AP184" s="698" t="str">
        <f>VLOOKUP(AO184,$AK$10:$AL$1530,2,0)</f>
        <v>امجد عمر عبداللطيف سلطان</v>
      </c>
    </row>
    <row r="185" spans="1:42" ht="14.85" customHeight="1" x14ac:dyDescent="0.25">
      <c r="A185" s="611"/>
      <c r="B185" s="614"/>
      <c r="C185" s="617"/>
      <c r="D185" s="620"/>
      <c r="E185" s="130" t="s">
        <v>31</v>
      </c>
      <c r="F185" s="592">
        <f>IFERROR(VLOOKUP($B184,اسماء,15,0),0)</f>
        <v>0</v>
      </c>
      <c r="G185" s="593"/>
      <c r="H185" s="594">
        <f>IFERROR(VLOOKUP($B184,اسماء,16,0),0)</f>
        <v>0</v>
      </c>
      <c r="I185" s="595"/>
      <c r="J185" s="592">
        <f>IFERROR(VLOOKUP($B184,اسماء,17,0),0)</f>
        <v>0</v>
      </c>
      <c r="K185" s="593"/>
      <c r="L185" s="594">
        <f>IFERROR(VLOOKUP($B184,اسماء,18,0),0)</f>
        <v>0</v>
      </c>
      <c r="M185" s="596"/>
      <c r="N185" s="594">
        <f>IFERROR(VLOOKUP($B184,اسماء,19,0),0)</f>
        <v>0</v>
      </c>
      <c r="O185" s="596"/>
      <c r="P185" s="592">
        <f>IFERROR(VLOOKUP($B184,اسماء,20,0),0)</f>
        <v>0</v>
      </c>
      <c r="Q185" s="595"/>
      <c r="R185" s="372">
        <f t="shared" si="378"/>
        <v>0</v>
      </c>
      <c r="S185" s="305" t="str">
        <f>IFERROR(VLOOKUP($B184,اسماء,23,0),"")</f>
        <v/>
      </c>
      <c r="T185" s="306" t="str">
        <f>IFERROR(VLOOKUP($B184,اسماء,24,0),"")</f>
        <v/>
      </c>
      <c r="U185" s="122" t="str">
        <f>IFERROR(VLOOKUP($B184,اسماء,25,0),"")</f>
        <v/>
      </c>
      <c r="V185" s="605"/>
      <c r="W185" s="19" t="str">
        <f t="shared" si="486"/>
        <v>ضعيف</v>
      </c>
      <c r="X185" s="640"/>
      <c r="Y185" s="8"/>
      <c r="Z185" s="598"/>
      <c r="AK185" s="667"/>
      <c r="AL185" s="667"/>
      <c r="AM185" s="696"/>
      <c r="AN185" s="698"/>
      <c r="AO185" s="699"/>
      <c r="AP185" s="698"/>
    </row>
    <row r="186" spans="1:42" ht="14.85" customHeight="1" x14ac:dyDescent="0.25">
      <c r="A186" s="611"/>
      <c r="B186" s="614"/>
      <c r="C186" s="617"/>
      <c r="D186" s="620"/>
      <c r="E186" s="130" t="s">
        <v>32</v>
      </c>
      <c r="F186" s="592">
        <f>IFERROR(VLOOKUP($B184,اسماء,25,0),0)</f>
        <v>0</v>
      </c>
      <c r="G186" s="593"/>
      <c r="H186" s="594">
        <f>IFERROR(VLOOKUP($B184,اسماء,26,0),0)</f>
        <v>0</v>
      </c>
      <c r="I186" s="595"/>
      <c r="J186" s="592">
        <f>IFERROR(VLOOKUP($B184,اسماء,27,0),0)</f>
        <v>0</v>
      </c>
      <c r="K186" s="593"/>
      <c r="L186" s="594">
        <f>IFERROR(VLOOKUP($B184,اسماء,28,0),0)</f>
        <v>0</v>
      </c>
      <c r="M186" s="596"/>
      <c r="N186" s="594">
        <f>IFERROR(VLOOKUP($B184,اسماء,29,0),0)</f>
        <v>0</v>
      </c>
      <c r="O186" s="596"/>
      <c r="P186" s="592">
        <f>IFERROR(VLOOKUP($B184,اسماء,30,0),0)</f>
        <v>0</v>
      </c>
      <c r="Q186" s="595"/>
      <c r="R186" s="372">
        <f t="shared" si="378"/>
        <v>0</v>
      </c>
      <c r="S186" s="305" t="str">
        <f>IFERROR(VLOOKUP($B184,اسماء,34,0),"")</f>
        <v/>
      </c>
      <c r="T186" s="306" t="str">
        <f>IFERROR(VLOOKUP($B184,اسماء,35,0),"")</f>
        <v/>
      </c>
      <c r="U186" s="122" t="str">
        <f>IFERROR(VLOOKUP($B184,اسماء,36,0),"")</f>
        <v/>
      </c>
      <c r="V186" s="605"/>
      <c r="W186" s="20" t="str">
        <f t="shared" ref="W186" si="489">LOOKUP(R186,$AF$6:$AG$10)</f>
        <v>ضعيف</v>
      </c>
      <c r="X186" s="640"/>
      <c r="Y186" s="68"/>
      <c r="Z186" s="598"/>
      <c r="AK186" s="667"/>
      <c r="AL186" s="667"/>
      <c r="AM186" s="696"/>
      <c r="AN186" s="698"/>
      <c r="AO186" s="699"/>
      <c r="AP186" s="698"/>
    </row>
    <row r="187" spans="1:42" ht="14.85" customHeight="1" thickBot="1" x14ac:dyDescent="0.3">
      <c r="A187" s="612"/>
      <c r="B187" s="615"/>
      <c r="C187" s="618"/>
      <c r="D187" s="621"/>
      <c r="E187" s="124" t="s">
        <v>33</v>
      </c>
      <c r="F187" s="623">
        <f t="shared" ref="F187" si="490">SUM(F184:G186)</f>
        <v>0</v>
      </c>
      <c r="G187" s="624"/>
      <c r="H187" s="625">
        <f t="shared" ref="H187" si="491">SUM(H184:I186)</f>
        <v>0</v>
      </c>
      <c r="I187" s="626"/>
      <c r="J187" s="623">
        <f t="shared" ref="J187" si="492">SUM(J184:K186)</f>
        <v>0</v>
      </c>
      <c r="K187" s="624"/>
      <c r="L187" s="625">
        <f t="shared" ref="L187" si="493">SUM(L184:M186)</f>
        <v>0</v>
      </c>
      <c r="M187" s="642"/>
      <c r="N187" s="625">
        <f t="shared" ref="N187" si="494">SUM(N184:O186)</f>
        <v>0</v>
      </c>
      <c r="O187" s="642"/>
      <c r="P187" s="623">
        <f t="shared" ref="P187" si="495">SUM(P184:Q186)</f>
        <v>0</v>
      </c>
      <c r="Q187" s="626"/>
      <c r="R187" s="88">
        <f t="shared" ref="R187" si="496">IF(AND(F187&gt;=$G$8,H187&gt;=$I$8,J187&gt;=$K$8,L187&gt;=$M$8,N187&gt;=$O$8,P187&gt;=$Q$8),SUM(F187:Q187),0)</f>
        <v>0</v>
      </c>
      <c r="S187" s="251"/>
      <c r="T187" s="97"/>
      <c r="U187" s="94"/>
      <c r="V187" s="606"/>
      <c r="W187" s="88" t="str">
        <f t="shared" ref="W187" si="497">LOOKUP(R187,$AI$6:$AJ$10)</f>
        <v>ضعيف</v>
      </c>
      <c r="X187" s="641"/>
      <c r="Y187" s="68"/>
      <c r="Z187" s="599"/>
      <c r="AK187" s="667"/>
      <c r="AL187" s="667"/>
      <c r="AM187" s="696"/>
      <c r="AN187" s="698"/>
      <c r="AO187" s="699"/>
      <c r="AP187" s="698"/>
    </row>
    <row r="188" spans="1:42" ht="14.85" customHeight="1" thickBot="1" x14ac:dyDescent="0.3">
      <c r="F188" s="71"/>
      <c r="G188" s="72"/>
      <c r="H188" s="71"/>
      <c r="I188" s="72"/>
      <c r="J188" s="71"/>
      <c r="K188" s="72"/>
      <c r="L188" s="71"/>
      <c r="M188" s="72"/>
      <c r="N188" s="71"/>
      <c r="O188" s="72"/>
      <c r="P188" s="71"/>
      <c r="Q188" s="72"/>
      <c r="R188" s="70"/>
      <c r="S188" s="73"/>
      <c r="T188" s="70"/>
      <c r="U188" s="70"/>
      <c r="V188" s="70"/>
      <c r="W188" s="70"/>
      <c r="X188" s="254"/>
      <c r="Y188" s="68"/>
      <c r="AH188" s="74"/>
    </row>
    <row r="189" spans="1:42" customFormat="1" ht="14.85" customHeight="1" x14ac:dyDescent="0.3">
      <c r="A189" s="668" t="s">
        <v>9</v>
      </c>
      <c r="B189" s="669"/>
      <c r="C189" s="670"/>
      <c r="D189" s="277" t="s">
        <v>11</v>
      </c>
      <c r="E189" s="674" t="s">
        <v>96</v>
      </c>
      <c r="F189" s="663"/>
      <c r="G189" s="663"/>
      <c r="H189" s="663"/>
      <c r="I189" s="663"/>
      <c r="J189" s="7"/>
      <c r="K189" s="7"/>
      <c r="L189" s="7"/>
      <c r="M189" s="7"/>
      <c r="N189" s="7"/>
      <c r="O189" s="7"/>
      <c r="P189" s="7"/>
      <c r="Q189" s="663" t="s">
        <v>156</v>
      </c>
      <c r="R189" s="663"/>
      <c r="S189" s="663"/>
      <c r="T189" s="663"/>
      <c r="U189" s="663"/>
      <c r="V189" s="663"/>
      <c r="W189" s="1"/>
      <c r="X189" s="255"/>
      <c r="Z189" s="75"/>
      <c r="AA189" s="76"/>
      <c r="AB189" s="76"/>
      <c r="AC189" s="76"/>
      <c r="AD189" s="76"/>
    </row>
    <row r="190" spans="1:42" customFormat="1" ht="14.85" customHeight="1" x14ac:dyDescent="0.25">
      <c r="A190" s="77" t="s">
        <v>8</v>
      </c>
      <c r="B190" s="671">
        <f>ادخال1!$BJ$3</f>
        <v>0</v>
      </c>
      <c r="C190" s="672"/>
      <c r="D190" s="278"/>
      <c r="E190" s="7" t="s">
        <v>9</v>
      </c>
      <c r="F190" s="673" t="str">
        <f>ادخال1!$BJ$5</f>
        <v>د. عبدالرحمن خليفة العريبي</v>
      </c>
      <c r="G190" s="673"/>
      <c r="H190" s="673"/>
      <c r="I190" s="673"/>
      <c r="J190" s="673"/>
      <c r="K190" s="673"/>
      <c r="L190" s="673"/>
      <c r="M190" s="673"/>
      <c r="N190" s="673"/>
      <c r="O190" s="673"/>
      <c r="P190" s="7"/>
      <c r="Q190" s="673" t="str">
        <f>ادخال1!$BJ$6</f>
        <v>تاجوراء</v>
      </c>
      <c r="R190" s="673"/>
      <c r="S190" s="673"/>
      <c r="T190" s="673"/>
      <c r="U190" s="673"/>
      <c r="V190" s="673"/>
      <c r="W190" s="673"/>
      <c r="X190" s="63"/>
      <c r="Y190" s="63"/>
      <c r="Z190" s="75"/>
      <c r="AA190" s="75"/>
      <c r="AB190" s="75"/>
      <c r="AC190" s="75"/>
    </row>
    <row r="191" spans="1:42" customFormat="1" ht="14.85" customHeight="1" thickBot="1" x14ac:dyDescent="0.3">
      <c r="A191" s="78" t="s">
        <v>97</v>
      </c>
      <c r="B191" s="665">
        <f>ادخال1!$BJ$4</f>
        <v>0</v>
      </c>
      <c r="C191" s="666"/>
      <c r="D191" s="279"/>
      <c r="E191" s="7" t="s">
        <v>11</v>
      </c>
      <c r="F191" s="667"/>
      <c r="G191" s="667"/>
      <c r="H191" s="667"/>
      <c r="I191" s="667"/>
      <c r="J191" s="667"/>
      <c r="K191" s="667"/>
      <c r="L191" s="667"/>
      <c r="M191" s="667"/>
      <c r="N191" s="667"/>
      <c r="O191" s="667"/>
      <c r="P191" s="7"/>
      <c r="Q191" s="7" t="s">
        <v>11</v>
      </c>
      <c r="R191" s="1"/>
      <c r="S191" s="1"/>
      <c r="T191" s="1"/>
      <c r="U191" s="1"/>
      <c r="V191" s="1"/>
      <c r="W191" s="1"/>
      <c r="X191" s="255"/>
      <c r="Z191" s="75"/>
      <c r="AA191" s="75"/>
      <c r="AB191" s="75"/>
      <c r="AC191" s="75"/>
    </row>
    <row r="192" spans="1:42" customFormat="1" ht="14.85" customHeight="1" x14ac:dyDescent="0.25">
      <c r="A192" s="663" t="s">
        <v>98</v>
      </c>
      <c r="B192" s="663"/>
      <c r="C192" s="663"/>
      <c r="D192" s="663"/>
      <c r="E192" s="663" t="s">
        <v>99</v>
      </c>
      <c r="F192" s="663"/>
      <c r="G192" s="663"/>
      <c r="H192" s="663"/>
      <c r="I192" s="663"/>
      <c r="J192" s="663"/>
      <c r="K192" s="663"/>
      <c r="L192" s="663"/>
      <c r="M192" s="663"/>
      <c r="N192" s="663"/>
      <c r="O192" s="663"/>
      <c r="P192" s="663"/>
      <c r="Q192" s="663"/>
      <c r="R192" s="7"/>
      <c r="S192" s="664">
        <f ca="1">TODAY()</f>
        <v>46009</v>
      </c>
      <c r="T192" s="664"/>
      <c r="U192" s="664"/>
      <c r="V192" s="664"/>
      <c r="W192" s="664"/>
      <c r="X192" s="255"/>
    </row>
    <row r="193" spans="1:42" customFormat="1" ht="14.85" customHeight="1" thickBot="1" x14ac:dyDescent="0.3">
      <c r="A193" s="7"/>
      <c r="B193" s="663" t="s">
        <v>100</v>
      </c>
      <c r="C193" s="663"/>
      <c r="D193" s="663"/>
      <c r="E193" s="663" t="s">
        <v>101</v>
      </c>
      <c r="F193" s="663"/>
      <c r="G193" s="663"/>
      <c r="H193" s="663"/>
      <c r="I193" s="663"/>
      <c r="J193" s="663"/>
      <c r="K193" s="663"/>
      <c r="L193" s="663"/>
      <c r="M193" s="663"/>
      <c r="N193" s="663"/>
      <c r="O193" s="663"/>
      <c r="P193" s="663"/>
      <c r="Q193" s="663"/>
      <c r="R193" s="1"/>
      <c r="S193" s="1"/>
      <c r="T193" s="1"/>
      <c r="U193" s="1"/>
      <c r="V193" s="1"/>
      <c r="W193" s="1"/>
      <c r="X193" s="255"/>
    </row>
    <row r="194" spans="1:42" ht="14.85" customHeight="1" thickBot="1" x14ac:dyDescent="0.3">
      <c r="A194" s="610">
        <v>41</v>
      </c>
      <c r="B194" s="613">
        <f>VLOOKUP(A194,مسلسل,2,0)</f>
        <v>0</v>
      </c>
      <c r="C194" s="616" t="str">
        <f>IFERROR(VLOOKUP(B194,اسماء,2,0),"")</f>
        <v/>
      </c>
      <c r="D194" s="619" t="str">
        <f>IFERROR(VLOOKUP($B194,اسماء,3,0),"")</f>
        <v/>
      </c>
      <c r="E194" s="129" t="s">
        <v>30</v>
      </c>
      <c r="F194" s="600">
        <f>IFERROR(VLOOKUP($B194,اسماء,5,0),0)</f>
        <v>0</v>
      </c>
      <c r="G194" s="601"/>
      <c r="H194" s="602">
        <f>IFERROR(VLOOKUP($B194,اسماء,6,0),0)</f>
        <v>0</v>
      </c>
      <c r="I194" s="622"/>
      <c r="J194" s="600">
        <f>IFERROR(VLOOKUP($B194,اسماء,7,0),0)</f>
        <v>0</v>
      </c>
      <c r="K194" s="601"/>
      <c r="L194" s="602">
        <f>IFERROR(VLOOKUP($B194,اسماء,8,0),0)</f>
        <v>0</v>
      </c>
      <c r="M194" s="603"/>
      <c r="N194" s="602">
        <f>IFERROR(VLOOKUP($B194,اسماء,9,0),0)</f>
        <v>0</v>
      </c>
      <c r="O194" s="603"/>
      <c r="P194" s="600">
        <f>IFERROR(VLOOKUP($B194,اسماء,10,0),0)</f>
        <v>0</v>
      </c>
      <c r="Q194" s="622"/>
      <c r="R194" s="371">
        <f>SUM(F194:Q194)</f>
        <v>0</v>
      </c>
      <c r="S194" s="325" t="str">
        <f>IFERROR(VLOOKUP($B194,اسماء,12,0),"")</f>
        <v/>
      </c>
      <c r="T194" s="326" t="str">
        <f>IFERROR(VLOOKUP($B194,اسماء,13,0),"")</f>
        <v/>
      </c>
      <c r="U194" s="92" t="str">
        <f>IFERROR(VLOOKUP($B194,اسماء,14,0),"")</f>
        <v/>
      </c>
      <c r="V194" s="604" t="str">
        <f t="shared" ref="V194" si="498">IF(Z194="غائب","راسب",IF(R197&gt;0,"ناجح","مرحل"))</f>
        <v>مرحل</v>
      </c>
      <c r="W194" s="19" t="str">
        <f t="shared" ref="W194:W195" si="499">LOOKUP(R194,$AC$6:$AD$10)</f>
        <v>ضعيف</v>
      </c>
      <c r="X194" s="639">
        <f t="shared" ref="X194" si="500">R197/$AC$3</f>
        <v>0</v>
      </c>
      <c r="Y194" s="8"/>
      <c r="Z194" s="597" t="str">
        <f>IFERROR(VLOOKUP($B194,اسماء,48,0),"")</f>
        <v/>
      </c>
      <c r="AK194" s="671" t="str">
        <f>IF(R197=0,"",R197/1+ROW()*0.00001)</f>
        <v/>
      </c>
      <c r="AL194" s="671">
        <f>B194</f>
        <v>0</v>
      </c>
      <c r="AM194" s="696"/>
      <c r="AN194" s="698">
        <v>41</v>
      </c>
      <c r="AO194" s="699" t="str">
        <f>IFERROR(LARGE($AK$10:$AK$1420,AN194),"")</f>
        <v/>
      </c>
      <c r="AP194" s="698" t="str">
        <f>VLOOKUP(AO194,$AK$10:$AL$1530,2,0)</f>
        <v>امجد عمر عبداللطيف سلطان</v>
      </c>
    </row>
    <row r="195" spans="1:42" ht="14.85" customHeight="1" x14ac:dyDescent="0.25">
      <c r="A195" s="611"/>
      <c r="B195" s="614"/>
      <c r="C195" s="617"/>
      <c r="D195" s="620"/>
      <c r="E195" s="130" t="s">
        <v>31</v>
      </c>
      <c r="F195" s="592">
        <f>IFERROR(VLOOKUP($B194,اسماء,16,0),0)</f>
        <v>0</v>
      </c>
      <c r="G195" s="593"/>
      <c r="H195" s="594">
        <f>IFERROR(VLOOKUP($B194,اسماء,17,0),0)</f>
        <v>0</v>
      </c>
      <c r="I195" s="595"/>
      <c r="J195" s="592">
        <f>IFERROR(VLOOKUP($B194,اسماء,18,0),0)</f>
        <v>0</v>
      </c>
      <c r="K195" s="593"/>
      <c r="L195" s="594">
        <f>IFERROR(VLOOKUP($B194,اسماء,19,0),0)</f>
        <v>0</v>
      </c>
      <c r="M195" s="596"/>
      <c r="N195" s="594">
        <f>IFERROR(VLOOKUP($B194,اسماء,20,0),0)</f>
        <v>0</v>
      </c>
      <c r="O195" s="596"/>
      <c r="P195" s="592">
        <f>IFERROR(VLOOKUP($B194,اسماء,21,0),0)</f>
        <v>0</v>
      </c>
      <c r="Q195" s="595"/>
      <c r="R195" s="372">
        <f t="shared" ref="R195:R196" si="501">SUM(F195:Q195)</f>
        <v>0</v>
      </c>
      <c r="S195" s="305" t="str">
        <f>IFERROR(VLOOKUP($B194,اسماء,23,0),"")</f>
        <v/>
      </c>
      <c r="T195" s="306" t="str">
        <f>IFERROR(VLOOKUP($B194,اسماء,24,0),"")</f>
        <v/>
      </c>
      <c r="U195" s="122" t="str">
        <f>IFERROR(VLOOKUP($B194,اسماء,25,0),"")</f>
        <v/>
      </c>
      <c r="V195" s="605"/>
      <c r="W195" s="19" t="str">
        <f t="shared" si="499"/>
        <v>ضعيف</v>
      </c>
      <c r="X195" s="640"/>
      <c r="Y195" s="68"/>
      <c r="Z195" s="598"/>
      <c r="AK195" s="671"/>
      <c r="AL195" s="671"/>
      <c r="AM195" s="696"/>
      <c r="AN195" s="698"/>
      <c r="AO195" s="699"/>
      <c r="AP195" s="698"/>
    </row>
    <row r="196" spans="1:42" ht="14.85" customHeight="1" x14ac:dyDescent="0.25">
      <c r="A196" s="611"/>
      <c r="B196" s="614"/>
      <c r="C196" s="617"/>
      <c r="D196" s="620"/>
      <c r="E196" s="130" t="s">
        <v>32</v>
      </c>
      <c r="F196" s="592">
        <f>IFERROR(VLOOKUP($B194,اسماء,27,0),0)</f>
        <v>0</v>
      </c>
      <c r="G196" s="593"/>
      <c r="H196" s="594">
        <f>IFERROR(VLOOKUP($B194,اسماء,28,0),0)</f>
        <v>0</v>
      </c>
      <c r="I196" s="595"/>
      <c r="J196" s="592">
        <f>IFERROR(VLOOKUP($B194,اسماء,29,0),0)</f>
        <v>0</v>
      </c>
      <c r="K196" s="593"/>
      <c r="L196" s="594">
        <f>IFERROR(VLOOKUP($B194,اسماء,30,0),0)</f>
        <v>0</v>
      </c>
      <c r="M196" s="596"/>
      <c r="N196" s="594">
        <f>IFERROR(VLOOKUP($B194,اسماء,31,0),0)</f>
        <v>0</v>
      </c>
      <c r="O196" s="596"/>
      <c r="P196" s="592">
        <f>IFERROR(VLOOKUP($B194,اسماء,32,0),0)</f>
        <v>0</v>
      </c>
      <c r="Q196" s="595"/>
      <c r="R196" s="372">
        <f t="shared" si="501"/>
        <v>0</v>
      </c>
      <c r="S196" s="305" t="str">
        <f>IFERROR(VLOOKUP($B194,اسماء,34,0),"")</f>
        <v/>
      </c>
      <c r="T196" s="306" t="str">
        <f>IFERROR(VLOOKUP($B194,اسماء,35,0),"")</f>
        <v/>
      </c>
      <c r="U196" s="122" t="str">
        <f>IFERROR(VLOOKUP($B194,اسماء,36,0),"")</f>
        <v/>
      </c>
      <c r="V196" s="605"/>
      <c r="W196" s="20" t="str">
        <f t="shared" ref="W196" si="502">LOOKUP(R196,$AF$6:$AG$10)</f>
        <v>ضعيف</v>
      </c>
      <c r="X196" s="640"/>
      <c r="Y196" s="68"/>
      <c r="Z196" s="598"/>
      <c r="AK196" s="671"/>
      <c r="AL196" s="671"/>
      <c r="AM196" s="696"/>
      <c r="AN196" s="698"/>
      <c r="AO196" s="699"/>
      <c r="AP196" s="698"/>
    </row>
    <row r="197" spans="1:42" ht="14.85" customHeight="1" thickBot="1" x14ac:dyDescent="0.3">
      <c r="A197" s="612"/>
      <c r="B197" s="615"/>
      <c r="C197" s="618"/>
      <c r="D197" s="621"/>
      <c r="E197" s="124" t="s">
        <v>33</v>
      </c>
      <c r="F197" s="623">
        <f>SUM(F194:G196)</f>
        <v>0</v>
      </c>
      <c r="G197" s="624"/>
      <c r="H197" s="625">
        <f>SUM(H194:I196)</f>
        <v>0</v>
      </c>
      <c r="I197" s="626"/>
      <c r="J197" s="623">
        <f>SUM(J194:K196)</f>
        <v>0</v>
      </c>
      <c r="K197" s="624"/>
      <c r="L197" s="625">
        <f>SUM(L194:M196)</f>
        <v>0</v>
      </c>
      <c r="M197" s="642"/>
      <c r="N197" s="625">
        <f>SUM(N194:O196)</f>
        <v>0</v>
      </c>
      <c r="O197" s="642"/>
      <c r="P197" s="623">
        <f>SUM(P194:Q196)</f>
        <v>0</v>
      </c>
      <c r="Q197" s="626"/>
      <c r="R197" s="88">
        <f>IF(AND(F197&gt;=$G$8,H197&gt;=$I$8,J197&gt;=$K$8,L197&gt;=$M$8,N197&gt;=$O$8,P197&gt;=$Q$8),SUM(F197:Q197),0)</f>
        <v>0</v>
      </c>
      <c r="S197" s="251"/>
      <c r="T197" s="97"/>
      <c r="U197" s="94"/>
      <c r="V197" s="606"/>
      <c r="W197" s="88" t="str">
        <f t="shared" ref="W197" si="503">LOOKUP(R197,$AI$6:$AJ$10)</f>
        <v>ضعيف</v>
      </c>
      <c r="X197" s="641"/>
      <c r="Y197" s="8"/>
      <c r="Z197" s="599"/>
      <c r="AK197" s="671"/>
      <c r="AL197" s="671"/>
      <c r="AM197" s="696"/>
      <c r="AN197" s="698"/>
      <c r="AO197" s="699"/>
      <c r="AP197" s="698"/>
    </row>
    <row r="198" spans="1:42" ht="14.85" customHeight="1" thickBot="1" x14ac:dyDescent="0.3">
      <c r="A198" s="610">
        <v>42</v>
      </c>
      <c r="B198" s="613">
        <f>VLOOKUP(A198,مسلسل,2,0)</f>
        <v>0</v>
      </c>
      <c r="C198" s="616" t="str">
        <f>IFERROR(VLOOKUP(B198,اسماء,2,0),"")</f>
        <v/>
      </c>
      <c r="D198" s="619" t="str">
        <f>IFERROR(VLOOKUP($B198,اسماء,3,0),"")</f>
        <v/>
      </c>
      <c r="E198" s="129" t="s">
        <v>30</v>
      </c>
      <c r="F198" s="600">
        <f>IFERROR(VLOOKUP($B198,اسماء,5,0),0)</f>
        <v>0</v>
      </c>
      <c r="G198" s="601"/>
      <c r="H198" s="602">
        <f>IFERROR(VLOOKUP($B198,اسماء,6,0),0)</f>
        <v>0</v>
      </c>
      <c r="I198" s="622"/>
      <c r="J198" s="600">
        <f>IFERROR(VLOOKUP($B198,اسماء,7,0),0)</f>
        <v>0</v>
      </c>
      <c r="K198" s="601"/>
      <c r="L198" s="602">
        <f>IFERROR(VLOOKUP($B198,اسماء,8,0),0)</f>
        <v>0</v>
      </c>
      <c r="M198" s="603"/>
      <c r="N198" s="602">
        <f>IFERROR(VLOOKUP($B198,اسماء,9,0),0)</f>
        <v>0</v>
      </c>
      <c r="O198" s="603"/>
      <c r="P198" s="600">
        <f>IFERROR(VLOOKUP($B198,اسماء,10,0),0)</f>
        <v>0</v>
      </c>
      <c r="Q198" s="622"/>
      <c r="R198" s="371">
        <f t="shared" ref="R198:R232" si="504">SUM(F198:Q198)</f>
        <v>0</v>
      </c>
      <c r="S198" s="213" t="str">
        <f>IFERROR(VLOOKUP($B198,اسماء,12,0),"")</f>
        <v/>
      </c>
      <c r="T198" s="214" t="str">
        <f>IFERROR(VLOOKUP($B198,اسماء,13,0),"")</f>
        <v/>
      </c>
      <c r="U198" s="364" t="str">
        <f>IFERROR(VLOOKUP($B198,اسماء,14,0),"")</f>
        <v/>
      </c>
      <c r="V198" s="604" t="str">
        <f t="shared" ref="V198" si="505">IF(Z198="غائب","راسب",IF(R201&gt;0,"ناجح","مرحل"))</f>
        <v>مرحل</v>
      </c>
      <c r="W198" s="19" t="str">
        <f t="shared" ref="W198:W199" si="506">LOOKUP(R198,$AC$6:$AD$10)</f>
        <v>ضعيف</v>
      </c>
      <c r="X198" s="639">
        <f t="shared" ref="X198" si="507">R201/$AC$3</f>
        <v>0</v>
      </c>
      <c r="Y198" s="68"/>
      <c r="Z198" s="597" t="str">
        <f>IFERROR(VLOOKUP($B198,اسماء,48,0),"")</f>
        <v/>
      </c>
      <c r="AK198" s="667" t="str">
        <f t="shared" ref="AK198" si="508">IF(R201=0,"",R201/1+ROW()*0.00001)</f>
        <v/>
      </c>
      <c r="AL198" s="667">
        <f>B198</f>
        <v>0</v>
      </c>
      <c r="AM198" s="696"/>
      <c r="AN198" s="698">
        <v>42</v>
      </c>
      <c r="AO198" s="699" t="str">
        <f>IFERROR(LARGE($AK$10:$AK$1420,AN198),"")</f>
        <v/>
      </c>
      <c r="AP198" s="698" t="str">
        <f>VLOOKUP(AO198,$AK$10:$AL$1530,2,0)</f>
        <v>امجد عمر عبداللطيف سلطان</v>
      </c>
    </row>
    <row r="199" spans="1:42" ht="14.85" customHeight="1" x14ac:dyDescent="0.25">
      <c r="A199" s="611"/>
      <c r="B199" s="614"/>
      <c r="C199" s="617"/>
      <c r="D199" s="620"/>
      <c r="E199" s="130" t="s">
        <v>31</v>
      </c>
      <c r="F199" s="592">
        <f>IFERROR(VLOOKUP($B198,اسماء,15,0),0)</f>
        <v>0</v>
      </c>
      <c r="G199" s="593"/>
      <c r="H199" s="594">
        <f>IFERROR(VLOOKUP($B198,اسماء,16,0),0)</f>
        <v>0</v>
      </c>
      <c r="I199" s="595"/>
      <c r="J199" s="592">
        <f>IFERROR(VLOOKUP($B198,اسماء,17,0),0)</f>
        <v>0</v>
      </c>
      <c r="K199" s="593"/>
      <c r="L199" s="594">
        <f>IFERROR(VLOOKUP($B198,اسماء,18,0),0)</f>
        <v>0</v>
      </c>
      <c r="M199" s="596"/>
      <c r="N199" s="594">
        <f>IFERROR(VLOOKUP($B198,اسماء,19,0),0)</f>
        <v>0</v>
      </c>
      <c r="O199" s="596"/>
      <c r="P199" s="592">
        <f>IFERROR(VLOOKUP($B198,اسماء,20,0),0)</f>
        <v>0</v>
      </c>
      <c r="Q199" s="595"/>
      <c r="R199" s="372">
        <f t="shared" si="504"/>
        <v>0</v>
      </c>
      <c r="S199" s="305" t="str">
        <f>IFERROR(VLOOKUP($B198,اسماء,23,0),"")</f>
        <v/>
      </c>
      <c r="T199" s="306" t="str">
        <f>IFERROR(VLOOKUP($B198,اسماء,24,0),"")</f>
        <v/>
      </c>
      <c r="U199" s="122" t="str">
        <f>IFERROR(VLOOKUP($B198,اسماء,25,0),"")</f>
        <v/>
      </c>
      <c r="V199" s="605"/>
      <c r="W199" s="19" t="str">
        <f t="shared" si="506"/>
        <v>ضعيف</v>
      </c>
      <c r="X199" s="640"/>
      <c r="Y199" s="68"/>
      <c r="Z199" s="598"/>
      <c r="AK199" s="667"/>
      <c r="AL199" s="667"/>
      <c r="AM199" s="696"/>
      <c r="AN199" s="698"/>
      <c r="AO199" s="699"/>
      <c r="AP199" s="698"/>
    </row>
    <row r="200" spans="1:42" ht="14.85" customHeight="1" x14ac:dyDescent="0.25">
      <c r="A200" s="611"/>
      <c r="B200" s="614"/>
      <c r="C200" s="617"/>
      <c r="D200" s="620"/>
      <c r="E200" s="130" t="s">
        <v>32</v>
      </c>
      <c r="F200" s="592">
        <f>IFERROR(VLOOKUP($B198,اسماء,25,0),0)</f>
        <v>0</v>
      </c>
      <c r="G200" s="593"/>
      <c r="H200" s="594">
        <f>IFERROR(VLOOKUP($B198,اسماء,26,0),0)</f>
        <v>0</v>
      </c>
      <c r="I200" s="595"/>
      <c r="J200" s="592">
        <f>IFERROR(VLOOKUP($B198,اسماء,27,0),0)</f>
        <v>0</v>
      </c>
      <c r="K200" s="593"/>
      <c r="L200" s="594">
        <f>IFERROR(VLOOKUP($B198,اسماء,28,0),0)</f>
        <v>0</v>
      </c>
      <c r="M200" s="596"/>
      <c r="N200" s="594">
        <f>IFERROR(VLOOKUP($B198,اسماء,29,0),0)</f>
        <v>0</v>
      </c>
      <c r="O200" s="596"/>
      <c r="P200" s="592">
        <f>IFERROR(VLOOKUP($B198,اسماء,30,0),0)</f>
        <v>0</v>
      </c>
      <c r="Q200" s="595"/>
      <c r="R200" s="372">
        <f t="shared" si="504"/>
        <v>0</v>
      </c>
      <c r="S200" s="305" t="str">
        <f>IFERROR(VLOOKUP($B198,اسماء,34,0),"")</f>
        <v/>
      </c>
      <c r="T200" s="306" t="str">
        <f>IFERROR(VLOOKUP($B198,اسماء,35,0),"")</f>
        <v/>
      </c>
      <c r="U200" s="122" t="str">
        <f>IFERROR(VLOOKUP($B198,اسماء,36,0),"")</f>
        <v/>
      </c>
      <c r="V200" s="605"/>
      <c r="W200" s="20" t="str">
        <f t="shared" ref="W200" si="509">LOOKUP(R200,$AF$6:$AG$10)</f>
        <v>ضعيف</v>
      </c>
      <c r="X200" s="640"/>
      <c r="Y200" s="8"/>
      <c r="Z200" s="598"/>
      <c r="AK200" s="667"/>
      <c r="AL200" s="667"/>
      <c r="AM200" s="696"/>
      <c r="AN200" s="698"/>
      <c r="AO200" s="699"/>
      <c r="AP200" s="698"/>
    </row>
    <row r="201" spans="1:42" ht="14.85" customHeight="1" thickBot="1" x14ac:dyDescent="0.3">
      <c r="A201" s="612"/>
      <c r="B201" s="615"/>
      <c r="C201" s="618"/>
      <c r="D201" s="621"/>
      <c r="E201" s="124" t="s">
        <v>33</v>
      </c>
      <c r="F201" s="623">
        <f>SUM(F198:G200)</f>
        <v>0</v>
      </c>
      <c r="G201" s="624"/>
      <c r="H201" s="625">
        <f>SUM(H198:I200)</f>
        <v>0</v>
      </c>
      <c r="I201" s="626"/>
      <c r="J201" s="623">
        <f>SUM(J198:K200)</f>
        <v>0</v>
      </c>
      <c r="K201" s="624"/>
      <c r="L201" s="625">
        <f>SUM(L198:M200)</f>
        <v>0</v>
      </c>
      <c r="M201" s="642"/>
      <c r="N201" s="625">
        <f>SUM(N198:O200)</f>
        <v>0</v>
      </c>
      <c r="O201" s="642"/>
      <c r="P201" s="623">
        <f>SUM(P198:Q200)</f>
        <v>0</v>
      </c>
      <c r="Q201" s="626"/>
      <c r="R201" s="88">
        <f t="shared" ref="R201" si="510">IF(AND(F201&gt;=$G$8,H201&gt;=$I$8,J201&gt;=$K$8,L201&gt;=$M$8,N201&gt;=$O$8,P201&gt;=$Q$8),SUM(F201:Q201),0)</f>
        <v>0</v>
      </c>
      <c r="S201" s="251"/>
      <c r="T201" s="97"/>
      <c r="U201" s="94"/>
      <c r="V201" s="606"/>
      <c r="W201" s="88" t="str">
        <f t="shared" ref="W201" si="511">LOOKUP(R201,$AI$6:$AJ$10)</f>
        <v>ضعيف</v>
      </c>
      <c r="X201" s="641"/>
      <c r="Y201" s="68"/>
      <c r="Z201" s="599"/>
      <c r="AK201" s="667"/>
      <c r="AL201" s="667"/>
      <c r="AM201" s="696"/>
      <c r="AN201" s="698"/>
      <c r="AO201" s="699"/>
      <c r="AP201" s="698"/>
    </row>
    <row r="202" spans="1:42" ht="14.85" customHeight="1" thickBot="1" x14ac:dyDescent="0.3">
      <c r="A202" s="610">
        <v>43</v>
      </c>
      <c r="B202" s="613">
        <f>VLOOKUP(A202,مسلسل,2,0)</f>
        <v>0</v>
      </c>
      <c r="C202" s="616" t="str">
        <f>IFERROR(VLOOKUP(B202,اسماء,2,0),"")</f>
        <v/>
      </c>
      <c r="D202" s="619" t="str">
        <f>IFERROR(VLOOKUP($B202,اسماء,3,0),"")</f>
        <v/>
      </c>
      <c r="E202" s="129" t="s">
        <v>30</v>
      </c>
      <c r="F202" s="600">
        <f>IFERROR(VLOOKUP($B202,اسماء,5,0),0)</f>
        <v>0</v>
      </c>
      <c r="G202" s="601"/>
      <c r="H202" s="602">
        <f>IFERROR(VLOOKUP($B202,اسماء,6,0),0)</f>
        <v>0</v>
      </c>
      <c r="I202" s="622"/>
      <c r="J202" s="600">
        <f>IFERROR(VLOOKUP($B202,اسماء,7,0),0)</f>
        <v>0</v>
      </c>
      <c r="K202" s="601"/>
      <c r="L202" s="602">
        <f>IFERROR(VLOOKUP($B202,اسماء,8,0),0)</f>
        <v>0</v>
      </c>
      <c r="M202" s="603"/>
      <c r="N202" s="602">
        <f>IFERROR(VLOOKUP($B202,اسماء,9,0),0)</f>
        <v>0</v>
      </c>
      <c r="O202" s="603"/>
      <c r="P202" s="600">
        <f>IFERROR(VLOOKUP($B202,اسماء,10,0),0)</f>
        <v>0</v>
      </c>
      <c r="Q202" s="622"/>
      <c r="R202" s="371">
        <f t="shared" ref="R202" si="512">SUM(F202:Q202)</f>
        <v>0</v>
      </c>
      <c r="S202" s="213" t="str">
        <f>IFERROR(VLOOKUP($B202,اسماء,12,0),"")</f>
        <v/>
      </c>
      <c r="T202" s="214" t="str">
        <f>IFERROR(VLOOKUP($B202,اسماء,13,0),"")</f>
        <v/>
      </c>
      <c r="U202" s="364" t="str">
        <f>IFERROR(VLOOKUP($B202,اسماء,14,0),"")</f>
        <v/>
      </c>
      <c r="V202" s="604" t="str">
        <f t="shared" ref="V202" si="513">IF(Z202="غائب","راسب",IF(R205&gt;0,"ناجح","مرحل"))</f>
        <v>مرحل</v>
      </c>
      <c r="W202" s="19" t="str">
        <f t="shared" ref="W202:W203" si="514">LOOKUP(R202,$AC$6:$AD$10)</f>
        <v>ضعيف</v>
      </c>
      <c r="X202" s="639">
        <f t="shared" ref="X202" si="515">R205/$AC$3</f>
        <v>0</v>
      </c>
      <c r="Y202" s="68"/>
      <c r="Z202" s="597" t="str">
        <f>IFERROR(VLOOKUP($B202,اسماء,48,0),"")</f>
        <v/>
      </c>
      <c r="AK202" s="667" t="str">
        <f t="shared" ref="AK202" si="516">IF(R205=0,"",R205/1+ROW()*0.00001)</f>
        <v/>
      </c>
      <c r="AL202" s="667">
        <f>B202</f>
        <v>0</v>
      </c>
      <c r="AM202" s="696"/>
      <c r="AN202" s="698">
        <v>43</v>
      </c>
      <c r="AO202" s="699" t="str">
        <f>IFERROR(LARGE($AK$10:$AK$1420,AN202),"")</f>
        <v/>
      </c>
      <c r="AP202" s="698" t="str">
        <f>VLOOKUP(AO202,$AK$10:$AL$1530,2,0)</f>
        <v>امجد عمر عبداللطيف سلطان</v>
      </c>
    </row>
    <row r="203" spans="1:42" ht="14.85" customHeight="1" x14ac:dyDescent="0.25">
      <c r="A203" s="611"/>
      <c r="B203" s="614"/>
      <c r="C203" s="617"/>
      <c r="D203" s="620"/>
      <c r="E203" s="130" t="s">
        <v>31</v>
      </c>
      <c r="F203" s="592">
        <f>IFERROR(VLOOKUP($B202,اسماء,15,0),0)</f>
        <v>0</v>
      </c>
      <c r="G203" s="593"/>
      <c r="H203" s="594">
        <f>IFERROR(VLOOKUP($B202,اسماء,16,0),0)</f>
        <v>0</v>
      </c>
      <c r="I203" s="595"/>
      <c r="J203" s="592">
        <f>IFERROR(VLOOKUP($B202,اسماء,17,0),0)</f>
        <v>0</v>
      </c>
      <c r="K203" s="593"/>
      <c r="L203" s="594">
        <f>IFERROR(VLOOKUP($B202,اسماء,18,0),0)</f>
        <v>0</v>
      </c>
      <c r="M203" s="596"/>
      <c r="N203" s="594">
        <f>IFERROR(VLOOKUP($B202,اسماء,19,0),0)</f>
        <v>0</v>
      </c>
      <c r="O203" s="596"/>
      <c r="P203" s="592">
        <f>IFERROR(VLOOKUP($B202,اسماء,20,0),0)</f>
        <v>0</v>
      </c>
      <c r="Q203" s="595"/>
      <c r="R203" s="372">
        <f t="shared" si="504"/>
        <v>0</v>
      </c>
      <c r="S203" s="305" t="str">
        <f>IFERROR(VLOOKUP($B202,اسماء,23,0),"")</f>
        <v/>
      </c>
      <c r="T203" s="306" t="str">
        <f>IFERROR(VLOOKUP($B202,اسماء,24,0),"")</f>
        <v/>
      </c>
      <c r="U203" s="122" t="str">
        <f>IFERROR(VLOOKUP($B202,اسماء,25,0),"")</f>
        <v/>
      </c>
      <c r="V203" s="605"/>
      <c r="W203" s="19" t="str">
        <f t="shared" si="514"/>
        <v>ضعيف</v>
      </c>
      <c r="X203" s="640"/>
      <c r="Y203" s="8"/>
      <c r="Z203" s="598"/>
      <c r="AK203" s="667"/>
      <c r="AL203" s="667"/>
      <c r="AM203" s="696"/>
      <c r="AN203" s="698"/>
      <c r="AO203" s="699"/>
      <c r="AP203" s="698"/>
    </row>
    <row r="204" spans="1:42" ht="14.85" customHeight="1" x14ac:dyDescent="0.25">
      <c r="A204" s="611"/>
      <c r="B204" s="614"/>
      <c r="C204" s="617"/>
      <c r="D204" s="620"/>
      <c r="E204" s="130" t="s">
        <v>32</v>
      </c>
      <c r="F204" s="592">
        <f>IFERROR(VLOOKUP($B202,اسماء,25,0),0)</f>
        <v>0</v>
      </c>
      <c r="G204" s="593"/>
      <c r="H204" s="594">
        <f>IFERROR(VLOOKUP($B202,اسماء,26,0),0)</f>
        <v>0</v>
      </c>
      <c r="I204" s="595"/>
      <c r="J204" s="592">
        <f>IFERROR(VLOOKUP($B202,اسماء,27,0),0)</f>
        <v>0</v>
      </c>
      <c r="K204" s="593"/>
      <c r="L204" s="594">
        <f>IFERROR(VLOOKUP($B202,اسماء,28,0),0)</f>
        <v>0</v>
      </c>
      <c r="M204" s="596"/>
      <c r="N204" s="594">
        <f>IFERROR(VLOOKUP($B202,اسماء,29,0),0)</f>
        <v>0</v>
      </c>
      <c r="O204" s="596"/>
      <c r="P204" s="592">
        <f>IFERROR(VLOOKUP($B202,اسماء,30,0),0)</f>
        <v>0</v>
      </c>
      <c r="Q204" s="595"/>
      <c r="R204" s="372">
        <f t="shared" si="504"/>
        <v>0</v>
      </c>
      <c r="S204" s="305" t="str">
        <f>IFERROR(VLOOKUP($B202,اسماء,34,0),"")</f>
        <v/>
      </c>
      <c r="T204" s="306" t="str">
        <f>IFERROR(VLOOKUP($B202,اسماء,35,0),"")</f>
        <v/>
      </c>
      <c r="U204" s="122" t="str">
        <f>IFERROR(VLOOKUP($B202,اسماء,36,0),"")</f>
        <v/>
      </c>
      <c r="V204" s="605"/>
      <c r="W204" s="20" t="str">
        <f t="shared" ref="W204" si="517">LOOKUP(R204,$AF$6:$AG$10)</f>
        <v>ضعيف</v>
      </c>
      <c r="X204" s="640"/>
      <c r="Y204" s="68"/>
      <c r="Z204" s="598"/>
      <c r="AK204" s="667"/>
      <c r="AL204" s="667"/>
      <c r="AM204" s="696"/>
      <c r="AN204" s="698"/>
      <c r="AO204" s="699"/>
      <c r="AP204" s="698"/>
    </row>
    <row r="205" spans="1:42" ht="14.85" customHeight="1" thickBot="1" x14ac:dyDescent="0.3">
      <c r="A205" s="612"/>
      <c r="B205" s="615"/>
      <c r="C205" s="618"/>
      <c r="D205" s="621"/>
      <c r="E205" s="124" t="s">
        <v>33</v>
      </c>
      <c r="F205" s="623">
        <f t="shared" ref="F205" si="518">SUM(F202:G204)</f>
        <v>0</v>
      </c>
      <c r="G205" s="624"/>
      <c r="H205" s="625">
        <f t="shared" ref="H205" si="519">SUM(H202:I204)</f>
        <v>0</v>
      </c>
      <c r="I205" s="626"/>
      <c r="J205" s="623">
        <f t="shared" ref="J205" si="520">SUM(J202:K204)</f>
        <v>0</v>
      </c>
      <c r="K205" s="624"/>
      <c r="L205" s="625">
        <f t="shared" ref="L205" si="521">SUM(L202:M204)</f>
        <v>0</v>
      </c>
      <c r="M205" s="642"/>
      <c r="N205" s="625">
        <f t="shared" ref="N205" si="522">SUM(N202:O204)</f>
        <v>0</v>
      </c>
      <c r="O205" s="642"/>
      <c r="P205" s="623">
        <f t="shared" ref="P205" si="523">SUM(P202:Q204)</f>
        <v>0</v>
      </c>
      <c r="Q205" s="626"/>
      <c r="R205" s="88">
        <f t="shared" ref="R205" si="524">IF(AND(F205&gt;=$G$8,H205&gt;=$I$8,J205&gt;=$K$8,L205&gt;=$M$8,N205&gt;=$O$8,P205&gt;=$Q$8),SUM(F205:Q205),0)</f>
        <v>0</v>
      </c>
      <c r="S205" s="251"/>
      <c r="T205" s="97"/>
      <c r="U205" s="94"/>
      <c r="V205" s="606"/>
      <c r="W205" s="88" t="str">
        <f t="shared" ref="W205" si="525">LOOKUP(R205,$AI$6:$AJ$10)</f>
        <v>ضعيف</v>
      </c>
      <c r="X205" s="641"/>
      <c r="Y205" s="68"/>
      <c r="Z205" s="599"/>
      <c r="AK205" s="667"/>
      <c r="AL205" s="667"/>
      <c r="AM205" s="696"/>
      <c r="AN205" s="698"/>
      <c r="AO205" s="699"/>
      <c r="AP205" s="698"/>
    </row>
    <row r="206" spans="1:42" ht="14.85" customHeight="1" thickBot="1" x14ac:dyDescent="0.3">
      <c r="A206" s="610">
        <v>44</v>
      </c>
      <c r="B206" s="613">
        <f>VLOOKUP(A206,مسلسل,2,0)</f>
        <v>0</v>
      </c>
      <c r="C206" s="616" t="str">
        <f>IFERROR(VLOOKUP(B206,اسماء,2,0),"")</f>
        <v/>
      </c>
      <c r="D206" s="619" t="str">
        <f>IFERROR(VLOOKUP($B206,اسماء,3,0),"")</f>
        <v/>
      </c>
      <c r="E206" s="129" t="s">
        <v>30</v>
      </c>
      <c r="F206" s="600">
        <f>IFERROR(VLOOKUP($B206,اسماء,5,0),0)</f>
        <v>0</v>
      </c>
      <c r="G206" s="601"/>
      <c r="H206" s="602">
        <f>IFERROR(VLOOKUP($B206,اسماء,6,0),0)</f>
        <v>0</v>
      </c>
      <c r="I206" s="622"/>
      <c r="J206" s="600">
        <f>IFERROR(VLOOKUP($B206,اسماء,7,0),0)</f>
        <v>0</v>
      </c>
      <c r="K206" s="601"/>
      <c r="L206" s="602">
        <f>IFERROR(VLOOKUP($B206,اسماء,8,0),0)</f>
        <v>0</v>
      </c>
      <c r="M206" s="603"/>
      <c r="N206" s="602">
        <f>IFERROR(VLOOKUP($B206,اسماء,9,0),0)</f>
        <v>0</v>
      </c>
      <c r="O206" s="603"/>
      <c r="P206" s="600">
        <f>IFERROR(VLOOKUP($B206,اسماء,10,0),0)</f>
        <v>0</v>
      </c>
      <c r="Q206" s="622"/>
      <c r="R206" s="371">
        <f t="shared" ref="R206" si="526">SUM(F206:Q206)</f>
        <v>0</v>
      </c>
      <c r="S206" s="213" t="str">
        <f>IFERROR(VLOOKUP($B206,اسماء,12,0),"")</f>
        <v/>
      </c>
      <c r="T206" s="214" t="str">
        <f>IFERROR(VLOOKUP($B206,اسماء,13,0),"")</f>
        <v/>
      </c>
      <c r="U206" s="364" t="str">
        <f>IFERROR(VLOOKUP($B206,اسماء,14,0),"")</f>
        <v/>
      </c>
      <c r="V206" s="604" t="str">
        <f t="shared" ref="V206" si="527">IF(Z206="غائب","راسب",IF(R209&gt;0,"ناجح","مرحل"))</f>
        <v>مرحل</v>
      </c>
      <c r="W206" s="19" t="str">
        <f t="shared" ref="W206:W207" si="528">LOOKUP(R206,$AC$6:$AD$10)</f>
        <v>ضعيف</v>
      </c>
      <c r="X206" s="639">
        <f t="shared" ref="X206" si="529">R209/$AC$3</f>
        <v>0</v>
      </c>
      <c r="Y206" s="8"/>
      <c r="Z206" s="597" t="str">
        <f>IFERROR(VLOOKUP($B206,اسماء,48,0),"")</f>
        <v/>
      </c>
      <c r="AK206" s="667" t="str">
        <f t="shared" ref="AK206" si="530">IF(R209=0,"",R209/1+ROW()*0.00001)</f>
        <v/>
      </c>
      <c r="AL206" s="667">
        <f>B206</f>
        <v>0</v>
      </c>
      <c r="AM206" s="696"/>
      <c r="AN206" s="698">
        <v>44</v>
      </c>
      <c r="AO206" s="699" t="str">
        <f>IFERROR(LARGE($AK$10:$AK$1420,AN206),"")</f>
        <v/>
      </c>
      <c r="AP206" s="698" t="str">
        <f>VLOOKUP(AO206,$AK$10:$AL$1530,2,0)</f>
        <v>امجد عمر عبداللطيف سلطان</v>
      </c>
    </row>
    <row r="207" spans="1:42" ht="14.85" customHeight="1" x14ac:dyDescent="0.25">
      <c r="A207" s="611"/>
      <c r="B207" s="614"/>
      <c r="C207" s="617"/>
      <c r="D207" s="620"/>
      <c r="E207" s="130" t="s">
        <v>31</v>
      </c>
      <c r="F207" s="592">
        <f>IFERROR(VLOOKUP($B206,اسماء,15,0),0)</f>
        <v>0</v>
      </c>
      <c r="G207" s="593"/>
      <c r="H207" s="594">
        <f>IFERROR(VLOOKUP($B206,اسماء,16,0),0)</f>
        <v>0</v>
      </c>
      <c r="I207" s="595"/>
      <c r="J207" s="592">
        <f>IFERROR(VLOOKUP($B206,اسماء,17,0),0)</f>
        <v>0</v>
      </c>
      <c r="K207" s="593"/>
      <c r="L207" s="594">
        <f>IFERROR(VLOOKUP($B206,اسماء,18,0),0)</f>
        <v>0</v>
      </c>
      <c r="M207" s="596"/>
      <c r="N207" s="594">
        <f>IFERROR(VLOOKUP($B206,اسماء,19,0),0)</f>
        <v>0</v>
      </c>
      <c r="O207" s="596"/>
      <c r="P207" s="592">
        <f>IFERROR(VLOOKUP($B206,اسماء,20,0),0)</f>
        <v>0</v>
      </c>
      <c r="Q207" s="595"/>
      <c r="R207" s="372">
        <f t="shared" si="504"/>
        <v>0</v>
      </c>
      <c r="S207" s="305" t="str">
        <f>IFERROR(VLOOKUP($B206,اسماء,23,0),"")</f>
        <v/>
      </c>
      <c r="T207" s="306" t="str">
        <f>IFERROR(VLOOKUP($B206,اسماء,24,0),"")</f>
        <v/>
      </c>
      <c r="U207" s="122" t="str">
        <f>IFERROR(VLOOKUP($B206,اسماء,25,0),"")</f>
        <v/>
      </c>
      <c r="V207" s="605"/>
      <c r="W207" s="19" t="str">
        <f t="shared" si="528"/>
        <v>ضعيف</v>
      </c>
      <c r="X207" s="640"/>
      <c r="Y207" s="68"/>
      <c r="Z207" s="598"/>
      <c r="AK207" s="667"/>
      <c r="AL207" s="667"/>
      <c r="AM207" s="696"/>
      <c r="AN207" s="698"/>
      <c r="AO207" s="699"/>
      <c r="AP207" s="698"/>
    </row>
    <row r="208" spans="1:42" ht="14.85" customHeight="1" x14ac:dyDescent="0.25">
      <c r="A208" s="611"/>
      <c r="B208" s="614"/>
      <c r="C208" s="617"/>
      <c r="D208" s="620"/>
      <c r="E208" s="130" t="s">
        <v>32</v>
      </c>
      <c r="F208" s="592">
        <f>IFERROR(VLOOKUP($B206,اسماء,25,0),0)</f>
        <v>0</v>
      </c>
      <c r="G208" s="593"/>
      <c r="H208" s="594">
        <f>IFERROR(VLOOKUP($B206,اسماء,26,0),0)</f>
        <v>0</v>
      </c>
      <c r="I208" s="595"/>
      <c r="J208" s="592">
        <f>IFERROR(VLOOKUP($B206,اسماء,27,0),0)</f>
        <v>0</v>
      </c>
      <c r="K208" s="593"/>
      <c r="L208" s="594">
        <f>IFERROR(VLOOKUP($B206,اسماء,28,0),0)</f>
        <v>0</v>
      </c>
      <c r="M208" s="596"/>
      <c r="N208" s="594">
        <f>IFERROR(VLOOKUP($B206,اسماء,29,0),0)</f>
        <v>0</v>
      </c>
      <c r="O208" s="596"/>
      <c r="P208" s="592">
        <f>IFERROR(VLOOKUP($B206,اسماء,30,0),0)</f>
        <v>0</v>
      </c>
      <c r="Q208" s="595"/>
      <c r="R208" s="372">
        <f t="shared" si="504"/>
        <v>0</v>
      </c>
      <c r="S208" s="305" t="str">
        <f>IFERROR(VLOOKUP($B206,اسماء,34,0),"")</f>
        <v/>
      </c>
      <c r="T208" s="306" t="str">
        <f>IFERROR(VLOOKUP($B206,اسماء,35,0),"")</f>
        <v/>
      </c>
      <c r="U208" s="122" t="str">
        <f>IFERROR(VLOOKUP($B206,اسماء,36,0),"")</f>
        <v/>
      </c>
      <c r="V208" s="605"/>
      <c r="W208" s="20" t="str">
        <f t="shared" ref="W208" si="531">LOOKUP(R208,$AF$6:$AG$10)</f>
        <v>ضعيف</v>
      </c>
      <c r="X208" s="640"/>
      <c r="Y208" s="68"/>
      <c r="Z208" s="598"/>
      <c r="AK208" s="667"/>
      <c r="AL208" s="667"/>
      <c r="AM208" s="696"/>
      <c r="AN208" s="698"/>
      <c r="AO208" s="699"/>
      <c r="AP208" s="698"/>
    </row>
    <row r="209" spans="1:42" ht="14.85" customHeight="1" thickBot="1" x14ac:dyDescent="0.3">
      <c r="A209" s="612"/>
      <c r="B209" s="615"/>
      <c r="C209" s="618"/>
      <c r="D209" s="621"/>
      <c r="E209" s="124" t="s">
        <v>33</v>
      </c>
      <c r="F209" s="623">
        <f t="shared" ref="F209" si="532">SUM(F206:G208)</f>
        <v>0</v>
      </c>
      <c r="G209" s="624"/>
      <c r="H209" s="625">
        <f t="shared" ref="H209" si="533">SUM(H206:I208)</f>
        <v>0</v>
      </c>
      <c r="I209" s="626"/>
      <c r="J209" s="623">
        <f t="shared" ref="J209" si="534">SUM(J206:K208)</f>
        <v>0</v>
      </c>
      <c r="K209" s="624"/>
      <c r="L209" s="625">
        <f t="shared" ref="L209" si="535">SUM(L206:M208)</f>
        <v>0</v>
      </c>
      <c r="M209" s="642"/>
      <c r="N209" s="625">
        <f t="shared" ref="N209" si="536">SUM(N206:O208)</f>
        <v>0</v>
      </c>
      <c r="O209" s="642"/>
      <c r="P209" s="623">
        <f t="shared" ref="P209" si="537">SUM(P206:Q208)</f>
        <v>0</v>
      </c>
      <c r="Q209" s="626"/>
      <c r="R209" s="88">
        <f t="shared" ref="R209" si="538">IF(AND(F209&gt;=$G$8,H209&gt;=$I$8,J209&gt;=$K$8,L209&gt;=$M$8,N209&gt;=$O$8,P209&gt;=$Q$8),SUM(F209:Q209),0)</f>
        <v>0</v>
      </c>
      <c r="S209" s="251"/>
      <c r="T209" s="97"/>
      <c r="U209" s="94"/>
      <c r="V209" s="606"/>
      <c r="W209" s="88" t="str">
        <f t="shared" ref="W209" si="539">LOOKUP(R209,$AI$6:$AJ$10)</f>
        <v>ضعيف</v>
      </c>
      <c r="X209" s="641"/>
      <c r="Y209" s="8"/>
      <c r="Z209" s="599"/>
      <c r="AK209" s="667"/>
      <c r="AL209" s="667"/>
      <c r="AM209" s="696"/>
      <c r="AN209" s="698"/>
      <c r="AO209" s="699"/>
      <c r="AP209" s="698"/>
    </row>
    <row r="210" spans="1:42" ht="14.85" customHeight="1" thickBot="1" x14ac:dyDescent="0.3">
      <c r="A210" s="610">
        <v>45</v>
      </c>
      <c r="B210" s="613">
        <f>VLOOKUP(A210,مسلسل,2,0)</f>
        <v>0</v>
      </c>
      <c r="C210" s="616" t="str">
        <f>IFERROR(VLOOKUP(B210,اسماء,2,0),"")</f>
        <v/>
      </c>
      <c r="D210" s="619" t="str">
        <f>IFERROR(VLOOKUP($B210,اسماء,3,0),"")</f>
        <v/>
      </c>
      <c r="E210" s="129" t="s">
        <v>30</v>
      </c>
      <c r="F210" s="600">
        <f>IFERROR(VLOOKUP($B210,اسماء,5,0),0)</f>
        <v>0</v>
      </c>
      <c r="G210" s="601"/>
      <c r="H210" s="602">
        <f>IFERROR(VLOOKUP($B210,اسماء,6,0),0)</f>
        <v>0</v>
      </c>
      <c r="I210" s="622"/>
      <c r="J210" s="600">
        <f>IFERROR(VLOOKUP($B210,اسماء,7,0),0)</f>
        <v>0</v>
      </c>
      <c r="K210" s="601"/>
      <c r="L210" s="602">
        <f>IFERROR(VLOOKUP($B210,اسماء,8,0),0)</f>
        <v>0</v>
      </c>
      <c r="M210" s="603"/>
      <c r="N210" s="602">
        <f>IFERROR(VLOOKUP($B210,اسماء,9,0),0)</f>
        <v>0</v>
      </c>
      <c r="O210" s="603"/>
      <c r="P210" s="600">
        <f>IFERROR(VLOOKUP($B210,اسماء,10,0),0)</f>
        <v>0</v>
      </c>
      <c r="Q210" s="622"/>
      <c r="R210" s="371">
        <f t="shared" ref="R210" si="540">SUM(F210:Q210)</f>
        <v>0</v>
      </c>
      <c r="S210" s="213" t="str">
        <f>IFERROR(VLOOKUP($B210,اسماء,12,0),"")</f>
        <v/>
      </c>
      <c r="T210" s="214" t="str">
        <f>IFERROR(VLOOKUP($B210,اسماء,13,0),"")</f>
        <v/>
      </c>
      <c r="U210" s="364" t="str">
        <f>IFERROR(VLOOKUP($B210,اسماء,14,0),"")</f>
        <v/>
      </c>
      <c r="V210" s="604" t="str">
        <f t="shared" ref="V210" si="541">IF(Z210="غائب","راسب",IF(R213&gt;0,"ناجح","مرحل"))</f>
        <v>مرحل</v>
      </c>
      <c r="W210" s="19" t="str">
        <f t="shared" ref="W210:W211" si="542">LOOKUP(R210,$AC$6:$AD$10)</f>
        <v>ضعيف</v>
      </c>
      <c r="X210" s="639">
        <f t="shared" ref="X210" si="543">R213/$AC$3</f>
        <v>0</v>
      </c>
      <c r="Y210" s="68"/>
      <c r="Z210" s="597" t="str">
        <f>IFERROR(VLOOKUP($B210,اسماء,48,0),"")</f>
        <v/>
      </c>
      <c r="AK210" s="667" t="str">
        <f t="shared" ref="AK210" si="544">IF(R213=0,"",R213/1+ROW()*0.00001)</f>
        <v/>
      </c>
      <c r="AL210" s="667">
        <f>B210</f>
        <v>0</v>
      </c>
      <c r="AM210" s="696"/>
      <c r="AN210" s="698">
        <v>45</v>
      </c>
      <c r="AO210" s="699" t="str">
        <f>IFERROR(LARGE($AK$10:$AK$1420,AN210),"")</f>
        <v/>
      </c>
      <c r="AP210" s="698" t="str">
        <f>VLOOKUP(AO210,$AK$10:$AL$1530,2,0)</f>
        <v>امجد عمر عبداللطيف سلطان</v>
      </c>
    </row>
    <row r="211" spans="1:42" ht="14.85" customHeight="1" x14ac:dyDescent="0.25">
      <c r="A211" s="611"/>
      <c r="B211" s="614"/>
      <c r="C211" s="617"/>
      <c r="D211" s="620"/>
      <c r="E211" s="130" t="s">
        <v>31</v>
      </c>
      <c r="F211" s="592">
        <f>IFERROR(VLOOKUP($B210,اسماء,15,0),0)</f>
        <v>0</v>
      </c>
      <c r="G211" s="593"/>
      <c r="H211" s="594">
        <f>IFERROR(VLOOKUP($B210,اسماء,16,0),0)</f>
        <v>0</v>
      </c>
      <c r="I211" s="595"/>
      <c r="J211" s="592">
        <f>IFERROR(VLOOKUP($B210,اسماء,17,0),0)</f>
        <v>0</v>
      </c>
      <c r="K211" s="593"/>
      <c r="L211" s="594">
        <f>IFERROR(VLOOKUP($B210,اسماء,18,0),0)</f>
        <v>0</v>
      </c>
      <c r="M211" s="596"/>
      <c r="N211" s="594">
        <f>IFERROR(VLOOKUP($B210,اسماء,19,0),0)</f>
        <v>0</v>
      </c>
      <c r="O211" s="596"/>
      <c r="P211" s="592">
        <f>IFERROR(VLOOKUP($B210,اسماء,20,0),0)</f>
        <v>0</v>
      </c>
      <c r="Q211" s="595"/>
      <c r="R211" s="372">
        <f t="shared" si="504"/>
        <v>0</v>
      </c>
      <c r="S211" s="305" t="str">
        <f>IFERROR(VLOOKUP($B210,اسماء,23,0),"")</f>
        <v/>
      </c>
      <c r="T211" s="306" t="str">
        <f>IFERROR(VLOOKUP($B210,اسماء,24,0),"")</f>
        <v/>
      </c>
      <c r="U211" s="122" t="str">
        <f>IFERROR(VLOOKUP($B210,اسماء,25,0),"")</f>
        <v/>
      </c>
      <c r="V211" s="605"/>
      <c r="W211" s="19" t="str">
        <f t="shared" si="542"/>
        <v>ضعيف</v>
      </c>
      <c r="X211" s="640"/>
      <c r="Y211" s="68"/>
      <c r="Z211" s="598"/>
      <c r="AK211" s="667"/>
      <c r="AL211" s="667"/>
      <c r="AM211" s="696"/>
      <c r="AN211" s="698"/>
      <c r="AO211" s="699"/>
      <c r="AP211" s="698"/>
    </row>
    <row r="212" spans="1:42" ht="14.85" customHeight="1" x14ac:dyDescent="0.25">
      <c r="A212" s="611"/>
      <c r="B212" s="614"/>
      <c r="C212" s="617"/>
      <c r="D212" s="620"/>
      <c r="E212" s="130" t="s">
        <v>32</v>
      </c>
      <c r="F212" s="592">
        <f>IFERROR(VLOOKUP($B210,اسماء,25,0),0)</f>
        <v>0</v>
      </c>
      <c r="G212" s="593"/>
      <c r="H212" s="594">
        <f>IFERROR(VLOOKUP($B210,اسماء,26,0),0)</f>
        <v>0</v>
      </c>
      <c r="I212" s="595"/>
      <c r="J212" s="592">
        <f>IFERROR(VLOOKUP($B210,اسماء,27,0),0)</f>
        <v>0</v>
      </c>
      <c r="K212" s="593"/>
      <c r="L212" s="594">
        <f>IFERROR(VLOOKUP($B210,اسماء,28,0),0)</f>
        <v>0</v>
      </c>
      <c r="M212" s="596"/>
      <c r="N212" s="594">
        <f>IFERROR(VLOOKUP($B210,اسماء,29,0),0)</f>
        <v>0</v>
      </c>
      <c r="O212" s="596"/>
      <c r="P212" s="592">
        <f>IFERROR(VLOOKUP($B210,اسماء,30,0),0)</f>
        <v>0</v>
      </c>
      <c r="Q212" s="595"/>
      <c r="R212" s="372">
        <f t="shared" si="504"/>
        <v>0</v>
      </c>
      <c r="S212" s="305" t="str">
        <f>IFERROR(VLOOKUP($B210,اسماء,34,0),"")</f>
        <v/>
      </c>
      <c r="T212" s="306" t="str">
        <f>IFERROR(VLOOKUP($B210,اسماء,35,0),"")</f>
        <v/>
      </c>
      <c r="U212" s="122" t="str">
        <f>IFERROR(VLOOKUP($B210,اسماء,36,0),"")</f>
        <v/>
      </c>
      <c r="V212" s="605"/>
      <c r="W212" s="20" t="str">
        <f t="shared" ref="W212" si="545">LOOKUP(R212,$AF$6:$AG$10)</f>
        <v>ضعيف</v>
      </c>
      <c r="X212" s="640"/>
      <c r="Y212" s="8"/>
      <c r="Z212" s="598"/>
      <c r="AK212" s="667"/>
      <c r="AL212" s="667"/>
      <c r="AM212" s="696"/>
      <c r="AN212" s="698"/>
      <c r="AO212" s="699"/>
      <c r="AP212" s="698"/>
    </row>
    <row r="213" spans="1:42" ht="14.85" customHeight="1" thickBot="1" x14ac:dyDescent="0.3">
      <c r="A213" s="612"/>
      <c r="B213" s="615"/>
      <c r="C213" s="618"/>
      <c r="D213" s="621"/>
      <c r="E213" s="124" t="s">
        <v>33</v>
      </c>
      <c r="F213" s="623">
        <f t="shared" ref="F213" si="546">SUM(F210:G212)</f>
        <v>0</v>
      </c>
      <c r="G213" s="624"/>
      <c r="H213" s="625">
        <f t="shared" ref="H213" si="547">SUM(H210:I212)</f>
        <v>0</v>
      </c>
      <c r="I213" s="626"/>
      <c r="J213" s="623">
        <f t="shared" ref="J213" si="548">SUM(J210:K212)</f>
        <v>0</v>
      </c>
      <c r="K213" s="624"/>
      <c r="L213" s="625">
        <f t="shared" ref="L213" si="549">SUM(L210:M212)</f>
        <v>0</v>
      </c>
      <c r="M213" s="642"/>
      <c r="N213" s="625">
        <f t="shared" ref="N213" si="550">SUM(N210:O212)</f>
        <v>0</v>
      </c>
      <c r="O213" s="642"/>
      <c r="P213" s="623">
        <f t="shared" ref="P213" si="551">SUM(P210:Q212)</f>
        <v>0</v>
      </c>
      <c r="Q213" s="626"/>
      <c r="R213" s="88">
        <f t="shared" ref="R213" si="552">IF(AND(F213&gt;=$G$8,H213&gt;=$I$8,J213&gt;=$K$8,L213&gt;=$M$8,N213&gt;=$O$8,P213&gt;=$Q$8),SUM(F213:Q213),0)</f>
        <v>0</v>
      </c>
      <c r="S213" s="251"/>
      <c r="T213" s="97"/>
      <c r="U213" s="94"/>
      <c r="V213" s="606"/>
      <c r="W213" s="88" t="str">
        <f t="shared" ref="W213" si="553">LOOKUP(R213,$AI$6:$AJ$10)</f>
        <v>ضعيف</v>
      </c>
      <c r="X213" s="641"/>
      <c r="Y213" s="68"/>
      <c r="Z213" s="599"/>
      <c r="AK213" s="667"/>
      <c r="AL213" s="667"/>
      <c r="AM213" s="696"/>
      <c r="AN213" s="698"/>
      <c r="AO213" s="699"/>
      <c r="AP213" s="698"/>
    </row>
    <row r="214" spans="1:42" ht="14.85" customHeight="1" thickBot="1" x14ac:dyDescent="0.3">
      <c r="A214" s="610">
        <v>46</v>
      </c>
      <c r="B214" s="613">
        <f>VLOOKUP(A214,مسلسل,2,0)</f>
        <v>0</v>
      </c>
      <c r="C214" s="616" t="str">
        <f>IFERROR(VLOOKUP(B214,اسماء,2,0),"")</f>
        <v/>
      </c>
      <c r="D214" s="619" t="str">
        <f>IFERROR(VLOOKUP($B214,اسماء,3,0),"")</f>
        <v/>
      </c>
      <c r="E214" s="129" t="s">
        <v>30</v>
      </c>
      <c r="F214" s="600">
        <f>IFERROR(VLOOKUP($B214,اسماء,5,0),0)</f>
        <v>0</v>
      </c>
      <c r="G214" s="601"/>
      <c r="H214" s="602">
        <f>IFERROR(VLOOKUP($B214,اسماء,6,0),0)</f>
        <v>0</v>
      </c>
      <c r="I214" s="622"/>
      <c r="J214" s="600">
        <f>IFERROR(VLOOKUP($B214,اسماء,7,0),0)</f>
        <v>0</v>
      </c>
      <c r="K214" s="601"/>
      <c r="L214" s="602">
        <f>IFERROR(VLOOKUP($B214,اسماء,8,0),0)</f>
        <v>0</v>
      </c>
      <c r="M214" s="603"/>
      <c r="N214" s="602">
        <f>IFERROR(VLOOKUP($B214,اسماء,9,0),0)</f>
        <v>0</v>
      </c>
      <c r="O214" s="603"/>
      <c r="P214" s="600">
        <f>IFERROR(VLOOKUP($B214,اسماء,10,0),0)</f>
        <v>0</v>
      </c>
      <c r="Q214" s="622"/>
      <c r="R214" s="371">
        <f t="shared" ref="R214" si="554">SUM(F214:Q214)</f>
        <v>0</v>
      </c>
      <c r="S214" s="213" t="str">
        <f>IFERROR(VLOOKUP($B214,اسماء,12,0),"")</f>
        <v/>
      </c>
      <c r="T214" s="214" t="str">
        <f>IFERROR(VLOOKUP($B214,اسماء,13,0),"")</f>
        <v/>
      </c>
      <c r="U214" s="364" t="str">
        <f>IFERROR(VLOOKUP($B214,اسماء,14,0),"")</f>
        <v/>
      </c>
      <c r="V214" s="604" t="str">
        <f t="shared" ref="V214" si="555">IF(Z214="غائب","راسب",IF(R217&gt;0,"ناجح","مرحل"))</f>
        <v>مرحل</v>
      </c>
      <c r="W214" s="19" t="str">
        <f t="shared" ref="W214:W215" si="556">LOOKUP(R214,$AC$6:$AD$10)</f>
        <v>ضعيف</v>
      </c>
      <c r="X214" s="639">
        <f t="shared" ref="X214" si="557">R217/$AC$3</f>
        <v>0</v>
      </c>
      <c r="Y214" s="68"/>
      <c r="Z214" s="597" t="str">
        <f>IFERROR(VLOOKUP($B214,اسماء,48,0),"")</f>
        <v/>
      </c>
      <c r="AK214" s="667" t="str">
        <f t="shared" ref="AK214" si="558">IF(R217=0,"",R217/1+ROW()*0.00001)</f>
        <v/>
      </c>
      <c r="AL214" s="667">
        <f>B214</f>
        <v>0</v>
      </c>
      <c r="AM214" s="696"/>
      <c r="AN214" s="698">
        <v>46</v>
      </c>
      <c r="AO214" s="699" t="str">
        <f>IFERROR(LARGE($AK$10:$AK$1420,AN214),"")</f>
        <v/>
      </c>
      <c r="AP214" s="698" t="str">
        <f>VLOOKUP(AO214,$AK$10:$AL$1530,2,0)</f>
        <v>امجد عمر عبداللطيف سلطان</v>
      </c>
    </row>
    <row r="215" spans="1:42" ht="14.85" customHeight="1" x14ac:dyDescent="0.25">
      <c r="A215" s="611"/>
      <c r="B215" s="614"/>
      <c r="C215" s="617"/>
      <c r="D215" s="620"/>
      <c r="E215" s="130" t="s">
        <v>31</v>
      </c>
      <c r="F215" s="592">
        <f>IFERROR(VLOOKUP($B214,اسماء,15,0),0)</f>
        <v>0</v>
      </c>
      <c r="G215" s="593"/>
      <c r="H215" s="594">
        <f>IFERROR(VLOOKUP($B214,اسماء,16,0),0)</f>
        <v>0</v>
      </c>
      <c r="I215" s="595"/>
      <c r="J215" s="592">
        <f>IFERROR(VLOOKUP($B214,اسماء,17,0),0)</f>
        <v>0</v>
      </c>
      <c r="K215" s="593"/>
      <c r="L215" s="594">
        <f>IFERROR(VLOOKUP($B214,اسماء,18,0),0)</f>
        <v>0</v>
      </c>
      <c r="M215" s="596"/>
      <c r="N215" s="594">
        <f>IFERROR(VLOOKUP($B214,اسماء,19,0),0)</f>
        <v>0</v>
      </c>
      <c r="O215" s="596"/>
      <c r="P215" s="592">
        <f>IFERROR(VLOOKUP($B214,اسماء,20,0),0)</f>
        <v>0</v>
      </c>
      <c r="Q215" s="595"/>
      <c r="R215" s="372">
        <f t="shared" si="504"/>
        <v>0</v>
      </c>
      <c r="S215" s="305" t="str">
        <f>IFERROR(VLOOKUP($B214,اسماء,23,0),"")</f>
        <v/>
      </c>
      <c r="T215" s="306" t="str">
        <f>IFERROR(VLOOKUP($B214,اسماء,24,0),"")</f>
        <v/>
      </c>
      <c r="U215" s="122" t="str">
        <f>IFERROR(VLOOKUP($B214,اسماء,25,0),"")</f>
        <v/>
      </c>
      <c r="V215" s="605"/>
      <c r="W215" s="19" t="str">
        <f t="shared" si="556"/>
        <v>ضعيف</v>
      </c>
      <c r="X215" s="640"/>
      <c r="Y215" s="8"/>
      <c r="Z215" s="598"/>
      <c r="AK215" s="667"/>
      <c r="AL215" s="667"/>
      <c r="AM215" s="696"/>
      <c r="AN215" s="698"/>
      <c r="AO215" s="699"/>
      <c r="AP215" s="698"/>
    </row>
    <row r="216" spans="1:42" ht="14.85" customHeight="1" x14ac:dyDescent="0.25">
      <c r="A216" s="611"/>
      <c r="B216" s="614"/>
      <c r="C216" s="617"/>
      <c r="D216" s="620"/>
      <c r="E216" s="130" t="s">
        <v>32</v>
      </c>
      <c r="F216" s="592">
        <f>IFERROR(VLOOKUP($B214,اسماء,25,0),0)</f>
        <v>0</v>
      </c>
      <c r="G216" s="593"/>
      <c r="H216" s="594">
        <f>IFERROR(VLOOKUP($B214,اسماء,26,0),0)</f>
        <v>0</v>
      </c>
      <c r="I216" s="595"/>
      <c r="J216" s="592">
        <f>IFERROR(VLOOKUP($B214,اسماء,27,0),0)</f>
        <v>0</v>
      </c>
      <c r="K216" s="593"/>
      <c r="L216" s="594">
        <f>IFERROR(VLOOKUP($B214,اسماء,28,0),0)</f>
        <v>0</v>
      </c>
      <c r="M216" s="596"/>
      <c r="N216" s="594">
        <f>IFERROR(VLOOKUP($B214,اسماء,29,0),0)</f>
        <v>0</v>
      </c>
      <c r="O216" s="596"/>
      <c r="P216" s="592">
        <f>IFERROR(VLOOKUP($B214,اسماء,30,0),0)</f>
        <v>0</v>
      </c>
      <c r="Q216" s="595"/>
      <c r="R216" s="372">
        <f t="shared" si="504"/>
        <v>0</v>
      </c>
      <c r="S216" s="305" t="str">
        <f>IFERROR(VLOOKUP($B214,اسماء,34,0),"")</f>
        <v/>
      </c>
      <c r="T216" s="306" t="str">
        <f>IFERROR(VLOOKUP($B214,اسماء,35,0),"")</f>
        <v/>
      </c>
      <c r="U216" s="122" t="str">
        <f>IFERROR(VLOOKUP($B214,اسماء,36,0),"")</f>
        <v/>
      </c>
      <c r="V216" s="605"/>
      <c r="W216" s="20" t="str">
        <f t="shared" ref="W216" si="559">LOOKUP(R216,$AF$6:$AG$10)</f>
        <v>ضعيف</v>
      </c>
      <c r="X216" s="640"/>
      <c r="Y216" s="68"/>
      <c r="Z216" s="598"/>
      <c r="AK216" s="667"/>
      <c r="AL216" s="667"/>
      <c r="AM216" s="696"/>
      <c r="AN216" s="698"/>
      <c r="AO216" s="699"/>
      <c r="AP216" s="698"/>
    </row>
    <row r="217" spans="1:42" ht="14.85" customHeight="1" thickBot="1" x14ac:dyDescent="0.3">
      <c r="A217" s="612"/>
      <c r="B217" s="615"/>
      <c r="C217" s="618"/>
      <c r="D217" s="621"/>
      <c r="E217" s="124" t="s">
        <v>33</v>
      </c>
      <c r="F217" s="623">
        <f t="shared" ref="F217" si="560">SUM(F214:G216)</f>
        <v>0</v>
      </c>
      <c r="G217" s="624"/>
      <c r="H217" s="625">
        <f t="shared" ref="H217" si="561">SUM(H214:I216)</f>
        <v>0</v>
      </c>
      <c r="I217" s="626"/>
      <c r="J217" s="623">
        <f t="shared" ref="J217" si="562">SUM(J214:K216)</f>
        <v>0</v>
      </c>
      <c r="K217" s="624"/>
      <c r="L217" s="625">
        <f t="shared" ref="L217" si="563">SUM(L214:M216)</f>
        <v>0</v>
      </c>
      <c r="M217" s="642"/>
      <c r="N217" s="625">
        <f t="shared" ref="N217" si="564">SUM(N214:O216)</f>
        <v>0</v>
      </c>
      <c r="O217" s="642"/>
      <c r="P217" s="623">
        <f t="shared" ref="P217" si="565">SUM(P214:Q216)</f>
        <v>0</v>
      </c>
      <c r="Q217" s="626"/>
      <c r="R217" s="88">
        <f t="shared" ref="R217" si="566">IF(AND(F217&gt;=$G$8,H217&gt;=$I$8,J217&gt;=$K$8,L217&gt;=$M$8,N217&gt;=$O$8,P217&gt;=$Q$8),SUM(F217:Q217),0)</f>
        <v>0</v>
      </c>
      <c r="S217" s="251"/>
      <c r="T217" s="97"/>
      <c r="U217" s="94"/>
      <c r="V217" s="606"/>
      <c r="W217" s="88" t="str">
        <f t="shared" ref="W217" si="567">LOOKUP(R217,$AI$6:$AJ$10)</f>
        <v>ضعيف</v>
      </c>
      <c r="X217" s="641"/>
      <c r="Y217" s="68"/>
      <c r="Z217" s="599"/>
      <c r="AK217" s="667"/>
      <c r="AL217" s="667"/>
      <c r="AM217" s="696"/>
      <c r="AN217" s="698"/>
      <c r="AO217" s="699"/>
      <c r="AP217" s="698"/>
    </row>
    <row r="218" spans="1:42" ht="14.85" customHeight="1" thickBot="1" x14ac:dyDescent="0.3">
      <c r="A218" s="610">
        <v>47</v>
      </c>
      <c r="B218" s="613">
        <f>VLOOKUP(A218,مسلسل,2,0)</f>
        <v>0</v>
      </c>
      <c r="C218" s="616" t="str">
        <f>IFERROR(VLOOKUP(B218,اسماء,2,0),"")</f>
        <v/>
      </c>
      <c r="D218" s="619" t="str">
        <f>IFERROR(VLOOKUP($B218,اسماء,3,0),"")</f>
        <v/>
      </c>
      <c r="E218" s="129" t="s">
        <v>30</v>
      </c>
      <c r="F218" s="600">
        <f>IFERROR(VLOOKUP($B218,اسماء,5,0),0)</f>
        <v>0</v>
      </c>
      <c r="G218" s="601"/>
      <c r="H218" s="602">
        <f>IFERROR(VLOOKUP($B218,اسماء,6,0),0)</f>
        <v>0</v>
      </c>
      <c r="I218" s="622"/>
      <c r="J218" s="600">
        <f>IFERROR(VLOOKUP($B218,اسماء,7,0),0)</f>
        <v>0</v>
      </c>
      <c r="K218" s="601"/>
      <c r="L218" s="602">
        <f>IFERROR(VLOOKUP($B218,اسماء,8,0),0)</f>
        <v>0</v>
      </c>
      <c r="M218" s="603"/>
      <c r="N218" s="602">
        <f>IFERROR(VLOOKUP($B218,اسماء,9,0),0)</f>
        <v>0</v>
      </c>
      <c r="O218" s="603"/>
      <c r="P218" s="600">
        <f>IFERROR(VLOOKUP($B218,اسماء,10,0),0)</f>
        <v>0</v>
      </c>
      <c r="Q218" s="622"/>
      <c r="R218" s="371">
        <f t="shared" ref="R218" si="568">SUM(F218:Q218)</f>
        <v>0</v>
      </c>
      <c r="S218" s="213" t="str">
        <f>IFERROR(VLOOKUP($B218,اسماء,12,0),"")</f>
        <v/>
      </c>
      <c r="T218" s="214" t="str">
        <f>IFERROR(VLOOKUP($B218,اسماء,13,0),"")</f>
        <v/>
      </c>
      <c r="U218" s="364" t="str">
        <f>IFERROR(VLOOKUP($B218,اسماء,14,0),"")</f>
        <v/>
      </c>
      <c r="V218" s="604" t="str">
        <f t="shared" ref="V218" si="569">IF(Z218="غائب","راسب",IF(R221&gt;0,"ناجح","مرحل"))</f>
        <v>مرحل</v>
      </c>
      <c r="W218" s="19" t="str">
        <f t="shared" ref="W218:W219" si="570">LOOKUP(R218,$AC$6:$AD$10)</f>
        <v>ضعيف</v>
      </c>
      <c r="X218" s="639">
        <f t="shared" ref="X218" si="571">R221/$AC$3</f>
        <v>0</v>
      </c>
      <c r="Y218" s="8"/>
      <c r="Z218" s="597" t="str">
        <f>IFERROR(VLOOKUP($B218,اسماء,48,0),"")</f>
        <v/>
      </c>
      <c r="AK218" s="667" t="str">
        <f t="shared" ref="AK218" si="572">IF(R221=0,"",R221/1+ROW()*0.00001)</f>
        <v/>
      </c>
      <c r="AL218" s="667">
        <f>B218</f>
        <v>0</v>
      </c>
      <c r="AM218" s="696"/>
      <c r="AN218" s="698">
        <v>47</v>
      </c>
      <c r="AO218" s="699" t="str">
        <f>IFERROR(LARGE($AK$10:$AK$1420,AN218),"")</f>
        <v/>
      </c>
      <c r="AP218" s="698" t="str">
        <f>VLOOKUP(AO218,$AK$10:$AL$1530,2,0)</f>
        <v>امجد عمر عبداللطيف سلطان</v>
      </c>
    </row>
    <row r="219" spans="1:42" ht="14.85" customHeight="1" x14ac:dyDescent="0.25">
      <c r="A219" s="611"/>
      <c r="B219" s="614"/>
      <c r="C219" s="617"/>
      <c r="D219" s="620"/>
      <c r="E219" s="130" t="s">
        <v>31</v>
      </c>
      <c r="F219" s="592">
        <f>IFERROR(VLOOKUP($B218,اسماء,15,0),0)</f>
        <v>0</v>
      </c>
      <c r="G219" s="593"/>
      <c r="H219" s="594">
        <f>IFERROR(VLOOKUP($B218,اسماء,16,0),0)</f>
        <v>0</v>
      </c>
      <c r="I219" s="595"/>
      <c r="J219" s="592">
        <f>IFERROR(VLOOKUP($B218,اسماء,17,0),0)</f>
        <v>0</v>
      </c>
      <c r="K219" s="593"/>
      <c r="L219" s="594">
        <f>IFERROR(VLOOKUP($B218,اسماء,18,0),0)</f>
        <v>0</v>
      </c>
      <c r="M219" s="596"/>
      <c r="N219" s="594">
        <f>IFERROR(VLOOKUP($B218,اسماء,19,0),0)</f>
        <v>0</v>
      </c>
      <c r="O219" s="596"/>
      <c r="P219" s="592">
        <f>IFERROR(VLOOKUP($B218,اسماء,20,0),0)</f>
        <v>0</v>
      </c>
      <c r="Q219" s="595"/>
      <c r="R219" s="372">
        <f t="shared" si="504"/>
        <v>0</v>
      </c>
      <c r="S219" s="305" t="str">
        <f>IFERROR(VLOOKUP($B218,اسماء,23,0),"")</f>
        <v/>
      </c>
      <c r="T219" s="306" t="str">
        <f>IFERROR(VLOOKUP($B218,اسماء,24,0),"")</f>
        <v/>
      </c>
      <c r="U219" s="122" t="str">
        <f>IFERROR(VLOOKUP($B218,اسماء,25,0),"")</f>
        <v/>
      </c>
      <c r="V219" s="605"/>
      <c r="W219" s="19" t="str">
        <f t="shared" si="570"/>
        <v>ضعيف</v>
      </c>
      <c r="X219" s="640"/>
      <c r="Y219" s="68"/>
      <c r="Z219" s="598"/>
      <c r="AK219" s="667"/>
      <c r="AL219" s="667"/>
      <c r="AM219" s="696"/>
      <c r="AN219" s="698"/>
      <c r="AO219" s="699"/>
      <c r="AP219" s="698"/>
    </row>
    <row r="220" spans="1:42" ht="14.85" customHeight="1" x14ac:dyDescent="0.25">
      <c r="A220" s="611"/>
      <c r="B220" s="614"/>
      <c r="C220" s="617"/>
      <c r="D220" s="620"/>
      <c r="E220" s="130" t="s">
        <v>32</v>
      </c>
      <c r="F220" s="592">
        <f>IFERROR(VLOOKUP($B218,اسماء,25,0),0)</f>
        <v>0</v>
      </c>
      <c r="G220" s="593"/>
      <c r="H220" s="594">
        <f>IFERROR(VLOOKUP($B218,اسماء,26,0),0)</f>
        <v>0</v>
      </c>
      <c r="I220" s="595"/>
      <c r="J220" s="592">
        <f>IFERROR(VLOOKUP($B218,اسماء,27,0),0)</f>
        <v>0</v>
      </c>
      <c r="K220" s="593"/>
      <c r="L220" s="594">
        <f>IFERROR(VLOOKUP($B218,اسماء,28,0),0)</f>
        <v>0</v>
      </c>
      <c r="M220" s="596"/>
      <c r="N220" s="594">
        <f>IFERROR(VLOOKUP($B218,اسماء,29,0),0)</f>
        <v>0</v>
      </c>
      <c r="O220" s="596"/>
      <c r="P220" s="592">
        <f>IFERROR(VLOOKUP($B218,اسماء,30,0),0)</f>
        <v>0</v>
      </c>
      <c r="Q220" s="595"/>
      <c r="R220" s="372">
        <f t="shared" si="504"/>
        <v>0</v>
      </c>
      <c r="S220" s="305" t="str">
        <f>IFERROR(VLOOKUP($B218,اسماء,34,0),"")</f>
        <v/>
      </c>
      <c r="T220" s="306" t="str">
        <f>IFERROR(VLOOKUP($B218,اسماء,35,0),"")</f>
        <v/>
      </c>
      <c r="U220" s="122" t="str">
        <f>IFERROR(VLOOKUP($B218,اسماء,36,0),"")</f>
        <v/>
      </c>
      <c r="V220" s="605"/>
      <c r="W220" s="20" t="str">
        <f t="shared" ref="W220" si="573">LOOKUP(R220,$AF$6:$AG$10)</f>
        <v>ضعيف</v>
      </c>
      <c r="X220" s="640"/>
      <c r="Y220" s="68"/>
      <c r="Z220" s="598"/>
      <c r="AK220" s="667"/>
      <c r="AL220" s="667"/>
      <c r="AM220" s="696"/>
      <c r="AN220" s="698"/>
      <c r="AO220" s="699"/>
      <c r="AP220" s="698"/>
    </row>
    <row r="221" spans="1:42" ht="14.85" customHeight="1" thickBot="1" x14ac:dyDescent="0.3">
      <c r="A221" s="612"/>
      <c r="B221" s="615"/>
      <c r="C221" s="618"/>
      <c r="D221" s="621"/>
      <c r="E221" s="124" t="s">
        <v>33</v>
      </c>
      <c r="F221" s="623">
        <f t="shared" ref="F221" si="574">SUM(F218:G220)</f>
        <v>0</v>
      </c>
      <c r="G221" s="624"/>
      <c r="H221" s="625">
        <f t="shared" ref="H221" si="575">SUM(H218:I220)</f>
        <v>0</v>
      </c>
      <c r="I221" s="626"/>
      <c r="J221" s="623">
        <f t="shared" ref="J221" si="576">SUM(J218:K220)</f>
        <v>0</v>
      </c>
      <c r="K221" s="624"/>
      <c r="L221" s="625">
        <f t="shared" ref="L221" si="577">SUM(L218:M220)</f>
        <v>0</v>
      </c>
      <c r="M221" s="642"/>
      <c r="N221" s="625">
        <f t="shared" ref="N221" si="578">SUM(N218:O220)</f>
        <v>0</v>
      </c>
      <c r="O221" s="642"/>
      <c r="P221" s="623">
        <f t="shared" ref="P221" si="579">SUM(P218:Q220)</f>
        <v>0</v>
      </c>
      <c r="Q221" s="626"/>
      <c r="R221" s="88">
        <f t="shared" ref="R221" si="580">IF(AND(F221&gt;=$G$8,H221&gt;=$I$8,J221&gt;=$K$8,L221&gt;=$M$8,N221&gt;=$O$8,P221&gt;=$Q$8),SUM(F221:Q221),0)</f>
        <v>0</v>
      </c>
      <c r="S221" s="251"/>
      <c r="T221" s="97"/>
      <c r="U221" s="94"/>
      <c r="V221" s="606"/>
      <c r="W221" s="88" t="str">
        <f t="shared" ref="W221" si="581">LOOKUP(R221,$AI$6:$AJ$10)</f>
        <v>ضعيف</v>
      </c>
      <c r="X221" s="641"/>
      <c r="Y221" s="8"/>
      <c r="Z221" s="599"/>
      <c r="AK221" s="667"/>
      <c r="AL221" s="667"/>
      <c r="AM221" s="696"/>
      <c r="AN221" s="698"/>
      <c r="AO221" s="699"/>
      <c r="AP221" s="698"/>
    </row>
    <row r="222" spans="1:42" ht="14.85" customHeight="1" thickBot="1" x14ac:dyDescent="0.3">
      <c r="A222" s="610">
        <v>48</v>
      </c>
      <c r="B222" s="613">
        <f>VLOOKUP(A222,مسلسل,2,0)</f>
        <v>0</v>
      </c>
      <c r="C222" s="616" t="str">
        <f>IFERROR(VLOOKUP(B222,اسماء,2,0),"")</f>
        <v/>
      </c>
      <c r="D222" s="619" t="str">
        <f>IFERROR(VLOOKUP($B222,اسماء,3,0),"")</f>
        <v/>
      </c>
      <c r="E222" s="129" t="s">
        <v>30</v>
      </c>
      <c r="F222" s="600">
        <f>IFERROR(VLOOKUP($B222,اسماء,5,0),0)</f>
        <v>0</v>
      </c>
      <c r="G222" s="601"/>
      <c r="H222" s="602">
        <f>IFERROR(VLOOKUP($B222,اسماء,6,0),0)</f>
        <v>0</v>
      </c>
      <c r="I222" s="622"/>
      <c r="J222" s="600">
        <f>IFERROR(VLOOKUP($B222,اسماء,7,0),0)</f>
        <v>0</v>
      </c>
      <c r="K222" s="601"/>
      <c r="L222" s="602">
        <f>IFERROR(VLOOKUP($B222,اسماء,8,0),0)</f>
        <v>0</v>
      </c>
      <c r="M222" s="603"/>
      <c r="N222" s="602">
        <f>IFERROR(VLOOKUP($B222,اسماء,9,0),0)</f>
        <v>0</v>
      </c>
      <c r="O222" s="603"/>
      <c r="P222" s="600">
        <f>IFERROR(VLOOKUP($B222,اسماء,10,0),0)</f>
        <v>0</v>
      </c>
      <c r="Q222" s="622"/>
      <c r="R222" s="371">
        <f t="shared" ref="R222" si="582">SUM(F222:Q222)</f>
        <v>0</v>
      </c>
      <c r="S222" s="213" t="str">
        <f>IFERROR(VLOOKUP($B222,اسماء,12,0),"")</f>
        <v/>
      </c>
      <c r="T222" s="214" t="str">
        <f>IFERROR(VLOOKUP($B222,اسماء,13,0),"")</f>
        <v/>
      </c>
      <c r="U222" s="364" t="str">
        <f>IFERROR(VLOOKUP($B222,اسماء,14,0),"")</f>
        <v/>
      </c>
      <c r="V222" s="604" t="str">
        <f t="shared" ref="V222" si="583">IF(Z222="غائب","راسب",IF(R225&gt;0,"ناجح","مرحل"))</f>
        <v>مرحل</v>
      </c>
      <c r="W222" s="19" t="str">
        <f t="shared" ref="W222:W223" si="584">LOOKUP(R222,$AC$6:$AD$10)</f>
        <v>ضعيف</v>
      </c>
      <c r="X222" s="639">
        <f t="shared" ref="X222" si="585">R225/$AC$3</f>
        <v>0</v>
      </c>
      <c r="Y222" s="68"/>
      <c r="Z222" s="597" t="str">
        <f>IFERROR(VLOOKUP($B222,اسماء,48,0),"")</f>
        <v/>
      </c>
      <c r="AK222" s="667" t="str">
        <f t="shared" ref="AK222" si="586">IF(R225=0,"",R225/1+ROW()*0.00001)</f>
        <v/>
      </c>
      <c r="AL222" s="667">
        <f>B222</f>
        <v>0</v>
      </c>
      <c r="AM222" s="696"/>
      <c r="AN222" s="698">
        <v>48</v>
      </c>
      <c r="AO222" s="699" t="str">
        <f>IFERROR(LARGE($AK$10:$AK$1420,AN222),"")</f>
        <v/>
      </c>
      <c r="AP222" s="698" t="str">
        <f>VLOOKUP(AO222,$AK$10:$AL$1530,2,0)</f>
        <v>امجد عمر عبداللطيف سلطان</v>
      </c>
    </row>
    <row r="223" spans="1:42" ht="14.85" customHeight="1" x14ac:dyDescent="0.25">
      <c r="A223" s="611"/>
      <c r="B223" s="614"/>
      <c r="C223" s="617"/>
      <c r="D223" s="620"/>
      <c r="E223" s="130" t="s">
        <v>31</v>
      </c>
      <c r="F223" s="592">
        <f>IFERROR(VLOOKUP($B222,اسماء,15,0),0)</f>
        <v>0</v>
      </c>
      <c r="G223" s="593"/>
      <c r="H223" s="594">
        <f>IFERROR(VLOOKUP($B222,اسماء,16,0),0)</f>
        <v>0</v>
      </c>
      <c r="I223" s="595"/>
      <c r="J223" s="592">
        <f>IFERROR(VLOOKUP($B222,اسماء,17,0),0)</f>
        <v>0</v>
      </c>
      <c r="K223" s="593"/>
      <c r="L223" s="594">
        <f>IFERROR(VLOOKUP($B222,اسماء,18,0),0)</f>
        <v>0</v>
      </c>
      <c r="M223" s="596"/>
      <c r="N223" s="594">
        <f>IFERROR(VLOOKUP($B222,اسماء,19,0),0)</f>
        <v>0</v>
      </c>
      <c r="O223" s="596"/>
      <c r="P223" s="592">
        <f>IFERROR(VLOOKUP($B222,اسماء,20,0),0)</f>
        <v>0</v>
      </c>
      <c r="Q223" s="595"/>
      <c r="R223" s="372">
        <f t="shared" si="504"/>
        <v>0</v>
      </c>
      <c r="S223" s="305" t="str">
        <f>IFERROR(VLOOKUP($B222,اسماء,23,0),"")</f>
        <v/>
      </c>
      <c r="T223" s="306" t="str">
        <f>IFERROR(VLOOKUP($B222,اسماء,24,0),"")</f>
        <v/>
      </c>
      <c r="U223" s="122" t="str">
        <f>IFERROR(VLOOKUP($B222,اسماء,25,0),"")</f>
        <v/>
      </c>
      <c r="V223" s="605"/>
      <c r="W223" s="19" t="str">
        <f t="shared" si="584"/>
        <v>ضعيف</v>
      </c>
      <c r="X223" s="640"/>
      <c r="Y223" s="68"/>
      <c r="Z223" s="598"/>
      <c r="AK223" s="667"/>
      <c r="AL223" s="667"/>
      <c r="AM223" s="696"/>
      <c r="AN223" s="698"/>
      <c r="AO223" s="699"/>
      <c r="AP223" s="698"/>
    </row>
    <row r="224" spans="1:42" ht="14.85" customHeight="1" x14ac:dyDescent="0.25">
      <c r="A224" s="611"/>
      <c r="B224" s="614"/>
      <c r="C224" s="617"/>
      <c r="D224" s="620"/>
      <c r="E224" s="130" t="s">
        <v>32</v>
      </c>
      <c r="F224" s="592">
        <f>IFERROR(VLOOKUP($B222,اسماء,25,0),0)</f>
        <v>0</v>
      </c>
      <c r="G224" s="593"/>
      <c r="H224" s="594">
        <f>IFERROR(VLOOKUP($B222,اسماء,26,0),0)</f>
        <v>0</v>
      </c>
      <c r="I224" s="595"/>
      <c r="J224" s="592">
        <f>IFERROR(VLOOKUP($B222,اسماء,27,0),0)</f>
        <v>0</v>
      </c>
      <c r="K224" s="593"/>
      <c r="L224" s="594">
        <f>IFERROR(VLOOKUP($B222,اسماء,28,0),0)</f>
        <v>0</v>
      </c>
      <c r="M224" s="596"/>
      <c r="N224" s="594">
        <f>IFERROR(VLOOKUP($B222,اسماء,29,0),0)</f>
        <v>0</v>
      </c>
      <c r="O224" s="596"/>
      <c r="P224" s="592">
        <f>IFERROR(VLOOKUP($B222,اسماء,30,0),0)</f>
        <v>0</v>
      </c>
      <c r="Q224" s="595"/>
      <c r="R224" s="372">
        <f t="shared" si="504"/>
        <v>0</v>
      </c>
      <c r="S224" s="305" t="str">
        <f>IFERROR(VLOOKUP($B222,اسماء,34,0),"")</f>
        <v/>
      </c>
      <c r="T224" s="306" t="str">
        <f>IFERROR(VLOOKUP($B222,اسماء,35,0),"")</f>
        <v/>
      </c>
      <c r="U224" s="122" t="str">
        <f>IFERROR(VLOOKUP($B222,اسماء,36,0),"")</f>
        <v/>
      </c>
      <c r="V224" s="605"/>
      <c r="W224" s="20" t="str">
        <f t="shared" ref="W224" si="587">LOOKUP(R224,$AF$6:$AG$10)</f>
        <v>ضعيف</v>
      </c>
      <c r="X224" s="640"/>
      <c r="Y224" s="8"/>
      <c r="Z224" s="598"/>
      <c r="AK224" s="667"/>
      <c r="AL224" s="667"/>
      <c r="AM224" s="696"/>
      <c r="AN224" s="698"/>
      <c r="AO224" s="699"/>
      <c r="AP224" s="698"/>
    </row>
    <row r="225" spans="1:42" ht="14.85" customHeight="1" thickBot="1" x14ac:dyDescent="0.3">
      <c r="A225" s="612"/>
      <c r="B225" s="615"/>
      <c r="C225" s="618"/>
      <c r="D225" s="621"/>
      <c r="E225" s="124" t="s">
        <v>33</v>
      </c>
      <c r="F225" s="623">
        <f t="shared" ref="F225" si="588">SUM(F222:G224)</f>
        <v>0</v>
      </c>
      <c r="G225" s="624"/>
      <c r="H225" s="625">
        <f t="shared" ref="H225" si="589">SUM(H222:I224)</f>
        <v>0</v>
      </c>
      <c r="I225" s="626"/>
      <c r="J225" s="623">
        <f t="shared" ref="J225" si="590">SUM(J222:K224)</f>
        <v>0</v>
      </c>
      <c r="K225" s="624"/>
      <c r="L225" s="625">
        <f t="shared" ref="L225" si="591">SUM(L222:M224)</f>
        <v>0</v>
      </c>
      <c r="M225" s="642"/>
      <c r="N225" s="625">
        <f t="shared" ref="N225" si="592">SUM(N222:O224)</f>
        <v>0</v>
      </c>
      <c r="O225" s="642"/>
      <c r="P225" s="623">
        <f t="shared" ref="P225" si="593">SUM(P222:Q224)</f>
        <v>0</v>
      </c>
      <c r="Q225" s="626"/>
      <c r="R225" s="88">
        <f t="shared" ref="R225" si="594">IF(AND(F225&gt;=$G$8,H225&gt;=$I$8,J225&gt;=$K$8,L225&gt;=$M$8,N225&gt;=$O$8,P225&gt;=$Q$8),SUM(F225:Q225),0)</f>
        <v>0</v>
      </c>
      <c r="S225" s="251"/>
      <c r="T225" s="97"/>
      <c r="U225" s="94"/>
      <c r="V225" s="606"/>
      <c r="W225" s="88" t="str">
        <f t="shared" ref="W225" si="595">LOOKUP(R225,$AI$6:$AJ$10)</f>
        <v>ضعيف</v>
      </c>
      <c r="X225" s="641"/>
      <c r="Y225" s="68"/>
      <c r="Z225" s="599"/>
      <c r="AK225" s="667"/>
      <c r="AL225" s="667"/>
      <c r="AM225" s="696"/>
      <c r="AN225" s="698"/>
      <c r="AO225" s="699"/>
      <c r="AP225" s="698"/>
    </row>
    <row r="226" spans="1:42" ht="14.85" customHeight="1" thickBot="1" x14ac:dyDescent="0.3">
      <c r="A226" s="610">
        <v>49</v>
      </c>
      <c r="B226" s="613">
        <f>VLOOKUP(A226,مسلسل,2,0)</f>
        <v>0</v>
      </c>
      <c r="C226" s="616" t="str">
        <f>IFERROR(VLOOKUP(B226,اسماء,2,0),"")</f>
        <v/>
      </c>
      <c r="D226" s="619" t="str">
        <f>IFERROR(VLOOKUP($B226,اسماء,3,0),"")</f>
        <v/>
      </c>
      <c r="E226" s="129" t="s">
        <v>30</v>
      </c>
      <c r="F226" s="600">
        <f>IFERROR(VLOOKUP($B226,اسماء,5,0),0)</f>
        <v>0</v>
      </c>
      <c r="G226" s="601"/>
      <c r="H226" s="602">
        <f>IFERROR(VLOOKUP($B226,اسماء,6,0),0)</f>
        <v>0</v>
      </c>
      <c r="I226" s="622"/>
      <c r="J226" s="600">
        <f>IFERROR(VLOOKUP($B226,اسماء,7,0),0)</f>
        <v>0</v>
      </c>
      <c r="K226" s="601"/>
      <c r="L226" s="602">
        <f>IFERROR(VLOOKUP($B226,اسماء,8,0),0)</f>
        <v>0</v>
      </c>
      <c r="M226" s="603"/>
      <c r="N226" s="602">
        <f>IFERROR(VLOOKUP($B226,اسماء,9,0),0)</f>
        <v>0</v>
      </c>
      <c r="O226" s="603"/>
      <c r="P226" s="600">
        <f>IFERROR(VLOOKUP($B226,اسماء,10,0),0)</f>
        <v>0</v>
      </c>
      <c r="Q226" s="622"/>
      <c r="R226" s="371">
        <f t="shared" ref="R226" si="596">SUM(F226:Q226)</f>
        <v>0</v>
      </c>
      <c r="S226" s="213" t="str">
        <f>IFERROR(VLOOKUP($B226,اسماء,12,0),"")</f>
        <v/>
      </c>
      <c r="T226" s="214" t="str">
        <f>IFERROR(VLOOKUP($B226,اسماء,13,0),"")</f>
        <v/>
      </c>
      <c r="U226" s="364" t="str">
        <f>IFERROR(VLOOKUP($B226,اسماء,14,0),"")</f>
        <v/>
      </c>
      <c r="V226" s="604" t="str">
        <f t="shared" ref="V226" si="597">IF(Z226="غائب","راسب",IF(R229&gt;0,"ناجح","مرحل"))</f>
        <v>مرحل</v>
      </c>
      <c r="W226" s="19" t="str">
        <f t="shared" ref="W226:W227" si="598">LOOKUP(R226,$AC$6:$AD$10)</f>
        <v>ضعيف</v>
      </c>
      <c r="X226" s="639">
        <f t="shared" ref="X226" si="599">R229/$AC$3</f>
        <v>0</v>
      </c>
      <c r="Y226" s="68"/>
      <c r="Z226" s="597" t="str">
        <f>IFERROR(VLOOKUP($B226,اسماء,48,0),"")</f>
        <v/>
      </c>
      <c r="AK226" s="667" t="str">
        <f t="shared" ref="AK226" si="600">IF(R229=0,"",R229/1+ROW()*0.00001)</f>
        <v/>
      </c>
      <c r="AL226" s="667">
        <f>B226</f>
        <v>0</v>
      </c>
      <c r="AM226" s="696"/>
      <c r="AN226" s="698">
        <v>49</v>
      </c>
      <c r="AO226" s="699" t="str">
        <f>IFERROR(LARGE($AK$10:$AK$1420,AN226),"")</f>
        <v/>
      </c>
      <c r="AP226" s="698" t="str">
        <f>VLOOKUP(AO226,$AK$10:$AL$1530,2,0)</f>
        <v>امجد عمر عبداللطيف سلطان</v>
      </c>
    </row>
    <row r="227" spans="1:42" ht="14.85" customHeight="1" x14ac:dyDescent="0.25">
      <c r="A227" s="611"/>
      <c r="B227" s="614"/>
      <c r="C227" s="617"/>
      <c r="D227" s="620"/>
      <c r="E227" s="130" t="s">
        <v>31</v>
      </c>
      <c r="F227" s="592">
        <f>IFERROR(VLOOKUP($B226,اسماء,15,0),0)</f>
        <v>0</v>
      </c>
      <c r="G227" s="593"/>
      <c r="H227" s="594">
        <f>IFERROR(VLOOKUP($B226,اسماء,16,0),0)</f>
        <v>0</v>
      </c>
      <c r="I227" s="595"/>
      <c r="J227" s="592">
        <f>IFERROR(VLOOKUP($B226,اسماء,17,0),0)</f>
        <v>0</v>
      </c>
      <c r="K227" s="593"/>
      <c r="L227" s="594">
        <f>IFERROR(VLOOKUP($B226,اسماء,18,0),0)</f>
        <v>0</v>
      </c>
      <c r="M227" s="596"/>
      <c r="N227" s="594">
        <f>IFERROR(VLOOKUP($B226,اسماء,19,0),0)</f>
        <v>0</v>
      </c>
      <c r="O227" s="596"/>
      <c r="P227" s="592">
        <f>IFERROR(VLOOKUP($B226,اسماء,20,0),0)</f>
        <v>0</v>
      </c>
      <c r="Q227" s="595"/>
      <c r="R227" s="372">
        <f t="shared" si="504"/>
        <v>0</v>
      </c>
      <c r="S227" s="305" t="str">
        <f>IFERROR(VLOOKUP($B226,اسماء,23,0),"")</f>
        <v/>
      </c>
      <c r="T227" s="306" t="str">
        <f>IFERROR(VLOOKUP($B226,اسماء,24,0),"")</f>
        <v/>
      </c>
      <c r="U227" s="122" t="str">
        <f>IFERROR(VLOOKUP($B226,اسماء,25,0),"")</f>
        <v/>
      </c>
      <c r="V227" s="605"/>
      <c r="W227" s="19" t="str">
        <f t="shared" si="598"/>
        <v>ضعيف</v>
      </c>
      <c r="X227" s="640"/>
      <c r="Y227" s="8"/>
      <c r="Z227" s="598"/>
      <c r="AK227" s="667"/>
      <c r="AL227" s="667"/>
      <c r="AM227" s="696"/>
      <c r="AN227" s="698"/>
      <c r="AO227" s="699"/>
      <c r="AP227" s="698"/>
    </row>
    <row r="228" spans="1:42" ht="14.85" customHeight="1" x14ac:dyDescent="0.25">
      <c r="A228" s="611"/>
      <c r="B228" s="614"/>
      <c r="C228" s="617"/>
      <c r="D228" s="620"/>
      <c r="E228" s="130" t="s">
        <v>32</v>
      </c>
      <c r="F228" s="592">
        <f>IFERROR(VLOOKUP($B226,اسماء,25,0),0)</f>
        <v>0</v>
      </c>
      <c r="G228" s="593"/>
      <c r="H228" s="594">
        <f>IFERROR(VLOOKUP($B226,اسماء,26,0),0)</f>
        <v>0</v>
      </c>
      <c r="I228" s="595"/>
      <c r="J228" s="592">
        <f>IFERROR(VLOOKUP($B226,اسماء,27,0),0)</f>
        <v>0</v>
      </c>
      <c r="K228" s="593"/>
      <c r="L228" s="594">
        <f>IFERROR(VLOOKUP($B226,اسماء,28,0),0)</f>
        <v>0</v>
      </c>
      <c r="M228" s="596"/>
      <c r="N228" s="594">
        <f>IFERROR(VLOOKUP($B226,اسماء,29,0),0)</f>
        <v>0</v>
      </c>
      <c r="O228" s="596"/>
      <c r="P228" s="592">
        <f>IFERROR(VLOOKUP($B226,اسماء,30,0),0)</f>
        <v>0</v>
      </c>
      <c r="Q228" s="595"/>
      <c r="R228" s="372">
        <f t="shared" si="504"/>
        <v>0</v>
      </c>
      <c r="S228" s="305" t="str">
        <f>IFERROR(VLOOKUP($B226,اسماء,34,0),"")</f>
        <v/>
      </c>
      <c r="T228" s="306" t="str">
        <f>IFERROR(VLOOKUP($B226,اسماء,35,0),"")</f>
        <v/>
      </c>
      <c r="U228" s="122" t="str">
        <f>IFERROR(VLOOKUP($B226,اسماء,36,0),"")</f>
        <v/>
      </c>
      <c r="V228" s="605"/>
      <c r="W228" s="20" t="str">
        <f t="shared" ref="W228" si="601">LOOKUP(R228,$AF$6:$AG$10)</f>
        <v>ضعيف</v>
      </c>
      <c r="X228" s="640"/>
      <c r="Y228" s="68"/>
      <c r="Z228" s="598"/>
      <c r="AK228" s="667"/>
      <c r="AL228" s="667"/>
      <c r="AM228" s="696"/>
      <c r="AN228" s="698"/>
      <c r="AO228" s="699"/>
      <c r="AP228" s="698"/>
    </row>
    <row r="229" spans="1:42" ht="14.85" customHeight="1" thickBot="1" x14ac:dyDescent="0.3">
      <c r="A229" s="612"/>
      <c r="B229" s="615"/>
      <c r="C229" s="618"/>
      <c r="D229" s="621"/>
      <c r="E229" s="124" t="s">
        <v>33</v>
      </c>
      <c r="F229" s="623">
        <f t="shared" ref="F229" si="602">SUM(F226:G228)</f>
        <v>0</v>
      </c>
      <c r="G229" s="624"/>
      <c r="H229" s="625">
        <f t="shared" ref="H229" si="603">SUM(H226:I228)</f>
        <v>0</v>
      </c>
      <c r="I229" s="626"/>
      <c r="J229" s="623">
        <f t="shared" ref="J229" si="604">SUM(J226:K228)</f>
        <v>0</v>
      </c>
      <c r="K229" s="624"/>
      <c r="L229" s="625">
        <f t="shared" ref="L229" si="605">SUM(L226:M228)</f>
        <v>0</v>
      </c>
      <c r="M229" s="642"/>
      <c r="N229" s="625">
        <f t="shared" ref="N229" si="606">SUM(N226:O228)</f>
        <v>0</v>
      </c>
      <c r="O229" s="642"/>
      <c r="P229" s="623">
        <f t="shared" ref="P229" si="607">SUM(P226:Q228)</f>
        <v>0</v>
      </c>
      <c r="Q229" s="626"/>
      <c r="R229" s="88">
        <f t="shared" ref="R229" si="608">IF(AND(F229&gt;=$G$8,H229&gt;=$I$8,J229&gt;=$K$8,L229&gt;=$M$8,N229&gt;=$O$8,P229&gt;=$Q$8),SUM(F229:Q229),0)</f>
        <v>0</v>
      </c>
      <c r="S229" s="251"/>
      <c r="T229" s="97"/>
      <c r="U229" s="94"/>
      <c r="V229" s="606"/>
      <c r="W229" s="88" t="str">
        <f t="shared" ref="W229" si="609">LOOKUP(R229,$AI$6:$AJ$10)</f>
        <v>ضعيف</v>
      </c>
      <c r="X229" s="641"/>
      <c r="Y229" s="68"/>
      <c r="Z229" s="599"/>
      <c r="AK229" s="667"/>
      <c r="AL229" s="667"/>
      <c r="AM229" s="696"/>
      <c r="AN229" s="698"/>
      <c r="AO229" s="699"/>
      <c r="AP229" s="698"/>
    </row>
    <row r="230" spans="1:42" ht="14.85" customHeight="1" thickBot="1" x14ac:dyDescent="0.3">
      <c r="A230" s="610">
        <v>50</v>
      </c>
      <c r="B230" s="613">
        <f>VLOOKUP(A230,مسلسل,2,0)</f>
        <v>0</v>
      </c>
      <c r="C230" s="616" t="str">
        <f>IFERROR(VLOOKUP(B230,اسماء,2,0),"")</f>
        <v/>
      </c>
      <c r="D230" s="619" t="str">
        <f>IFERROR(VLOOKUP($B230,اسماء,3,0),"")</f>
        <v/>
      </c>
      <c r="E230" s="129" t="s">
        <v>30</v>
      </c>
      <c r="F230" s="600">
        <f>IFERROR(VLOOKUP($B230,اسماء,5,0),0)</f>
        <v>0</v>
      </c>
      <c r="G230" s="601"/>
      <c r="H230" s="602">
        <f>IFERROR(VLOOKUP($B230,اسماء,6,0),0)</f>
        <v>0</v>
      </c>
      <c r="I230" s="622"/>
      <c r="J230" s="600">
        <f>IFERROR(VLOOKUP($B230,اسماء,7,0),0)</f>
        <v>0</v>
      </c>
      <c r="K230" s="601"/>
      <c r="L230" s="602">
        <f>IFERROR(VLOOKUP($B230,اسماء,8,0),0)</f>
        <v>0</v>
      </c>
      <c r="M230" s="603"/>
      <c r="N230" s="602">
        <f>IFERROR(VLOOKUP($B230,اسماء,9,0),0)</f>
        <v>0</v>
      </c>
      <c r="O230" s="603"/>
      <c r="P230" s="600">
        <f>IFERROR(VLOOKUP($B230,اسماء,10,0),0)</f>
        <v>0</v>
      </c>
      <c r="Q230" s="622"/>
      <c r="R230" s="371">
        <f t="shared" ref="R230" si="610">SUM(F230:Q230)</f>
        <v>0</v>
      </c>
      <c r="S230" s="213" t="str">
        <f>IFERROR(VLOOKUP($B230,اسماء,12,0),"")</f>
        <v/>
      </c>
      <c r="T230" s="214" t="str">
        <f>IFERROR(VLOOKUP($B230,اسماء,13,0),"")</f>
        <v/>
      </c>
      <c r="U230" s="364" t="str">
        <f>IFERROR(VLOOKUP($B230,اسماء,14,0),"")</f>
        <v/>
      </c>
      <c r="V230" s="604" t="str">
        <f t="shared" ref="V230" si="611">IF(Z230="غائب","راسب",IF(R233&gt;0,"ناجح","مرحل"))</f>
        <v>مرحل</v>
      </c>
      <c r="W230" s="19" t="str">
        <f t="shared" ref="W230:W231" si="612">LOOKUP(R230,$AC$6:$AD$10)</f>
        <v>ضعيف</v>
      </c>
      <c r="X230" s="639">
        <f t="shared" ref="X230" si="613">R233/$AC$3</f>
        <v>0</v>
      </c>
      <c r="Y230" s="8"/>
      <c r="Z230" s="597" t="str">
        <f>IFERROR(VLOOKUP($B230,اسماء,48,0),"")</f>
        <v/>
      </c>
      <c r="AK230" s="667" t="str">
        <f t="shared" ref="AK230" si="614">IF(R233=0,"",R233/1+ROW()*0.00001)</f>
        <v/>
      </c>
      <c r="AL230" s="667">
        <f>B230</f>
        <v>0</v>
      </c>
      <c r="AM230" s="696"/>
      <c r="AN230" s="698">
        <v>50</v>
      </c>
      <c r="AO230" s="699" t="str">
        <f>IFERROR(LARGE($AK$10:$AK$1420,AN230),"")</f>
        <v/>
      </c>
      <c r="AP230" s="698" t="str">
        <f>VLOOKUP(AO230,$AK$10:$AL$1530,2,0)</f>
        <v>امجد عمر عبداللطيف سلطان</v>
      </c>
    </row>
    <row r="231" spans="1:42" ht="14.85" customHeight="1" x14ac:dyDescent="0.25">
      <c r="A231" s="611"/>
      <c r="B231" s="614"/>
      <c r="C231" s="617"/>
      <c r="D231" s="620"/>
      <c r="E231" s="130" t="s">
        <v>31</v>
      </c>
      <c r="F231" s="592">
        <f>IFERROR(VLOOKUP($B230,اسماء,15,0),0)</f>
        <v>0</v>
      </c>
      <c r="G231" s="593"/>
      <c r="H231" s="594">
        <f>IFERROR(VLOOKUP($B230,اسماء,16,0),0)</f>
        <v>0</v>
      </c>
      <c r="I231" s="595"/>
      <c r="J231" s="592">
        <f>IFERROR(VLOOKUP($B230,اسماء,17,0),0)</f>
        <v>0</v>
      </c>
      <c r="K231" s="593"/>
      <c r="L231" s="594">
        <f>IFERROR(VLOOKUP($B230,اسماء,18,0),0)</f>
        <v>0</v>
      </c>
      <c r="M231" s="596"/>
      <c r="N231" s="594">
        <f>IFERROR(VLOOKUP($B230,اسماء,19,0),0)</f>
        <v>0</v>
      </c>
      <c r="O231" s="596"/>
      <c r="P231" s="592">
        <f>IFERROR(VLOOKUP($B230,اسماء,20,0),0)</f>
        <v>0</v>
      </c>
      <c r="Q231" s="595"/>
      <c r="R231" s="372">
        <f t="shared" si="504"/>
        <v>0</v>
      </c>
      <c r="S231" s="305" t="str">
        <f>IFERROR(VLOOKUP($B230,اسماء,23,0),"")</f>
        <v/>
      </c>
      <c r="T231" s="306" t="str">
        <f>IFERROR(VLOOKUP($B230,اسماء,24,0),"")</f>
        <v/>
      </c>
      <c r="U231" s="122" t="str">
        <f>IFERROR(VLOOKUP($B230,اسماء,25,0),"")</f>
        <v/>
      </c>
      <c r="V231" s="605"/>
      <c r="W231" s="19" t="str">
        <f t="shared" si="612"/>
        <v>ضعيف</v>
      </c>
      <c r="X231" s="640"/>
      <c r="Y231" s="68"/>
      <c r="Z231" s="598"/>
      <c r="AK231" s="667"/>
      <c r="AL231" s="667"/>
      <c r="AM231" s="696"/>
      <c r="AN231" s="698"/>
      <c r="AO231" s="699"/>
      <c r="AP231" s="698"/>
    </row>
    <row r="232" spans="1:42" ht="14.85" customHeight="1" x14ac:dyDescent="0.25">
      <c r="A232" s="611"/>
      <c r="B232" s="614"/>
      <c r="C232" s="617"/>
      <c r="D232" s="620"/>
      <c r="E232" s="130" t="s">
        <v>32</v>
      </c>
      <c r="F232" s="592">
        <f>IFERROR(VLOOKUP($B230,اسماء,25,0),0)</f>
        <v>0</v>
      </c>
      <c r="G232" s="593"/>
      <c r="H232" s="594">
        <f>IFERROR(VLOOKUP($B230,اسماء,26,0),0)</f>
        <v>0</v>
      </c>
      <c r="I232" s="595"/>
      <c r="J232" s="592">
        <f>IFERROR(VLOOKUP($B230,اسماء,27,0),0)</f>
        <v>0</v>
      </c>
      <c r="K232" s="593"/>
      <c r="L232" s="594">
        <f>IFERROR(VLOOKUP($B230,اسماء,28,0),0)</f>
        <v>0</v>
      </c>
      <c r="M232" s="596"/>
      <c r="N232" s="594">
        <f>IFERROR(VLOOKUP($B230,اسماء,29,0),0)</f>
        <v>0</v>
      </c>
      <c r="O232" s="596"/>
      <c r="P232" s="592">
        <f>IFERROR(VLOOKUP($B230,اسماء,30,0),0)</f>
        <v>0</v>
      </c>
      <c r="Q232" s="595"/>
      <c r="R232" s="372">
        <f t="shared" si="504"/>
        <v>0</v>
      </c>
      <c r="S232" s="305" t="str">
        <f>IFERROR(VLOOKUP($B230,اسماء,34,0),"")</f>
        <v/>
      </c>
      <c r="T232" s="306" t="str">
        <f>IFERROR(VLOOKUP($B230,اسماء,35,0),"")</f>
        <v/>
      </c>
      <c r="U232" s="122" t="str">
        <f>IFERROR(VLOOKUP($B230,اسماء,36,0),"")</f>
        <v/>
      </c>
      <c r="V232" s="605"/>
      <c r="W232" s="20" t="str">
        <f t="shared" ref="W232" si="615">LOOKUP(R232,$AF$6:$AG$10)</f>
        <v>ضعيف</v>
      </c>
      <c r="X232" s="640"/>
      <c r="Y232" s="68"/>
      <c r="Z232" s="598"/>
      <c r="AK232" s="667"/>
      <c r="AL232" s="667"/>
      <c r="AM232" s="696"/>
      <c r="AN232" s="698"/>
      <c r="AO232" s="699"/>
      <c r="AP232" s="698"/>
    </row>
    <row r="233" spans="1:42" ht="14.85" customHeight="1" thickBot="1" x14ac:dyDescent="0.3">
      <c r="A233" s="612"/>
      <c r="B233" s="615"/>
      <c r="C233" s="618"/>
      <c r="D233" s="621"/>
      <c r="E233" s="124" t="s">
        <v>33</v>
      </c>
      <c r="F233" s="623">
        <f t="shared" ref="F233" si="616">SUM(F230:G232)</f>
        <v>0</v>
      </c>
      <c r="G233" s="624"/>
      <c r="H233" s="625">
        <f t="shared" ref="H233" si="617">SUM(H230:I232)</f>
        <v>0</v>
      </c>
      <c r="I233" s="626"/>
      <c r="J233" s="623">
        <f t="shared" ref="J233" si="618">SUM(J230:K232)</f>
        <v>0</v>
      </c>
      <c r="K233" s="624"/>
      <c r="L233" s="625">
        <f t="shared" ref="L233" si="619">SUM(L230:M232)</f>
        <v>0</v>
      </c>
      <c r="M233" s="642"/>
      <c r="N233" s="625">
        <f t="shared" ref="N233" si="620">SUM(N230:O232)</f>
        <v>0</v>
      </c>
      <c r="O233" s="642"/>
      <c r="P233" s="623">
        <f t="shared" ref="P233" si="621">SUM(P230:Q232)</f>
        <v>0</v>
      </c>
      <c r="Q233" s="626"/>
      <c r="R233" s="88">
        <f t="shared" ref="R233" si="622">IF(AND(F233&gt;=$G$8,H233&gt;=$I$8,J233&gt;=$K$8,L233&gt;=$M$8,N233&gt;=$O$8,P233&gt;=$Q$8),SUM(F233:Q233),0)</f>
        <v>0</v>
      </c>
      <c r="S233" s="251"/>
      <c r="T233" s="97"/>
      <c r="U233" s="94"/>
      <c r="V233" s="606"/>
      <c r="W233" s="88" t="str">
        <f t="shared" ref="W233" si="623">LOOKUP(R233,$AI$6:$AJ$10)</f>
        <v>ضعيف</v>
      </c>
      <c r="X233" s="641"/>
      <c r="Y233" s="8"/>
      <c r="Z233" s="599"/>
      <c r="AK233" s="667"/>
      <c r="AL233" s="667"/>
      <c r="AM233" s="696"/>
      <c r="AN233" s="698"/>
      <c r="AO233" s="699"/>
      <c r="AP233" s="698"/>
    </row>
    <row r="234" spans="1:42" ht="14.85" customHeight="1" thickBot="1" x14ac:dyDescent="0.3">
      <c r="F234" s="71"/>
      <c r="G234" s="72"/>
      <c r="H234" s="71"/>
      <c r="I234" s="72"/>
      <c r="J234" s="71"/>
      <c r="K234" s="72"/>
      <c r="L234" s="71"/>
      <c r="M234" s="72"/>
      <c r="N234" s="71"/>
      <c r="O234" s="72"/>
      <c r="P234" s="71"/>
      <c r="Q234" s="72"/>
      <c r="R234" s="70"/>
      <c r="S234" s="73"/>
      <c r="T234" s="70"/>
      <c r="U234" s="70"/>
      <c r="V234" s="70"/>
      <c r="W234" s="70"/>
      <c r="X234" s="254"/>
      <c r="Y234" s="68"/>
      <c r="AH234" s="74"/>
    </row>
    <row r="235" spans="1:42" customFormat="1" ht="14.85" customHeight="1" x14ac:dyDescent="0.3">
      <c r="A235" s="668" t="s">
        <v>9</v>
      </c>
      <c r="B235" s="669"/>
      <c r="C235" s="670"/>
      <c r="D235" s="277" t="s">
        <v>11</v>
      </c>
      <c r="E235" s="674" t="s">
        <v>96</v>
      </c>
      <c r="F235" s="663"/>
      <c r="G235" s="663"/>
      <c r="H235" s="663"/>
      <c r="I235" s="663"/>
      <c r="J235" s="7"/>
      <c r="K235" s="7"/>
      <c r="L235" s="7"/>
      <c r="M235" s="7"/>
      <c r="N235" s="7"/>
      <c r="O235" s="7"/>
      <c r="P235" s="7"/>
      <c r="Q235" s="663" t="s">
        <v>156</v>
      </c>
      <c r="R235" s="663"/>
      <c r="S235" s="663"/>
      <c r="T235" s="663"/>
      <c r="U235" s="663"/>
      <c r="V235" s="663"/>
      <c r="W235" s="1"/>
      <c r="X235" s="255"/>
      <c r="Z235" s="75"/>
      <c r="AA235" s="76"/>
      <c r="AB235" s="76"/>
      <c r="AC235" s="76"/>
      <c r="AD235" s="76"/>
    </row>
    <row r="236" spans="1:42" customFormat="1" ht="14.85" customHeight="1" x14ac:dyDescent="0.25">
      <c r="A236" s="77" t="s">
        <v>8</v>
      </c>
      <c r="B236" s="671">
        <f>ادخال1!$BJ$3</f>
        <v>0</v>
      </c>
      <c r="C236" s="672"/>
      <c r="D236" s="278"/>
      <c r="E236" s="7" t="s">
        <v>9</v>
      </c>
      <c r="F236" s="673" t="str">
        <f>ادخال1!$BJ$5</f>
        <v>د. عبدالرحمن خليفة العريبي</v>
      </c>
      <c r="G236" s="673"/>
      <c r="H236" s="673"/>
      <c r="I236" s="673"/>
      <c r="J236" s="673"/>
      <c r="K236" s="673"/>
      <c r="L236" s="673"/>
      <c r="M236" s="673"/>
      <c r="N236" s="673"/>
      <c r="O236" s="673"/>
      <c r="P236" s="7"/>
      <c r="Q236" s="673" t="str">
        <f>ادخال1!$BJ$6</f>
        <v>تاجوراء</v>
      </c>
      <c r="R236" s="673"/>
      <c r="S236" s="673"/>
      <c r="T236" s="673"/>
      <c r="U236" s="673"/>
      <c r="V236" s="673"/>
      <c r="W236" s="673"/>
      <c r="X236" s="63"/>
      <c r="Y236" s="63"/>
      <c r="Z236" s="75"/>
      <c r="AA236" s="75"/>
      <c r="AB236" s="75"/>
      <c r="AC236" s="75"/>
    </row>
    <row r="237" spans="1:42" customFormat="1" ht="14.85" customHeight="1" thickBot="1" x14ac:dyDescent="0.3">
      <c r="A237" s="78" t="s">
        <v>97</v>
      </c>
      <c r="B237" s="665">
        <f>ادخال1!$BJ$4</f>
        <v>0</v>
      </c>
      <c r="C237" s="666"/>
      <c r="D237" s="279"/>
      <c r="E237" s="7" t="s">
        <v>11</v>
      </c>
      <c r="F237" s="667"/>
      <c r="G237" s="667"/>
      <c r="H237" s="667"/>
      <c r="I237" s="667"/>
      <c r="J237" s="667"/>
      <c r="K237" s="667"/>
      <c r="L237" s="667"/>
      <c r="M237" s="667"/>
      <c r="N237" s="667"/>
      <c r="O237" s="667"/>
      <c r="P237" s="7"/>
      <c r="Q237" s="7" t="s">
        <v>11</v>
      </c>
      <c r="R237" s="1"/>
      <c r="S237" s="1"/>
      <c r="T237" s="1"/>
      <c r="U237" s="1"/>
      <c r="V237" s="1"/>
      <c r="W237" s="1"/>
      <c r="X237" s="255"/>
      <c r="Z237" s="75"/>
      <c r="AA237" s="75"/>
      <c r="AB237" s="75"/>
      <c r="AC237" s="75"/>
    </row>
    <row r="238" spans="1:42" customFormat="1" ht="14.85" customHeight="1" x14ac:dyDescent="0.25">
      <c r="A238" s="663" t="s">
        <v>98</v>
      </c>
      <c r="B238" s="663"/>
      <c r="C238" s="663"/>
      <c r="D238" s="663"/>
      <c r="E238" s="663" t="s">
        <v>99</v>
      </c>
      <c r="F238" s="663"/>
      <c r="G238" s="663"/>
      <c r="H238" s="663"/>
      <c r="I238" s="663"/>
      <c r="J238" s="663"/>
      <c r="K238" s="663"/>
      <c r="L238" s="663"/>
      <c r="M238" s="663"/>
      <c r="N238" s="663"/>
      <c r="O238" s="663"/>
      <c r="P238" s="663"/>
      <c r="Q238" s="663"/>
      <c r="R238" s="7"/>
      <c r="S238" s="664">
        <f ca="1">TODAY()</f>
        <v>46009</v>
      </c>
      <c r="T238" s="664"/>
      <c r="U238" s="664"/>
      <c r="V238" s="664"/>
      <c r="W238" s="664"/>
      <c r="X238" s="255"/>
    </row>
    <row r="239" spans="1:42" customFormat="1" ht="14.85" customHeight="1" thickBot="1" x14ac:dyDescent="0.3">
      <c r="A239" s="7"/>
      <c r="B239" s="663" t="s">
        <v>100</v>
      </c>
      <c r="C239" s="663"/>
      <c r="D239" s="663"/>
      <c r="E239" s="663" t="s">
        <v>101</v>
      </c>
      <c r="F239" s="663"/>
      <c r="G239" s="663"/>
      <c r="H239" s="663"/>
      <c r="I239" s="663"/>
      <c r="J239" s="663"/>
      <c r="K239" s="663"/>
      <c r="L239" s="663"/>
      <c r="M239" s="663"/>
      <c r="N239" s="663"/>
      <c r="O239" s="663"/>
      <c r="P239" s="663"/>
      <c r="Q239" s="663"/>
      <c r="R239" s="1"/>
      <c r="S239" s="1"/>
      <c r="T239" s="1"/>
      <c r="U239" s="1"/>
      <c r="V239" s="1"/>
      <c r="W239" s="1"/>
      <c r="X239" s="255"/>
    </row>
    <row r="240" spans="1:42" ht="14.85" customHeight="1" thickBot="1" x14ac:dyDescent="0.3">
      <c r="A240" s="610">
        <v>51</v>
      </c>
      <c r="B240" s="613">
        <f>VLOOKUP(A240,مسلسل,2,0)</f>
        <v>0</v>
      </c>
      <c r="C240" s="616" t="str">
        <f>IFERROR(VLOOKUP(B240,اسماء,2,0),"")</f>
        <v/>
      </c>
      <c r="D240" s="619" t="str">
        <f>IFERROR(VLOOKUP($B240,اسماء,3,0),"")</f>
        <v/>
      </c>
      <c r="E240" s="129" t="s">
        <v>30</v>
      </c>
      <c r="F240" s="600">
        <f>IFERROR(VLOOKUP($B240,اسماء,5,0),0)</f>
        <v>0</v>
      </c>
      <c r="G240" s="601"/>
      <c r="H240" s="602">
        <f>IFERROR(VLOOKUP($B240,اسماء,6,0),0)</f>
        <v>0</v>
      </c>
      <c r="I240" s="622"/>
      <c r="J240" s="600">
        <f>IFERROR(VLOOKUP($B240,اسماء,7,0),0)</f>
        <v>0</v>
      </c>
      <c r="K240" s="601"/>
      <c r="L240" s="602">
        <f>IFERROR(VLOOKUP($B240,اسماء,8,0),0)</f>
        <v>0</v>
      </c>
      <c r="M240" s="603"/>
      <c r="N240" s="602">
        <f>IFERROR(VLOOKUP($B240,اسماء,9,0),0)</f>
        <v>0</v>
      </c>
      <c r="O240" s="603"/>
      <c r="P240" s="600">
        <f>IFERROR(VLOOKUP($B240,اسماء,10,0),0)</f>
        <v>0</v>
      </c>
      <c r="Q240" s="622"/>
      <c r="R240" s="371">
        <f>SUM(F240:Q240)</f>
        <v>0</v>
      </c>
      <c r="S240" s="325" t="str">
        <f>IFERROR(VLOOKUP($B240,اسماء,12,0),"")</f>
        <v/>
      </c>
      <c r="T240" s="326" t="str">
        <f>IFERROR(VLOOKUP($B240,اسماء,13,0),"")</f>
        <v/>
      </c>
      <c r="U240" s="92" t="str">
        <f>IFERROR(VLOOKUP($B240,اسماء,14,0),"")</f>
        <v/>
      </c>
      <c r="V240" s="604" t="str">
        <f t="shared" ref="V240" si="624">IF(Z240="غائب","راسب",IF(R243&gt;0,"ناجح","مرحل"))</f>
        <v>مرحل</v>
      </c>
      <c r="W240" s="19" t="str">
        <f t="shared" ref="W240:W241" si="625">LOOKUP(R240,$AC$6:$AD$10)</f>
        <v>ضعيف</v>
      </c>
      <c r="X240" s="639">
        <f t="shared" ref="X240" si="626">R243/$AC$3</f>
        <v>0</v>
      </c>
      <c r="Y240" s="68"/>
      <c r="Z240" s="597" t="str">
        <f>IFERROR(VLOOKUP($B240,اسماء,48,0),"")</f>
        <v/>
      </c>
      <c r="AK240" s="671" t="str">
        <f>IF(R243=0,"",R243/1+ROW()*0.00001)</f>
        <v/>
      </c>
      <c r="AL240" s="671">
        <f>B240</f>
        <v>0</v>
      </c>
      <c r="AM240" s="696"/>
      <c r="AN240" s="698">
        <v>51</v>
      </c>
      <c r="AO240" s="699" t="str">
        <f>IFERROR(LARGE($AK$10:$AK$1420,AN240),"")</f>
        <v/>
      </c>
      <c r="AP240" s="698" t="str">
        <f>VLOOKUP(AO240,$AK$10:$AL$1530,2,0)</f>
        <v>امجد عمر عبداللطيف سلطان</v>
      </c>
    </row>
    <row r="241" spans="1:42" ht="14.85" customHeight="1" x14ac:dyDescent="0.25">
      <c r="A241" s="611"/>
      <c r="B241" s="614"/>
      <c r="C241" s="617"/>
      <c r="D241" s="620"/>
      <c r="E241" s="130" t="s">
        <v>31</v>
      </c>
      <c r="F241" s="592">
        <f>IFERROR(VLOOKUP($B240,اسماء,16,0),0)</f>
        <v>0</v>
      </c>
      <c r="G241" s="593"/>
      <c r="H241" s="594">
        <f>IFERROR(VLOOKUP($B240,اسماء,17,0),0)</f>
        <v>0</v>
      </c>
      <c r="I241" s="595"/>
      <c r="J241" s="592">
        <f>IFERROR(VLOOKUP($B240,اسماء,18,0),0)</f>
        <v>0</v>
      </c>
      <c r="K241" s="593"/>
      <c r="L241" s="594">
        <f>IFERROR(VLOOKUP($B240,اسماء,19,0),0)</f>
        <v>0</v>
      </c>
      <c r="M241" s="596"/>
      <c r="N241" s="594">
        <f>IFERROR(VLOOKUP($B240,اسماء,20,0),0)</f>
        <v>0</v>
      </c>
      <c r="O241" s="596"/>
      <c r="P241" s="592">
        <f>IFERROR(VLOOKUP($B240,اسماء,21,0),0)</f>
        <v>0</v>
      </c>
      <c r="Q241" s="595"/>
      <c r="R241" s="372">
        <f t="shared" ref="R241:R242" si="627">SUM(F241:Q241)</f>
        <v>0</v>
      </c>
      <c r="S241" s="305" t="str">
        <f>IFERROR(VLOOKUP($B240,اسماء,23,0),"")</f>
        <v/>
      </c>
      <c r="T241" s="306" t="str">
        <f>IFERROR(VLOOKUP($B240,اسماء,24,0),"")</f>
        <v/>
      </c>
      <c r="U241" s="122" t="str">
        <f>IFERROR(VLOOKUP($B240,اسماء,25,0),"")</f>
        <v/>
      </c>
      <c r="V241" s="605"/>
      <c r="W241" s="19" t="str">
        <f t="shared" si="625"/>
        <v>ضعيف</v>
      </c>
      <c r="X241" s="640"/>
      <c r="Y241" s="68"/>
      <c r="Z241" s="598"/>
      <c r="AK241" s="671"/>
      <c r="AL241" s="671"/>
      <c r="AM241" s="696"/>
      <c r="AN241" s="698"/>
      <c r="AO241" s="699"/>
      <c r="AP241" s="698"/>
    </row>
    <row r="242" spans="1:42" ht="14.85" customHeight="1" x14ac:dyDescent="0.25">
      <c r="A242" s="611"/>
      <c r="B242" s="614"/>
      <c r="C242" s="617"/>
      <c r="D242" s="620"/>
      <c r="E242" s="130" t="s">
        <v>32</v>
      </c>
      <c r="F242" s="592">
        <f>IFERROR(VLOOKUP($B240,اسماء,27,0),0)</f>
        <v>0</v>
      </c>
      <c r="G242" s="593"/>
      <c r="H242" s="594">
        <f>IFERROR(VLOOKUP($B240,اسماء,28,0),0)</f>
        <v>0</v>
      </c>
      <c r="I242" s="595"/>
      <c r="J242" s="592">
        <f>IFERROR(VLOOKUP($B240,اسماء,29,0),0)</f>
        <v>0</v>
      </c>
      <c r="K242" s="593"/>
      <c r="L242" s="594">
        <f>IFERROR(VLOOKUP($B240,اسماء,30,0),0)</f>
        <v>0</v>
      </c>
      <c r="M242" s="596"/>
      <c r="N242" s="594">
        <f>IFERROR(VLOOKUP($B240,اسماء,31,0),0)</f>
        <v>0</v>
      </c>
      <c r="O242" s="596"/>
      <c r="P242" s="592">
        <f>IFERROR(VLOOKUP($B240,اسماء,32,0),0)</f>
        <v>0</v>
      </c>
      <c r="Q242" s="595"/>
      <c r="R242" s="372">
        <f t="shared" si="627"/>
        <v>0</v>
      </c>
      <c r="S242" s="305" t="str">
        <f>IFERROR(VLOOKUP($B240,اسماء,34,0),"")</f>
        <v/>
      </c>
      <c r="T242" s="306" t="str">
        <f>IFERROR(VLOOKUP($B240,اسماء,35,0),"")</f>
        <v/>
      </c>
      <c r="U242" s="122" t="str">
        <f>IFERROR(VLOOKUP($B240,اسماء,36,0),"")</f>
        <v/>
      </c>
      <c r="V242" s="605"/>
      <c r="W242" s="20" t="str">
        <f t="shared" ref="W242" si="628">LOOKUP(R242,$AF$6:$AG$10)</f>
        <v>ضعيف</v>
      </c>
      <c r="X242" s="640"/>
      <c r="Y242" s="8"/>
      <c r="Z242" s="598"/>
      <c r="AK242" s="671"/>
      <c r="AL242" s="671"/>
      <c r="AM242" s="696"/>
      <c r="AN242" s="698"/>
      <c r="AO242" s="699"/>
      <c r="AP242" s="698"/>
    </row>
    <row r="243" spans="1:42" ht="14.85" customHeight="1" thickBot="1" x14ac:dyDescent="0.3">
      <c r="A243" s="612"/>
      <c r="B243" s="615"/>
      <c r="C243" s="618"/>
      <c r="D243" s="621"/>
      <c r="E243" s="124" t="s">
        <v>33</v>
      </c>
      <c r="F243" s="623">
        <f>SUM(F240:G242)</f>
        <v>0</v>
      </c>
      <c r="G243" s="624"/>
      <c r="H243" s="625">
        <f>SUM(H240:I242)</f>
        <v>0</v>
      </c>
      <c r="I243" s="626"/>
      <c r="J243" s="623">
        <f>SUM(J240:K242)</f>
        <v>0</v>
      </c>
      <c r="K243" s="624"/>
      <c r="L243" s="625">
        <f>SUM(L240:M242)</f>
        <v>0</v>
      </c>
      <c r="M243" s="642"/>
      <c r="N243" s="625">
        <f>SUM(N240:O242)</f>
        <v>0</v>
      </c>
      <c r="O243" s="642"/>
      <c r="P243" s="623">
        <f>SUM(P240:Q242)</f>
        <v>0</v>
      </c>
      <c r="Q243" s="626"/>
      <c r="R243" s="88">
        <f>IF(AND(F243&gt;=$G$8,H243&gt;=$I$8,J243&gt;=$K$8,L243&gt;=$M$8,N243&gt;=$O$8,P243&gt;=$Q$8),SUM(F243:Q243),0)</f>
        <v>0</v>
      </c>
      <c r="S243" s="251"/>
      <c r="T243" s="97"/>
      <c r="U243" s="94"/>
      <c r="V243" s="606"/>
      <c r="W243" s="88" t="str">
        <f t="shared" ref="W243" si="629">LOOKUP(R243,$AI$6:$AJ$10)</f>
        <v>ضعيف</v>
      </c>
      <c r="X243" s="641"/>
      <c r="Y243" s="68"/>
      <c r="Z243" s="599"/>
      <c r="AK243" s="671"/>
      <c r="AL243" s="671"/>
      <c r="AM243" s="696"/>
      <c r="AN243" s="698"/>
      <c r="AO243" s="699"/>
      <c r="AP243" s="698"/>
    </row>
    <row r="244" spans="1:42" ht="14.85" customHeight="1" thickBot="1" x14ac:dyDescent="0.3">
      <c r="A244" s="610">
        <v>52</v>
      </c>
      <c r="B244" s="613">
        <f>VLOOKUP(A244,مسلسل,2,0)</f>
        <v>0</v>
      </c>
      <c r="C244" s="616" t="str">
        <f>IFERROR(VLOOKUP(B244,اسماء,2,0),"")</f>
        <v/>
      </c>
      <c r="D244" s="619" t="str">
        <f>IFERROR(VLOOKUP($B244,اسماء,3,0),"")</f>
        <v/>
      </c>
      <c r="E244" s="129" t="s">
        <v>30</v>
      </c>
      <c r="F244" s="600">
        <f>IFERROR(VLOOKUP($B244,اسماء,5,0),0)</f>
        <v>0</v>
      </c>
      <c r="G244" s="601"/>
      <c r="H244" s="602">
        <f>IFERROR(VLOOKUP($B244,اسماء,6,0),0)</f>
        <v>0</v>
      </c>
      <c r="I244" s="622"/>
      <c r="J244" s="600">
        <f>IFERROR(VLOOKUP($B244,اسماء,7,0),0)</f>
        <v>0</v>
      </c>
      <c r="K244" s="601"/>
      <c r="L244" s="602">
        <f>IFERROR(VLOOKUP($B244,اسماء,8,0),0)</f>
        <v>0</v>
      </c>
      <c r="M244" s="603"/>
      <c r="N244" s="602">
        <f>IFERROR(VLOOKUP($B244,اسماء,9,0),0)</f>
        <v>0</v>
      </c>
      <c r="O244" s="603"/>
      <c r="P244" s="600">
        <f>IFERROR(VLOOKUP($B244,اسماء,10,0),0)</f>
        <v>0</v>
      </c>
      <c r="Q244" s="622"/>
      <c r="R244" s="371">
        <f t="shared" ref="R244:R278" si="630">SUM(F244:Q244)</f>
        <v>0</v>
      </c>
      <c r="S244" s="213" t="str">
        <f>IFERROR(VLOOKUP($B244,اسماء,12,0),"")</f>
        <v/>
      </c>
      <c r="T244" s="214" t="str">
        <f>IFERROR(VLOOKUP($B244,اسماء,13,0),"")</f>
        <v/>
      </c>
      <c r="U244" s="364" t="str">
        <f>IFERROR(VLOOKUP($B244,اسماء,14,0),"")</f>
        <v/>
      </c>
      <c r="V244" s="604" t="str">
        <f t="shared" ref="V244" si="631">IF(Z244="غائب","راسب",IF(R247&gt;0,"ناجح","مرحل"))</f>
        <v>مرحل</v>
      </c>
      <c r="W244" s="19" t="str">
        <f t="shared" ref="W244:W245" si="632">LOOKUP(R244,$AC$6:$AD$10)</f>
        <v>ضعيف</v>
      </c>
      <c r="X244" s="639">
        <f t="shared" ref="X244" si="633">R247/$AC$3</f>
        <v>0</v>
      </c>
      <c r="Y244" s="68"/>
      <c r="Z244" s="597" t="str">
        <f>IFERROR(VLOOKUP($B244,اسماء,48,0),"")</f>
        <v/>
      </c>
      <c r="AK244" s="667" t="str">
        <f t="shared" ref="AK244" si="634">IF(R247=0,"",R247/1+ROW()*0.00001)</f>
        <v/>
      </c>
      <c r="AL244" s="667">
        <f>B244</f>
        <v>0</v>
      </c>
      <c r="AM244" s="696"/>
      <c r="AN244" s="698">
        <v>52</v>
      </c>
      <c r="AO244" s="699" t="str">
        <f>IFERROR(LARGE($AK$10:$AK$1420,AN244),"")</f>
        <v/>
      </c>
      <c r="AP244" s="698" t="str">
        <f>VLOOKUP(AO244,$AK$10:$AL$1530,2,0)</f>
        <v>امجد عمر عبداللطيف سلطان</v>
      </c>
    </row>
    <row r="245" spans="1:42" ht="14.85" customHeight="1" x14ac:dyDescent="0.25">
      <c r="A245" s="611"/>
      <c r="B245" s="614"/>
      <c r="C245" s="617"/>
      <c r="D245" s="620"/>
      <c r="E245" s="130" t="s">
        <v>31</v>
      </c>
      <c r="F245" s="592">
        <f>IFERROR(VLOOKUP($B244,اسماء,15,0),0)</f>
        <v>0</v>
      </c>
      <c r="G245" s="593"/>
      <c r="H245" s="594">
        <f>IFERROR(VLOOKUP($B244,اسماء,16,0),0)</f>
        <v>0</v>
      </c>
      <c r="I245" s="595"/>
      <c r="J245" s="592">
        <f>IFERROR(VLOOKUP($B244,اسماء,17,0),0)</f>
        <v>0</v>
      </c>
      <c r="K245" s="593"/>
      <c r="L245" s="594">
        <f>IFERROR(VLOOKUP($B244,اسماء,18,0),0)</f>
        <v>0</v>
      </c>
      <c r="M245" s="596"/>
      <c r="N245" s="594">
        <f>IFERROR(VLOOKUP($B244,اسماء,19,0),0)</f>
        <v>0</v>
      </c>
      <c r="O245" s="596"/>
      <c r="P245" s="592">
        <f>IFERROR(VLOOKUP($B244,اسماء,20,0),0)</f>
        <v>0</v>
      </c>
      <c r="Q245" s="595"/>
      <c r="R245" s="372">
        <f t="shared" si="630"/>
        <v>0</v>
      </c>
      <c r="S245" s="305" t="str">
        <f>IFERROR(VLOOKUP($B244,اسماء,23,0),"")</f>
        <v/>
      </c>
      <c r="T245" s="306" t="str">
        <f>IFERROR(VLOOKUP($B244,اسماء,24,0),"")</f>
        <v/>
      </c>
      <c r="U245" s="122" t="str">
        <f>IFERROR(VLOOKUP($B244,اسماء,25,0),"")</f>
        <v/>
      </c>
      <c r="V245" s="605"/>
      <c r="W245" s="19" t="str">
        <f t="shared" si="632"/>
        <v>ضعيف</v>
      </c>
      <c r="X245" s="640"/>
      <c r="Y245" s="8"/>
      <c r="Z245" s="598"/>
      <c r="AK245" s="667"/>
      <c r="AL245" s="667"/>
      <c r="AM245" s="696"/>
      <c r="AN245" s="698"/>
      <c r="AO245" s="699"/>
      <c r="AP245" s="698"/>
    </row>
    <row r="246" spans="1:42" ht="14.85" customHeight="1" x14ac:dyDescent="0.25">
      <c r="A246" s="611"/>
      <c r="B246" s="614"/>
      <c r="C246" s="617"/>
      <c r="D246" s="620"/>
      <c r="E246" s="130" t="s">
        <v>32</v>
      </c>
      <c r="F246" s="592">
        <f>IFERROR(VLOOKUP($B244,اسماء,25,0),0)</f>
        <v>0</v>
      </c>
      <c r="G246" s="593"/>
      <c r="H246" s="594">
        <f>IFERROR(VLOOKUP($B244,اسماء,26,0),0)</f>
        <v>0</v>
      </c>
      <c r="I246" s="595"/>
      <c r="J246" s="592">
        <f>IFERROR(VLOOKUP($B244,اسماء,27,0),0)</f>
        <v>0</v>
      </c>
      <c r="K246" s="593"/>
      <c r="L246" s="594">
        <f>IFERROR(VLOOKUP($B244,اسماء,28,0),0)</f>
        <v>0</v>
      </c>
      <c r="M246" s="596"/>
      <c r="N246" s="594">
        <f>IFERROR(VLOOKUP($B244,اسماء,29,0),0)</f>
        <v>0</v>
      </c>
      <c r="O246" s="596"/>
      <c r="P246" s="592">
        <f>IFERROR(VLOOKUP($B244,اسماء,30,0),0)</f>
        <v>0</v>
      </c>
      <c r="Q246" s="595"/>
      <c r="R246" s="372">
        <f t="shared" si="630"/>
        <v>0</v>
      </c>
      <c r="S246" s="305" t="str">
        <f>IFERROR(VLOOKUP($B244,اسماء,34,0),"")</f>
        <v/>
      </c>
      <c r="T246" s="306" t="str">
        <f>IFERROR(VLOOKUP($B244,اسماء,35,0),"")</f>
        <v/>
      </c>
      <c r="U246" s="122" t="str">
        <f>IFERROR(VLOOKUP($B244,اسماء,36,0),"")</f>
        <v/>
      </c>
      <c r="V246" s="605"/>
      <c r="W246" s="20" t="str">
        <f t="shared" ref="W246" si="635">LOOKUP(R246,$AF$6:$AG$10)</f>
        <v>ضعيف</v>
      </c>
      <c r="X246" s="640"/>
      <c r="Y246" s="68"/>
      <c r="Z246" s="598"/>
      <c r="AK246" s="667"/>
      <c r="AL246" s="667"/>
      <c r="AM246" s="696"/>
      <c r="AN246" s="698"/>
      <c r="AO246" s="699"/>
      <c r="AP246" s="698"/>
    </row>
    <row r="247" spans="1:42" ht="14.85" customHeight="1" thickBot="1" x14ac:dyDescent="0.3">
      <c r="A247" s="612"/>
      <c r="B247" s="615"/>
      <c r="C247" s="618"/>
      <c r="D247" s="621"/>
      <c r="E247" s="124" t="s">
        <v>33</v>
      </c>
      <c r="F247" s="623">
        <f>SUM(F244:G246)</f>
        <v>0</v>
      </c>
      <c r="G247" s="624"/>
      <c r="H247" s="625">
        <f>SUM(H244:I246)</f>
        <v>0</v>
      </c>
      <c r="I247" s="626"/>
      <c r="J247" s="623">
        <f>SUM(J244:K246)</f>
        <v>0</v>
      </c>
      <c r="K247" s="624"/>
      <c r="L247" s="625">
        <f>SUM(L244:M246)</f>
        <v>0</v>
      </c>
      <c r="M247" s="642"/>
      <c r="N247" s="625">
        <f>SUM(N244:O246)</f>
        <v>0</v>
      </c>
      <c r="O247" s="642"/>
      <c r="P247" s="623">
        <f>SUM(P244:Q246)</f>
        <v>0</v>
      </c>
      <c r="Q247" s="626"/>
      <c r="R247" s="88">
        <f t="shared" ref="R247" si="636">IF(AND(F247&gt;=$G$8,H247&gt;=$I$8,J247&gt;=$K$8,L247&gt;=$M$8,N247&gt;=$O$8,P247&gt;=$Q$8),SUM(F247:Q247),0)</f>
        <v>0</v>
      </c>
      <c r="S247" s="251"/>
      <c r="T247" s="97"/>
      <c r="U247" s="94"/>
      <c r="V247" s="606"/>
      <c r="W247" s="88" t="str">
        <f t="shared" ref="W247" si="637">LOOKUP(R247,$AI$6:$AJ$10)</f>
        <v>ضعيف</v>
      </c>
      <c r="X247" s="641"/>
      <c r="Y247" s="68"/>
      <c r="Z247" s="599"/>
      <c r="AK247" s="667"/>
      <c r="AL247" s="667"/>
      <c r="AM247" s="696"/>
      <c r="AN247" s="698"/>
      <c r="AO247" s="699"/>
      <c r="AP247" s="698"/>
    </row>
    <row r="248" spans="1:42" ht="14.85" customHeight="1" thickBot="1" x14ac:dyDescent="0.3">
      <c r="A248" s="610">
        <v>53</v>
      </c>
      <c r="B248" s="613">
        <f>VLOOKUP(A248,مسلسل,2,0)</f>
        <v>0</v>
      </c>
      <c r="C248" s="616" t="str">
        <f>IFERROR(VLOOKUP(B248,اسماء,2,0),"")</f>
        <v/>
      </c>
      <c r="D248" s="619" t="str">
        <f>IFERROR(VLOOKUP($B248,اسماء,3,0),"")</f>
        <v/>
      </c>
      <c r="E248" s="129" t="s">
        <v>30</v>
      </c>
      <c r="F248" s="600">
        <f>IFERROR(VLOOKUP($B248,اسماء,5,0),0)</f>
        <v>0</v>
      </c>
      <c r="G248" s="601"/>
      <c r="H248" s="602">
        <f>IFERROR(VLOOKUP($B248,اسماء,6,0),0)</f>
        <v>0</v>
      </c>
      <c r="I248" s="622"/>
      <c r="J248" s="600">
        <f>IFERROR(VLOOKUP($B248,اسماء,7,0),0)</f>
        <v>0</v>
      </c>
      <c r="K248" s="601"/>
      <c r="L248" s="602">
        <f>IFERROR(VLOOKUP($B248,اسماء,8,0),0)</f>
        <v>0</v>
      </c>
      <c r="M248" s="603"/>
      <c r="N248" s="602">
        <f>IFERROR(VLOOKUP($B248,اسماء,9,0),0)</f>
        <v>0</v>
      </c>
      <c r="O248" s="603"/>
      <c r="P248" s="600">
        <f>IFERROR(VLOOKUP($B248,اسماء,10,0),0)</f>
        <v>0</v>
      </c>
      <c r="Q248" s="622"/>
      <c r="R248" s="371">
        <f t="shared" ref="R248" si="638">SUM(F248:Q248)</f>
        <v>0</v>
      </c>
      <c r="S248" s="213" t="str">
        <f>IFERROR(VLOOKUP($B248,اسماء,12,0),"")</f>
        <v/>
      </c>
      <c r="T248" s="214" t="str">
        <f>IFERROR(VLOOKUP($B248,اسماء,13,0),"")</f>
        <v/>
      </c>
      <c r="U248" s="364" t="str">
        <f>IFERROR(VLOOKUP($B248,اسماء,14,0),"")</f>
        <v/>
      </c>
      <c r="V248" s="604" t="str">
        <f t="shared" ref="V248" si="639">IF(Z248="غائب","راسب",IF(R251&gt;0,"ناجح","مرحل"))</f>
        <v>مرحل</v>
      </c>
      <c r="W248" s="19" t="str">
        <f t="shared" ref="W248:W249" si="640">LOOKUP(R248,$AC$6:$AD$10)</f>
        <v>ضعيف</v>
      </c>
      <c r="X248" s="639">
        <f t="shared" ref="X248" si="641">R251/$AC$3</f>
        <v>0</v>
      </c>
      <c r="Y248" s="8"/>
      <c r="Z248" s="597" t="str">
        <f>IFERROR(VLOOKUP($B248,اسماء,48,0),"")</f>
        <v/>
      </c>
      <c r="AK248" s="667" t="str">
        <f t="shared" ref="AK248" si="642">IF(R251=0,"",R251/1+ROW()*0.00001)</f>
        <v/>
      </c>
      <c r="AL248" s="667">
        <f>B248</f>
        <v>0</v>
      </c>
      <c r="AM248" s="696"/>
      <c r="AN248" s="698">
        <v>53</v>
      </c>
      <c r="AO248" s="699" t="str">
        <f>IFERROR(LARGE($AK$10:$AK$1420,AN248),"")</f>
        <v/>
      </c>
      <c r="AP248" s="698" t="str">
        <f>VLOOKUP(AO248,$AK$10:$AL$1530,2,0)</f>
        <v>امجد عمر عبداللطيف سلطان</v>
      </c>
    </row>
    <row r="249" spans="1:42" ht="14.85" customHeight="1" x14ac:dyDescent="0.25">
      <c r="A249" s="611"/>
      <c r="B249" s="614"/>
      <c r="C249" s="617"/>
      <c r="D249" s="620"/>
      <c r="E249" s="130" t="s">
        <v>31</v>
      </c>
      <c r="F249" s="592">
        <f>IFERROR(VLOOKUP($B248,اسماء,15,0),0)</f>
        <v>0</v>
      </c>
      <c r="G249" s="593"/>
      <c r="H249" s="594">
        <f>IFERROR(VLOOKUP($B248,اسماء,16,0),0)</f>
        <v>0</v>
      </c>
      <c r="I249" s="595"/>
      <c r="J249" s="592">
        <f>IFERROR(VLOOKUP($B248,اسماء,17,0),0)</f>
        <v>0</v>
      </c>
      <c r="K249" s="593"/>
      <c r="L249" s="594">
        <f>IFERROR(VLOOKUP($B248,اسماء,18,0),0)</f>
        <v>0</v>
      </c>
      <c r="M249" s="596"/>
      <c r="N249" s="594">
        <f>IFERROR(VLOOKUP($B248,اسماء,19,0),0)</f>
        <v>0</v>
      </c>
      <c r="O249" s="596"/>
      <c r="P249" s="592">
        <f>IFERROR(VLOOKUP($B248,اسماء,20,0),0)</f>
        <v>0</v>
      </c>
      <c r="Q249" s="595"/>
      <c r="R249" s="372">
        <f t="shared" si="630"/>
        <v>0</v>
      </c>
      <c r="S249" s="305" t="str">
        <f>IFERROR(VLOOKUP($B248,اسماء,23,0),"")</f>
        <v/>
      </c>
      <c r="T249" s="306" t="str">
        <f>IFERROR(VLOOKUP($B248,اسماء,24,0),"")</f>
        <v/>
      </c>
      <c r="U249" s="122" t="str">
        <f>IFERROR(VLOOKUP($B248,اسماء,25,0),"")</f>
        <v/>
      </c>
      <c r="V249" s="605"/>
      <c r="W249" s="19" t="str">
        <f t="shared" si="640"/>
        <v>ضعيف</v>
      </c>
      <c r="X249" s="640"/>
      <c r="Y249" s="68"/>
      <c r="Z249" s="598"/>
      <c r="AK249" s="667"/>
      <c r="AL249" s="667"/>
      <c r="AM249" s="696"/>
      <c r="AN249" s="698"/>
      <c r="AO249" s="699"/>
      <c r="AP249" s="698"/>
    </row>
    <row r="250" spans="1:42" ht="14.85" customHeight="1" x14ac:dyDescent="0.25">
      <c r="A250" s="611"/>
      <c r="B250" s="614"/>
      <c r="C250" s="617"/>
      <c r="D250" s="620"/>
      <c r="E250" s="130" t="s">
        <v>32</v>
      </c>
      <c r="F250" s="592">
        <f>IFERROR(VLOOKUP($B248,اسماء,25,0),0)</f>
        <v>0</v>
      </c>
      <c r="G250" s="593"/>
      <c r="H250" s="594">
        <f>IFERROR(VLOOKUP($B248,اسماء,26,0),0)</f>
        <v>0</v>
      </c>
      <c r="I250" s="595"/>
      <c r="J250" s="592">
        <f>IFERROR(VLOOKUP($B248,اسماء,27,0),0)</f>
        <v>0</v>
      </c>
      <c r="K250" s="593"/>
      <c r="L250" s="594">
        <f>IFERROR(VLOOKUP($B248,اسماء,28,0),0)</f>
        <v>0</v>
      </c>
      <c r="M250" s="596"/>
      <c r="N250" s="594">
        <f>IFERROR(VLOOKUP($B248,اسماء,29,0),0)</f>
        <v>0</v>
      </c>
      <c r="O250" s="596"/>
      <c r="P250" s="592">
        <f>IFERROR(VLOOKUP($B248,اسماء,30,0),0)</f>
        <v>0</v>
      </c>
      <c r="Q250" s="595"/>
      <c r="R250" s="372">
        <f t="shared" si="630"/>
        <v>0</v>
      </c>
      <c r="S250" s="305" t="str">
        <f>IFERROR(VLOOKUP($B248,اسماء,34,0),"")</f>
        <v/>
      </c>
      <c r="T250" s="306" t="str">
        <f>IFERROR(VLOOKUP($B248,اسماء,35,0),"")</f>
        <v/>
      </c>
      <c r="U250" s="122" t="str">
        <f>IFERROR(VLOOKUP($B248,اسماء,36,0),"")</f>
        <v/>
      </c>
      <c r="V250" s="605"/>
      <c r="W250" s="20" t="str">
        <f t="shared" ref="W250" si="643">LOOKUP(R250,$AF$6:$AG$10)</f>
        <v>ضعيف</v>
      </c>
      <c r="X250" s="640"/>
      <c r="Y250" s="68"/>
      <c r="Z250" s="598"/>
      <c r="AK250" s="667"/>
      <c r="AL250" s="667"/>
      <c r="AM250" s="696"/>
      <c r="AN250" s="698"/>
      <c r="AO250" s="699"/>
      <c r="AP250" s="698"/>
    </row>
    <row r="251" spans="1:42" ht="14.85" customHeight="1" thickBot="1" x14ac:dyDescent="0.3">
      <c r="A251" s="612"/>
      <c r="B251" s="615"/>
      <c r="C251" s="618"/>
      <c r="D251" s="621"/>
      <c r="E251" s="124" t="s">
        <v>33</v>
      </c>
      <c r="F251" s="623">
        <f t="shared" ref="F251" si="644">SUM(F248:G250)</f>
        <v>0</v>
      </c>
      <c r="G251" s="624"/>
      <c r="H251" s="625">
        <f t="shared" ref="H251" si="645">SUM(H248:I250)</f>
        <v>0</v>
      </c>
      <c r="I251" s="626"/>
      <c r="J251" s="623">
        <f t="shared" ref="J251" si="646">SUM(J248:K250)</f>
        <v>0</v>
      </c>
      <c r="K251" s="624"/>
      <c r="L251" s="625">
        <f t="shared" ref="L251" si="647">SUM(L248:M250)</f>
        <v>0</v>
      </c>
      <c r="M251" s="642"/>
      <c r="N251" s="625">
        <f t="shared" ref="N251" si="648">SUM(N248:O250)</f>
        <v>0</v>
      </c>
      <c r="O251" s="642"/>
      <c r="P251" s="623">
        <f t="shared" ref="P251" si="649">SUM(P248:Q250)</f>
        <v>0</v>
      </c>
      <c r="Q251" s="626"/>
      <c r="R251" s="88">
        <f t="shared" ref="R251" si="650">IF(AND(F251&gt;=$G$8,H251&gt;=$I$8,J251&gt;=$K$8,L251&gt;=$M$8,N251&gt;=$O$8,P251&gt;=$Q$8),SUM(F251:Q251),0)</f>
        <v>0</v>
      </c>
      <c r="S251" s="251"/>
      <c r="T251" s="97"/>
      <c r="U251" s="94"/>
      <c r="V251" s="606"/>
      <c r="W251" s="88" t="str">
        <f t="shared" ref="W251" si="651">LOOKUP(R251,$AI$6:$AJ$10)</f>
        <v>ضعيف</v>
      </c>
      <c r="X251" s="641"/>
      <c r="Y251" s="8"/>
      <c r="Z251" s="599"/>
      <c r="AK251" s="667"/>
      <c r="AL251" s="667"/>
      <c r="AM251" s="696"/>
      <c r="AN251" s="698"/>
      <c r="AO251" s="699"/>
      <c r="AP251" s="698"/>
    </row>
    <row r="252" spans="1:42" ht="14.85" customHeight="1" thickBot="1" x14ac:dyDescent="0.3">
      <c r="A252" s="610">
        <v>54</v>
      </c>
      <c r="B252" s="613">
        <f>VLOOKUP(A252,مسلسل,2,0)</f>
        <v>0</v>
      </c>
      <c r="C252" s="616" t="str">
        <f>IFERROR(VLOOKUP(B252,اسماء,2,0),"")</f>
        <v/>
      </c>
      <c r="D252" s="619" t="str">
        <f>IFERROR(VLOOKUP($B252,اسماء,3,0),"")</f>
        <v/>
      </c>
      <c r="E252" s="129" t="s">
        <v>30</v>
      </c>
      <c r="F252" s="600">
        <f>IFERROR(VLOOKUP($B252,اسماء,5,0),0)</f>
        <v>0</v>
      </c>
      <c r="G252" s="601"/>
      <c r="H252" s="602">
        <f>IFERROR(VLOOKUP($B252,اسماء,6,0),0)</f>
        <v>0</v>
      </c>
      <c r="I252" s="622"/>
      <c r="J252" s="600">
        <f>IFERROR(VLOOKUP($B252,اسماء,7,0),0)</f>
        <v>0</v>
      </c>
      <c r="K252" s="601"/>
      <c r="L252" s="602">
        <f>IFERROR(VLOOKUP($B252,اسماء,8,0),0)</f>
        <v>0</v>
      </c>
      <c r="M252" s="603"/>
      <c r="N252" s="602">
        <f>IFERROR(VLOOKUP($B252,اسماء,9,0),0)</f>
        <v>0</v>
      </c>
      <c r="O252" s="603"/>
      <c r="P252" s="600">
        <f>IFERROR(VLOOKUP($B252,اسماء,10,0),0)</f>
        <v>0</v>
      </c>
      <c r="Q252" s="622"/>
      <c r="R252" s="371">
        <f t="shared" ref="R252" si="652">SUM(F252:Q252)</f>
        <v>0</v>
      </c>
      <c r="S252" s="213" t="str">
        <f>IFERROR(VLOOKUP($B252,اسماء,12,0),"")</f>
        <v/>
      </c>
      <c r="T252" s="214" t="str">
        <f>IFERROR(VLOOKUP($B252,اسماء,13,0),"")</f>
        <v/>
      </c>
      <c r="U252" s="364" t="str">
        <f>IFERROR(VLOOKUP($B252,اسماء,14,0),"")</f>
        <v/>
      </c>
      <c r="V252" s="604" t="str">
        <f t="shared" ref="V252" si="653">IF(Z252="غائب","راسب",IF(R255&gt;0,"ناجح","مرحل"))</f>
        <v>مرحل</v>
      </c>
      <c r="W252" s="19" t="str">
        <f t="shared" ref="W252:W253" si="654">LOOKUP(R252,$AC$6:$AD$10)</f>
        <v>ضعيف</v>
      </c>
      <c r="X252" s="639">
        <f t="shared" ref="X252" si="655">R255/$AC$3</f>
        <v>0</v>
      </c>
      <c r="Y252" s="68"/>
      <c r="Z252" s="597" t="str">
        <f>IFERROR(VLOOKUP($B252,اسماء,48,0),"")</f>
        <v/>
      </c>
      <c r="AK252" s="667" t="str">
        <f t="shared" ref="AK252" si="656">IF(R255=0,"",R255/1+ROW()*0.00001)</f>
        <v/>
      </c>
      <c r="AL252" s="667">
        <f>B252</f>
        <v>0</v>
      </c>
      <c r="AM252" s="696"/>
      <c r="AN252" s="698">
        <v>54</v>
      </c>
      <c r="AO252" s="699" t="str">
        <f>IFERROR(LARGE($AK$10:$AK$1420,AN252),"")</f>
        <v/>
      </c>
      <c r="AP252" s="698" t="str">
        <f>VLOOKUP(AO252,$AK$10:$AL$1530,2,0)</f>
        <v>امجد عمر عبداللطيف سلطان</v>
      </c>
    </row>
    <row r="253" spans="1:42" ht="14.85" customHeight="1" x14ac:dyDescent="0.25">
      <c r="A253" s="611"/>
      <c r="B253" s="614"/>
      <c r="C253" s="617"/>
      <c r="D253" s="620"/>
      <c r="E253" s="130" t="s">
        <v>31</v>
      </c>
      <c r="F253" s="592">
        <f>IFERROR(VLOOKUP($B252,اسماء,15,0),0)</f>
        <v>0</v>
      </c>
      <c r="G253" s="593"/>
      <c r="H253" s="594">
        <f>IFERROR(VLOOKUP($B252,اسماء,16,0),0)</f>
        <v>0</v>
      </c>
      <c r="I253" s="595"/>
      <c r="J253" s="592">
        <f>IFERROR(VLOOKUP($B252,اسماء,17,0),0)</f>
        <v>0</v>
      </c>
      <c r="K253" s="593"/>
      <c r="L253" s="594">
        <f>IFERROR(VLOOKUP($B252,اسماء,18,0),0)</f>
        <v>0</v>
      </c>
      <c r="M253" s="596"/>
      <c r="N253" s="594">
        <f>IFERROR(VLOOKUP($B252,اسماء,19,0),0)</f>
        <v>0</v>
      </c>
      <c r="O253" s="596"/>
      <c r="P253" s="592">
        <f>IFERROR(VLOOKUP($B252,اسماء,20,0),0)</f>
        <v>0</v>
      </c>
      <c r="Q253" s="595"/>
      <c r="R253" s="372">
        <f t="shared" si="630"/>
        <v>0</v>
      </c>
      <c r="S253" s="305" t="str">
        <f>IFERROR(VLOOKUP($B252,اسماء,23,0),"")</f>
        <v/>
      </c>
      <c r="T253" s="306" t="str">
        <f>IFERROR(VLOOKUP($B252,اسماء,24,0),"")</f>
        <v/>
      </c>
      <c r="U253" s="122" t="str">
        <f>IFERROR(VLOOKUP($B252,اسماء,25,0),"")</f>
        <v/>
      </c>
      <c r="V253" s="605"/>
      <c r="W253" s="19" t="str">
        <f t="shared" si="654"/>
        <v>ضعيف</v>
      </c>
      <c r="X253" s="640"/>
      <c r="Y253" s="68"/>
      <c r="Z253" s="598"/>
      <c r="AK253" s="667"/>
      <c r="AL253" s="667"/>
      <c r="AM253" s="696"/>
      <c r="AN253" s="698"/>
      <c r="AO253" s="699"/>
      <c r="AP253" s="698"/>
    </row>
    <row r="254" spans="1:42" ht="14.85" customHeight="1" x14ac:dyDescent="0.25">
      <c r="A254" s="611"/>
      <c r="B254" s="614"/>
      <c r="C254" s="617"/>
      <c r="D254" s="620"/>
      <c r="E254" s="130" t="s">
        <v>32</v>
      </c>
      <c r="F254" s="592">
        <f>IFERROR(VLOOKUP($B252,اسماء,25,0),0)</f>
        <v>0</v>
      </c>
      <c r="G254" s="593"/>
      <c r="H254" s="594">
        <f>IFERROR(VLOOKUP($B252,اسماء,26,0),0)</f>
        <v>0</v>
      </c>
      <c r="I254" s="595"/>
      <c r="J254" s="592">
        <f>IFERROR(VLOOKUP($B252,اسماء,27,0),0)</f>
        <v>0</v>
      </c>
      <c r="K254" s="593"/>
      <c r="L254" s="594">
        <f>IFERROR(VLOOKUP($B252,اسماء,28,0),0)</f>
        <v>0</v>
      </c>
      <c r="M254" s="596"/>
      <c r="N254" s="594">
        <f>IFERROR(VLOOKUP($B252,اسماء,29,0),0)</f>
        <v>0</v>
      </c>
      <c r="O254" s="596"/>
      <c r="P254" s="592">
        <f>IFERROR(VLOOKUP($B252,اسماء,30,0),0)</f>
        <v>0</v>
      </c>
      <c r="Q254" s="595"/>
      <c r="R254" s="372">
        <f t="shared" si="630"/>
        <v>0</v>
      </c>
      <c r="S254" s="305" t="str">
        <f>IFERROR(VLOOKUP($B252,اسماء,34,0),"")</f>
        <v/>
      </c>
      <c r="T254" s="306" t="str">
        <f>IFERROR(VLOOKUP($B252,اسماء,35,0),"")</f>
        <v/>
      </c>
      <c r="U254" s="122" t="str">
        <f>IFERROR(VLOOKUP($B252,اسماء,36,0),"")</f>
        <v/>
      </c>
      <c r="V254" s="605"/>
      <c r="W254" s="20" t="str">
        <f t="shared" ref="W254" si="657">LOOKUP(R254,$AF$6:$AG$10)</f>
        <v>ضعيف</v>
      </c>
      <c r="X254" s="640"/>
      <c r="Y254" s="8"/>
      <c r="Z254" s="598"/>
      <c r="AK254" s="667"/>
      <c r="AL254" s="667"/>
      <c r="AM254" s="696"/>
      <c r="AN254" s="698"/>
      <c r="AO254" s="699"/>
      <c r="AP254" s="698"/>
    </row>
    <row r="255" spans="1:42" ht="14.85" customHeight="1" thickBot="1" x14ac:dyDescent="0.3">
      <c r="A255" s="612"/>
      <c r="B255" s="615"/>
      <c r="C255" s="618"/>
      <c r="D255" s="621"/>
      <c r="E255" s="124" t="s">
        <v>33</v>
      </c>
      <c r="F255" s="623">
        <f t="shared" ref="F255" si="658">SUM(F252:G254)</f>
        <v>0</v>
      </c>
      <c r="G255" s="624"/>
      <c r="H255" s="625">
        <f t="shared" ref="H255" si="659">SUM(H252:I254)</f>
        <v>0</v>
      </c>
      <c r="I255" s="626"/>
      <c r="J255" s="623">
        <f t="shared" ref="J255" si="660">SUM(J252:K254)</f>
        <v>0</v>
      </c>
      <c r="K255" s="624"/>
      <c r="L255" s="625">
        <f t="shared" ref="L255" si="661">SUM(L252:M254)</f>
        <v>0</v>
      </c>
      <c r="M255" s="642"/>
      <c r="N255" s="625">
        <f t="shared" ref="N255" si="662">SUM(N252:O254)</f>
        <v>0</v>
      </c>
      <c r="O255" s="642"/>
      <c r="P255" s="623">
        <f t="shared" ref="P255" si="663">SUM(P252:Q254)</f>
        <v>0</v>
      </c>
      <c r="Q255" s="626"/>
      <c r="R255" s="88">
        <f t="shared" ref="R255" si="664">IF(AND(F255&gt;=$G$8,H255&gt;=$I$8,J255&gt;=$K$8,L255&gt;=$M$8,N255&gt;=$O$8,P255&gt;=$Q$8),SUM(F255:Q255),0)</f>
        <v>0</v>
      </c>
      <c r="S255" s="251"/>
      <c r="T255" s="97"/>
      <c r="U255" s="94"/>
      <c r="V255" s="606"/>
      <c r="W255" s="88" t="str">
        <f t="shared" ref="W255" si="665">LOOKUP(R255,$AI$6:$AJ$10)</f>
        <v>ضعيف</v>
      </c>
      <c r="X255" s="641"/>
      <c r="Y255" s="68"/>
      <c r="Z255" s="599"/>
      <c r="AK255" s="667"/>
      <c r="AL255" s="667"/>
      <c r="AM255" s="696"/>
      <c r="AN255" s="698"/>
      <c r="AO255" s="699"/>
      <c r="AP255" s="698"/>
    </row>
    <row r="256" spans="1:42" ht="14.85" customHeight="1" thickBot="1" x14ac:dyDescent="0.3">
      <c r="A256" s="610">
        <v>55</v>
      </c>
      <c r="B256" s="613">
        <f>VLOOKUP(A256,مسلسل,2,0)</f>
        <v>0</v>
      </c>
      <c r="C256" s="616" t="str">
        <f>IFERROR(VLOOKUP(B256,اسماء,2,0),"")</f>
        <v/>
      </c>
      <c r="D256" s="619" t="str">
        <f>IFERROR(VLOOKUP($B256,اسماء,3,0),"")</f>
        <v/>
      </c>
      <c r="E256" s="129" t="s">
        <v>30</v>
      </c>
      <c r="F256" s="600">
        <f>IFERROR(VLOOKUP($B256,اسماء,5,0),0)</f>
        <v>0</v>
      </c>
      <c r="G256" s="601"/>
      <c r="H256" s="602">
        <f>IFERROR(VLOOKUP($B256,اسماء,6,0),0)</f>
        <v>0</v>
      </c>
      <c r="I256" s="622"/>
      <c r="J256" s="600">
        <f>IFERROR(VLOOKUP($B256,اسماء,7,0),0)</f>
        <v>0</v>
      </c>
      <c r="K256" s="601"/>
      <c r="L256" s="602">
        <f>IFERROR(VLOOKUP($B256,اسماء,8,0),0)</f>
        <v>0</v>
      </c>
      <c r="M256" s="603"/>
      <c r="N256" s="602">
        <f>IFERROR(VLOOKUP($B256,اسماء,9,0),0)</f>
        <v>0</v>
      </c>
      <c r="O256" s="603"/>
      <c r="P256" s="600">
        <f>IFERROR(VLOOKUP($B256,اسماء,10,0),0)</f>
        <v>0</v>
      </c>
      <c r="Q256" s="622"/>
      <c r="R256" s="371">
        <f t="shared" ref="R256" si="666">SUM(F256:Q256)</f>
        <v>0</v>
      </c>
      <c r="S256" s="213" t="str">
        <f>IFERROR(VLOOKUP($B256,اسماء,12,0),"")</f>
        <v/>
      </c>
      <c r="T256" s="214" t="str">
        <f>IFERROR(VLOOKUP($B256,اسماء,13,0),"")</f>
        <v/>
      </c>
      <c r="U256" s="364" t="str">
        <f>IFERROR(VLOOKUP($B256,اسماء,14,0),"")</f>
        <v/>
      </c>
      <c r="V256" s="604" t="str">
        <f t="shared" ref="V256" si="667">IF(Z256="غائب","راسب",IF(R259&gt;0,"ناجح","مرحل"))</f>
        <v>مرحل</v>
      </c>
      <c r="W256" s="19" t="str">
        <f t="shared" ref="W256:W257" si="668">LOOKUP(R256,$AC$6:$AD$10)</f>
        <v>ضعيف</v>
      </c>
      <c r="X256" s="639">
        <f t="shared" ref="X256" si="669">R259/$AC$3</f>
        <v>0</v>
      </c>
      <c r="Y256" s="68"/>
      <c r="Z256" s="597" t="str">
        <f>IFERROR(VLOOKUP($B256,اسماء,48,0),"")</f>
        <v/>
      </c>
      <c r="AK256" s="667" t="str">
        <f t="shared" ref="AK256" si="670">IF(R259=0,"",R259/1+ROW()*0.00001)</f>
        <v/>
      </c>
      <c r="AL256" s="667">
        <f>B256</f>
        <v>0</v>
      </c>
      <c r="AM256" s="696"/>
      <c r="AN256" s="698">
        <v>55</v>
      </c>
      <c r="AO256" s="699" t="str">
        <f>IFERROR(LARGE($AK$10:$AK$1420,AN256),"")</f>
        <v/>
      </c>
      <c r="AP256" s="698" t="str">
        <f>VLOOKUP(AO256,$AK$10:$AL$1530,2,0)</f>
        <v>امجد عمر عبداللطيف سلطان</v>
      </c>
    </row>
    <row r="257" spans="1:42" ht="14.85" customHeight="1" x14ac:dyDescent="0.25">
      <c r="A257" s="611"/>
      <c r="B257" s="614"/>
      <c r="C257" s="617"/>
      <c r="D257" s="620"/>
      <c r="E257" s="130" t="s">
        <v>31</v>
      </c>
      <c r="F257" s="592">
        <f>IFERROR(VLOOKUP($B256,اسماء,15,0),0)</f>
        <v>0</v>
      </c>
      <c r="G257" s="593"/>
      <c r="H257" s="594">
        <f>IFERROR(VLOOKUP($B256,اسماء,16,0),0)</f>
        <v>0</v>
      </c>
      <c r="I257" s="595"/>
      <c r="J257" s="592">
        <f>IFERROR(VLOOKUP($B256,اسماء,17,0),0)</f>
        <v>0</v>
      </c>
      <c r="K257" s="593"/>
      <c r="L257" s="594">
        <f>IFERROR(VLOOKUP($B256,اسماء,18,0),0)</f>
        <v>0</v>
      </c>
      <c r="M257" s="596"/>
      <c r="N257" s="594">
        <f>IFERROR(VLOOKUP($B256,اسماء,19,0),0)</f>
        <v>0</v>
      </c>
      <c r="O257" s="596"/>
      <c r="P257" s="592">
        <f>IFERROR(VLOOKUP($B256,اسماء,20,0),0)</f>
        <v>0</v>
      </c>
      <c r="Q257" s="595"/>
      <c r="R257" s="372">
        <f t="shared" si="630"/>
        <v>0</v>
      </c>
      <c r="S257" s="305" t="str">
        <f>IFERROR(VLOOKUP($B256,اسماء,23,0),"")</f>
        <v/>
      </c>
      <c r="T257" s="306" t="str">
        <f>IFERROR(VLOOKUP($B256,اسماء,24,0),"")</f>
        <v/>
      </c>
      <c r="U257" s="122" t="str">
        <f>IFERROR(VLOOKUP($B256,اسماء,25,0),"")</f>
        <v/>
      </c>
      <c r="V257" s="605"/>
      <c r="W257" s="19" t="str">
        <f t="shared" si="668"/>
        <v>ضعيف</v>
      </c>
      <c r="X257" s="640"/>
      <c r="Y257" s="8"/>
      <c r="Z257" s="598"/>
      <c r="AK257" s="667"/>
      <c r="AL257" s="667"/>
      <c r="AM257" s="696"/>
      <c r="AN257" s="698"/>
      <c r="AO257" s="699"/>
      <c r="AP257" s="698"/>
    </row>
    <row r="258" spans="1:42" ht="14.85" customHeight="1" x14ac:dyDescent="0.25">
      <c r="A258" s="611"/>
      <c r="B258" s="614"/>
      <c r="C258" s="617"/>
      <c r="D258" s="620"/>
      <c r="E258" s="130" t="s">
        <v>32</v>
      </c>
      <c r="F258" s="592">
        <f>IFERROR(VLOOKUP($B256,اسماء,25,0),0)</f>
        <v>0</v>
      </c>
      <c r="G258" s="593"/>
      <c r="H258" s="594">
        <f>IFERROR(VLOOKUP($B256,اسماء,26,0),0)</f>
        <v>0</v>
      </c>
      <c r="I258" s="595"/>
      <c r="J258" s="592">
        <f>IFERROR(VLOOKUP($B256,اسماء,27,0),0)</f>
        <v>0</v>
      </c>
      <c r="K258" s="593"/>
      <c r="L258" s="594">
        <f>IFERROR(VLOOKUP($B256,اسماء,28,0),0)</f>
        <v>0</v>
      </c>
      <c r="M258" s="596"/>
      <c r="N258" s="594">
        <f>IFERROR(VLOOKUP($B256,اسماء,29,0),0)</f>
        <v>0</v>
      </c>
      <c r="O258" s="596"/>
      <c r="P258" s="592">
        <f>IFERROR(VLOOKUP($B256,اسماء,30,0),0)</f>
        <v>0</v>
      </c>
      <c r="Q258" s="595"/>
      <c r="R258" s="372">
        <f t="shared" si="630"/>
        <v>0</v>
      </c>
      <c r="S258" s="305" t="str">
        <f>IFERROR(VLOOKUP($B256,اسماء,34,0),"")</f>
        <v/>
      </c>
      <c r="T258" s="306" t="str">
        <f>IFERROR(VLOOKUP($B256,اسماء,35,0),"")</f>
        <v/>
      </c>
      <c r="U258" s="122" t="str">
        <f>IFERROR(VLOOKUP($B256,اسماء,36,0),"")</f>
        <v/>
      </c>
      <c r="V258" s="605"/>
      <c r="W258" s="20" t="str">
        <f t="shared" ref="W258" si="671">LOOKUP(R258,$AF$6:$AG$10)</f>
        <v>ضعيف</v>
      </c>
      <c r="X258" s="640"/>
      <c r="Y258" s="68"/>
      <c r="Z258" s="598"/>
      <c r="AK258" s="667"/>
      <c r="AL258" s="667"/>
      <c r="AM258" s="696"/>
      <c r="AN258" s="698"/>
      <c r="AO258" s="699"/>
      <c r="AP258" s="698"/>
    </row>
    <row r="259" spans="1:42" ht="14.85" customHeight="1" thickBot="1" x14ac:dyDescent="0.3">
      <c r="A259" s="612"/>
      <c r="B259" s="615"/>
      <c r="C259" s="618"/>
      <c r="D259" s="621"/>
      <c r="E259" s="124" t="s">
        <v>33</v>
      </c>
      <c r="F259" s="623">
        <f t="shared" ref="F259" si="672">SUM(F256:G258)</f>
        <v>0</v>
      </c>
      <c r="G259" s="624"/>
      <c r="H259" s="625">
        <f t="shared" ref="H259" si="673">SUM(H256:I258)</f>
        <v>0</v>
      </c>
      <c r="I259" s="626"/>
      <c r="J259" s="623">
        <f t="shared" ref="J259" si="674">SUM(J256:K258)</f>
        <v>0</v>
      </c>
      <c r="K259" s="624"/>
      <c r="L259" s="625">
        <f t="shared" ref="L259" si="675">SUM(L256:M258)</f>
        <v>0</v>
      </c>
      <c r="M259" s="642"/>
      <c r="N259" s="625">
        <f t="shared" ref="N259" si="676">SUM(N256:O258)</f>
        <v>0</v>
      </c>
      <c r="O259" s="642"/>
      <c r="P259" s="623">
        <f t="shared" ref="P259" si="677">SUM(P256:Q258)</f>
        <v>0</v>
      </c>
      <c r="Q259" s="626"/>
      <c r="R259" s="88">
        <f t="shared" ref="R259" si="678">IF(AND(F259&gt;=$G$8,H259&gt;=$I$8,J259&gt;=$K$8,L259&gt;=$M$8,N259&gt;=$O$8,P259&gt;=$Q$8),SUM(F259:Q259),0)</f>
        <v>0</v>
      </c>
      <c r="S259" s="251"/>
      <c r="T259" s="97"/>
      <c r="U259" s="94"/>
      <c r="V259" s="606"/>
      <c r="W259" s="88" t="str">
        <f t="shared" ref="W259" si="679">LOOKUP(R259,$AI$6:$AJ$10)</f>
        <v>ضعيف</v>
      </c>
      <c r="X259" s="641"/>
      <c r="Y259" s="68"/>
      <c r="Z259" s="599"/>
      <c r="AK259" s="667"/>
      <c r="AL259" s="667"/>
      <c r="AM259" s="696"/>
      <c r="AN259" s="698"/>
      <c r="AO259" s="699"/>
      <c r="AP259" s="698"/>
    </row>
    <row r="260" spans="1:42" ht="14.85" customHeight="1" thickBot="1" x14ac:dyDescent="0.3">
      <c r="A260" s="610">
        <v>56</v>
      </c>
      <c r="B260" s="613">
        <f>VLOOKUP(A260,مسلسل,2,0)</f>
        <v>0</v>
      </c>
      <c r="C260" s="616" t="str">
        <f>IFERROR(VLOOKUP(B260,اسماء,2,0),"")</f>
        <v/>
      </c>
      <c r="D260" s="619" t="str">
        <f>IFERROR(VLOOKUP($B260,اسماء,3,0),"")</f>
        <v/>
      </c>
      <c r="E260" s="129" t="s">
        <v>30</v>
      </c>
      <c r="F260" s="600">
        <f>IFERROR(VLOOKUP($B260,اسماء,5,0),0)</f>
        <v>0</v>
      </c>
      <c r="G260" s="601"/>
      <c r="H260" s="602">
        <f>IFERROR(VLOOKUP($B260,اسماء,6,0),0)</f>
        <v>0</v>
      </c>
      <c r="I260" s="622"/>
      <c r="J260" s="600">
        <f>IFERROR(VLOOKUP($B260,اسماء,7,0),0)</f>
        <v>0</v>
      </c>
      <c r="K260" s="601"/>
      <c r="L260" s="602">
        <f>IFERROR(VLOOKUP($B260,اسماء,8,0),0)</f>
        <v>0</v>
      </c>
      <c r="M260" s="603"/>
      <c r="N260" s="602">
        <f>IFERROR(VLOOKUP($B260,اسماء,9,0),0)</f>
        <v>0</v>
      </c>
      <c r="O260" s="603"/>
      <c r="P260" s="600">
        <f>IFERROR(VLOOKUP($B260,اسماء,10,0),0)</f>
        <v>0</v>
      </c>
      <c r="Q260" s="622"/>
      <c r="R260" s="371">
        <f t="shared" ref="R260" si="680">SUM(F260:Q260)</f>
        <v>0</v>
      </c>
      <c r="S260" s="213" t="str">
        <f>IFERROR(VLOOKUP($B260,اسماء,12,0),"")</f>
        <v/>
      </c>
      <c r="T260" s="214" t="str">
        <f>IFERROR(VLOOKUP($B260,اسماء,13,0),"")</f>
        <v/>
      </c>
      <c r="U260" s="364" t="str">
        <f>IFERROR(VLOOKUP($B260,اسماء,14,0),"")</f>
        <v/>
      </c>
      <c r="V260" s="604" t="str">
        <f t="shared" ref="V260" si="681">IF(Z260="غائب","راسب",IF(R263&gt;0,"ناجح","مرحل"))</f>
        <v>مرحل</v>
      </c>
      <c r="W260" s="19" t="str">
        <f t="shared" ref="W260:W261" si="682">LOOKUP(R260,$AC$6:$AD$10)</f>
        <v>ضعيف</v>
      </c>
      <c r="X260" s="639">
        <f t="shared" ref="X260" si="683">R263/$AC$3</f>
        <v>0</v>
      </c>
      <c r="Y260" s="8"/>
      <c r="Z260" s="597" t="str">
        <f>IFERROR(VLOOKUP($B260,اسماء,48,0),"")</f>
        <v/>
      </c>
      <c r="AK260" s="667" t="str">
        <f t="shared" ref="AK260" si="684">IF(R263=0,"",R263/1+ROW()*0.00001)</f>
        <v/>
      </c>
      <c r="AL260" s="667">
        <f>B260</f>
        <v>0</v>
      </c>
      <c r="AM260" s="696"/>
      <c r="AN260" s="698">
        <v>56</v>
      </c>
      <c r="AO260" s="699" t="str">
        <f>IFERROR(LARGE($AK$10:$AK$1420,AN260),"")</f>
        <v/>
      </c>
      <c r="AP260" s="698" t="str">
        <f>VLOOKUP(AO260,$AK$10:$AL$1530,2,0)</f>
        <v>امجد عمر عبداللطيف سلطان</v>
      </c>
    </row>
    <row r="261" spans="1:42" ht="14.85" customHeight="1" x14ac:dyDescent="0.25">
      <c r="A261" s="611"/>
      <c r="B261" s="614"/>
      <c r="C261" s="617"/>
      <c r="D261" s="620"/>
      <c r="E261" s="130" t="s">
        <v>31</v>
      </c>
      <c r="F261" s="592">
        <f>IFERROR(VLOOKUP($B260,اسماء,15,0),0)</f>
        <v>0</v>
      </c>
      <c r="G261" s="593"/>
      <c r="H261" s="594">
        <f>IFERROR(VLOOKUP($B260,اسماء,16,0),0)</f>
        <v>0</v>
      </c>
      <c r="I261" s="595"/>
      <c r="J261" s="592">
        <f>IFERROR(VLOOKUP($B260,اسماء,17,0),0)</f>
        <v>0</v>
      </c>
      <c r="K261" s="593"/>
      <c r="L261" s="594">
        <f>IFERROR(VLOOKUP($B260,اسماء,18,0),0)</f>
        <v>0</v>
      </c>
      <c r="M261" s="596"/>
      <c r="N261" s="594">
        <f>IFERROR(VLOOKUP($B260,اسماء,19,0),0)</f>
        <v>0</v>
      </c>
      <c r="O261" s="596"/>
      <c r="P261" s="592">
        <f>IFERROR(VLOOKUP($B260,اسماء,20,0),0)</f>
        <v>0</v>
      </c>
      <c r="Q261" s="595"/>
      <c r="R261" s="372">
        <f t="shared" si="630"/>
        <v>0</v>
      </c>
      <c r="S261" s="305" t="str">
        <f>IFERROR(VLOOKUP($B260,اسماء,23,0),"")</f>
        <v/>
      </c>
      <c r="T261" s="306" t="str">
        <f>IFERROR(VLOOKUP($B260,اسماء,24,0),"")</f>
        <v/>
      </c>
      <c r="U261" s="122" t="str">
        <f>IFERROR(VLOOKUP($B260,اسماء,25,0),"")</f>
        <v/>
      </c>
      <c r="V261" s="605"/>
      <c r="W261" s="19" t="str">
        <f t="shared" si="682"/>
        <v>ضعيف</v>
      </c>
      <c r="X261" s="640"/>
      <c r="Y261" s="68"/>
      <c r="Z261" s="598"/>
      <c r="AK261" s="667"/>
      <c r="AL261" s="667"/>
      <c r="AM261" s="696"/>
      <c r="AN261" s="698"/>
      <c r="AO261" s="699"/>
      <c r="AP261" s="698"/>
    </row>
    <row r="262" spans="1:42" ht="14.85" customHeight="1" x14ac:dyDescent="0.25">
      <c r="A262" s="611"/>
      <c r="B262" s="614"/>
      <c r="C262" s="617"/>
      <c r="D262" s="620"/>
      <c r="E262" s="130" t="s">
        <v>32</v>
      </c>
      <c r="F262" s="592">
        <f>IFERROR(VLOOKUP($B260,اسماء,25,0),0)</f>
        <v>0</v>
      </c>
      <c r="G262" s="593"/>
      <c r="H262" s="594">
        <f>IFERROR(VLOOKUP($B260,اسماء,26,0),0)</f>
        <v>0</v>
      </c>
      <c r="I262" s="595"/>
      <c r="J262" s="592">
        <f>IFERROR(VLOOKUP($B260,اسماء,27,0),0)</f>
        <v>0</v>
      </c>
      <c r="K262" s="593"/>
      <c r="L262" s="594">
        <f>IFERROR(VLOOKUP($B260,اسماء,28,0),0)</f>
        <v>0</v>
      </c>
      <c r="M262" s="596"/>
      <c r="N262" s="594">
        <f>IFERROR(VLOOKUP($B260,اسماء,29,0),0)</f>
        <v>0</v>
      </c>
      <c r="O262" s="596"/>
      <c r="P262" s="592">
        <f>IFERROR(VLOOKUP($B260,اسماء,30,0),0)</f>
        <v>0</v>
      </c>
      <c r="Q262" s="595"/>
      <c r="R262" s="372">
        <f t="shared" si="630"/>
        <v>0</v>
      </c>
      <c r="S262" s="305" t="str">
        <f>IFERROR(VLOOKUP($B260,اسماء,34,0),"")</f>
        <v/>
      </c>
      <c r="T262" s="306" t="str">
        <f>IFERROR(VLOOKUP($B260,اسماء,35,0),"")</f>
        <v/>
      </c>
      <c r="U262" s="122" t="str">
        <f>IFERROR(VLOOKUP($B260,اسماء,36,0),"")</f>
        <v/>
      </c>
      <c r="V262" s="605"/>
      <c r="W262" s="20" t="str">
        <f t="shared" ref="W262" si="685">LOOKUP(R262,$AF$6:$AG$10)</f>
        <v>ضعيف</v>
      </c>
      <c r="X262" s="640"/>
      <c r="Y262" s="68"/>
      <c r="Z262" s="598"/>
      <c r="AK262" s="667"/>
      <c r="AL262" s="667"/>
      <c r="AM262" s="696"/>
      <c r="AN262" s="698"/>
      <c r="AO262" s="699"/>
      <c r="AP262" s="698"/>
    </row>
    <row r="263" spans="1:42" ht="14.85" customHeight="1" thickBot="1" x14ac:dyDescent="0.3">
      <c r="A263" s="612"/>
      <c r="B263" s="615"/>
      <c r="C263" s="618"/>
      <c r="D263" s="621"/>
      <c r="E263" s="124" t="s">
        <v>33</v>
      </c>
      <c r="F263" s="623">
        <f t="shared" ref="F263" si="686">SUM(F260:G262)</f>
        <v>0</v>
      </c>
      <c r="G263" s="624"/>
      <c r="H263" s="625">
        <f t="shared" ref="H263" si="687">SUM(H260:I262)</f>
        <v>0</v>
      </c>
      <c r="I263" s="626"/>
      <c r="J263" s="623">
        <f t="shared" ref="J263" si="688">SUM(J260:K262)</f>
        <v>0</v>
      </c>
      <c r="K263" s="624"/>
      <c r="L263" s="625">
        <f t="shared" ref="L263" si="689">SUM(L260:M262)</f>
        <v>0</v>
      </c>
      <c r="M263" s="642"/>
      <c r="N263" s="625">
        <f t="shared" ref="N263" si="690">SUM(N260:O262)</f>
        <v>0</v>
      </c>
      <c r="O263" s="642"/>
      <c r="P263" s="623">
        <f t="shared" ref="P263" si="691">SUM(P260:Q262)</f>
        <v>0</v>
      </c>
      <c r="Q263" s="626"/>
      <c r="R263" s="88">
        <f t="shared" ref="R263" si="692">IF(AND(F263&gt;=$G$8,H263&gt;=$I$8,J263&gt;=$K$8,L263&gt;=$M$8,N263&gt;=$O$8,P263&gt;=$Q$8),SUM(F263:Q263),0)</f>
        <v>0</v>
      </c>
      <c r="S263" s="251"/>
      <c r="T263" s="97"/>
      <c r="U263" s="94"/>
      <c r="V263" s="606"/>
      <c r="W263" s="88" t="str">
        <f t="shared" ref="W263" si="693">LOOKUP(R263,$AI$6:$AJ$10)</f>
        <v>ضعيف</v>
      </c>
      <c r="X263" s="641"/>
      <c r="Y263" s="8"/>
      <c r="Z263" s="599"/>
      <c r="AK263" s="667"/>
      <c r="AL263" s="667"/>
      <c r="AM263" s="696"/>
      <c r="AN263" s="698"/>
      <c r="AO263" s="699"/>
      <c r="AP263" s="698"/>
    </row>
    <row r="264" spans="1:42" ht="14.85" customHeight="1" thickBot="1" x14ac:dyDescent="0.3">
      <c r="A264" s="610">
        <v>57</v>
      </c>
      <c r="B264" s="613">
        <f>VLOOKUP(A264,مسلسل,2,0)</f>
        <v>0</v>
      </c>
      <c r="C264" s="616" t="str">
        <f>IFERROR(VLOOKUP(B264,اسماء,2,0),"")</f>
        <v/>
      </c>
      <c r="D264" s="619" t="str">
        <f>IFERROR(VLOOKUP($B264,اسماء,3,0),"")</f>
        <v/>
      </c>
      <c r="E264" s="129" t="s">
        <v>30</v>
      </c>
      <c r="F264" s="600">
        <f>IFERROR(VLOOKUP($B264,اسماء,5,0),0)</f>
        <v>0</v>
      </c>
      <c r="G264" s="601"/>
      <c r="H264" s="602">
        <f>IFERROR(VLOOKUP($B264,اسماء,6,0),0)</f>
        <v>0</v>
      </c>
      <c r="I264" s="622"/>
      <c r="J264" s="600">
        <f>IFERROR(VLOOKUP($B264,اسماء,7,0),0)</f>
        <v>0</v>
      </c>
      <c r="K264" s="601"/>
      <c r="L264" s="602">
        <f>IFERROR(VLOOKUP($B264,اسماء,8,0),0)</f>
        <v>0</v>
      </c>
      <c r="M264" s="603"/>
      <c r="N264" s="602">
        <f>IFERROR(VLOOKUP($B264,اسماء,9,0),0)</f>
        <v>0</v>
      </c>
      <c r="O264" s="603"/>
      <c r="P264" s="600">
        <f>IFERROR(VLOOKUP($B264,اسماء,10,0),0)</f>
        <v>0</v>
      </c>
      <c r="Q264" s="622"/>
      <c r="R264" s="371">
        <f t="shared" ref="R264" si="694">SUM(F264:Q264)</f>
        <v>0</v>
      </c>
      <c r="S264" s="213" t="str">
        <f>IFERROR(VLOOKUP($B264,اسماء,12,0),"")</f>
        <v/>
      </c>
      <c r="T264" s="214" t="str">
        <f>IFERROR(VLOOKUP($B264,اسماء,13,0),"")</f>
        <v/>
      </c>
      <c r="U264" s="364" t="str">
        <f>IFERROR(VLOOKUP($B264,اسماء,14,0),"")</f>
        <v/>
      </c>
      <c r="V264" s="604" t="str">
        <f t="shared" ref="V264" si="695">IF(Z264="غائب","راسب",IF(R267&gt;0,"ناجح","مرحل"))</f>
        <v>مرحل</v>
      </c>
      <c r="W264" s="19" t="str">
        <f t="shared" ref="W264:W265" si="696">LOOKUP(R264,$AC$6:$AD$10)</f>
        <v>ضعيف</v>
      </c>
      <c r="X264" s="639">
        <f t="shared" ref="X264" si="697">R267/$AC$3</f>
        <v>0</v>
      </c>
      <c r="Y264" s="68"/>
      <c r="Z264" s="597" t="str">
        <f>IFERROR(VLOOKUP($B264,اسماء,48,0),"")</f>
        <v/>
      </c>
      <c r="AK264" s="667" t="str">
        <f t="shared" ref="AK264" si="698">IF(R267=0,"",R267/1+ROW()*0.00001)</f>
        <v/>
      </c>
      <c r="AL264" s="667">
        <f>B264</f>
        <v>0</v>
      </c>
      <c r="AM264" s="696"/>
      <c r="AN264" s="698">
        <v>57</v>
      </c>
      <c r="AO264" s="699" t="str">
        <f>IFERROR(LARGE($AK$10:$AK$1420,AN264),"")</f>
        <v/>
      </c>
      <c r="AP264" s="698" t="str">
        <f>VLOOKUP(AO264,$AK$10:$AL$1530,2,0)</f>
        <v>امجد عمر عبداللطيف سلطان</v>
      </c>
    </row>
    <row r="265" spans="1:42" ht="14.85" customHeight="1" x14ac:dyDescent="0.25">
      <c r="A265" s="611"/>
      <c r="B265" s="614"/>
      <c r="C265" s="617"/>
      <c r="D265" s="620"/>
      <c r="E265" s="130" t="s">
        <v>31</v>
      </c>
      <c r="F265" s="592">
        <f>IFERROR(VLOOKUP($B264,اسماء,15,0),0)</f>
        <v>0</v>
      </c>
      <c r="G265" s="593"/>
      <c r="H265" s="594">
        <f>IFERROR(VLOOKUP($B264,اسماء,16,0),0)</f>
        <v>0</v>
      </c>
      <c r="I265" s="595"/>
      <c r="J265" s="592">
        <f>IFERROR(VLOOKUP($B264,اسماء,17,0),0)</f>
        <v>0</v>
      </c>
      <c r="K265" s="593"/>
      <c r="L265" s="594">
        <f>IFERROR(VLOOKUP($B264,اسماء,18,0),0)</f>
        <v>0</v>
      </c>
      <c r="M265" s="596"/>
      <c r="N265" s="594">
        <f>IFERROR(VLOOKUP($B264,اسماء,19,0),0)</f>
        <v>0</v>
      </c>
      <c r="O265" s="596"/>
      <c r="P265" s="592">
        <f>IFERROR(VLOOKUP($B264,اسماء,20,0),0)</f>
        <v>0</v>
      </c>
      <c r="Q265" s="595"/>
      <c r="R265" s="372">
        <f t="shared" si="630"/>
        <v>0</v>
      </c>
      <c r="S265" s="305" t="str">
        <f>IFERROR(VLOOKUP($B264,اسماء,23,0),"")</f>
        <v/>
      </c>
      <c r="T265" s="306" t="str">
        <f>IFERROR(VLOOKUP($B264,اسماء,24,0),"")</f>
        <v/>
      </c>
      <c r="U265" s="122" t="str">
        <f>IFERROR(VLOOKUP($B264,اسماء,25,0),"")</f>
        <v/>
      </c>
      <c r="V265" s="605"/>
      <c r="W265" s="19" t="str">
        <f t="shared" si="696"/>
        <v>ضعيف</v>
      </c>
      <c r="X265" s="640"/>
      <c r="Y265" s="68"/>
      <c r="Z265" s="598"/>
      <c r="AK265" s="667"/>
      <c r="AL265" s="667"/>
      <c r="AM265" s="696"/>
      <c r="AN265" s="698"/>
      <c r="AO265" s="699"/>
      <c r="AP265" s="698"/>
    </row>
    <row r="266" spans="1:42" ht="14.85" customHeight="1" x14ac:dyDescent="0.25">
      <c r="A266" s="611"/>
      <c r="B266" s="614"/>
      <c r="C266" s="617"/>
      <c r="D266" s="620"/>
      <c r="E266" s="130" t="s">
        <v>32</v>
      </c>
      <c r="F266" s="592">
        <f>IFERROR(VLOOKUP($B264,اسماء,25,0),0)</f>
        <v>0</v>
      </c>
      <c r="G266" s="593"/>
      <c r="H266" s="594">
        <f>IFERROR(VLOOKUP($B264,اسماء,26,0),0)</f>
        <v>0</v>
      </c>
      <c r="I266" s="595"/>
      <c r="J266" s="592">
        <f>IFERROR(VLOOKUP($B264,اسماء,27,0),0)</f>
        <v>0</v>
      </c>
      <c r="K266" s="593"/>
      <c r="L266" s="594">
        <f>IFERROR(VLOOKUP($B264,اسماء,28,0),0)</f>
        <v>0</v>
      </c>
      <c r="M266" s="596"/>
      <c r="N266" s="594">
        <f>IFERROR(VLOOKUP($B264,اسماء,29,0),0)</f>
        <v>0</v>
      </c>
      <c r="O266" s="596"/>
      <c r="P266" s="592">
        <f>IFERROR(VLOOKUP($B264,اسماء,30,0),0)</f>
        <v>0</v>
      </c>
      <c r="Q266" s="595"/>
      <c r="R266" s="372">
        <f t="shared" si="630"/>
        <v>0</v>
      </c>
      <c r="S266" s="305" t="str">
        <f>IFERROR(VLOOKUP($B264,اسماء,34,0),"")</f>
        <v/>
      </c>
      <c r="T266" s="306" t="str">
        <f>IFERROR(VLOOKUP($B264,اسماء,35,0),"")</f>
        <v/>
      </c>
      <c r="U266" s="122" t="str">
        <f>IFERROR(VLOOKUP($B264,اسماء,36,0),"")</f>
        <v/>
      </c>
      <c r="V266" s="605"/>
      <c r="W266" s="20" t="str">
        <f t="shared" ref="W266" si="699">LOOKUP(R266,$AF$6:$AG$10)</f>
        <v>ضعيف</v>
      </c>
      <c r="X266" s="640"/>
      <c r="Y266" s="8"/>
      <c r="Z266" s="598"/>
      <c r="AK266" s="667"/>
      <c r="AL266" s="667"/>
      <c r="AM266" s="696"/>
      <c r="AN266" s="698"/>
      <c r="AO266" s="699"/>
      <c r="AP266" s="698"/>
    </row>
    <row r="267" spans="1:42" ht="14.85" customHeight="1" thickBot="1" x14ac:dyDescent="0.3">
      <c r="A267" s="612"/>
      <c r="B267" s="615"/>
      <c r="C267" s="618"/>
      <c r="D267" s="621"/>
      <c r="E267" s="124" t="s">
        <v>33</v>
      </c>
      <c r="F267" s="623">
        <f t="shared" ref="F267" si="700">SUM(F264:G266)</f>
        <v>0</v>
      </c>
      <c r="G267" s="624"/>
      <c r="H267" s="625">
        <f t="shared" ref="H267" si="701">SUM(H264:I266)</f>
        <v>0</v>
      </c>
      <c r="I267" s="626"/>
      <c r="J267" s="623">
        <f t="shared" ref="J267" si="702">SUM(J264:K266)</f>
        <v>0</v>
      </c>
      <c r="K267" s="624"/>
      <c r="L267" s="625">
        <f t="shared" ref="L267" si="703">SUM(L264:M266)</f>
        <v>0</v>
      </c>
      <c r="M267" s="642"/>
      <c r="N267" s="625">
        <f t="shared" ref="N267" si="704">SUM(N264:O266)</f>
        <v>0</v>
      </c>
      <c r="O267" s="642"/>
      <c r="P267" s="623">
        <f t="shared" ref="P267" si="705">SUM(P264:Q266)</f>
        <v>0</v>
      </c>
      <c r="Q267" s="626"/>
      <c r="R267" s="88">
        <f t="shared" ref="R267" si="706">IF(AND(F267&gt;=$G$8,H267&gt;=$I$8,J267&gt;=$K$8,L267&gt;=$M$8,N267&gt;=$O$8,P267&gt;=$Q$8),SUM(F267:Q267),0)</f>
        <v>0</v>
      </c>
      <c r="S267" s="251"/>
      <c r="T267" s="97"/>
      <c r="U267" s="94"/>
      <c r="V267" s="606"/>
      <c r="W267" s="88" t="str">
        <f t="shared" ref="W267" si="707">LOOKUP(R267,$AI$6:$AJ$10)</f>
        <v>ضعيف</v>
      </c>
      <c r="X267" s="641"/>
      <c r="Y267" s="68"/>
      <c r="Z267" s="599"/>
      <c r="AK267" s="667"/>
      <c r="AL267" s="667"/>
      <c r="AM267" s="696"/>
      <c r="AN267" s="698"/>
      <c r="AO267" s="699"/>
      <c r="AP267" s="698"/>
    </row>
    <row r="268" spans="1:42" ht="14.85" customHeight="1" thickBot="1" x14ac:dyDescent="0.3">
      <c r="A268" s="610">
        <v>58</v>
      </c>
      <c r="B268" s="613">
        <f>VLOOKUP(A268,مسلسل,2,0)</f>
        <v>0</v>
      </c>
      <c r="C268" s="616" t="str">
        <f>IFERROR(VLOOKUP(B268,اسماء,2,0),"")</f>
        <v/>
      </c>
      <c r="D268" s="619" t="str">
        <f>IFERROR(VLOOKUP($B268,اسماء,3,0),"")</f>
        <v/>
      </c>
      <c r="E268" s="129" t="s">
        <v>30</v>
      </c>
      <c r="F268" s="600">
        <f>IFERROR(VLOOKUP($B268,اسماء,5,0),0)</f>
        <v>0</v>
      </c>
      <c r="G268" s="601"/>
      <c r="H268" s="602">
        <f>IFERROR(VLOOKUP($B268,اسماء,6,0),0)</f>
        <v>0</v>
      </c>
      <c r="I268" s="622"/>
      <c r="J268" s="600">
        <f>IFERROR(VLOOKUP($B268,اسماء,7,0),0)</f>
        <v>0</v>
      </c>
      <c r="K268" s="601"/>
      <c r="L268" s="602">
        <f>IFERROR(VLOOKUP($B268,اسماء,8,0),0)</f>
        <v>0</v>
      </c>
      <c r="M268" s="603"/>
      <c r="N268" s="602">
        <f>IFERROR(VLOOKUP($B268,اسماء,9,0),0)</f>
        <v>0</v>
      </c>
      <c r="O268" s="603"/>
      <c r="P268" s="600">
        <f>IFERROR(VLOOKUP($B268,اسماء,10,0),0)</f>
        <v>0</v>
      </c>
      <c r="Q268" s="622"/>
      <c r="R268" s="371">
        <f t="shared" ref="R268" si="708">SUM(F268:Q268)</f>
        <v>0</v>
      </c>
      <c r="S268" s="213" t="str">
        <f>IFERROR(VLOOKUP($B268,اسماء,12,0),"")</f>
        <v/>
      </c>
      <c r="T268" s="214" t="str">
        <f>IFERROR(VLOOKUP($B268,اسماء,13,0),"")</f>
        <v/>
      </c>
      <c r="U268" s="364" t="str">
        <f>IFERROR(VLOOKUP($B268,اسماء,14,0),"")</f>
        <v/>
      </c>
      <c r="V268" s="604" t="str">
        <f t="shared" ref="V268" si="709">IF(Z268="غائب","راسب",IF(R271&gt;0,"ناجح","مرحل"))</f>
        <v>مرحل</v>
      </c>
      <c r="W268" s="19" t="str">
        <f t="shared" ref="W268:W269" si="710">LOOKUP(R268,$AC$6:$AD$10)</f>
        <v>ضعيف</v>
      </c>
      <c r="X268" s="639">
        <f t="shared" ref="X268" si="711">R271/$AC$3</f>
        <v>0</v>
      </c>
      <c r="Y268" s="68"/>
      <c r="Z268" s="597" t="str">
        <f>IFERROR(VLOOKUP($B268,اسماء,48,0),"")</f>
        <v/>
      </c>
      <c r="AK268" s="667" t="str">
        <f t="shared" ref="AK268" si="712">IF(R271=0,"",R271/1+ROW()*0.00001)</f>
        <v/>
      </c>
      <c r="AL268" s="667">
        <f>B268</f>
        <v>0</v>
      </c>
      <c r="AM268" s="696"/>
      <c r="AN268" s="698">
        <v>58</v>
      </c>
      <c r="AO268" s="699" t="str">
        <f>IFERROR(LARGE($AK$10:$AK$1420,AN268),"")</f>
        <v/>
      </c>
      <c r="AP268" s="698" t="str">
        <f>VLOOKUP(AO268,$AK$10:$AL$1530,2,0)</f>
        <v>امجد عمر عبداللطيف سلطان</v>
      </c>
    </row>
    <row r="269" spans="1:42" ht="14.85" customHeight="1" x14ac:dyDescent="0.25">
      <c r="A269" s="611"/>
      <c r="B269" s="614"/>
      <c r="C269" s="617"/>
      <c r="D269" s="620"/>
      <c r="E269" s="130" t="s">
        <v>31</v>
      </c>
      <c r="F269" s="592">
        <f>IFERROR(VLOOKUP($B268,اسماء,15,0),0)</f>
        <v>0</v>
      </c>
      <c r="G269" s="593"/>
      <c r="H269" s="594">
        <f>IFERROR(VLOOKUP($B268,اسماء,16,0),0)</f>
        <v>0</v>
      </c>
      <c r="I269" s="595"/>
      <c r="J269" s="592">
        <f>IFERROR(VLOOKUP($B268,اسماء,17,0),0)</f>
        <v>0</v>
      </c>
      <c r="K269" s="593"/>
      <c r="L269" s="594">
        <f>IFERROR(VLOOKUP($B268,اسماء,18,0),0)</f>
        <v>0</v>
      </c>
      <c r="M269" s="596"/>
      <c r="N269" s="594">
        <f>IFERROR(VLOOKUP($B268,اسماء,19,0),0)</f>
        <v>0</v>
      </c>
      <c r="O269" s="596"/>
      <c r="P269" s="592">
        <f>IFERROR(VLOOKUP($B268,اسماء,20,0),0)</f>
        <v>0</v>
      </c>
      <c r="Q269" s="595"/>
      <c r="R269" s="372">
        <f t="shared" si="630"/>
        <v>0</v>
      </c>
      <c r="S269" s="305" t="str">
        <f>IFERROR(VLOOKUP($B268,اسماء,23,0),"")</f>
        <v/>
      </c>
      <c r="T269" s="306" t="str">
        <f>IFERROR(VLOOKUP($B268,اسماء,24,0),"")</f>
        <v/>
      </c>
      <c r="U269" s="122" t="str">
        <f>IFERROR(VLOOKUP($B268,اسماء,25,0),"")</f>
        <v/>
      </c>
      <c r="V269" s="605"/>
      <c r="W269" s="19" t="str">
        <f t="shared" si="710"/>
        <v>ضعيف</v>
      </c>
      <c r="X269" s="640"/>
      <c r="Y269" s="8"/>
      <c r="Z269" s="598"/>
      <c r="AK269" s="667"/>
      <c r="AL269" s="667"/>
      <c r="AM269" s="696"/>
      <c r="AN269" s="698"/>
      <c r="AO269" s="699"/>
      <c r="AP269" s="698"/>
    </row>
    <row r="270" spans="1:42" ht="14.85" customHeight="1" x14ac:dyDescent="0.25">
      <c r="A270" s="611"/>
      <c r="B270" s="614"/>
      <c r="C270" s="617"/>
      <c r="D270" s="620"/>
      <c r="E270" s="130" t="s">
        <v>32</v>
      </c>
      <c r="F270" s="592">
        <f>IFERROR(VLOOKUP($B268,اسماء,25,0),0)</f>
        <v>0</v>
      </c>
      <c r="G270" s="593"/>
      <c r="H270" s="594">
        <f>IFERROR(VLOOKUP($B268,اسماء,26,0),0)</f>
        <v>0</v>
      </c>
      <c r="I270" s="595"/>
      <c r="J270" s="592">
        <f>IFERROR(VLOOKUP($B268,اسماء,27,0),0)</f>
        <v>0</v>
      </c>
      <c r="K270" s="593"/>
      <c r="L270" s="594">
        <f>IFERROR(VLOOKUP($B268,اسماء,28,0),0)</f>
        <v>0</v>
      </c>
      <c r="M270" s="596"/>
      <c r="N270" s="594">
        <f>IFERROR(VLOOKUP($B268,اسماء,29,0),0)</f>
        <v>0</v>
      </c>
      <c r="O270" s="596"/>
      <c r="P270" s="592">
        <f>IFERROR(VLOOKUP($B268,اسماء,30,0),0)</f>
        <v>0</v>
      </c>
      <c r="Q270" s="595"/>
      <c r="R270" s="372">
        <f t="shared" si="630"/>
        <v>0</v>
      </c>
      <c r="S270" s="305" t="str">
        <f>IFERROR(VLOOKUP($B268,اسماء,34,0),"")</f>
        <v/>
      </c>
      <c r="T270" s="306" t="str">
        <f>IFERROR(VLOOKUP($B268,اسماء,35,0),"")</f>
        <v/>
      </c>
      <c r="U270" s="122" t="str">
        <f>IFERROR(VLOOKUP($B268,اسماء,36,0),"")</f>
        <v/>
      </c>
      <c r="V270" s="605"/>
      <c r="W270" s="20" t="str">
        <f t="shared" ref="W270" si="713">LOOKUP(R270,$AF$6:$AG$10)</f>
        <v>ضعيف</v>
      </c>
      <c r="X270" s="640"/>
      <c r="Y270" s="68"/>
      <c r="Z270" s="598"/>
      <c r="AK270" s="667"/>
      <c r="AL270" s="667"/>
      <c r="AM270" s="696"/>
      <c r="AN270" s="698"/>
      <c r="AO270" s="699"/>
      <c r="AP270" s="698"/>
    </row>
    <row r="271" spans="1:42" ht="14.85" customHeight="1" thickBot="1" x14ac:dyDescent="0.3">
      <c r="A271" s="612"/>
      <c r="B271" s="615"/>
      <c r="C271" s="618"/>
      <c r="D271" s="621"/>
      <c r="E271" s="124" t="s">
        <v>33</v>
      </c>
      <c r="F271" s="623">
        <f t="shared" ref="F271" si="714">SUM(F268:G270)</f>
        <v>0</v>
      </c>
      <c r="G271" s="624"/>
      <c r="H271" s="625">
        <f t="shared" ref="H271" si="715">SUM(H268:I270)</f>
        <v>0</v>
      </c>
      <c r="I271" s="626"/>
      <c r="J271" s="623">
        <f t="shared" ref="J271" si="716">SUM(J268:K270)</f>
        <v>0</v>
      </c>
      <c r="K271" s="624"/>
      <c r="L271" s="625">
        <f t="shared" ref="L271" si="717">SUM(L268:M270)</f>
        <v>0</v>
      </c>
      <c r="M271" s="642"/>
      <c r="N271" s="625">
        <f t="shared" ref="N271" si="718">SUM(N268:O270)</f>
        <v>0</v>
      </c>
      <c r="O271" s="642"/>
      <c r="P271" s="623">
        <f t="shared" ref="P271" si="719">SUM(P268:Q270)</f>
        <v>0</v>
      </c>
      <c r="Q271" s="626"/>
      <c r="R271" s="88">
        <f t="shared" ref="R271" si="720">IF(AND(F271&gt;=$G$8,H271&gt;=$I$8,J271&gt;=$K$8,L271&gt;=$M$8,N271&gt;=$O$8,P271&gt;=$Q$8),SUM(F271:Q271),0)</f>
        <v>0</v>
      </c>
      <c r="S271" s="251"/>
      <c r="T271" s="97"/>
      <c r="U271" s="94"/>
      <c r="V271" s="606"/>
      <c r="W271" s="88" t="str">
        <f t="shared" ref="W271" si="721">LOOKUP(R271,$AI$6:$AJ$10)</f>
        <v>ضعيف</v>
      </c>
      <c r="X271" s="641"/>
      <c r="Y271" s="68"/>
      <c r="Z271" s="599"/>
      <c r="AK271" s="667"/>
      <c r="AL271" s="667"/>
      <c r="AM271" s="696"/>
      <c r="AN271" s="698"/>
      <c r="AO271" s="699"/>
      <c r="AP271" s="698"/>
    </row>
    <row r="272" spans="1:42" ht="14.85" customHeight="1" thickBot="1" x14ac:dyDescent="0.3">
      <c r="A272" s="610">
        <v>59</v>
      </c>
      <c r="B272" s="613">
        <f>VLOOKUP(A272,مسلسل,2,0)</f>
        <v>0</v>
      </c>
      <c r="C272" s="616" t="str">
        <f>IFERROR(VLOOKUP(B272,اسماء,2,0),"")</f>
        <v/>
      </c>
      <c r="D272" s="619" t="str">
        <f>IFERROR(VLOOKUP($B272,اسماء,3,0),"")</f>
        <v/>
      </c>
      <c r="E272" s="129" t="s">
        <v>30</v>
      </c>
      <c r="F272" s="600">
        <f>IFERROR(VLOOKUP($B272,اسماء,5,0),0)</f>
        <v>0</v>
      </c>
      <c r="G272" s="601"/>
      <c r="H272" s="602">
        <f>IFERROR(VLOOKUP($B272,اسماء,6,0),0)</f>
        <v>0</v>
      </c>
      <c r="I272" s="622"/>
      <c r="J272" s="600">
        <f>IFERROR(VLOOKUP($B272,اسماء,7,0),0)</f>
        <v>0</v>
      </c>
      <c r="K272" s="601"/>
      <c r="L272" s="602">
        <f>IFERROR(VLOOKUP($B272,اسماء,8,0),0)</f>
        <v>0</v>
      </c>
      <c r="M272" s="603"/>
      <c r="N272" s="602">
        <f>IFERROR(VLOOKUP($B272,اسماء,9,0),0)</f>
        <v>0</v>
      </c>
      <c r="O272" s="603"/>
      <c r="P272" s="600">
        <f>IFERROR(VLOOKUP($B272,اسماء,10,0),0)</f>
        <v>0</v>
      </c>
      <c r="Q272" s="622"/>
      <c r="R272" s="371">
        <f t="shared" ref="R272" si="722">SUM(F272:Q272)</f>
        <v>0</v>
      </c>
      <c r="S272" s="213" t="str">
        <f>IFERROR(VLOOKUP($B272,اسماء,12,0),"")</f>
        <v/>
      </c>
      <c r="T272" s="214" t="str">
        <f>IFERROR(VLOOKUP($B272,اسماء,13,0),"")</f>
        <v/>
      </c>
      <c r="U272" s="364" t="str">
        <f>IFERROR(VLOOKUP($B272,اسماء,14,0),"")</f>
        <v/>
      </c>
      <c r="V272" s="604" t="str">
        <f t="shared" ref="V272" si="723">IF(Z272="غائب","راسب",IF(R275&gt;0,"ناجح","مرحل"))</f>
        <v>مرحل</v>
      </c>
      <c r="W272" s="19" t="str">
        <f t="shared" ref="W272:W273" si="724">LOOKUP(R272,$AC$6:$AD$10)</f>
        <v>ضعيف</v>
      </c>
      <c r="X272" s="639">
        <f t="shared" ref="X272" si="725">R275/$AC$3</f>
        <v>0</v>
      </c>
      <c r="Y272" s="8"/>
      <c r="Z272" s="597" t="str">
        <f>IFERROR(VLOOKUP($B272,اسماء,48,0),"")</f>
        <v/>
      </c>
      <c r="AK272" s="667" t="str">
        <f t="shared" ref="AK272" si="726">IF(R275=0,"",R275/1+ROW()*0.00001)</f>
        <v/>
      </c>
      <c r="AL272" s="667">
        <f>B272</f>
        <v>0</v>
      </c>
      <c r="AM272" s="696"/>
      <c r="AN272" s="698">
        <v>59</v>
      </c>
      <c r="AO272" s="699" t="str">
        <f>IFERROR(LARGE($AK$10:$AK$1420,AN272),"")</f>
        <v/>
      </c>
      <c r="AP272" s="698" t="str">
        <f>VLOOKUP(AO272,$AK$10:$AL$1530,2,0)</f>
        <v>امجد عمر عبداللطيف سلطان</v>
      </c>
    </row>
    <row r="273" spans="1:42" ht="14.85" customHeight="1" x14ac:dyDescent="0.25">
      <c r="A273" s="611"/>
      <c r="B273" s="614"/>
      <c r="C273" s="617"/>
      <c r="D273" s="620"/>
      <c r="E273" s="130" t="s">
        <v>31</v>
      </c>
      <c r="F273" s="592">
        <f>IFERROR(VLOOKUP($B272,اسماء,15,0),0)</f>
        <v>0</v>
      </c>
      <c r="G273" s="593"/>
      <c r="H273" s="594">
        <f>IFERROR(VLOOKUP($B272,اسماء,16,0),0)</f>
        <v>0</v>
      </c>
      <c r="I273" s="595"/>
      <c r="J273" s="592">
        <f>IFERROR(VLOOKUP($B272,اسماء,17,0),0)</f>
        <v>0</v>
      </c>
      <c r="K273" s="593"/>
      <c r="L273" s="594">
        <f>IFERROR(VLOOKUP($B272,اسماء,18,0),0)</f>
        <v>0</v>
      </c>
      <c r="M273" s="596"/>
      <c r="N273" s="594">
        <f>IFERROR(VLOOKUP($B272,اسماء,19,0),0)</f>
        <v>0</v>
      </c>
      <c r="O273" s="596"/>
      <c r="P273" s="592">
        <f>IFERROR(VLOOKUP($B272,اسماء,20,0),0)</f>
        <v>0</v>
      </c>
      <c r="Q273" s="595"/>
      <c r="R273" s="372">
        <f t="shared" si="630"/>
        <v>0</v>
      </c>
      <c r="S273" s="305" t="str">
        <f>IFERROR(VLOOKUP($B272,اسماء,23,0),"")</f>
        <v/>
      </c>
      <c r="T273" s="306" t="str">
        <f>IFERROR(VLOOKUP($B272,اسماء,24,0),"")</f>
        <v/>
      </c>
      <c r="U273" s="122" t="str">
        <f>IFERROR(VLOOKUP($B272,اسماء,25,0),"")</f>
        <v/>
      </c>
      <c r="V273" s="605"/>
      <c r="W273" s="19" t="str">
        <f t="shared" si="724"/>
        <v>ضعيف</v>
      </c>
      <c r="X273" s="640"/>
      <c r="Y273" s="68"/>
      <c r="Z273" s="598"/>
      <c r="AK273" s="667"/>
      <c r="AL273" s="667"/>
      <c r="AM273" s="696"/>
      <c r="AN273" s="698"/>
      <c r="AO273" s="699"/>
      <c r="AP273" s="698"/>
    </row>
    <row r="274" spans="1:42" ht="14.85" customHeight="1" x14ac:dyDescent="0.25">
      <c r="A274" s="611"/>
      <c r="B274" s="614"/>
      <c r="C274" s="617"/>
      <c r="D274" s="620"/>
      <c r="E274" s="130" t="s">
        <v>32</v>
      </c>
      <c r="F274" s="592">
        <f>IFERROR(VLOOKUP($B272,اسماء,25,0),0)</f>
        <v>0</v>
      </c>
      <c r="G274" s="593"/>
      <c r="H274" s="594">
        <f>IFERROR(VLOOKUP($B272,اسماء,26,0),0)</f>
        <v>0</v>
      </c>
      <c r="I274" s="595"/>
      <c r="J274" s="592">
        <f>IFERROR(VLOOKUP($B272,اسماء,27,0),0)</f>
        <v>0</v>
      </c>
      <c r="K274" s="593"/>
      <c r="L274" s="594">
        <f>IFERROR(VLOOKUP($B272,اسماء,28,0),0)</f>
        <v>0</v>
      </c>
      <c r="M274" s="596"/>
      <c r="N274" s="594">
        <f>IFERROR(VLOOKUP($B272,اسماء,29,0),0)</f>
        <v>0</v>
      </c>
      <c r="O274" s="596"/>
      <c r="P274" s="592">
        <f>IFERROR(VLOOKUP($B272,اسماء,30,0),0)</f>
        <v>0</v>
      </c>
      <c r="Q274" s="595"/>
      <c r="R274" s="372">
        <f t="shared" si="630"/>
        <v>0</v>
      </c>
      <c r="S274" s="305" t="str">
        <f>IFERROR(VLOOKUP($B272,اسماء,34,0),"")</f>
        <v/>
      </c>
      <c r="T274" s="306" t="str">
        <f>IFERROR(VLOOKUP($B272,اسماء,35,0),"")</f>
        <v/>
      </c>
      <c r="U274" s="122" t="str">
        <f>IFERROR(VLOOKUP($B272,اسماء,36,0),"")</f>
        <v/>
      </c>
      <c r="V274" s="605"/>
      <c r="W274" s="20" t="str">
        <f t="shared" ref="W274" si="727">LOOKUP(R274,$AF$6:$AG$10)</f>
        <v>ضعيف</v>
      </c>
      <c r="X274" s="640"/>
      <c r="Y274" s="68"/>
      <c r="Z274" s="598"/>
      <c r="AK274" s="667"/>
      <c r="AL274" s="667"/>
      <c r="AM274" s="696"/>
      <c r="AN274" s="698"/>
      <c r="AO274" s="699"/>
      <c r="AP274" s="698"/>
    </row>
    <row r="275" spans="1:42" ht="14.85" customHeight="1" thickBot="1" x14ac:dyDescent="0.3">
      <c r="A275" s="612"/>
      <c r="B275" s="615"/>
      <c r="C275" s="618"/>
      <c r="D275" s="621"/>
      <c r="E275" s="124" t="s">
        <v>33</v>
      </c>
      <c r="F275" s="623">
        <f t="shared" ref="F275" si="728">SUM(F272:G274)</f>
        <v>0</v>
      </c>
      <c r="G275" s="624"/>
      <c r="H275" s="625">
        <f t="shared" ref="H275" si="729">SUM(H272:I274)</f>
        <v>0</v>
      </c>
      <c r="I275" s="626"/>
      <c r="J275" s="623">
        <f t="shared" ref="J275" si="730">SUM(J272:K274)</f>
        <v>0</v>
      </c>
      <c r="K275" s="624"/>
      <c r="L275" s="625">
        <f t="shared" ref="L275" si="731">SUM(L272:M274)</f>
        <v>0</v>
      </c>
      <c r="M275" s="642"/>
      <c r="N275" s="625">
        <f t="shared" ref="N275" si="732">SUM(N272:O274)</f>
        <v>0</v>
      </c>
      <c r="O275" s="642"/>
      <c r="P275" s="623">
        <f t="shared" ref="P275" si="733">SUM(P272:Q274)</f>
        <v>0</v>
      </c>
      <c r="Q275" s="626"/>
      <c r="R275" s="88">
        <f t="shared" ref="R275" si="734">IF(AND(F275&gt;=$G$8,H275&gt;=$I$8,J275&gt;=$K$8,L275&gt;=$M$8,N275&gt;=$O$8,P275&gt;=$Q$8),SUM(F275:Q275),0)</f>
        <v>0</v>
      </c>
      <c r="S275" s="251"/>
      <c r="T275" s="97"/>
      <c r="U275" s="94"/>
      <c r="V275" s="606"/>
      <c r="W275" s="88" t="str">
        <f t="shared" ref="W275" si="735">LOOKUP(R275,$AI$6:$AJ$10)</f>
        <v>ضعيف</v>
      </c>
      <c r="X275" s="641"/>
      <c r="Y275" s="8"/>
      <c r="Z275" s="599"/>
      <c r="AK275" s="667"/>
      <c r="AL275" s="667"/>
      <c r="AM275" s="696"/>
      <c r="AN275" s="698"/>
      <c r="AO275" s="699"/>
      <c r="AP275" s="698"/>
    </row>
    <row r="276" spans="1:42" ht="14.85" customHeight="1" thickBot="1" x14ac:dyDescent="0.3">
      <c r="A276" s="610">
        <v>60</v>
      </c>
      <c r="B276" s="613">
        <f>VLOOKUP(A276,مسلسل,2,0)</f>
        <v>0</v>
      </c>
      <c r="C276" s="616" t="str">
        <f>IFERROR(VLOOKUP(B276,اسماء,2,0),"")</f>
        <v/>
      </c>
      <c r="D276" s="619" t="str">
        <f>IFERROR(VLOOKUP($B276,اسماء,3,0),"")</f>
        <v/>
      </c>
      <c r="E276" s="129" t="s">
        <v>30</v>
      </c>
      <c r="F276" s="600">
        <f>IFERROR(VLOOKUP($B276,اسماء,5,0),0)</f>
        <v>0</v>
      </c>
      <c r="G276" s="601"/>
      <c r="H276" s="602">
        <f>IFERROR(VLOOKUP($B276,اسماء,6,0),0)</f>
        <v>0</v>
      </c>
      <c r="I276" s="622"/>
      <c r="J276" s="600">
        <f>IFERROR(VLOOKUP($B276,اسماء,7,0),0)</f>
        <v>0</v>
      </c>
      <c r="K276" s="601"/>
      <c r="L276" s="602">
        <f>IFERROR(VLOOKUP($B276,اسماء,8,0),0)</f>
        <v>0</v>
      </c>
      <c r="M276" s="603"/>
      <c r="N276" s="602">
        <f>IFERROR(VLOOKUP($B276,اسماء,9,0),0)</f>
        <v>0</v>
      </c>
      <c r="O276" s="603"/>
      <c r="P276" s="600">
        <f>IFERROR(VLOOKUP($B276,اسماء,10,0),0)</f>
        <v>0</v>
      </c>
      <c r="Q276" s="622"/>
      <c r="R276" s="371">
        <f t="shared" ref="R276" si="736">SUM(F276:Q276)</f>
        <v>0</v>
      </c>
      <c r="S276" s="213" t="str">
        <f>IFERROR(VLOOKUP($B276,اسماء,12,0),"")</f>
        <v/>
      </c>
      <c r="T276" s="214" t="str">
        <f>IFERROR(VLOOKUP($B276,اسماء,13,0),"")</f>
        <v/>
      </c>
      <c r="U276" s="364" t="str">
        <f>IFERROR(VLOOKUP($B276,اسماء,14,0),"")</f>
        <v/>
      </c>
      <c r="V276" s="604" t="str">
        <f t="shared" ref="V276" si="737">IF(Z276="غائب","راسب",IF(R279&gt;0,"ناجح","مرحل"))</f>
        <v>مرحل</v>
      </c>
      <c r="W276" s="19" t="str">
        <f t="shared" ref="W276:W277" si="738">LOOKUP(R276,$AC$6:$AD$10)</f>
        <v>ضعيف</v>
      </c>
      <c r="X276" s="639">
        <f t="shared" ref="X276" si="739">R279/$AC$3</f>
        <v>0</v>
      </c>
      <c r="Y276" s="68"/>
      <c r="Z276" s="597" t="str">
        <f>IFERROR(VLOOKUP($B276,اسماء,48,0),"")</f>
        <v/>
      </c>
      <c r="AK276" s="667" t="str">
        <f t="shared" ref="AK276" si="740">IF(R279=0,"",R279/1+ROW()*0.00001)</f>
        <v/>
      </c>
      <c r="AL276" s="667">
        <f>B276</f>
        <v>0</v>
      </c>
      <c r="AM276" s="696"/>
      <c r="AN276" s="698">
        <v>60</v>
      </c>
      <c r="AO276" s="699" t="str">
        <f>IFERROR(LARGE($AK$10:$AK$1420,AN276),"")</f>
        <v/>
      </c>
      <c r="AP276" s="698" t="str">
        <f>VLOOKUP(AO276,$AK$10:$AL$1530,2,0)</f>
        <v>امجد عمر عبداللطيف سلطان</v>
      </c>
    </row>
    <row r="277" spans="1:42" ht="14.85" customHeight="1" x14ac:dyDescent="0.25">
      <c r="A277" s="611"/>
      <c r="B277" s="614"/>
      <c r="C277" s="617"/>
      <c r="D277" s="620"/>
      <c r="E277" s="130" t="s">
        <v>31</v>
      </c>
      <c r="F277" s="592">
        <f>IFERROR(VLOOKUP($B276,اسماء,15,0),0)</f>
        <v>0</v>
      </c>
      <c r="G277" s="593"/>
      <c r="H277" s="594">
        <f>IFERROR(VLOOKUP($B276,اسماء,16,0),0)</f>
        <v>0</v>
      </c>
      <c r="I277" s="595"/>
      <c r="J277" s="592">
        <f>IFERROR(VLOOKUP($B276,اسماء,17,0),0)</f>
        <v>0</v>
      </c>
      <c r="K277" s="593"/>
      <c r="L277" s="594">
        <f>IFERROR(VLOOKUP($B276,اسماء,18,0),0)</f>
        <v>0</v>
      </c>
      <c r="M277" s="596"/>
      <c r="N277" s="594">
        <f>IFERROR(VLOOKUP($B276,اسماء,19,0),0)</f>
        <v>0</v>
      </c>
      <c r="O277" s="596"/>
      <c r="P277" s="592">
        <f>IFERROR(VLOOKUP($B276,اسماء,20,0),0)</f>
        <v>0</v>
      </c>
      <c r="Q277" s="595"/>
      <c r="R277" s="372">
        <f t="shared" si="630"/>
        <v>0</v>
      </c>
      <c r="S277" s="305" t="str">
        <f>IFERROR(VLOOKUP($B276,اسماء,23,0),"")</f>
        <v/>
      </c>
      <c r="T277" s="306" t="str">
        <f>IFERROR(VLOOKUP($B276,اسماء,24,0),"")</f>
        <v/>
      </c>
      <c r="U277" s="122" t="str">
        <f>IFERROR(VLOOKUP($B276,اسماء,25,0),"")</f>
        <v/>
      </c>
      <c r="V277" s="605"/>
      <c r="W277" s="19" t="str">
        <f t="shared" si="738"/>
        <v>ضعيف</v>
      </c>
      <c r="X277" s="640"/>
      <c r="Y277" s="68"/>
      <c r="Z277" s="598"/>
      <c r="AK277" s="667"/>
      <c r="AL277" s="667"/>
      <c r="AM277" s="696"/>
      <c r="AN277" s="698"/>
      <c r="AO277" s="699"/>
      <c r="AP277" s="698"/>
    </row>
    <row r="278" spans="1:42" ht="14.85" customHeight="1" x14ac:dyDescent="0.25">
      <c r="A278" s="611"/>
      <c r="B278" s="614"/>
      <c r="C278" s="617"/>
      <c r="D278" s="620"/>
      <c r="E278" s="130" t="s">
        <v>32</v>
      </c>
      <c r="F278" s="592">
        <f>IFERROR(VLOOKUP($B276,اسماء,25,0),0)</f>
        <v>0</v>
      </c>
      <c r="G278" s="593"/>
      <c r="H278" s="594">
        <f>IFERROR(VLOOKUP($B276,اسماء,26,0),0)</f>
        <v>0</v>
      </c>
      <c r="I278" s="595"/>
      <c r="J278" s="592">
        <f>IFERROR(VLOOKUP($B276,اسماء,27,0),0)</f>
        <v>0</v>
      </c>
      <c r="K278" s="593"/>
      <c r="L278" s="594">
        <f>IFERROR(VLOOKUP($B276,اسماء,28,0),0)</f>
        <v>0</v>
      </c>
      <c r="M278" s="596"/>
      <c r="N278" s="594">
        <f>IFERROR(VLOOKUP($B276,اسماء,29,0),0)</f>
        <v>0</v>
      </c>
      <c r="O278" s="596"/>
      <c r="P278" s="592">
        <f>IFERROR(VLOOKUP($B276,اسماء,30,0),0)</f>
        <v>0</v>
      </c>
      <c r="Q278" s="595"/>
      <c r="R278" s="372">
        <f t="shared" si="630"/>
        <v>0</v>
      </c>
      <c r="S278" s="305" t="str">
        <f>IFERROR(VLOOKUP($B276,اسماء,34,0),"")</f>
        <v/>
      </c>
      <c r="T278" s="306" t="str">
        <f>IFERROR(VLOOKUP($B276,اسماء,35,0),"")</f>
        <v/>
      </c>
      <c r="U278" s="122" t="str">
        <f>IFERROR(VLOOKUP($B276,اسماء,36,0),"")</f>
        <v/>
      </c>
      <c r="V278" s="605"/>
      <c r="W278" s="20" t="str">
        <f t="shared" ref="W278" si="741">LOOKUP(R278,$AF$6:$AG$10)</f>
        <v>ضعيف</v>
      </c>
      <c r="X278" s="640"/>
      <c r="Y278" s="8"/>
      <c r="Z278" s="598"/>
      <c r="AK278" s="667"/>
      <c r="AL278" s="667"/>
      <c r="AM278" s="696"/>
      <c r="AN278" s="698"/>
      <c r="AO278" s="699"/>
      <c r="AP278" s="698"/>
    </row>
    <row r="279" spans="1:42" ht="14.85" customHeight="1" thickBot="1" x14ac:dyDescent="0.3">
      <c r="A279" s="612"/>
      <c r="B279" s="615"/>
      <c r="C279" s="618"/>
      <c r="D279" s="621"/>
      <c r="E279" s="124" t="s">
        <v>33</v>
      </c>
      <c r="F279" s="623">
        <f t="shared" ref="F279" si="742">SUM(F276:G278)</f>
        <v>0</v>
      </c>
      <c r="G279" s="624"/>
      <c r="H279" s="625">
        <f t="shared" ref="H279" si="743">SUM(H276:I278)</f>
        <v>0</v>
      </c>
      <c r="I279" s="626"/>
      <c r="J279" s="623">
        <f t="shared" ref="J279" si="744">SUM(J276:K278)</f>
        <v>0</v>
      </c>
      <c r="K279" s="624"/>
      <c r="L279" s="625">
        <f t="shared" ref="L279" si="745">SUM(L276:M278)</f>
        <v>0</v>
      </c>
      <c r="M279" s="642"/>
      <c r="N279" s="625">
        <f t="shared" ref="N279" si="746">SUM(N276:O278)</f>
        <v>0</v>
      </c>
      <c r="O279" s="642"/>
      <c r="P279" s="623">
        <f t="shared" ref="P279" si="747">SUM(P276:Q278)</f>
        <v>0</v>
      </c>
      <c r="Q279" s="626"/>
      <c r="R279" s="88">
        <f t="shared" ref="R279" si="748">IF(AND(F279&gt;=$G$8,H279&gt;=$I$8,J279&gt;=$K$8,L279&gt;=$M$8,N279&gt;=$O$8,P279&gt;=$Q$8),SUM(F279:Q279),0)</f>
        <v>0</v>
      </c>
      <c r="S279" s="251"/>
      <c r="T279" s="97"/>
      <c r="U279" s="94"/>
      <c r="V279" s="606"/>
      <c r="W279" s="88" t="str">
        <f t="shared" ref="W279" si="749">LOOKUP(R279,$AI$6:$AJ$10)</f>
        <v>ضعيف</v>
      </c>
      <c r="X279" s="641"/>
      <c r="Y279" s="68"/>
      <c r="Z279" s="599"/>
      <c r="AK279" s="667"/>
      <c r="AL279" s="667"/>
      <c r="AM279" s="696"/>
      <c r="AN279" s="698"/>
      <c r="AO279" s="699"/>
      <c r="AP279" s="698"/>
    </row>
    <row r="280" spans="1:42" ht="14.85" customHeight="1" thickBot="1" x14ac:dyDescent="0.3">
      <c r="F280" s="71"/>
      <c r="G280" s="72"/>
      <c r="H280" s="71"/>
      <c r="I280" s="72"/>
      <c r="J280" s="71"/>
      <c r="K280" s="72"/>
      <c r="L280" s="71"/>
      <c r="M280" s="72"/>
      <c r="N280" s="71"/>
      <c r="O280" s="72"/>
      <c r="P280" s="71"/>
      <c r="Q280" s="72"/>
      <c r="R280" s="70"/>
      <c r="S280" s="73"/>
      <c r="T280" s="70"/>
      <c r="U280" s="70"/>
      <c r="V280" s="70"/>
      <c r="W280" s="70"/>
      <c r="X280" s="254"/>
      <c r="Y280" s="68"/>
      <c r="AH280" s="74"/>
    </row>
    <row r="281" spans="1:42" customFormat="1" ht="14.85" customHeight="1" x14ac:dyDescent="0.3">
      <c r="A281" s="668" t="s">
        <v>9</v>
      </c>
      <c r="B281" s="669"/>
      <c r="C281" s="670"/>
      <c r="D281" s="277" t="s">
        <v>11</v>
      </c>
      <c r="E281" s="674" t="s">
        <v>96</v>
      </c>
      <c r="F281" s="663"/>
      <c r="G281" s="663"/>
      <c r="H281" s="663"/>
      <c r="I281" s="663"/>
      <c r="J281" s="7"/>
      <c r="K281" s="7"/>
      <c r="L281" s="7"/>
      <c r="M281" s="7"/>
      <c r="N281" s="7"/>
      <c r="O281" s="7"/>
      <c r="P281" s="7"/>
      <c r="Q281" s="663" t="s">
        <v>156</v>
      </c>
      <c r="R281" s="663"/>
      <c r="S281" s="663"/>
      <c r="T281" s="663"/>
      <c r="U281" s="663"/>
      <c r="V281" s="663"/>
      <c r="W281" s="1"/>
      <c r="X281" s="255"/>
      <c r="Z281" s="75"/>
      <c r="AA281" s="76"/>
      <c r="AB281" s="76"/>
      <c r="AC281" s="76"/>
      <c r="AD281" s="76"/>
    </row>
    <row r="282" spans="1:42" customFormat="1" ht="14.85" customHeight="1" x14ac:dyDescent="0.25">
      <c r="A282" s="77" t="s">
        <v>8</v>
      </c>
      <c r="B282" s="671">
        <f>ادخال1!$BJ$3</f>
        <v>0</v>
      </c>
      <c r="C282" s="672"/>
      <c r="D282" s="278"/>
      <c r="E282" s="7" t="s">
        <v>9</v>
      </c>
      <c r="F282" s="673" t="str">
        <f>ادخال1!$BJ$5</f>
        <v>د. عبدالرحمن خليفة العريبي</v>
      </c>
      <c r="G282" s="673"/>
      <c r="H282" s="673"/>
      <c r="I282" s="673"/>
      <c r="J282" s="673"/>
      <c r="K282" s="673"/>
      <c r="L282" s="673"/>
      <c r="M282" s="673"/>
      <c r="N282" s="673"/>
      <c r="O282" s="673"/>
      <c r="P282" s="7"/>
      <c r="Q282" s="673" t="str">
        <f>ادخال1!$BJ$6</f>
        <v>تاجوراء</v>
      </c>
      <c r="R282" s="673"/>
      <c r="S282" s="673"/>
      <c r="T282" s="673"/>
      <c r="U282" s="673"/>
      <c r="V282" s="673"/>
      <c r="W282" s="673"/>
      <c r="X282" s="63"/>
      <c r="Y282" s="63"/>
      <c r="Z282" s="75"/>
      <c r="AA282" s="75"/>
      <c r="AB282" s="75"/>
      <c r="AC282" s="75"/>
    </row>
    <row r="283" spans="1:42" customFormat="1" ht="14.85" customHeight="1" thickBot="1" x14ac:dyDescent="0.3">
      <c r="A283" s="78" t="s">
        <v>97</v>
      </c>
      <c r="B283" s="665">
        <f>ادخال1!$BJ$4</f>
        <v>0</v>
      </c>
      <c r="C283" s="666"/>
      <c r="D283" s="279"/>
      <c r="E283" s="7" t="s">
        <v>11</v>
      </c>
      <c r="F283" s="667"/>
      <c r="G283" s="667"/>
      <c r="H283" s="667"/>
      <c r="I283" s="667"/>
      <c r="J283" s="667"/>
      <c r="K283" s="667"/>
      <c r="L283" s="667"/>
      <c r="M283" s="667"/>
      <c r="N283" s="667"/>
      <c r="O283" s="667"/>
      <c r="P283" s="7"/>
      <c r="Q283" s="7" t="s">
        <v>11</v>
      </c>
      <c r="R283" s="1"/>
      <c r="S283" s="1"/>
      <c r="T283" s="1"/>
      <c r="U283" s="1"/>
      <c r="V283" s="1"/>
      <c r="W283" s="1"/>
      <c r="X283" s="255"/>
      <c r="Z283" s="75"/>
      <c r="AA283" s="75"/>
      <c r="AB283" s="75"/>
      <c r="AC283" s="75"/>
    </row>
    <row r="284" spans="1:42" customFormat="1" ht="14.85" customHeight="1" x14ac:dyDescent="0.25">
      <c r="A284" s="663" t="s">
        <v>98</v>
      </c>
      <c r="B284" s="663"/>
      <c r="C284" s="663"/>
      <c r="D284" s="663"/>
      <c r="E284" s="663" t="s">
        <v>99</v>
      </c>
      <c r="F284" s="663"/>
      <c r="G284" s="663"/>
      <c r="H284" s="663"/>
      <c r="I284" s="663"/>
      <c r="J284" s="663"/>
      <c r="K284" s="663"/>
      <c r="L284" s="663"/>
      <c r="M284" s="663"/>
      <c r="N284" s="663"/>
      <c r="O284" s="663"/>
      <c r="P284" s="663"/>
      <c r="Q284" s="663"/>
      <c r="R284" s="7"/>
      <c r="S284" s="664">
        <f ca="1">TODAY()</f>
        <v>46009</v>
      </c>
      <c r="T284" s="664"/>
      <c r="U284" s="664"/>
      <c r="V284" s="664"/>
      <c r="W284" s="664"/>
      <c r="X284" s="255"/>
    </row>
    <row r="285" spans="1:42" customFormat="1" ht="14.85" customHeight="1" thickBot="1" x14ac:dyDescent="0.3">
      <c r="A285" s="7"/>
      <c r="B285" s="663" t="s">
        <v>100</v>
      </c>
      <c r="C285" s="663"/>
      <c r="D285" s="663"/>
      <c r="E285" s="663" t="s">
        <v>101</v>
      </c>
      <c r="F285" s="663"/>
      <c r="G285" s="663"/>
      <c r="H285" s="663"/>
      <c r="I285" s="663"/>
      <c r="J285" s="663"/>
      <c r="K285" s="663"/>
      <c r="L285" s="663"/>
      <c r="M285" s="663"/>
      <c r="N285" s="663"/>
      <c r="O285" s="663"/>
      <c r="P285" s="663"/>
      <c r="Q285" s="663"/>
      <c r="R285" s="1"/>
      <c r="S285" s="1"/>
      <c r="T285" s="1"/>
      <c r="U285" s="1"/>
      <c r="V285" s="1"/>
      <c r="W285" s="1"/>
      <c r="X285" s="255"/>
    </row>
    <row r="286" spans="1:42" ht="14.85" customHeight="1" thickBot="1" x14ac:dyDescent="0.3">
      <c r="A286" s="610">
        <v>61</v>
      </c>
      <c r="B286" s="613">
        <f>VLOOKUP(A286,مسلسل,2,0)</f>
        <v>0</v>
      </c>
      <c r="C286" s="616" t="str">
        <f>IFERROR(VLOOKUP(B286,اسماء,2,0),"")</f>
        <v/>
      </c>
      <c r="D286" s="619" t="str">
        <f>IFERROR(VLOOKUP($B286,اسماء,3,0),"")</f>
        <v/>
      </c>
      <c r="E286" s="129" t="s">
        <v>30</v>
      </c>
      <c r="F286" s="600">
        <f>IFERROR(VLOOKUP($B286,اسماء,5,0),0)</f>
        <v>0</v>
      </c>
      <c r="G286" s="601"/>
      <c r="H286" s="602">
        <f>IFERROR(VLOOKUP($B286,اسماء,6,0),0)</f>
        <v>0</v>
      </c>
      <c r="I286" s="622"/>
      <c r="J286" s="600">
        <f>IFERROR(VLOOKUP($B286,اسماء,7,0),0)</f>
        <v>0</v>
      </c>
      <c r="K286" s="601"/>
      <c r="L286" s="602">
        <f>IFERROR(VLOOKUP($B286,اسماء,8,0),0)</f>
        <v>0</v>
      </c>
      <c r="M286" s="603"/>
      <c r="N286" s="602">
        <f>IFERROR(VLOOKUP($B286,اسماء,9,0),0)</f>
        <v>0</v>
      </c>
      <c r="O286" s="603"/>
      <c r="P286" s="600">
        <f>IFERROR(VLOOKUP($B286,اسماء,10,0),0)</f>
        <v>0</v>
      </c>
      <c r="Q286" s="622"/>
      <c r="R286" s="371">
        <f>SUM(F286:Q286)</f>
        <v>0</v>
      </c>
      <c r="S286" s="325" t="str">
        <f>IFERROR(VLOOKUP($B286,اسماء,12,0),"")</f>
        <v/>
      </c>
      <c r="T286" s="326" t="str">
        <f>IFERROR(VLOOKUP($B286,اسماء,13,0),"")</f>
        <v/>
      </c>
      <c r="U286" s="92" t="str">
        <f>IFERROR(VLOOKUP($B286,اسماء,14,0),"")</f>
        <v/>
      </c>
      <c r="V286" s="604" t="str">
        <f t="shared" ref="V286" si="750">IF(Z286="غائب","راسب",IF(R289&gt;0,"ناجح","مرحل"))</f>
        <v>مرحل</v>
      </c>
      <c r="W286" s="19" t="str">
        <f t="shared" ref="W286:W287" si="751">LOOKUP(R286,$AC$6:$AD$10)</f>
        <v>ضعيف</v>
      </c>
      <c r="X286" s="639">
        <f t="shared" ref="X286" si="752">R289/$AC$3</f>
        <v>0</v>
      </c>
      <c r="Y286" s="68"/>
      <c r="Z286" s="597" t="str">
        <f>IFERROR(VLOOKUP($B286,اسماء,48,0),"")</f>
        <v/>
      </c>
      <c r="AK286" s="671" t="str">
        <f>IF(R289=0,"",R289/1+ROW()*0.00001)</f>
        <v/>
      </c>
      <c r="AL286" s="671">
        <f>B286</f>
        <v>0</v>
      </c>
      <c r="AM286" s="696"/>
      <c r="AN286" s="698">
        <v>61</v>
      </c>
      <c r="AO286" s="699" t="str">
        <f>IFERROR(LARGE($AK$10:$AK$1420,AN286),"")</f>
        <v/>
      </c>
      <c r="AP286" s="698" t="str">
        <f>VLOOKUP(AO286,$AK$10:$AL$1530,2,0)</f>
        <v>امجد عمر عبداللطيف سلطان</v>
      </c>
    </row>
    <row r="287" spans="1:42" ht="14.85" customHeight="1" x14ac:dyDescent="0.25">
      <c r="A287" s="611"/>
      <c r="B287" s="614"/>
      <c r="C287" s="617"/>
      <c r="D287" s="620"/>
      <c r="E287" s="130" t="s">
        <v>31</v>
      </c>
      <c r="F287" s="592">
        <f>IFERROR(VLOOKUP($B286,اسماء,16,0),0)</f>
        <v>0</v>
      </c>
      <c r="G287" s="593"/>
      <c r="H287" s="594">
        <f>IFERROR(VLOOKUP($B286,اسماء,17,0),0)</f>
        <v>0</v>
      </c>
      <c r="I287" s="595"/>
      <c r="J287" s="592">
        <f>IFERROR(VLOOKUP($B286,اسماء,18,0),0)</f>
        <v>0</v>
      </c>
      <c r="K287" s="593"/>
      <c r="L287" s="594">
        <f>IFERROR(VLOOKUP($B286,اسماء,19,0),0)</f>
        <v>0</v>
      </c>
      <c r="M287" s="596"/>
      <c r="N287" s="594">
        <f>IFERROR(VLOOKUP($B286,اسماء,20,0),0)</f>
        <v>0</v>
      </c>
      <c r="O287" s="596"/>
      <c r="P287" s="592">
        <f>IFERROR(VLOOKUP($B286,اسماء,21,0),0)</f>
        <v>0</v>
      </c>
      <c r="Q287" s="595"/>
      <c r="R287" s="372">
        <f t="shared" ref="R287:R288" si="753">SUM(F287:Q287)</f>
        <v>0</v>
      </c>
      <c r="S287" s="305" t="str">
        <f>IFERROR(VLOOKUP($B286,اسماء,23,0),"")</f>
        <v/>
      </c>
      <c r="T287" s="306" t="str">
        <f>IFERROR(VLOOKUP($B286,اسماء,24,0),"")</f>
        <v/>
      </c>
      <c r="U287" s="122" t="str">
        <f>IFERROR(VLOOKUP($B286,اسماء,25,0),"")</f>
        <v/>
      </c>
      <c r="V287" s="605"/>
      <c r="W287" s="19" t="str">
        <f t="shared" si="751"/>
        <v>ضعيف</v>
      </c>
      <c r="X287" s="640"/>
      <c r="Y287" s="8"/>
      <c r="Z287" s="598"/>
      <c r="AK287" s="671"/>
      <c r="AL287" s="671"/>
      <c r="AM287" s="696"/>
      <c r="AN287" s="698"/>
      <c r="AO287" s="699"/>
      <c r="AP287" s="698"/>
    </row>
    <row r="288" spans="1:42" ht="14.85" customHeight="1" x14ac:dyDescent="0.25">
      <c r="A288" s="611"/>
      <c r="B288" s="614"/>
      <c r="C288" s="617"/>
      <c r="D288" s="620"/>
      <c r="E288" s="130" t="s">
        <v>32</v>
      </c>
      <c r="F288" s="592">
        <f>IFERROR(VLOOKUP($B286,اسماء,27,0),0)</f>
        <v>0</v>
      </c>
      <c r="G288" s="593"/>
      <c r="H288" s="594">
        <f>IFERROR(VLOOKUP($B286,اسماء,28,0),0)</f>
        <v>0</v>
      </c>
      <c r="I288" s="595"/>
      <c r="J288" s="592">
        <f>IFERROR(VLOOKUP($B286,اسماء,29,0),0)</f>
        <v>0</v>
      </c>
      <c r="K288" s="593"/>
      <c r="L288" s="594">
        <f>IFERROR(VLOOKUP($B286,اسماء,30,0),0)</f>
        <v>0</v>
      </c>
      <c r="M288" s="596"/>
      <c r="N288" s="594">
        <f>IFERROR(VLOOKUP($B286,اسماء,31,0),0)</f>
        <v>0</v>
      </c>
      <c r="O288" s="596"/>
      <c r="P288" s="592">
        <f>IFERROR(VLOOKUP($B286,اسماء,32,0),0)</f>
        <v>0</v>
      </c>
      <c r="Q288" s="595"/>
      <c r="R288" s="372">
        <f t="shared" si="753"/>
        <v>0</v>
      </c>
      <c r="S288" s="305" t="str">
        <f>IFERROR(VLOOKUP($B286,اسماء,34,0),"")</f>
        <v/>
      </c>
      <c r="T288" s="306" t="str">
        <f>IFERROR(VLOOKUP($B286,اسماء,35,0),"")</f>
        <v/>
      </c>
      <c r="U288" s="122" t="str">
        <f>IFERROR(VLOOKUP($B286,اسماء,36,0),"")</f>
        <v/>
      </c>
      <c r="V288" s="605"/>
      <c r="W288" s="20" t="str">
        <f t="shared" ref="W288" si="754">LOOKUP(R288,$AF$6:$AG$10)</f>
        <v>ضعيف</v>
      </c>
      <c r="X288" s="640"/>
      <c r="Y288" s="68"/>
      <c r="Z288" s="598"/>
      <c r="AK288" s="671"/>
      <c r="AL288" s="671"/>
      <c r="AM288" s="696"/>
      <c r="AN288" s="698"/>
      <c r="AO288" s="699"/>
      <c r="AP288" s="698"/>
    </row>
    <row r="289" spans="1:42" ht="14.85" customHeight="1" thickBot="1" x14ac:dyDescent="0.3">
      <c r="A289" s="612"/>
      <c r="B289" s="615"/>
      <c r="C289" s="618"/>
      <c r="D289" s="621"/>
      <c r="E289" s="124" t="s">
        <v>33</v>
      </c>
      <c r="F289" s="623">
        <f>SUM(F286:G288)</f>
        <v>0</v>
      </c>
      <c r="G289" s="624"/>
      <c r="H289" s="625">
        <f>SUM(H286:I288)</f>
        <v>0</v>
      </c>
      <c r="I289" s="626"/>
      <c r="J289" s="623">
        <f>SUM(J286:K288)</f>
        <v>0</v>
      </c>
      <c r="K289" s="624"/>
      <c r="L289" s="625">
        <f>SUM(L286:M288)</f>
        <v>0</v>
      </c>
      <c r="M289" s="642"/>
      <c r="N289" s="625">
        <f>SUM(N286:O288)</f>
        <v>0</v>
      </c>
      <c r="O289" s="642"/>
      <c r="P289" s="623">
        <f>SUM(P286:Q288)</f>
        <v>0</v>
      </c>
      <c r="Q289" s="626"/>
      <c r="R289" s="88">
        <f>IF(AND(F289&gt;=$G$8,H289&gt;=$I$8,J289&gt;=$K$8,L289&gt;=$M$8,N289&gt;=$O$8,P289&gt;=$Q$8),SUM(F289:Q289),0)</f>
        <v>0</v>
      </c>
      <c r="S289" s="251"/>
      <c r="T289" s="97"/>
      <c r="U289" s="94"/>
      <c r="V289" s="606"/>
      <c r="W289" s="88" t="str">
        <f t="shared" ref="W289" si="755">LOOKUP(R289,$AI$6:$AJ$10)</f>
        <v>ضعيف</v>
      </c>
      <c r="X289" s="641"/>
      <c r="Y289" s="68"/>
      <c r="Z289" s="599"/>
      <c r="AK289" s="671"/>
      <c r="AL289" s="671"/>
      <c r="AM289" s="696"/>
      <c r="AN289" s="698"/>
      <c r="AO289" s="699"/>
      <c r="AP289" s="698"/>
    </row>
    <row r="290" spans="1:42" ht="14.85" customHeight="1" thickBot="1" x14ac:dyDescent="0.3">
      <c r="A290" s="610">
        <v>62</v>
      </c>
      <c r="B290" s="613">
        <f>VLOOKUP(A290,مسلسل,2,0)</f>
        <v>0</v>
      </c>
      <c r="C290" s="616" t="str">
        <f>IFERROR(VLOOKUP(B290,اسماء,2,0),"")</f>
        <v/>
      </c>
      <c r="D290" s="619" t="str">
        <f>IFERROR(VLOOKUP($B290,اسماء,3,0),"")</f>
        <v/>
      </c>
      <c r="E290" s="129" t="s">
        <v>30</v>
      </c>
      <c r="F290" s="600">
        <f>IFERROR(VLOOKUP($B290,اسماء,5,0),0)</f>
        <v>0</v>
      </c>
      <c r="G290" s="601"/>
      <c r="H290" s="602">
        <f>IFERROR(VLOOKUP($B290,اسماء,6,0),0)</f>
        <v>0</v>
      </c>
      <c r="I290" s="622"/>
      <c r="J290" s="600">
        <f>IFERROR(VLOOKUP($B290,اسماء,7,0),0)</f>
        <v>0</v>
      </c>
      <c r="K290" s="601"/>
      <c r="L290" s="602">
        <f>IFERROR(VLOOKUP($B290,اسماء,8,0),0)</f>
        <v>0</v>
      </c>
      <c r="M290" s="603"/>
      <c r="N290" s="602">
        <f>IFERROR(VLOOKUP($B290,اسماء,9,0),0)</f>
        <v>0</v>
      </c>
      <c r="O290" s="603"/>
      <c r="P290" s="600">
        <f>IFERROR(VLOOKUP($B290,اسماء,10,0),0)</f>
        <v>0</v>
      </c>
      <c r="Q290" s="622"/>
      <c r="R290" s="371">
        <f t="shared" ref="R290:R324" si="756">SUM(F290:Q290)</f>
        <v>0</v>
      </c>
      <c r="S290" s="213" t="str">
        <f>IFERROR(VLOOKUP($B290,اسماء,12,0),"")</f>
        <v/>
      </c>
      <c r="T290" s="214" t="str">
        <f>IFERROR(VLOOKUP($B290,اسماء,13,0),"")</f>
        <v/>
      </c>
      <c r="U290" s="364" t="str">
        <f>IFERROR(VLOOKUP($B290,اسماء,14,0),"")</f>
        <v/>
      </c>
      <c r="V290" s="604" t="str">
        <f t="shared" ref="V290" si="757">IF(Z290="غائب","راسب",IF(R293&gt;0,"ناجح","مرحل"))</f>
        <v>مرحل</v>
      </c>
      <c r="W290" s="19" t="str">
        <f t="shared" ref="W290:W291" si="758">LOOKUP(R290,$AC$6:$AD$10)</f>
        <v>ضعيف</v>
      </c>
      <c r="X290" s="639">
        <f t="shared" ref="X290" si="759">R293/$AC$3</f>
        <v>0</v>
      </c>
      <c r="Y290" s="8"/>
      <c r="Z290" s="597" t="str">
        <f>IFERROR(VLOOKUP($B290,اسماء,48,0),"")</f>
        <v/>
      </c>
      <c r="AK290" s="667" t="str">
        <f t="shared" ref="AK290" si="760">IF(R293=0,"",R293/1+ROW()*0.00001)</f>
        <v/>
      </c>
      <c r="AL290" s="667">
        <f>B290</f>
        <v>0</v>
      </c>
      <c r="AM290" s="696"/>
      <c r="AN290" s="698">
        <v>62</v>
      </c>
      <c r="AO290" s="699" t="str">
        <f>IFERROR(LARGE($AK$10:$AK$1420,AN290),"")</f>
        <v/>
      </c>
      <c r="AP290" s="698" t="str">
        <f>VLOOKUP(AO290,$AK$10:$AL$1530,2,0)</f>
        <v>امجد عمر عبداللطيف سلطان</v>
      </c>
    </row>
    <row r="291" spans="1:42" ht="14.85" customHeight="1" x14ac:dyDescent="0.25">
      <c r="A291" s="611"/>
      <c r="B291" s="614"/>
      <c r="C291" s="617"/>
      <c r="D291" s="620"/>
      <c r="E291" s="130" t="s">
        <v>31</v>
      </c>
      <c r="F291" s="592">
        <f>IFERROR(VLOOKUP($B290,اسماء,15,0),0)</f>
        <v>0</v>
      </c>
      <c r="G291" s="593"/>
      <c r="H291" s="594">
        <f>IFERROR(VLOOKUP($B290,اسماء,16,0),0)</f>
        <v>0</v>
      </c>
      <c r="I291" s="595"/>
      <c r="J291" s="592">
        <f>IFERROR(VLOOKUP($B290,اسماء,17,0),0)</f>
        <v>0</v>
      </c>
      <c r="K291" s="593"/>
      <c r="L291" s="594">
        <f>IFERROR(VLOOKUP($B290,اسماء,18,0),0)</f>
        <v>0</v>
      </c>
      <c r="M291" s="596"/>
      <c r="N291" s="594">
        <f>IFERROR(VLOOKUP($B290,اسماء,19,0),0)</f>
        <v>0</v>
      </c>
      <c r="O291" s="596"/>
      <c r="P291" s="592">
        <f>IFERROR(VLOOKUP($B290,اسماء,20,0),0)</f>
        <v>0</v>
      </c>
      <c r="Q291" s="595"/>
      <c r="R291" s="372">
        <f t="shared" si="756"/>
        <v>0</v>
      </c>
      <c r="S291" s="305" t="str">
        <f>IFERROR(VLOOKUP($B290,اسماء,23,0),"")</f>
        <v/>
      </c>
      <c r="T291" s="306" t="str">
        <f>IFERROR(VLOOKUP($B290,اسماء,24,0),"")</f>
        <v/>
      </c>
      <c r="U291" s="122" t="str">
        <f>IFERROR(VLOOKUP($B290,اسماء,25,0),"")</f>
        <v/>
      </c>
      <c r="V291" s="605"/>
      <c r="W291" s="19" t="str">
        <f t="shared" si="758"/>
        <v>ضعيف</v>
      </c>
      <c r="X291" s="640"/>
      <c r="Y291" s="68"/>
      <c r="Z291" s="598"/>
      <c r="AK291" s="667"/>
      <c r="AL291" s="667"/>
      <c r="AM291" s="696"/>
      <c r="AN291" s="698"/>
      <c r="AO291" s="699"/>
      <c r="AP291" s="698"/>
    </row>
    <row r="292" spans="1:42" ht="14.85" customHeight="1" x14ac:dyDescent="0.25">
      <c r="A292" s="611"/>
      <c r="B292" s="614"/>
      <c r="C292" s="617"/>
      <c r="D292" s="620"/>
      <c r="E292" s="130" t="s">
        <v>32</v>
      </c>
      <c r="F292" s="592">
        <f>IFERROR(VLOOKUP($B290,اسماء,25,0),0)</f>
        <v>0</v>
      </c>
      <c r="G292" s="593"/>
      <c r="H292" s="594">
        <f>IFERROR(VLOOKUP($B290,اسماء,26,0),0)</f>
        <v>0</v>
      </c>
      <c r="I292" s="595"/>
      <c r="J292" s="592">
        <f>IFERROR(VLOOKUP($B290,اسماء,27,0),0)</f>
        <v>0</v>
      </c>
      <c r="K292" s="593"/>
      <c r="L292" s="594">
        <f>IFERROR(VLOOKUP($B290,اسماء,28,0),0)</f>
        <v>0</v>
      </c>
      <c r="M292" s="596"/>
      <c r="N292" s="594">
        <f>IFERROR(VLOOKUP($B290,اسماء,29,0),0)</f>
        <v>0</v>
      </c>
      <c r="O292" s="596"/>
      <c r="P292" s="592">
        <f>IFERROR(VLOOKUP($B290,اسماء,30,0),0)</f>
        <v>0</v>
      </c>
      <c r="Q292" s="595"/>
      <c r="R292" s="372">
        <f t="shared" si="756"/>
        <v>0</v>
      </c>
      <c r="S292" s="305" t="str">
        <f>IFERROR(VLOOKUP($B290,اسماء,34,0),"")</f>
        <v/>
      </c>
      <c r="T292" s="306" t="str">
        <f>IFERROR(VLOOKUP($B290,اسماء,35,0),"")</f>
        <v/>
      </c>
      <c r="U292" s="122" t="str">
        <f>IFERROR(VLOOKUP($B290,اسماء,36,0),"")</f>
        <v/>
      </c>
      <c r="V292" s="605"/>
      <c r="W292" s="20" t="str">
        <f t="shared" ref="W292" si="761">LOOKUP(R292,$AF$6:$AG$10)</f>
        <v>ضعيف</v>
      </c>
      <c r="X292" s="640"/>
      <c r="Y292" s="68"/>
      <c r="Z292" s="598"/>
      <c r="AK292" s="667"/>
      <c r="AL292" s="667"/>
      <c r="AM292" s="696"/>
      <c r="AN292" s="698"/>
      <c r="AO292" s="699"/>
      <c r="AP292" s="698"/>
    </row>
    <row r="293" spans="1:42" ht="14.85" customHeight="1" thickBot="1" x14ac:dyDescent="0.3">
      <c r="A293" s="612"/>
      <c r="B293" s="615"/>
      <c r="C293" s="618"/>
      <c r="D293" s="621"/>
      <c r="E293" s="124" t="s">
        <v>33</v>
      </c>
      <c r="F293" s="623">
        <f>SUM(F290:G292)</f>
        <v>0</v>
      </c>
      <c r="G293" s="624"/>
      <c r="H293" s="625">
        <f>SUM(H290:I292)</f>
        <v>0</v>
      </c>
      <c r="I293" s="626"/>
      <c r="J293" s="623">
        <f>SUM(J290:K292)</f>
        <v>0</v>
      </c>
      <c r="K293" s="624"/>
      <c r="L293" s="625">
        <f>SUM(L290:M292)</f>
        <v>0</v>
      </c>
      <c r="M293" s="642"/>
      <c r="N293" s="625">
        <f>SUM(N290:O292)</f>
        <v>0</v>
      </c>
      <c r="O293" s="642"/>
      <c r="P293" s="623">
        <f>SUM(P290:Q292)</f>
        <v>0</v>
      </c>
      <c r="Q293" s="626"/>
      <c r="R293" s="88">
        <f t="shared" ref="R293" si="762">IF(AND(F293&gt;=$G$8,H293&gt;=$I$8,J293&gt;=$K$8,L293&gt;=$M$8,N293&gt;=$O$8,P293&gt;=$Q$8),SUM(F293:Q293),0)</f>
        <v>0</v>
      </c>
      <c r="S293" s="251"/>
      <c r="T293" s="97"/>
      <c r="U293" s="94"/>
      <c r="V293" s="606"/>
      <c r="W293" s="88" t="str">
        <f t="shared" ref="W293" si="763">LOOKUP(R293,$AI$6:$AJ$10)</f>
        <v>ضعيف</v>
      </c>
      <c r="X293" s="641"/>
      <c r="Y293" s="8"/>
      <c r="Z293" s="599"/>
      <c r="AK293" s="667"/>
      <c r="AL293" s="667"/>
      <c r="AM293" s="696"/>
      <c r="AN293" s="698"/>
      <c r="AO293" s="699"/>
      <c r="AP293" s="698"/>
    </row>
    <row r="294" spans="1:42" ht="14.85" customHeight="1" thickBot="1" x14ac:dyDescent="0.3">
      <c r="A294" s="610">
        <v>63</v>
      </c>
      <c r="B294" s="613">
        <f>VLOOKUP(A294,مسلسل,2,0)</f>
        <v>0</v>
      </c>
      <c r="C294" s="616" t="str">
        <f>IFERROR(VLOOKUP(B294,اسماء,2,0),"")</f>
        <v/>
      </c>
      <c r="D294" s="619" t="str">
        <f>IFERROR(VLOOKUP($B294,اسماء,3,0),"")</f>
        <v/>
      </c>
      <c r="E294" s="129" t="s">
        <v>30</v>
      </c>
      <c r="F294" s="600">
        <f>IFERROR(VLOOKUP($B294,اسماء,5,0),0)</f>
        <v>0</v>
      </c>
      <c r="G294" s="601"/>
      <c r="H294" s="602">
        <f>IFERROR(VLOOKUP($B294,اسماء,6,0),0)</f>
        <v>0</v>
      </c>
      <c r="I294" s="622"/>
      <c r="J294" s="600">
        <f>IFERROR(VLOOKUP($B294,اسماء,7,0),0)</f>
        <v>0</v>
      </c>
      <c r="K294" s="601"/>
      <c r="L294" s="602">
        <f>IFERROR(VLOOKUP($B294,اسماء,8,0),0)</f>
        <v>0</v>
      </c>
      <c r="M294" s="603"/>
      <c r="N294" s="602">
        <f>IFERROR(VLOOKUP($B294,اسماء,9,0),0)</f>
        <v>0</v>
      </c>
      <c r="O294" s="603"/>
      <c r="P294" s="600">
        <f>IFERROR(VLOOKUP($B294,اسماء,10,0),0)</f>
        <v>0</v>
      </c>
      <c r="Q294" s="622"/>
      <c r="R294" s="371">
        <f t="shared" ref="R294" si="764">SUM(F294:Q294)</f>
        <v>0</v>
      </c>
      <c r="S294" s="213" t="str">
        <f>IFERROR(VLOOKUP($B294,اسماء,12,0),"")</f>
        <v/>
      </c>
      <c r="T294" s="214" t="str">
        <f>IFERROR(VLOOKUP($B294,اسماء,13,0),"")</f>
        <v/>
      </c>
      <c r="U294" s="364" t="str">
        <f>IFERROR(VLOOKUP($B294,اسماء,14,0),"")</f>
        <v/>
      </c>
      <c r="V294" s="604" t="str">
        <f t="shared" ref="V294" si="765">IF(Z294="غائب","راسب",IF(R297&gt;0,"ناجح","مرحل"))</f>
        <v>مرحل</v>
      </c>
      <c r="W294" s="19" t="str">
        <f t="shared" ref="W294:W295" si="766">LOOKUP(R294,$AC$6:$AD$10)</f>
        <v>ضعيف</v>
      </c>
      <c r="X294" s="639">
        <f t="shared" ref="X294" si="767">R297/$AC$3</f>
        <v>0</v>
      </c>
      <c r="Y294" s="68"/>
      <c r="Z294" s="597" t="str">
        <f>IFERROR(VLOOKUP($B294,اسماء,48,0),"")</f>
        <v/>
      </c>
      <c r="AK294" s="667" t="str">
        <f t="shared" ref="AK294" si="768">IF(R297=0,"",R297/1+ROW()*0.00001)</f>
        <v/>
      </c>
      <c r="AL294" s="667">
        <f>B294</f>
        <v>0</v>
      </c>
      <c r="AM294" s="696"/>
      <c r="AN294" s="698">
        <v>63</v>
      </c>
      <c r="AO294" s="699" t="str">
        <f>IFERROR(LARGE($AK$10:$AK$1420,AN294),"")</f>
        <v/>
      </c>
      <c r="AP294" s="698" t="str">
        <f>VLOOKUP(AO294,$AK$10:$AL$1530,2,0)</f>
        <v>امجد عمر عبداللطيف سلطان</v>
      </c>
    </row>
    <row r="295" spans="1:42" ht="14.85" customHeight="1" x14ac:dyDescent="0.25">
      <c r="A295" s="611"/>
      <c r="B295" s="614"/>
      <c r="C295" s="617"/>
      <c r="D295" s="620"/>
      <c r="E295" s="130" t="s">
        <v>31</v>
      </c>
      <c r="F295" s="592">
        <f>IFERROR(VLOOKUP($B294,اسماء,15,0),0)</f>
        <v>0</v>
      </c>
      <c r="G295" s="593"/>
      <c r="H295" s="594">
        <f>IFERROR(VLOOKUP($B294,اسماء,16,0),0)</f>
        <v>0</v>
      </c>
      <c r="I295" s="595"/>
      <c r="J295" s="592">
        <f>IFERROR(VLOOKUP($B294,اسماء,17,0),0)</f>
        <v>0</v>
      </c>
      <c r="K295" s="593"/>
      <c r="L295" s="594">
        <f>IFERROR(VLOOKUP($B294,اسماء,18,0),0)</f>
        <v>0</v>
      </c>
      <c r="M295" s="596"/>
      <c r="N295" s="594">
        <f>IFERROR(VLOOKUP($B294,اسماء,19,0),0)</f>
        <v>0</v>
      </c>
      <c r="O295" s="596"/>
      <c r="P295" s="592">
        <f>IFERROR(VLOOKUP($B294,اسماء,20,0),0)</f>
        <v>0</v>
      </c>
      <c r="Q295" s="595"/>
      <c r="R295" s="372">
        <f t="shared" si="756"/>
        <v>0</v>
      </c>
      <c r="S295" s="305" t="str">
        <f>IFERROR(VLOOKUP($B294,اسماء,23,0),"")</f>
        <v/>
      </c>
      <c r="T295" s="306" t="str">
        <f>IFERROR(VLOOKUP($B294,اسماء,24,0),"")</f>
        <v/>
      </c>
      <c r="U295" s="122" t="str">
        <f>IFERROR(VLOOKUP($B294,اسماء,25,0),"")</f>
        <v/>
      </c>
      <c r="V295" s="605"/>
      <c r="W295" s="19" t="str">
        <f t="shared" si="766"/>
        <v>ضعيف</v>
      </c>
      <c r="X295" s="640"/>
      <c r="Y295" s="68"/>
      <c r="Z295" s="598"/>
      <c r="AK295" s="667"/>
      <c r="AL295" s="667"/>
      <c r="AM295" s="696"/>
      <c r="AN295" s="698"/>
      <c r="AO295" s="699"/>
      <c r="AP295" s="698"/>
    </row>
    <row r="296" spans="1:42" ht="14.85" customHeight="1" x14ac:dyDescent="0.25">
      <c r="A296" s="611"/>
      <c r="B296" s="614"/>
      <c r="C296" s="617"/>
      <c r="D296" s="620"/>
      <c r="E296" s="130" t="s">
        <v>32</v>
      </c>
      <c r="F296" s="592">
        <f>IFERROR(VLOOKUP($B294,اسماء,25,0),0)</f>
        <v>0</v>
      </c>
      <c r="G296" s="593"/>
      <c r="H296" s="594">
        <f>IFERROR(VLOOKUP($B294,اسماء,26,0),0)</f>
        <v>0</v>
      </c>
      <c r="I296" s="595"/>
      <c r="J296" s="592">
        <f>IFERROR(VLOOKUP($B294,اسماء,27,0),0)</f>
        <v>0</v>
      </c>
      <c r="K296" s="593"/>
      <c r="L296" s="594">
        <f>IFERROR(VLOOKUP($B294,اسماء,28,0),0)</f>
        <v>0</v>
      </c>
      <c r="M296" s="596"/>
      <c r="N296" s="594">
        <f>IFERROR(VLOOKUP($B294,اسماء,29,0),0)</f>
        <v>0</v>
      </c>
      <c r="O296" s="596"/>
      <c r="P296" s="592">
        <f>IFERROR(VLOOKUP($B294,اسماء,30,0),0)</f>
        <v>0</v>
      </c>
      <c r="Q296" s="595"/>
      <c r="R296" s="372">
        <f t="shared" si="756"/>
        <v>0</v>
      </c>
      <c r="S296" s="305" t="str">
        <f>IFERROR(VLOOKUP($B294,اسماء,34,0),"")</f>
        <v/>
      </c>
      <c r="T296" s="306" t="str">
        <f>IFERROR(VLOOKUP($B294,اسماء,35,0),"")</f>
        <v/>
      </c>
      <c r="U296" s="122" t="str">
        <f>IFERROR(VLOOKUP($B294,اسماء,36,0),"")</f>
        <v/>
      </c>
      <c r="V296" s="605"/>
      <c r="W296" s="20" t="str">
        <f t="shared" ref="W296" si="769">LOOKUP(R296,$AF$6:$AG$10)</f>
        <v>ضعيف</v>
      </c>
      <c r="X296" s="640"/>
      <c r="Y296" s="8"/>
      <c r="Z296" s="598"/>
      <c r="AK296" s="667"/>
      <c r="AL296" s="667"/>
      <c r="AM296" s="696"/>
      <c r="AN296" s="698"/>
      <c r="AO296" s="699"/>
      <c r="AP296" s="698"/>
    </row>
    <row r="297" spans="1:42" ht="14.85" customHeight="1" thickBot="1" x14ac:dyDescent="0.3">
      <c r="A297" s="612"/>
      <c r="B297" s="615"/>
      <c r="C297" s="618"/>
      <c r="D297" s="621"/>
      <c r="E297" s="124" t="s">
        <v>33</v>
      </c>
      <c r="F297" s="623">
        <f t="shared" ref="F297" si="770">SUM(F294:G296)</f>
        <v>0</v>
      </c>
      <c r="G297" s="624"/>
      <c r="H297" s="625">
        <f t="shared" ref="H297" si="771">SUM(H294:I296)</f>
        <v>0</v>
      </c>
      <c r="I297" s="626"/>
      <c r="J297" s="623">
        <f t="shared" ref="J297" si="772">SUM(J294:K296)</f>
        <v>0</v>
      </c>
      <c r="K297" s="624"/>
      <c r="L297" s="625">
        <f t="shared" ref="L297" si="773">SUM(L294:M296)</f>
        <v>0</v>
      </c>
      <c r="M297" s="642"/>
      <c r="N297" s="625">
        <f t="shared" ref="N297" si="774">SUM(N294:O296)</f>
        <v>0</v>
      </c>
      <c r="O297" s="642"/>
      <c r="P297" s="623">
        <f t="shared" ref="P297" si="775">SUM(P294:Q296)</f>
        <v>0</v>
      </c>
      <c r="Q297" s="626"/>
      <c r="R297" s="88">
        <f t="shared" ref="R297" si="776">IF(AND(F297&gt;=$G$8,H297&gt;=$I$8,J297&gt;=$K$8,L297&gt;=$M$8,N297&gt;=$O$8,P297&gt;=$Q$8),SUM(F297:Q297),0)</f>
        <v>0</v>
      </c>
      <c r="S297" s="251"/>
      <c r="T297" s="97"/>
      <c r="U297" s="94"/>
      <c r="V297" s="606"/>
      <c r="W297" s="88" t="str">
        <f t="shared" ref="W297" si="777">LOOKUP(R297,$AI$6:$AJ$10)</f>
        <v>ضعيف</v>
      </c>
      <c r="X297" s="641"/>
      <c r="Y297" s="68"/>
      <c r="Z297" s="599"/>
      <c r="AK297" s="667"/>
      <c r="AL297" s="667"/>
      <c r="AM297" s="696"/>
      <c r="AN297" s="698"/>
      <c r="AO297" s="699"/>
      <c r="AP297" s="698"/>
    </row>
    <row r="298" spans="1:42" ht="14.85" customHeight="1" thickBot="1" x14ac:dyDescent="0.3">
      <c r="A298" s="610">
        <v>64</v>
      </c>
      <c r="B298" s="613">
        <f>VLOOKUP(A298,مسلسل,2,0)</f>
        <v>0</v>
      </c>
      <c r="C298" s="616" t="str">
        <f>IFERROR(VLOOKUP(B298,اسماء,2,0),"")</f>
        <v/>
      </c>
      <c r="D298" s="619" t="str">
        <f>IFERROR(VLOOKUP($B298,اسماء,3,0),"")</f>
        <v/>
      </c>
      <c r="E298" s="129" t="s">
        <v>30</v>
      </c>
      <c r="F298" s="600">
        <f>IFERROR(VLOOKUP($B298,اسماء,5,0),0)</f>
        <v>0</v>
      </c>
      <c r="G298" s="601"/>
      <c r="H298" s="602">
        <f>IFERROR(VLOOKUP($B298,اسماء,6,0),0)</f>
        <v>0</v>
      </c>
      <c r="I298" s="622"/>
      <c r="J298" s="600">
        <f>IFERROR(VLOOKUP($B298,اسماء,7,0),0)</f>
        <v>0</v>
      </c>
      <c r="K298" s="601"/>
      <c r="L298" s="602">
        <f>IFERROR(VLOOKUP($B298,اسماء,8,0),0)</f>
        <v>0</v>
      </c>
      <c r="M298" s="603"/>
      <c r="N298" s="602">
        <f>IFERROR(VLOOKUP($B298,اسماء,9,0),0)</f>
        <v>0</v>
      </c>
      <c r="O298" s="603"/>
      <c r="P298" s="600">
        <f>IFERROR(VLOOKUP($B298,اسماء,10,0),0)</f>
        <v>0</v>
      </c>
      <c r="Q298" s="622"/>
      <c r="R298" s="371">
        <f t="shared" ref="R298" si="778">SUM(F298:Q298)</f>
        <v>0</v>
      </c>
      <c r="S298" s="213" t="str">
        <f>IFERROR(VLOOKUP($B298,اسماء,12,0),"")</f>
        <v/>
      </c>
      <c r="T298" s="214" t="str">
        <f>IFERROR(VLOOKUP($B298,اسماء,13,0),"")</f>
        <v/>
      </c>
      <c r="U298" s="364" t="str">
        <f>IFERROR(VLOOKUP($B298,اسماء,14,0),"")</f>
        <v/>
      </c>
      <c r="V298" s="604" t="str">
        <f t="shared" ref="V298" si="779">IF(Z298="غائب","راسب",IF(R301&gt;0,"ناجح","مرحل"))</f>
        <v>مرحل</v>
      </c>
      <c r="W298" s="19" t="str">
        <f t="shared" ref="W298:W299" si="780">LOOKUP(R298,$AC$6:$AD$10)</f>
        <v>ضعيف</v>
      </c>
      <c r="X298" s="639">
        <f t="shared" ref="X298" si="781">R301/$AC$3</f>
        <v>0</v>
      </c>
      <c r="Y298" s="68"/>
      <c r="Z298" s="597" t="str">
        <f>IFERROR(VLOOKUP($B298,اسماء,48,0),"")</f>
        <v/>
      </c>
      <c r="AK298" s="667" t="str">
        <f t="shared" ref="AK298" si="782">IF(R301=0,"",R301/1+ROW()*0.00001)</f>
        <v/>
      </c>
      <c r="AL298" s="667">
        <f>B298</f>
        <v>0</v>
      </c>
      <c r="AM298" s="696"/>
      <c r="AN298" s="698">
        <v>64</v>
      </c>
      <c r="AO298" s="699" t="str">
        <f>IFERROR(LARGE($AK$10:$AK$1420,AN298),"")</f>
        <v/>
      </c>
      <c r="AP298" s="698" t="str">
        <f>VLOOKUP(AO298,$AK$10:$AL$1530,2,0)</f>
        <v>امجد عمر عبداللطيف سلطان</v>
      </c>
    </row>
    <row r="299" spans="1:42" ht="14.85" customHeight="1" x14ac:dyDescent="0.25">
      <c r="A299" s="611"/>
      <c r="B299" s="614"/>
      <c r="C299" s="617"/>
      <c r="D299" s="620"/>
      <c r="E299" s="130" t="s">
        <v>31</v>
      </c>
      <c r="F299" s="592">
        <f>IFERROR(VLOOKUP($B298,اسماء,15,0),0)</f>
        <v>0</v>
      </c>
      <c r="G299" s="593"/>
      <c r="H299" s="594">
        <f>IFERROR(VLOOKUP($B298,اسماء,16,0),0)</f>
        <v>0</v>
      </c>
      <c r="I299" s="595"/>
      <c r="J299" s="592">
        <f>IFERROR(VLOOKUP($B298,اسماء,17,0),0)</f>
        <v>0</v>
      </c>
      <c r="K299" s="593"/>
      <c r="L299" s="594">
        <f>IFERROR(VLOOKUP($B298,اسماء,18,0),0)</f>
        <v>0</v>
      </c>
      <c r="M299" s="596"/>
      <c r="N299" s="594">
        <f>IFERROR(VLOOKUP($B298,اسماء,19,0),0)</f>
        <v>0</v>
      </c>
      <c r="O299" s="596"/>
      <c r="P299" s="592">
        <f>IFERROR(VLOOKUP($B298,اسماء,20,0),0)</f>
        <v>0</v>
      </c>
      <c r="Q299" s="595"/>
      <c r="R299" s="372">
        <f t="shared" si="756"/>
        <v>0</v>
      </c>
      <c r="S299" s="305" t="str">
        <f>IFERROR(VLOOKUP($B298,اسماء,23,0),"")</f>
        <v/>
      </c>
      <c r="T299" s="306" t="str">
        <f>IFERROR(VLOOKUP($B298,اسماء,24,0),"")</f>
        <v/>
      </c>
      <c r="U299" s="122" t="str">
        <f>IFERROR(VLOOKUP($B298,اسماء,25,0),"")</f>
        <v/>
      </c>
      <c r="V299" s="605"/>
      <c r="W299" s="19" t="str">
        <f t="shared" si="780"/>
        <v>ضعيف</v>
      </c>
      <c r="X299" s="640"/>
      <c r="Y299" s="8"/>
      <c r="Z299" s="598"/>
      <c r="AK299" s="667"/>
      <c r="AL299" s="667"/>
      <c r="AM299" s="696"/>
      <c r="AN299" s="698"/>
      <c r="AO299" s="699"/>
      <c r="AP299" s="698"/>
    </row>
    <row r="300" spans="1:42" ht="14.85" customHeight="1" x14ac:dyDescent="0.25">
      <c r="A300" s="611"/>
      <c r="B300" s="614"/>
      <c r="C300" s="617"/>
      <c r="D300" s="620"/>
      <c r="E300" s="130" t="s">
        <v>32</v>
      </c>
      <c r="F300" s="592">
        <f>IFERROR(VLOOKUP($B298,اسماء,25,0),0)</f>
        <v>0</v>
      </c>
      <c r="G300" s="593"/>
      <c r="H300" s="594">
        <f>IFERROR(VLOOKUP($B298,اسماء,26,0),0)</f>
        <v>0</v>
      </c>
      <c r="I300" s="595"/>
      <c r="J300" s="592">
        <f>IFERROR(VLOOKUP($B298,اسماء,27,0),0)</f>
        <v>0</v>
      </c>
      <c r="K300" s="593"/>
      <c r="L300" s="594">
        <f>IFERROR(VLOOKUP($B298,اسماء,28,0),0)</f>
        <v>0</v>
      </c>
      <c r="M300" s="596"/>
      <c r="N300" s="594">
        <f>IFERROR(VLOOKUP($B298,اسماء,29,0),0)</f>
        <v>0</v>
      </c>
      <c r="O300" s="596"/>
      <c r="P300" s="592">
        <f>IFERROR(VLOOKUP($B298,اسماء,30,0),0)</f>
        <v>0</v>
      </c>
      <c r="Q300" s="595"/>
      <c r="R300" s="372">
        <f t="shared" si="756"/>
        <v>0</v>
      </c>
      <c r="S300" s="305" t="str">
        <f>IFERROR(VLOOKUP($B298,اسماء,34,0),"")</f>
        <v/>
      </c>
      <c r="T300" s="306" t="str">
        <f>IFERROR(VLOOKUP($B298,اسماء,35,0),"")</f>
        <v/>
      </c>
      <c r="U300" s="122" t="str">
        <f>IFERROR(VLOOKUP($B298,اسماء,36,0),"")</f>
        <v/>
      </c>
      <c r="V300" s="605"/>
      <c r="W300" s="20" t="str">
        <f t="shared" ref="W300" si="783">LOOKUP(R300,$AF$6:$AG$10)</f>
        <v>ضعيف</v>
      </c>
      <c r="X300" s="640"/>
      <c r="Y300" s="68"/>
      <c r="Z300" s="598"/>
      <c r="AK300" s="667"/>
      <c r="AL300" s="667"/>
      <c r="AM300" s="696"/>
      <c r="AN300" s="698"/>
      <c r="AO300" s="699"/>
      <c r="AP300" s="698"/>
    </row>
    <row r="301" spans="1:42" ht="14.85" customHeight="1" thickBot="1" x14ac:dyDescent="0.3">
      <c r="A301" s="612"/>
      <c r="B301" s="615"/>
      <c r="C301" s="618"/>
      <c r="D301" s="621"/>
      <c r="E301" s="124" t="s">
        <v>33</v>
      </c>
      <c r="F301" s="623">
        <f t="shared" ref="F301" si="784">SUM(F298:G300)</f>
        <v>0</v>
      </c>
      <c r="G301" s="624"/>
      <c r="H301" s="625">
        <f t="shared" ref="H301" si="785">SUM(H298:I300)</f>
        <v>0</v>
      </c>
      <c r="I301" s="626"/>
      <c r="J301" s="623">
        <f t="shared" ref="J301" si="786">SUM(J298:K300)</f>
        <v>0</v>
      </c>
      <c r="K301" s="624"/>
      <c r="L301" s="625">
        <f t="shared" ref="L301" si="787">SUM(L298:M300)</f>
        <v>0</v>
      </c>
      <c r="M301" s="642"/>
      <c r="N301" s="625">
        <f t="shared" ref="N301" si="788">SUM(N298:O300)</f>
        <v>0</v>
      </c>
      <c r="O301" s="642"/>
      <c r="P301" s="623">
        <f t="shared" ref="P301" si="789">SUM(P298:Q300)</f>
        <v>0</v>
      </c>
      <c r="Q301" s="626"/>
      <c r="R301" s="88">
        <f t="shared" ref="R301" si="790">IF(AND(F301&gt;=$G$8,H301&gt;=$I$8,J301&gt;=$K$8,L301&gt;=$M$8,N301&gt;=$O$8,P301&gt;=$Q$8),SUM(F301:Q301),0)</f>
        <v>0</v>
      </c>
      <c r="S301" s="251"/>
      <c r="T301" s="97"/>
      <c r="U301" s="94"/>
      <c r="V301" s="606"/>
      <c r="W301" s="88" t="str">
        <f t="shared" ref="W301" si="791">LOOKUP(R301,$AI$6:$AJ$10)</f>
        <v>ضعيف</v>
      </c>
      <c r="X301" s="641"/>
      <c r="Y301" s="68"/>
      <c r="Z301" s="599"/>
      <c r="AK301" s="667"/>
      <c r="AL301" s="667"/>
      <c r="AM301" s="696"/>
      <c r="AN301" s="698"/>
      <c r="AO301" s="699"/>
      <c r="AP301" s="698"/>
    </row>
    <row r="302" spans="1:42" ht="14.85" customHeight="1" thickBot="1" x14ac:dyDescent="0.3">
      <c r="A302" s="610">
        <v>65</v>
      </c>
      <c r="B302" s="613">
        <f>VLOOKUP(A302,مسلسل,2,0)</f>
        <v>0</v>
      </c>
      <c r="C302" s="616" t="str">
        <f>IFERROR(VLOOKUP(B302,اسماء,2,0),"")</f>
        <v/>
      </c>
      <c r="D302" s="619" t="str">
        <f>IFERROR(VLOOKUP($B302,اسماء,3,0),"")</f>
        <v/>
      </c>
      <c r="E302" s="129" t="s">
        <v>30</v>
      </c>
      <c r="F302" s="600">
        <f>IFERROR(VLOOKUP($B302,اسماء,5,0),0)</f>
        <v>0</v>
      </c>
      <c r="G302" s="601"/>
      <c r="H302" s="602">
        <f>IFERROR(VLOOKUP($B302,اسماء,6,0),0)</f>
        <v>0</v>
      </c>
      <c r="I302" s="622"/>
      <c r="J302" s="600">
        <f>IFERROR(VLOOKUP($B302,اسماء,7,0),0)</f>
        <v>0</v>
      </c>
      <c r="K302" s="601"/>
      <c r="L302" s="602">
        <f>IFERROR(VLOOKUP($B302,اسماء,8,0),0)</f>
        <v>0</v>
      </c>
      <c r="M302" s="603"/>
      <c r="N302" s="602">
        <f>IFERROR(VLOOKUP($B302,اسماء,9,0),0)</f>
        <v>0</v>
      </c>
      <c r="O302" s="603"/>
      <c r="P302" s="600">
        <f>IFERROR(VLOOKUP($B302,اسماء,10,0),0)</f>
        <v>0</v>
      </c>
      <c r="Q302" s="622"/>
      <c r="R302" s="371">
        <f t="shared" ref="R302" si="792">SUM(F302:Q302)</f>
        <v>0</v>
      </c>
      <c r="S302" s="213" t="str">
        <f>IFERROR(VLOOKUP($B302,اسماء,12,0),"")</f>
        <v/>
      </c>
      <c r="T302" s="214" t="str">
        <f>IFERROR(VLOOKUP($B302,اسماء,13,0),"")</f>
        <v/>
      </c>
      <c r="U302" s="364" t="str">
        <f>IFERROR(VLOOKUP($B302,اسماء,14,0),"")</f>
        <v/>
      </c>
      <c r="V302" s="604" t="str">
        <f t="shared" ref="V302" si="793">IF(Z302="غائب","راسب",IF(R305&gt;0,"ناجح","مرحل"))</f>
        <v>مرحل</v>
      </c>
      <c r="W302" s="19" t="str">
        <f t="shared" ref="W302:W303" si="794">LOOKUP(R302,$AC$6:$AD$10)</f>
        <v>ضعيف</v>
      </c>
      <c r="X302" s="639">
        <f t="shared" ref="X302" si="795">R305/$AC$3</f>
        <v>0</v>
      </c>
      <c r="Y302" s="8"/>
      <c r="Z302" s="597" t="str">
        <f>IFERROR(VLOOKUP($B302,اسماء,48,0),"")</f>
        <v/>
      </c>
      <c r="AK302" s="667" t="str">
        <f t="shared" ref="AK302" si="796">IF(R305=0,"",R305/1+ROW()*0.00001)</f>
        <v/>
      </c>
      <c r="AL302" s="667">
        <f>B302</f>
        <v>0</v>
      </c>
      <c r="AM302" s="696"/>
      <c r="AN302" s="698">
        <v>65</v>
      </c>
      <c r="AO302" s="699" t="str">
        <f>IFERROR(LARGE($AK$10:$AK$1420,AN302),"")</f>
        <v/>
      </c>
      <c r="AP302" s="698" t="str">
        <f>VLOOKUP(AO302,$AK$10:$AL$1530,2,0)</f>
        <v>امجد عمر عبداللطيف سلطان</v>
      </c>
    </row>
    <row r="303" spans="1:42" ht="14.85" customHeight="1" x14ac:dyDescent="0.25">
      <c r="A303" s="611"/>
      <c r="B303" s="614"/>
      <c r="C303" s="617"/>
      <c r="D303" s="620"/>
      <c r="E303" s="130" t="s">
        <v>31</v>
      </c>
      <c r="F303" s="592">
        <f>IFERROR(VLOOKUP($B302,اسماء,15,0),0)</f>
        <v>0</v>
      </c>
      <c r="G303" s="593"/>
      <c r="H303" s="594">
        <f>IFERROR(VLOOKUP($B302,اسماء,16,0),0)</f>
        <v>0</v>
      </c>
      <c r="I303" s="595"/>
      <c r="J303" s="592">
        <f>IFERROR(VLOOKUP($B302,اسماء,17,0),0)</f>
        <v>0</v>
      </c>
      <c r="K303" s="593"/>
      <c r="L303" s="594">
        <f>IFERROR(VLOOKUP($B302,اسماء,18,0),0)</f>
        <v>0</v>
      </c>
      <c r="M303" s="596"/>
      <c r="N303" s="594">
        <f>IFERROR(VLOOKUP($B302,اسماء,19,0),0)</f>
        <v>0</v>
      </c>
      <c r="O303" s="596"/>
      <c r="P303" s="592">
        <f>IFERROR(VLOOKUP($B302,اسماء,20,0),0)</f>
        <v>0</v>
      </c>
      <c r="Q303" s="595"/>
      <c r="R303" s="372">
        <f t="shared" si="756"/>
        <v>0</v>
      </c>
      <c r="S303" s="305" t="str">
        <f>IFERROR(VLOOKUP($B302,اسماء,23,0),"")</f>
        <v/>
      </c>
      <c r="T303" s="306" t="str">
        <f>IFERROR(VLOOKUP($B302,اسماء,24,0),"")</f>
        <v/>
      </c>
      <c r="U303" s="122" t="str">
        <f>IFERROR(VLOOKUP($B302,اسماء,25,0),"")</f>
        <v/>
      </c>
      <c r="V303" s="605"/>
      <c r="W303" s="19" t="str">
        <f t="shared" si="794"/>
        <v>ضعيف</v>
      </c>
      <c r="X303" s="640"/>
      <c r="Y303" s="68"/>
      <c r="Z303" s="598"/>
      <c r="AK303" s="667"/>
      <c r="AL303" s="667"/>
      <c r="AM303" s="696"/>
      <c r="AN303" s="698"/>
      <c r="AO303" s="699"/>
      <c r="AP303" s="698"/>
    </row>
    <row r="304" spans="1:42" ht="14.85" customHeight="1" x14ac:dyDescent="0.25">
      <c r="A304" s="611"/>
      <c r="B304" s="614"/>
      <c r="C304" s="617"/>
      <c r="D304" s="620"/>
      <c r="E304" s="130" t="s">
        <v>32</v>
      </c>
      <c r="F304" s="592">
        <f>IFERROR(VLOOKUP($B302,اسماء,25,0),0)</f>
        <v>0</v>
      </c>
      <c r="G304" s="593"/>
      <c r="H304" s="594">
        <f>IFERROR(VLOOKUP($B302,اسماء,26,0),0)</f>
        <v>0</v>
      </c>
      <c r="I304" s="595"/>
      <c r="J304" s="592">
        <f>IFERROR(VLOOKUP($B302,اسماء,27,0),0)</f>
        <v>0</v>
      </c>
      <c r="K304" s="593"/>
      <c r="L304" s="594">
        <f>IFERROR(VLOOKUP($B302,اسماء,28,0),0)</f>
        <v>0</v>
      </c>
      <c r="M304" s="596"/>
      <c r="N304" s="594">
        <f>IFERROR(VLOOKUP($B302,اسماء,29,0),0)</f>
        <v>0</v>
      </c>
      <c r="O304" s="596"/>
      <c r="P304" s="592">
        <f>IFERROR(VLOOKUP($B302,اسماء,30,0),0)</f>
        <v>0</v>
      </c>
      <c r="Q304" s="595"/>
      <c r="R304" s="372">
        <f t="shared" si="756"/>
        <v>0</v>
      </c>
      <c r="S304" s="305" t="str">
        <f>IFERROR(VLOOKUP($B302,اسماء,34,0),"")</f>
        <v/>
      </c>
      <c r="T304" s="306" t="str">
        <f>IFERROR(VLOOKUP($B302,اسماء,35,0),"")</f>
        <v/>
      </c>
      <c r="U304" s="122" t="str">
        <f>IFERROR(VLOOKUP($B302,اسماء,36,0),"")</f>
        <v/>
      </c>
      <c r="V304" s="605"/>
      <c r="W304" s="20" t="str">
        <f t="shared" ref="W304" si="797">LOOKUP(R304,$AF$6:$AG$10)</f>
        <v>ضعيف</v>
      </c>
      <c r="X304" s="640"/>
      <c r="Y304" s="68"/>
      <c r="Z304" s="598"/>
      <c r="AK304" s="667"/>
      <c r="AL304" s="667"/>
      <c r="AM304" s="696"/>
      <c r="AN304" s="698"/>
      <c r="AO304" s="699"/>
      <c r="AP304" s="698"/>
    </row>
    <row r="305" spans="1:42" ht="14.85" customHeight="1" thickBot="1" x14ac:dyDescent="0.3">
      <c r="A305" s="612"/>
      <c r="B305" s="615"/>
      <c r="C305" s="618"/>
      <c r="D305" s="621"/>
      <c r="E305" s="124" t="s">
        <v>33</v>
      </c>
      <c r="F305" s="623">
        <f t="shared" ref="F305" si="798">SUM(F302:G304)</f>
        <v>0</v>
      </c>
      <c r="G305" s="624"/>
      <c r="H305" s="625">
        <f t="shared" ref="H305" si="799">SUM(H302:I304)</f>
        <v>0</v>
      </c>
      <c r="I305" s="626"/>
      <c r="J305" s="623">
        <f t="shared" ref="J305" si="800">SUM(J302:K304)</f>
        <v>0</v>
      </c>
      <c r="K305" s="624"/>
      <c r="L305" s="625">
        <f t="shared" ref="L305" si="801">SUM(L302:M304)</f>
        <v>0</v>
      </c>
      <c r="M305" s="642"/>
      <c r="N305" s="625">
        <f t="shared" ref="N305" si="802">SUM(N302:O304)</f>
        <v>0</v>
      </c>
      <c r="O305" s="642"/>
      <c r="P305" s="623">
        <f t="shared" ref="P305" si="803">SUM(P302:Q304)</f>
        <v>0</v>
      </c>
      <c r="Q305" s="626"/>
      <c r="R305" s="88">
        <f t="shared" ref="R305" si="804">IF(AND(F305&gt;=$G$8,H305&gt;=$I$8,J305&gt;=$K$8,L305&gt;=$M$8,N305&gt;=$O$8,P305&gt;=$Q$8),SUM(F305:Q305),0)</f>
        <v>0</v>
      </c>
      <c r="S305" s="251"/>
      <c r="T305" s="97"/>
      <c r="U305" s="94"/>
      <c r="V305" s="606"/>
      <c r="W305" s="88" t="str">
        <f t="shared" ref="W305" si="805">LOOKUP(R305,$AI$6:$AJ$10)</f>
        <v>ضعيف</v>
      </c>
      <c r="X305" s="641"/>
      <c r="Y305" s="8"/>
      <c r="Z305" s="599"/>
      <c r="AK305" s="667"/>
      <c r="AL305" s="667"/>
      <c r="AM305" s="696"/>
      <c r="AN305" s="698"/>
      <c r="AO305" s="699"/>
      <c r="AP305" s="698"/>
    </row>
    <row r="306" spans="1:42" ht="14.85" customHeight="1" thickBot="1" x14ac:dyDescent="0.3">
      <c r="A306" s="610">
        <v>66</v>
      </c>
      <c r="B306" s="613">
        <f>VLOOKUP(A306,مسلسل,2,0)</f>
        <v>0</v>
      </c>
      <c r="C306" s="616" t="str">
        <f>IFERROR(VLOOKUP(B306,اسماء,2,0),"")</f>
        <v/>
      </c>
      <c r="D306" s="619" t="str">
        <f>IFERROR(VLOOKUP($B306,اسماء,3,0),"")</f>
        <v/>
      </c>
      <c r="E306" s="129" t="s">
        <v>30</v>
      </c>
      <c r="F306" s="600">
        <f>IFERROR(VLOOKUP($B306,اسماء,5,0),0)</f>
        <v>0</v>
      </c>
      <c r="G306" s="601"/>
      <c r="H306" s="602">
        <f>IFERROR(VLOOKUP($B306,اسماء,6,0),0)</f>
        <v>0</v>
      </c>
      <c r="I306" s="622"/>
      <c r="J306" s="600">
        <f>IFERROR(VLOOKUP($B306,اسماء,7,0),0)</f>
        <v>0</v>
      </c>
      <c r="K306" s="601"/>
      <c r="L306" s="602">
        <f>IFERROR(VLOOKUP($B306,اسماء,8,0),0)</f>
        <v>0</v>
      </c>
      <c r="M306" s="603"/>
      <c r="N306" s="602">
        <f>IFERROR(VLOOKUP($B306,اسماء,9,0),0)</f>
        <v>0</v>
      </c>
      <c r="O306" s="603"/>
      <c r="P306" s="600">
        <f>IFERROR(VLOOKUP($B306,اسماء,10,0),0)</f>
        <v>0</v>
      </c>
      <c r="Q306" s="622"/>
      <c r="R306" s="371">
        <f t="shared" ref="R306" si="806">SUM(F306:Q306)</f>
        <v>0</v>
      </c>
      <c r="S306" s="213" t="str">
        <f>IFERROR(VLOOKUP($B306,اسماء,12,0),"")</f>
        <v/>
      </c>
      <c r="T306" s="214" t="str">
        <f>IFERROR(VLOOKUP($B306,اسماء,13,0),"")</f>
        <v/>
      </c>
      <c r="U306" s="364" t="str">
        <f>IFERROR(VLOOKUP($B306,اسماء,14,0),"")</f>
        <v/>
      </c>
      <c r="V306" s="604" t="str">
        <f t="shared" ref="V306" si="807">IF(Z306="غائب","راسب",IF(R309&gt;0,"ناجح","مرحل"))</f>
        <v>مرحل</v>
      </c>
      <c r="W306" s="19" t="str">
        <f t="shared" ref="W306:W307" si="808">LOOKUP(R306,$AC$6:$AD$10)</f>
        <v>ضعيف</v>
      </c>
      <c r="X306" s="639">
        <f t="shared" ref="X306" si="809">R309/$AC$3</f>
        <v>0</v>
      </c>
      <c r="Y306" s="68"/>
      <c r="Z306" s="597" t="str">
        <f>IFERROR(VLOOKUP($B306,اسماء,48,0),"")</f>
        <v/>
      </c>
      <c r="AK306" s="667" t="str">
        <f t="shared" ref="AK306" si="810">IF(R309=0,"",R309/1+ROW()*0.00001)</f>
        <v/>
      </c>
      <c r="AL306" s="667">
        <f>B306</f>
        <v>0</v>
      </c>
      <c r="AM306" s="696"/>
      <c r="AN306" s="698">
        <v>66</v>
      </c>
      <c r="AO306" s="699" t="str">
        <f>IFERROR(LARGE($AK$10:$AK$1420,AN306),"")</f>
        <v/>
      </c>
      <c r="AP306" s="698" t="str">
        <f>VLOOKUP(AO306,$AK$10:$AL$1530,2,0)</f>
        <v>امجد عمر عبداللطيف سلطان</v>
      </c>
    </row>
    <row r="307" spans="1:42" ht="14.85" customHeight="1" x14ac:dyDescent="0.25">
      <c r="A307" s="611"/>
      <c r="B307" s="614"/>
      <c r="C307" s="617"/>
      <c r="D307" s="620"/>
      <c r="E307" s="130" t="s">
        <v>31</v>
      </c>
      <c r="F307" s="592">
        <f>IFERROR(VLOOKUP($B306,اسماء,15,0),0)</f>
        <v>0</v>
      </c>
      <c r="G307" s="593"/>
      <c r="H307" s="594">
        <f>IFERROR(VLOOKUP($B306,اسماء,16,0),0)</f>
        <v>0</v>
      </c>
      <c r="I307" s="595"/>
      <c r="J307" s="592">
        <f>IFERROR(VLOOKUP($B306,اسماء,17,0),0)</f>
        <v>0</v>
      </c>
      <c r="K307" s="593"/>
      <c r="L307" s="594">
        <f>IFERROR(VLOOKUP($B306,اسماء,18,0),0)</f>
        <v>0</v>
      </c>
      <c r="M307" s="596"/>
      <c r="N307" s="594">
        <f>IFERROR(VLOOKUP($B306,اسماء,19,0),0)</f>
        <v>0</v>
      </c>
      <c r="O307" s="596"/>
      <c r="P307" s="592">
        <f>IFERROR(VLOOKUP($B306,اسماء,20,0),0)</f>
        <v>0</v>
      </c>
      <c r="Q307" s="595"/>
      <c r="R307" s="372">
        <f t="shared" si="756"/>
        <v>0</v>
      </c>
      <c r="S307" s="305" t="str">
        <f>IFERROR(VLOOKUP($B306,اسماء,23,0),"")</f>
        <v/>
      </c>
      <c r="T307" s="306" t="str">
        <f>IFERROR(VLOOKUP($B306,اسماء,24,0),"")</f>
        <v/>
      </c>
      <c r="U307" s="122" t="str">
        <f>IFERROR(VLOOKUP($B306,اسماء,25,0),"")</f>
        <v/>
      </c>
      <c r="V307" s="605"/>
      <c r="W307" s="19" t="str">
        <f t="shared" si="808"/>
        <v>ضعيف</v>
      </c>
      <c r="X307" s="640"/>
      <c r="Y307" s="68"/>
      <c r="Z307" s="598"/>
      <c r="AK307" s="667"/>
      <c r="AL307" s="667"/>
      <c r="AM307" s="696"/>
      <c r="AN307" s="698"/>
      <c r="AO307" s="699"/>
      <c r="AP307" s="698"/>
    </row>
    <row r="308" spans="1:42" ht="14.85" customHeight="1" x14ac:dyDescent="0.25">
      <c r="A308" s="611"/>
      <c r="B308" s="614"/>
      <c r="C308" s="617"/>
      <c r="D308" s="620"/>
      <c r="E308" s="130" t="s">
        <v>32</v>
      </c>
      <c r="F308" s="592">
        <f>IFERROR(VLOOKUP($B306,اسماء,25,0),0)</f>
        <v>0</v>
      </c>
      <c r="G308" s="593"/>
      <c r="H308" s="594">
        <f>IFERROR(VLOOKUP($B306,اسماء,26,0),0)</f>
        <v>0</v>
      </c>
      <c r="I308" s="595"/>
      <c r="J308" s="592">
        <f>IFERROR(VLOOKUP($B306,اسماء,27,0),0)</f>
        <v>0</v>
      </c>
      <c r="K308" s="593"/>
      <c r="L308" s="594">
        <f>IFERROR(VLOOKUP($B306,اسماء,28,0),0)</f>
        <v>0</v>
      </c>
      <c r="M308" s="596"/>
      <c r="N308" s="594">
        <f>IFERROR(VLOOKUP($B306,اسماء,29,0),0)</f>
        <v>0</v>
      </c>
      <c r="O308" s="596"/>
      <c r="P308" s="592">
        <f>IFERROR(VLOOKUP($B306,اسماء,30,0),0)</f>
        <v>0</v>
      </c>
      <c r="Q308" s="595"/>
      <c r="R308" s="372">
        <f t="shared" si="756"/>
        <v>0</v>
      </c>
      <c r="S308" s="305" t="str">
        <f>IFERROR(VLOOKUP($B306,اسماء,34,0),"")</f>
        <v/>
      </c>
      <c r="T308" s="306" t="str">
        <f>IFERROR(VLOOKUP($B306,اسماء,35,0),"")</f>
        <v/>
      </c>
      <c r="U308" s="122" t="str">
        <f>IFERROR(VLOOKUP($B306,اسماء,36,0),"")</f>
        <v/>
      </c>
      <c r="V308" s="605"/>
      <c r="W308" s="20" t="str">
        <f t="shared" ref="W308" si="811">LOOKUP(R308,$AF$6:$AG$10)</f>
        <v>ضعيف</v>
      </c>
      <c r="X308" s="640"/>
      <c r="Y308" s="8"/>
      <c r="Z308" s="598"/>
      <c r="AK308" s="667"/>
      <c r="AL308" s="667"/>
      <c r="AM308" s="696"/>
      <c r="AN308" s="698"/>
      <c r="AO308" s="699"/>
      <c r="AP308" s="698"/>
    </row>
    <row r="309" spans="1:42" ht="14.85" customHeight="1" thickBot="1" x14ac:dyDescent="0.3">
      <c r="A309" s="612"/>
      <c r="B309" s="615"/>
      <c r="C309" s="618"/>
      <c r="D309" s="621"/>
      <c r="E309" s="124" t="s">
        <v>33</v>
      </c>
      <c r="F309" s="623">
        <f t="shared" ref="F309" si="812">SUM(F306:G308)</f>
        <v>0</v>
      </c>
      <c r="G309" s="624"/>
      <c r="H309" s="625">
        <f t="shared" ref="H309" si="813">SUM(H306:I308)</f>
        <v>0</v>
      </c>
      <c r="I309" s="626"/>
      <c r="J309" s="623">
        <f t="shared" ref="J309" si="814">SUM(J306:K308)</f>
        <v>0</v>
      </c>
      <c r="K309" s="624"/>
      <c r="L309" s="625">
        <f t="shared" ref="L309" si="815">SUM(L306:M308)</f>
        <v>0</v>
      </c>
      <c r="M309" s="642"/>
      <c r="N309" s="625">
        <f t="shared" ref="N309" si="816">SUM(N306:O308)</f>
        <v>0</v>
      </c>
      <c r="O309" s="642"/>
      <c r="P309" s="623">
        <f t="shared" ref="P309" si="817">SUM(P306:Q308)</f>
        <v>0</v>
      </c>
      <c r="Q309" s="626"/>
      <c r="R309" s="88">
        <f t="shared" ref="R309" si="818">IF(AND(F309&gt;=$G$8,H309&gt;=$I$8,J309&gt;=$K$8,L309&gt;=$M$8,N309&gt;=$O$8,P309&gt;=$Q$8),SUM(F309:Q309),0)</f>
        <v>0</v>
      </c>
      <c r="S309" s="251"/>
      <c r="T309" s="97"/>
      <c r="U309" s="94"/>
      <c r="V309" s="606"/>
      <c r="W309" s="88" t="str">
        <f t="shared" ref="W309" si="819">LOOKUP(R309,$AI$6:$AJ$10)</f>
        <v>ضعيف</v>
      </c>
      <c r="X309" s="641"/>
      <c r="Y309" s="68"/>
      <c r="Z309" s="599"/>
      <c r="AK309" s="667"/>
      <c r="AL309" s="667"/>
      <c r="AM309" s="696"/>
      <c r="AN309" s="698"/>
      <c r="AO309" s="699"/>
      <c r="AP309" s="698"/>
    </row>
    <row r="310" spans="1:42" ht="14.85" customHeight="1" thickBot="1" x14ac:dyDescent="0.3">
      <c r="A310" s="610">
        <v>67</v>
      </c>
      <c r="B310" s="613">
        <f>VLOOKUP(A310,مسلسل,2,0)</f>
        <v>0</v>
      </c>
      <c r="C310" s="616" t="str">
        <f>IFERROR(VLOOKUP(B310,اسماء,2,0),"")</f>
        <v/>
      </c>
      <c r="D310" s="619" t="str">
        <f>IFERROR(VLOOKUP($B310,اسماء,3,0),"")</f>
        <v/>
      </c>
      <c r="E310" s="129" t="s">
        <v>30</v>
      </c>
      <c r="F310" s="600">
        <f>IFERROR(VLOOKUP($B310,اسماء,5,0),0)</f>
        <v>0</v>
      </c>
      <c r="G310" s="601"/>
      <c r="H310" s="602">
        <f>IFERROR(VLOOKUP($B310,اسماء,6,0),0)</f>
        <v>0</v>
      </c>
      <c r="I310" s="622"/>
      <c r="J310" s="600">
        <f>IFERROR(VLOOKUP($B310,اسماء,7,0),0)</f>
        <v>0</v>
      </c>
      <c r="K310" s="601"/>
      <c r="L310" s="602">
        <f>IFERROR(VLOOKUP($B310,اسماء,8,0),0)</f>
        <v>0</v>
      </c>
      <c r="M310" s="603"/>
      <c r="N310" s="602">
        <f>IFERROR(VLOOKUP($B310,اسماء,9,0),0)</f>
        <v>0</v>
      </c>
      <c r="O310" s="603"/>
      <c r="P310" s="600">
        <f>IFERROR(VLOOKUP($B310,اسماء,10,0),0)</f>
        <v>0</v>
      </c>
      <c r="Q310" s="622"/>
      <c r="R310" s="371">
        <f t="shared" ref="R310" si="820">SUM(F310:Q310)</f>
        <v>0</v>
      </c>
      <c r="S310" s="213" t="str">
        <f>IFERROR(VLOOKUP($B310,اسماء,12,0),"")</f>
        <v/>
      </c>
      <c r="T310" s="214" t="str">
        <f>IFERROR(VLOOKUP($B310,اسماء,13,0),"")</f>
        <v/>
      </c>
      <c r="U310" s="364" t="str">
        <f>IFERROR(VLOOKUP($B310,اسماء,14,0),"")</f>
        <v/>
      </c>
      <c r="V310" s="604" t="str">
        <f t="shared" ref="V310" si="821">IF(Z310="غائب","راسب",IF(R313&gt;0,"ناجح","مرحل"))</f>
        <v>مرحل</v>
      </c>
      <c r="W310" s="19" t="str">
        <f t="shared" ref="W310:W311" si="822">LOOKUP(R310,$AC$6:$AD$10)</f>
        <v>ضعيف</v>
      </c>
      <c r="X310" s="639">
        <f t="shared" ref="X310" si="823">R313/$AC$3</f>
        <v>0</v>
      </c>
      <c r="Y310" s="68"/>
      <c r="Z310" s="597" t="str">
        <f>IFERROR(VLOOKUP($B310,اسماء,48,0),"")</f>
        <v/>
      </c>
      <c r="AK310" s="667" t="str">
        <f t="shared" ref="AK310" si="824">IF(R313=0,"",R313/1+ROW()*0.00001)</f>
        <v/>
      </c>
      <c r="AL310" s="667">
        <f>B310</f>
        <v>0</v>
      </c>
      <c r="AM310" s="696"/>
      <c r="AN310" s="698">
        <v>67</v>
      </c>
      <c r="AO310" s="699" t="str">
        <f>IFERROR(LARGE($AK$10:$AK$1420,AN310),"")</f>
        <v/>
      </c>
      <c r="AP310" s="698" t="str">
        <f>VLOOKUP(AO310,$AK$10:$AL$1530,2,0)</f>
        <v>امجد عمر عبداللطيف سلطان</v>
      </c>
    </row>
    <row r="311" spans="1:42" ht="14.85" customHeight="1" x14ac:dyDescent="0.25">
      <c r="A311" s="611"/>
      <c r="B311" s="614"/>
      <c r="C311" s="617"/>
      <c r="D311" s="620"/>
      <c r="E311" s="130" t="s">
        <v>31</v>
      </c>
      <c r="F311" s="592">
        <f>IFERROR(VLOOKUP($B310,اسماء,15,0),0)</f>
        <v>0</v>
      </c>
      <c r="G311" s="593"/>
      <c r="H311" s="594">
        <f>IFERROR(VLOOKUP($B310,اسماء,16,0),0)</f>
        <v>0</v>
      </c>
      <c r="I311" s="595"/>
      <c r="J311" s="592">
        <f>IFERROR(VLOOKUP($B310,اسماء,17,0),0)</f>
        <v>0</v>
      </c>
      <c r="K311" s="593"/>
      <c r="L311" s="594">
        <f>IFERROR(VLOOKUP($B310,اسماء,18,0),0)</f>
        <v>0</v>
      </c>
      <c r="M311" s="596"/>
      <c r="N311" s="594">
        <f>IFERROR(VLOOKUP($B310,اسماء,19,0),0)</f>
        <v>0</v>
      </c>
      <c r="O311" s="596"/>
      <c r="P311" s="592">
        <f>IFERROR(VLOOKUP($B310,اسماء,20,0),0)</f>
        <v>0</v>
      </c>
      <c r="Q311" s="595"/>
      <c r="R311" s="372">
        <f t="shared" si="756"/>
        <v>0</v>
      </c>
      <c r="S311" s="305" t="str">
        <f>IFERROR(VLOOKUP($B310,اسماء,23,0),"")</f>
        <v/>
      </c>
      <c r="T311" s="306" t="str">
        <f>IFERROR(VLOOKUP($B310,اسماء,24,0),"")</f>
        <v/>
      </c>
      <c r="U311" s="122" t="str">
        <f>IFERROR(VLOOKUP($B310,اسماء,25,0),"")</f>
        <v/>
      </c>
      <c r="V311" s="605"/>
      <c r="W311" s="19" t="str">
        <f t="shared" si="822"/>
        <v>ضعيف</v>
      </c>
      <c r="X311" s="640"/>
      <c r="Y311" s="8"/>
      <c r="Z311" s="598"/>
      <c r="AK311" s="667"/>
      <c r="AL311" s="667"/>
      <c r="AM311" s="696"/>
      <c r="AN311" s="698"/>
      <c r="AO311" s="699"/>
      <c r="AP311" s="698"/>
    </row>
    <row r="312" spans="1:42" ht="14.85" customHeight="1" x14ac:dyDescent="0.25">
      <c r="A312" s="611"/>
      <c r="B312" s="614"/>
      <c r="C312" s="617"/>
      <c r="D312" s="620"/>
      <c r="E312" s="130" t="s">
        <v>32</v>
      </c>
      <c r="F312" s="592">
        <f>IFERROR(VLOOKUP($B310,اسماء,25,0),0)</f>
        <v>0</v>
      </c>
      <c r="G312" s="593"/>
      <c r="H312" s="594">
        <f>IFERROR(VLOOKUP($B310,اسماء,26,0),0)</f>
        <v>0</v>
      </c>
      <c r="I312" s="595"/>
      <c r="J312" s="592">
        <f>IFERROR(VLOOKUP($B310,اسماء,27,0),0)</f>
        <v>0</v>
      </c>
      <c r="K312" s="593"/>
      <c r="L312" s="594">
        <f>IFERROR(VLOOKUP($B310,اسماء,28,0),0)</f>
        <v>0</v>
      </c>
      <c r="M312" s="596"/>
      <c r="N312" s="594">
        <f>IFERROR(VLOOKUP($B310,اسماء,29,0),0)</f>
        <v>0</v>
      </c>
      <c r="O312" s="596"/>
      <c r="P312" s="592">
        <f>IFERROR(VLOOKUP($B310,اسماء,30,0),0)</f>
        <v>0</v>
      </c>
      <c r="Q312" s="595"/>
      <c r="R312" s="372">
        <f t="shared" si="756"/>
        <v>0</v>
      </c>
      <c r="S312" s="305" t="str">
        <f>IFERROR(VLOOKUP($B310,اسماء,34,0),"")</f>
        <v/>
      </c>
      <c r="T312" s="306" t="str">
        <f>IFERROR(VLOOKUP($B310,اسماء,35,0),"")</f>
        <v/>
      </c>
      <c r="U312" s="122" t="str">
        <f>IFERROR(VLOOKUP($B310,اسماء,36,0),"")</f>
        <v/>
      </c>
      <c r="V312" s="605"/>
      <c r="W312" s="20" t="str">
        <f t="shared" ref="W312" si="825">LOOKUP(R312,$AF$6:$AG$10)</f>
        <v>ضعيف</v>
      </c>
      <c r="X312" s="640"/>
      <c r="Y312" s="68"/>
      <c r="Z312" s="598"/>
      <c r="AK312" s="667"/>
      <c r="AL312" s="667"/>
      <c r="AM312" s="696"/>
      <c r="AN312" s="698"/>
      <c r="AO312" s="699"/>
      <c r="AP312" s="698"/>
    </row>
    <row r="313" spans="1:42" ht="14.85" customHeight="1" thickBot="1" x14ac:dyDescent="0.3">
      <c r="A313" s="612"/>
      <c r="B313" s="615"/>
      <c r="C313" s="618"/>
      <c r="D313" s="621"/>
      <c r="E313" s="124" t="s">
        <v>33</v>
      </c>
      <c r="F313" s="623">
        <f t="shared" ref="F313" si="826">SUM(F310:G312)</f>
        <v>0</v>
      </c>
      <c r="G313" s="624"/>
      <c r="H313" s="625">
        <f t="shared" ref="H313" si="827">SUM(H310:I312)</f>
        <v>0</v>
      </c>
      <c r="I313" s="626"/>
      <c r="J313" s="623">
        <f t="shared" ref="J313" si="828">SUM(J310:K312)</f>
        <v>0</v>
      </c>
      <c r="K313" s="624"/>
      <c r="L313" s="625">
        <f t="shared" ref="L313" si="829">SUM(L310:M312)</f>
        <v>0</v>
      </c>
      <c r="M313" s="642"/>
      <c r="N313" s="625">
        <f t="shared" ref="N313" si="830">SUM(N310:O312)</f>
        <v>0</v>
      </c>
      <c r="O313" s="642"/>
      <c r="P313" s="623">
        <f t="shared" ref="P313" si="831">SUM(P310:Q312)</f>
        <v>0</v>
      </c>
      <c r="Q313" s="626"/>
      <c r="R313" s="88">
        <f t="shared" ref="R313" si="832">IF(AND(F313&gt;=$G$8,H313&gt;=$I$8,J313&gt;=$K$8,L313&gt;=$M$8,N313&gt;=$O$8,P313&gt;=$Q$8),SUM(F313:Q313),0)</f>
        <v>0</v>
      </c>
      <c r="S313" s="251"/>
      <c r="T313" s="97"/>
      <c r="U313" s="94"/>
      <c r="V313" s="606"/>
      <c r="W313" s="88" t="str">
        <f t="shared" ref="W313" si="833">LOOKUP(R313,$AI$6:$AJ$10)</f>
        <v>ضعيف</v>
      </c>
      <c r="X313" s="641"/>
      <c r="Y313" s="68"/>
      <c r="Z313" s="599"/>
      <c r="AK313" s="667"/>
      <c r="AL313" s="667"/>
      <c r="AM313" s="696"/>
      <c r="AN313" s="698"/>
      <c r="AO313" s="699"/>
      <c r="AP313" s="698"/>
    </row>
    <row r="314" spans="1:42" ht="14.85" customHeight="1" thickBot="1" x14ac:dyDescent="0.3">
      <c r="A314" s="610">
        <v>68</v>
      </c>
      <c r="B314" s="613">
        <f>VLOOKUP(A314,مسلسل,2,0)</f>
        <v>0</v>
      </c>
      <c r="C314" s="616" t="str">
        <f>IFERROR(VLOOKUP(B314,اسماء,2,0),"")</f>
        <v/>
      </c>
      <c r="D314" s="619" t="str">
        <f>IFERROR(VLOOKUP($B314,اسماء,3,0),"")</f>
        <v/>
      </c>
      <c r="E314" s="129" t="s">
        <v>30</v>
      </c>
      <c r="F314" s="600">
        <f>IFERROR(VLOOKUP($B314,اسماء,5,0),0)</f>
        <v>0</v>
      </c>
      <c r="G314" s="601"/>
      <c r="H314" s="602">
        <f>IFERROR(VLOOKUP($B314,اسماء,6,0),0)</f>
        <v>0</v>
      </c>
      <c r="I314" s="622"/>
      <c r="J314" s="600">
        <f>IFERROR(VLOOKUP($B314,اسماء,7,0),0)</f>
        <v>0</v>
      </c>
      <c r="K314" s="601"/>
      <c r="L314" s="602">
        <f>IFERROR(VLOOKUP($B314,اسماء,8,0),0)</f>
        <v>0</v>
      </c>
      <c r="M314" s="603"/>
      <c r="N314" s="602">
        <f>IFERROR(VLOOKUP($B314,اسماء,9,0),0)</f>
        <v>0</v>
      </c>
      <c r="O314" s="603"/>
      <c r="P314" s="600">
        <f>IFERROR(VLOOKUP($B314,اسماء,10,0),0)</f>
        <v>0</v>
      </c>
      <c r="Q314" s="622"/>
      <c r="R314" s="371">
        <f t="shared" ref="R314" si="834">SUM(F314:Q314)</f>
        <v>0</v>
      </c>
      <c r="S314" s="213" t="str">
        <f>IFERROR(VLOOKUP($B314,اسماء,12,0),"")</f>
        <v/>
      </c>
      <c r="T314" s="214" t="str">
        <f>IFERROR(VLOOKUP($B314,اسماء,13,0),"")</f>
        <v/>
      </c>
      <c r="U314" s="364" t="str">
        <f>IFERROR(VLOOKUP($B314,اسماء,14,0),"")</f>
        <v/>
      </c>
      <c r="V314" s="604" t="str">
        <f t="shared" ref="V314" si="835">IF(Z314="غائب","راسب",IF(R317&gt;0,"ناجح","مرحل"))</f>
        <v>مرحل</v>
      </c>
      <c r="W314" s="19" t="str">
        <f t="shared" ref="W314:W315" si="836">LOOKUP(R314,$AC$6:$AD$10)</f>
        <v>ضعيف</v>
      </c>
      <c r="X314" s="639">
        <f t="shared" ref="X314" si="837">R317/$AC$3</f>
        <v>0</v>
      </c>
      <c r="Y314" s="8"/>
      <c r="Z314" s="597" t="str">
        <f>IFERROR(VLOOKUP($B314,اسماء,48,0),"")</f>
        <v/>
      </c>
      <c r="AK314" s="667" t="str">
        <f t="shared" ref="AK314" si="838">IF(R317=0,"",R317/1+ROW()*0.00001)</f>
        <v/>
      </c>
      <c r="AL314" s="667">
        <f>B314</f>
        <v>0</v>
      </c>
      <c r="AM314" s="696"/>
      <c r="AN314" s="698">
        <v>68</v>
      </c>
      <c r="AO314" s="699" t="str">
        <f>IFERROR(LARGE($AK$10:$AK$1420,AN314),"")</f>
        <v/>
      </c>
      <c r="AP314" s="698" t="str">
        <f>VLOOKUP(AO314,$AK$10:$AL$1530,2,0)</f>
        <v>امجد عمر عبداللطيف سلطان</v>
      </c>
    </row>
    <row r="315" spans="1:42" ht="14.85" customHeight="1" x14ac:dyDescent="0.25">
      <c r="A315" s="611"/>
      <c r="B315" s="614"/>
      <c r="C315" s="617"/>
      <c r="D315" s="620"/>
      <c r="E315" s="130" t="s">
        <v>31</v>
      </c>
      <c r="F315" s="592">
        <f>IFERROR(VLOOKUP($B314,اسماء,15,0),0)</f>
        <v>0</v>
      </c>
      <c r="G315" s="593"/>
      <c r="H315" s="594">
        <f>IFERROR(VLOOKUP($B314,اسماء,16,0),0)</f>
        <v>0</v>
      </c>
      <c r="I315" s="595"/>
      <c r="J315" s="592">
        <f>IFERROR(VLOOKUP($B314,اسماء,17,0),0)</f>
        <v>0</v>
      </c>
      <c r="K315" s="593"/>
      <c r="L315" s="594">
        <f>IFERROR(VLOOKUP($B314,اسماء,18,0),0)</f>
        <v>0</v>
      </c>
      <c r="M315" s="596"/>
      <c r="N315" s="594">
        <f>IFERROR(VLOOKUP($B314,اسماء,19,0),0)</f>
        <v>0</v>
      </c>
      <c r="O315" s="596"/>
      <c r="P315" s="592">
        <f>IFERROR(VLOOKUP($B314,اسماء,20,0),0)</f>
        <v>0</v>
      </c>
      <c r="Q315" s="595"/>
      <c r="R315" s="372">
        <f t="shared" si="756"/>
        <v>0</v>
      </c>
      <c r="S315" s="305" t="str">
        <f>IFERROR(VLOOKUP($B314,اسماء,23,0),"")</f>
        <v/>
      </c>
      <c r="T315" s="306" t="str">
        <f>IFERROR(VLOOKUP($B314,اسماء,24,0),"")</f>
        <v/>
      </c>
      <c r="U315" s="122" t="str">
        <f>IFERROR(VLOOKUP($B314,اسماء,25,0),"")</f>
        <v/>
      </c>
      <c r="V315" s="605"/>
      <c r="W315" s="19" t="str">
        <f t="shared" si="836"/>
        <v>ضعيف</v>
      </c>
      <c r="X315" s="640"/>
      <c r="Y315" s="68"/>
      <c r="Z315" s="598"/>
      <c r="AK315" s="667"/>
      <c r="AL315" s="667"/>
      <c r="AM315" s="696"/>
      <c r="AN315" s="698"/>
      <c r="AO315" s="699"/>
      <c r="AP315" s="698"/>
    </row>
    <row r="316" spans="1:42" ht="14.85" customHeight="1" x14ac:dyDescent="0.25">
      <c r="A316" s="611"/>
      <c r="B316" s="614"/>
      <c r="C316" s="617"/>
      <c r="D316" s="620"/>
      <c r="E316" s="130" t="s">
        <v>32</v>
      </c>
      <c r="F316" s="592">
        <f>IFERROR(VLOOKUP($B314,اسماء,25,0),0)</f>
        <v>0</v>
      </c>
      <c r="G316" s="593"/>
      <c r="H316" s="594">
        <f>IFERROR(VLOOKUP($B314,اسماء,26,0),0)</f>
        <v>0</v>
      </c>
      <c r="I316" s="595"/>
      <c r="J316" s="592">
        <f>IFERROR(VLOOKUP($B314,اسماء,27,0),0)</f>
        <v>0</v>
      </c>
      <c r="K316" s="593"/>
      <c r="L316" s="594">
        <f>IFERROR(VLOOKUP($B314,اسماء,28,0),0)</f>
        <v>0</v>
      </c>
      <c r="M316" s="596"/>
      <c r="N316" s="594">
        <f>IFERROR(VLOOKUP($B314,اسماء,29,0),0)</f>
        <v>0</v>
      </c>
      <c r="O316" s="596"/>
      <c r="P316" s="592">
        <f>IFERROR(VLOOKUP($B314,اسماء,30,0),0)</f>
        <v>0</v>
      </c>
      <c r="Q316" s="595"/>
      <c r="R316" s="372">
        <f t="shared" si="756"/>
        <v>0</v>
      </c>
      <c r="S316" s="305" t="str">
        <f>IFERROR(VLOOKUP($B314,اسماء,34,0),"")</f>
        <v/>
      </c>
      <c r="T316" s="306" t="str">
        <f>IFERROR(VLOOKUP($B314,اسماء,35,0),"")</f>
        <v/>
      </c>
      <c r="U316" s="122" t="str">
        <f>IFERROR(VLOOKUP($B314,اسماء,36,0),"")</f>
        <v/>
      </c>
      <c r="V316" s="605"/>
      <c r="W316" s="20" t="str">
        <f t="shared" ref="W316" si="839">LOOKUP(R316,$AF$6:$AG$10)</f>
        <v>ضعيف</v>
      </c>
      <c r="X316" s="640"/>
      <c r="Y316" s="68"/>
      <c r="Z316" s="598"/>
      <c r="AK316" s="667"/>
      <c r="AL316" s="667"/>
      <c r="AM316" s="696"/>
      <c r="AN316" s="698"/>
      <c r="AO316" s="699"/>
      <c r="AP316" s="698"/>
    </row>
    <row r="317" spans="1:42" ht="14.85" customHeight="1" thickBot="1" x14ac:dyDescent="0.3">
      <c r="A317" s="612"/>
      <c r="B317" s="615"/>
      <c r="C317" s="618"/>
      <c r="D317" s="621"/>
      <c r="E317" s="124" t="s">
        <v>33</v>
      </c>
      <c r="F317" s="623">
        <f t="shared" ref="F317" si="840">SUM(F314:G316)</f>
        <v>0</v>
      </c>
      <c r="G317" s="624"/>
      <c r="H317" s="625">
        <f t="shared" ref="H317" si="841">SUM(H314:I316)</f>
        <v>0</v>
      </c>
      <c r="I317" s="626"/>
      <c r="J317" s="623">
        <f t="shared" ref="J317" si="842">SUM(J314:K316)</f>
        <v>0</v>
      </c>
      <c r="K317" s="624"/>
      <c r="L317" s="625">
        <f t="shared" ref="L317" si="843">SUM(L314:M316)</f>
        <v>0</v>
      </c>
      <c r="M317" s="642"/>
      <c r="N317" s="625">
        <f t="shared" ref="N317" si="844">SUM(N314:O316)</f>
        <v>0</v>
      </c>
      <c r="O317" s="642"/>
      <c r="P317" s="623">
        <f t="shared" ref="P317" si="845">SUM(P314:Q316)</f>
        <v>0</v>
      </c>
      <c r="Q317" s="626"/>
      <c r="R317" s="88">
        <f t="shared" ref="R317" si="846">IF(AND(F317&gt;=$G$8,H317&gt;=$I$8,J317&gt;=$K$8,L317&gt;=$M$8,N317&gt;=$O$8,P317&gt;=$Q$8),SUM(F317:Q317),0)</f>
        <v>0</v>
      </c>
      <c r="S317" s="251"/>
      <c r="T317" s="97"/>
      <c r="U317" s="94"/>
      <c r="V317" s="606"/>
      <c r="W317" s="88" t="str">
        <f t="shared" ref="W317" si="847">LOOKUP(R317,$AI$6:$AJ$10)</f>
        <v>ضعيف</v>
      </c>
      <c r="X317" s="641"/>
      <c r="Y317" s="8"/>
      <c r="Z317" s="599"/>
      <c r="AK317" s="667"/>
      <c r="AL317" s="667"/>
      <c r="AM317" s="696"/>
      <c r="AN317" s="698"/>
      <c r="AO317" s="699"/>
      <c r="AP317" s="698"/>
    </row>
    <row r="318" spans="1:42" ht="14.85" customHeight="1" thickBot="1" x14ac:dyDescent="0.3">
      <c r="A318" s="610">
        <v>69</v>
      </c>
      <c r="B318" s="613">
        <f>VLOOKUP(A318,مسلسل,2,0)</f>
        <v>0</v>
      </c>
      <c r="C318" s="616" t="str">
        <f>IFERROR(VLOOKUP(B318,اسماء,2,0),"")</f>
        <v/>
      </c>
      <c r="D318" s="619" t="str">
        <f>IFERROR(VLOOKUP($B318,اسماء,3,0),"")</f>
        <v/>
      </c>
      <c r="E318" s="129" t="s">
        <v>30</v>
      </c>
      <c r="F318" s="600">
        <f>IFERROR(VLOOKUP($B318,اسماء,5,0),0)</f>
        <v>0</v>
      </c>
      <c r="G318" s="601"/>
      <c r="H318" s="602">
        <f>IFERROR(VLOOKUP($B318,اسماء,6,0),0)</f>
        <v>0</v>
      </c>
      <c r="I318" s="622"/>
      <c r="J318" s="600">
        <f>IFERROR(VLOOKUP($B318,اسماء,7,0),0)</f>
        <v>0</v>
      </c>
      <c r="K318" s="601"/>
      <c r="L318" s="602">
        <f>IFERROR(VLOOKUP($B318,اسماء,8,0),0)</f>
        <v>0</v>
      </c>
      <c r="M318" s="603"/>
      <c r="N318" s="602">
        <f>IFERROR(VLOOKUP($B318,اسماء,9,0),0)</f>
        <v>0</v>
      </c>
      <c r="O318" s="603"/>
      <c r="P318" s="600">
        <f>IFERROR(VLOOKUP($B318,اسماء,10,0),0)</f>
        <v>0</v>
      </c>
      <c r="Q318" s="622"/>
      <c r="R318" s="371">
        <f t="shared" ref="R318" si="848">SUM(F318:Q318)</f>
        <v>0</v>
      </c>
      <c r="S318" s="213" t="str">
        <f>IFERROR(VLOOKUP($B318,اسماء,12,0),"")</f>
        <v/>
      </c>
      <c r="T318" s="214" t="str">
        <f>IFERROR(VLOOKUP($B318,اسماء,13,0),"")</f>
        <v/>
      </c>
      <c r="U318" s="364" t="str">
        <f>IFERROR(VLOOKUP($B318,اسماء,14,0),"")</f>
        <v/>
      </c>
      <c r="V318" s="604" t="str">
        <f t="shared" ref="V318" si="849">IF(Z318="غائب","راسب",IF(R321&gt;0,"ناجح","مرحل"))</f>
        <v>مرحل</v>
      </c>
      <c r="W318" s="19" t="str">
        <f t="shared" ref="W318:W319" si="850">LOOKUP(R318,$AC$6:$AD$10)</f>
        <v>ضعيف</v>
      </c>
      <c r="X318" s="639">
        <f t="shared" ref="X318" si="851">R321/$AC$3</f>
        <v>0</v>
      </c>
      <c r="Y318" s="68"/>
      <c r="Z318" s="597" t="str">
        <f>IFERROR(VLOOKUP($B318,اسماء,48,0),"")</f>
        <v/>
      </c>
      <c r="AK318" s="667" t="str">
        <f t="shared" ref="AK318" si="852">IF(R321=0,"",R321/1+ROW()*0.00001)</f>
        <v/>
      </c>
      <c r="AL318" s="667">
        <f>B318</f>
        <v>0</v>
      </c>
      <c r="AM318" s="696"/>
      <c r="AN318" s="698">
        <v>69</v>
      </c>
      <c r="AO318" s="699" t="str">
        <f>IFERROR(LARGE($AK$10:$AK$1420,AN318),"")</f>
        <v/>
      </c>
      <c r="AP318" s="698" t="str">
        <f>VLOOKUP(AO318,$AK$10:$AL$1530,2,0)</f>
        <v>امجد عمر عبداللطيف سلطان</v>
      </c>
    </row>
    <row r="319" spans="1:42" ht="14.85" customHeight="1" x14ac:dyDescent="0.25">
      <c r="A319" s="611"/>
      <c r="B319" s="614"/>
      <c r="C319" s="617"/>
      <c r="D319" s="620"/>
      <c r="E319" s="130" t="s">
        <v>31</v>
      </c>
      <c r="F319" s="592">
        <f>IFERROR(VLOOKUP($B318,اسماء,15,0),0)</f>
        <v>0</v>
      </c>
      <c r="G319" s="593"/>
      <c r="H319" s="594">
        <f>IFERROR(VLOOKUP($B318,اسماء,16,0),0)</f>
        <v>0</v>
      </c>
      <c r="I319" s="595"/>
      <c r="J319" s="592">
        <f>IFERROR(VLOOKUP($B318,اسماء,17,0),0)</f>
        <v>0</v>
      </c>
      <c r="K319" s="593"/>
      <c r="L319" s="594">
        <f>IFERROR(VLOOKUP($B318,اسماء,18,0),0)</f>
        <v>0</v>
      </c>
      <c r="M319" s="596"/>
      <c r="N319" s="594">
        <f>IFERROR(VLOOKUP($B318,اسماء,19,0),0)</f>
        <v>0</v>
      </c>
      <c r="O319" s="596"/>
      <c r="P319" s="592">
        <f>IFERROR(VLOOKUP($B318,اسماء,20,0),0)</f>
        <v>0</v>
      </c>
      <c r="Q319" s="595"/>
      <c r="R319" s="372">
        <f t="shared" si="756"/>
        <v>0</v>
      </c>
      <c r="S319" s="305" t="str">
        <f>IFERROR(VLOOKUP($B318,اسماء,23,0),"")</f>
        <v/>
      </c>
      <c r="T319" s="306" t="str">
        <f>IFERROR(VLOOKUP($B318,اسماء,24,0),"")</f>
        <v/>
      </c>
      <c r="U319" s="122" t="str">
        <f>IFERROR(VLOOKUP($B318,اسماء,25,0),"")</f>
        <v/>
      </c>
      <c r="V319" s="605"/>
      <c r="W319" s="19" t="str">
        <f t="shared" si="850"/>
        <v>ضعيف</v>
      </c>
      <c r="X319" s="640"/>
      <c r="Y319" s="68"/>
      <c r="Z319" s="598"/>
      <c r="AK319" s="667"/>
      <c r="AL319" s="667"/>
      <c r="AM319" s="696"/>
      <c r="AN319" s="698"/>
      <c r="AO319" s="699"/>
      <c r="AP319" s="698"/>
    </row>
    <row r="320" spans="1:42" ht="14.85" customHeight="1" x14ac:dyDescent="0.25">
      <c r="A320" s="611"/>
      <c r="B320" s="614"/>
      <c r="C320" s="617"/>
      <c r="D320" s="620"/>
      <c r="E320" s="130" t="s">
        <v>32</v>
      </c>
      <c r="F320" s="592">
        <f>IFERROR(VLOOKUP($B318,اسماء,25,0),0)</f>
        <v>0</v>
      </c>
      <c r="G320" s="593"/>
      <c r="H320" s="594">
        <f>IFERROR(VLOOKUP($B318,اسماء,26,0),0)</f>
        <v>0</v>
      </c>
      <c r="I320" s="595"/>
      <c r="J320" s="592">
        <f>IFERROR(VLOOKUP($B318,اسماء,27,0),0)</f>
        <v>0</v>
      </c>
      <c r="K320" s="593"/>
      <c r="L320" s="594">
        <f>IFERROR(VLOOKUP($B318,اسماء,28,0),0)</f>
        <v>0</v>
      </c>
      <c r="M320" s="596"/>
      <c r="N320" s="594">
        <f>IFERROR(VLOOKUP($B318,اسماء,29,0),0)</f>
        <v>0</v>
      </c>
      <c r="O320" s="596"/>
      <c r="P320" s="592">
        <f>IFERROR(VLOOKUP($B318,اسماء,30,0),0)</f>
        <v>0</v>
      </c>
      <c r="Q320" s="595"/>
      <c r="R320" s="372">
        <f t="shared" si="756"/>
        <v>0</v>
      </c>
      <c r="S320" s="305" t="str">
        <f>IFERROR(VLOOKUP($B318,اسماء,34,0),"")</f>
        <v/>
      </c>
      <c r="T320" s="306" t="str">
        <f>IFERROR(VLOOKUP($B318,اسماء,35,0),"")</f>
        <v/>
      </c>
      <c r="U320" s="122" t="str">
        <f>IFERROR(VLOOKUP($B318,اسماء,36,0),"")</f>
        <v/>
      </c>
      <c r="V320" s="605"/>
      <c r="W320" s="20" t="str">
        <f t="shared" ref="W320" si="853">LOOKUP(R320,$AF$6:$AG$10)</f>
        <v>ضعيف</v>
      </c>
      <c r="X320" s="640"/>
      <c r="Y320" s="8"/>
      <c r="Z320" s="598"/>
      <c r="AK320" s="667"/>
      <c r="AL320" s="667"/>
      <c r="AM320" s="696"/>
      <c r="AN320" s="698"/>
      <c r="AO320" s="699"/>
      <c r="AP320" s="698"/>
    </row>
    <row r="321" spans="1:42" ht="14.85" customHeight="1" thickBot="1" x14ac:dyDescent="0.3">
      <c r="A321" s="612"/>
      <c r="B321" s="615"/>
      <c r="C321" s="618"/>
      <c r="D321" s="621"/>
      <c r="E321" s="124" t="s">
        <v>33</v>
      </c>
      <c r="F321" s="623">
        <f t="shared" ref="F321" si="854">SUM(F318:G320)</f>
        <v>0</v>
      </c>
      <c r="G321" s="624"/>
      <c r="H321" s="625">
        <f t="shared" ref="H321" si="855">SUM(H318:I320)</f>
        <v>0</v>
      </c>
      <c r="I321" s="626"/>
      <c r="J321" s="623">
        <f t="shared" ref="J321" si="856">SUM(J318:K320)</f>
        <v>0</v>
      </c>
      <c r="K321" s="624"/>
      <c r="L321" s="625">
        <f t="shared" ref="L321" si="857">SUM(L318:M320)</f>
        <v>0</v>
      </c>
      <c r="M321" s="642"/>
      <c r="N321" s="625">
        <f t="shared" ref="N321" si="858">SUM(N318:O320)</f>
        <v>0</v>
      </c>
      <c r="O321" s="642"/>
      <c r="P321" s="623">
        <f t="shared" ref="P321" si="859">SUM(P318:Q320)</f>
        <v>0</v>
      </c>
      <c r="Q321" s="626"/>
      <c r="R321" s="88">
        <f t="shared" ref="R321" si="860">IF(AND(F321&gt;=$G$8,H321&gt;=$I$8,J321&gt;=$K$8,L321&gt;=$M$8,N321&gt;=$O$8,P321&gt;=$Q$8),SUM(F321:Q321),0)</f>
        <v>0</v>
      </c>
      <c r="S321" s="251"/>
      <c r="T321" s="97"/>
      <c r="U321" s="94"/>
      <c r="V321" s="606"/>
      <c r="W321" s="88" t="str">
        <f t="shared" ref="W321" si="861">LOOKUP(R321,$AI$6:$AJ$10)</f>
        <v>ضعيف</v>
      </c>
      <c r="X321" s="641"/>
      <c r="Y321" s="68"/>
      <c r="Z321" s="599"/>
      <c r="AK321" s="667"/>
      <c r="AL321" s="667"/>
      <c r="AM321" s="696"/>
      <c r="AN321" s="698"/>
      <c r="AO321" s="699"/>
      <c r="AP321" s="698"/>
    </row>
    <row r="322" spans="1:42" ht="14.85" customHeight="1" thickBot="1" x14ac:dyDescent="0.3">
      <c r="A322" s="610">
        <v>70</v>
      </c>
      <c r="B322" s="613">
        <f>VLOOKUP(A322,مسلسل,2,0)</f>
        <v>0</v>
      </c>
      <c r="C322" s="616" t="str">
        <f>IFERROR(VLOOKUP(B322,اسماء,2,0),"")</f>
        <v/>
      </c>
      <c r="D322" s="619" t="str">
        <f>IFERROR(VLOOKUP($B322,اسماء,3,0),"")</f>
        <v/>
      </c>
      <c r="E322" s="129" t="s">
        <v>30</v>
      </c>
      <c r="F322" s="600">
        <f>IFERROR(VLOOKUP($B322,اسماء,5,0),0)</f>
        <v>0</v>
      </c>
      <c r="G322" s="601"/>
      <c r="H322" s="602">
        <f>IFERROR(VLOOKUP($B322,اسماء,6,0),0)</f>
        <v>0</v>
      </c>
      <c r="I322" s="622"/>
      <c r="J322" s="600">
        <f>IFERROR(VLOOKUP($B322,اسماء,7,0),0)</f>
        <v>0</v>
      </c>
      <c r="K322" s="601"/>
      <c r="L322" s="602">
        <f>IFERROR(VLOOKUP($B322,اسماء,8,0),0)</f>
        <v>0</v>
      </c>
      <c r="M322" s="603"/>
      <c r="N322" s="602">
        <f>IFERROR(VLOOKUP($B322,اسماء,9,0),0)</f>
        <v>0</v>
      </c>
      <c r="O322" s="603"/>
      <c r="P322" s="600">
        <f>IFERROR(VLOOKUP($B322,اسماء,10,0),0)</f>
        <v>0</v>
      </c>
      <c r="Q322" s="622"/>
      <c r="R322" s="371">
        <f t="shared" ref="R322" si="862">SUM(F322:Q322)</f>
        <v>0</v>
      </c>
      <c r="S322" s="213" t="str">
        <f>IFERROR(VLOOKUP($B322,اسماء,12,0),"")</f>
        <v/>
      </c>
      <c r="T322" s="214" t="str">
        <f>IFERROR(VLOOKUP($B322,اسماء,13,0),"")</f>
        <v/>
      </c>
      <c r="U322" s="364" t="str">
        <f>IFERROR(VLOOKUP($B322,اسماء,14,0),"")</f>
        <v/>
      </c>
      <c r="V322" s="604" t="str">
        <f t="shared" ref="V322" si="863">IF(Z322="غائب","راسب",IF(R325&gt;0,"ناجح","مرحل"))</f>
        <v>مرحل</v>
      </c>
      <c r="W322" s="19" t="str">
        <f t="shared" ref="W322:W323" si="864">LOOKUP(R322,$AC$6:$AD$10)</f>
        <v>ضعيف</v>
      </c>
      <c r="X322" s="639">
        <f t="shared" ref="X322" si="865">R325/$AC$3</f>
        <v>0</v>
      </c>
      <c r="Y322" s="68"/>
      <c r="Z322" s="597" t="str">
        <f>IFERROR(VLOOKUP($B322,اسماء,48,0),"")</f>
        <v/>
      </c>
      <c r="AK322" s="667" t="str">
        <f t="shared" ref="AK322" si="866">IF(R325=0,"",R325/1+ROW()*0.00001)</f>
        <v/>
      </c>
      <c r="AL322" s="667">
        <f>B322</f>
        <v>0</v>
      </c>
      <c r="AM322" s="696"/>
      <c r="AN322" s="698">
        <v>70</v>
      </c>
      <c r="AO322" s="699" t="str">
        <f>IFERROR(LARGE($AK$10:$AK$1420,AN322),"")</f>
        <v/>
      </c>
      <c r="AP322" s="698" t="str">
        <f>VLOOKUP(AO322,$AK$10:$AL$1530,2,0)</f>
        <v>امجد عمر عبداللطيف سلطان</v>
      </c>
    </row>
    <row r="323" spans="1:42" ht="14.85" customHeight="1" x14ac:dyDescent="0.25">
      <c r="A323" s="611"/>
      <c r="B323" s="614"/>
      <c r="C323" s="617"/>
      <c r="D323" s="620"/>
      <c r="E323" s="130" t="s">
        <v>31</v>
      </c>
      <c r="F323" s="592">
        <f>IFERROR(VLOOKUP($B322,اسماء,15,0),0)</f>
        <v>0</v>
      </c>
      <c r="G323" s="593"/>
      <c r="H323" s="594">
        <f>IFERROR(VLOOKUP($B322,اسماء,16,0),0)</f>
        <v>0</v>
      </c>
      <c r="I323" s="595"/>
      <c r="J323" s="592">
        <f>IFERROR(VLOOKUP($B322,اسماء,17,0),0)</f>
        <v>0</v>
      </c>
      <c r="K323" s="593"/>
      <c r="L323" s="594">
        <f>IFERROR(VLOOKUP($B322,اسماء,18,0),0)</f>
        <v>0</v>
      </c>
      <c r="M323" s="596"/>
      <c r="N323" s="594">
        <f>IFERROR(VLOOKUP($B322,اسماء,19,0),0)</f>
        <v>0</v>
      </c>
      <c r="O323" s="596"/>
      <c r="P323" s="592">
        <f>IFERROR(VLOOKUP($B322,اسماء,20,0),0)</f>
        <v>0</v>
      </c>
      <c r="Q323" s="595"/>
      <c r="R323" s="372">
        <f t="shared" si="756"/>
        <v>0</v>
      </c>
      <c r="S323" s="305" t="str">
        <f>IFERROR(VLOOKUP($B322,اسماء,23,0),"")</f>
        <v/>
      </c>
      <c r="T323" s="306" t="str">
        <f>IFERROR(VLOOKUP($B322,اسماء,24,0),"")</f>
        <v/>
      </c>
      <c r="U323" s="122" t="str">
        <f>IFERROR(VLOOKUP($B322,اسماء,25,0),"")</f>
        <v/>
      </c>
      <c r="V323" s="605"/>
      <c r="W323" s="19" t="str">
        <f t="shared" si="864"/>
        <v>ضعيف</v>
      </c>
      <c r="X323" s="640"/>
      <c r="Y323" s="8"/>
      <c r="Z323" s="598"/>
      <c r="AK323" s="667"/>
      <c r="AL323" s="667"/>
      <c r="AM323" s="696"/>
      <c r="AN323" s="698"/>
      <c r="AO323" s="699"/>
      <c r="AP323" s="698"/>
    </row>
    <row r="324" spans="1:42" ht="14.85" customHeight="1" x14ac:dyDescent="0.25">
      <c r="A324" s="611"/>
      <c r="B324" s="614"/>
      <c r="C324" s="617"/>
      <c r="D324" s="620"/>
      <c r="E324" s="130" t="s">
        <v>32</v>
      </c>
      <c r="F324" s="592">
        <f>IFERROR(VLOOKUP($B322,اسماء,25,0),0)</f>
        <v>0</v>
      </c>
      <c r="G324" s="593"/>
      <c r="H324" s="594">
        <f>IFERROR(VLOOKUP($B322,اسماء,26,0),0)</f>
        <v>0</v>
      </c>
      <c r="I324" s="595"/>
      <c r="J324" s="592">
        <f>IFERROR(VLOOKUP($B322,اسماء,27,0),0)</f>
        <v>0</v>
      </c>
      <c r="K324" s="593"/>
      <c r="L324" s="594">
        <f>IFERROR(VLOOKUP($B322,اسماء,28,0),0)</f>
        <v>0</v>
      </c>
      <c r="M324" s="596"/>
      <c r="N324" s="594">
        <f>IFERROR(VLOOKUP($B322,اسماء,29,0),0)</f>
        <v>0</v>
      </c>
      <c r="O324" s="596"/>
      <c r="P324" s="592">
        <f>IFERROR(VLOOKUP($B322,اسماء,30,0),0)</f>
        <v>0</v>
      </c>
      <c r="Q324" s="595"/>
      <c r="R324" s="372">
        <f t="shared" si="756"/>
        <v>0</v>
      </c>
      <c r="S324" s="305" t="str">
        <f>IFERROR(VLOOKUP($B322,اسماء,34,0),"")</f>
        <v/>
      </c>
      <c r="T324" s="306" t="str">
        <f>IFERROR(VLOOKUP($B322,اسماء,35,0),"")</f>
        <v/>
      </c>
      <c r="U324" s="122" t="str">
        <f>IFERROR(VLOOKUP($B322,اسماء,36,0),"")</f>
        <v/>
      </c>
      <c r="V324" s="605"/>
      <c r="W324" s="20" t="str">
        <f t="shared" ref="W324" si="867">LOOKUP(R324,$AF$6:$AG$10)</f>
        <v>ضعيف</v>
      </c>
      <c r="X324" s="640"/>
      <c r="Y324" s="68"/>
      <c r="Z324" s="598"/>
      <c r="AK324" s="667"/>
      <c r="AL324" s="667"/>
      <c r="AM324" s="696"/>
      <c r="AN324" s="698"/>
      <c r="AO324" s="699"/>
      <c r="AP324" s="698"/>
    </row>
    <row r="325" spans="1:42" ht="14.85" customHeight="1" thickBot="1" x14ac:dyDescent="0.3">
      <c r="A325" s="612"/>
      <c r="B325" s="615"/>
      <c r="C325" s="618"/>
      <c r="D325" s="621"/>
      <c r="E325" s="124" t="s">
        <v>33</v>
      </c>
      <c r="F325" s="623">
        <f t="shared" ref="F325" si="868">SUM(F322:G324)</f>
        <v>0</v>
      </c>
      <c r="G325" s="624"/>
      <c r="H325" s="625">
        <f t="shared" ref="H325" si="869">SUM(H322:I324)</f>
        <v>0</v>
      </c>
      <c r="I325" s="626"/>
      <c r="J325" s="623">
        <f t="shared" ref="J325" si="870">SUM(J322:K324)</f>
        <v>0</v>
      </c>
      <c r="K325" s="624"/>
      <c r="L325" s="625">
        <f t="shared" ref="L325" si="871">SUM(L322:M324)</f>
        <v>0</v>
      </c>
      <c r="M325" s="642"/>
      <c r="N325" s="625">
        <f t="shared" ref="N325" si="872">SUM(N322:O324)</f>
        <v>0</v>
      </c>
      <c r="O325" s="642"/>
      <c r="P325" s="623">
        <f t="shared" ref="P325" si="873">SUM(P322:Q324)</f>
        <v>0</v>
      </c>
      <c r="Q325" s="626"/>
      <c r="R325" s="88">
        <f t="shared" ref="R325" si="874">IF(AND(F325&gt;=$G$8,H325&gt;=$I$8,J325&gt;=$K$8,L325&gt;=$M$8,N325&gt;=$O$8,P325&gt;=$Q$8),SUM(F325:Q325),0)</f>
        <v>0</v>
      </c>
      <c r="S325" s="251"/>
      <c r="T325" s="97"/>
      <c r="U325" s="94"/>
      <c r="V325" s="606"/>
      <c r="W325" s="88" t="str">
        <f t="shared" ref="W325" si="875">LOOKUP(R325,$AI$6:$AJ$10)</f>
        <v>ضعيف</v>
      </c>
      <c r="X325" s="641"/>
      <c r="Y325" s="68"/>
      <c r="Z325" s="599"/>
      <c r="AK325" s="667"/>
      <c r="AL325" s="667"/>
      <c r="AM325" s="696"/>
      <c r="AN325" s="698"/>
      <c r="AO325" s="699"/>
      <c r="AP325" s="698"/>
    </row>
    <row r="326" spans="1:42" ht="14.85" customHeight="1" thickBot="1" x14ac:dyDescent="0.3">
      <c r="F326" s="71"/>
      <c r="G326" s="72"/>
      <c r="H326" s="71"/>
      <c r="I326" s="72"/>
      <c r="J326" s="71"/>
      <c r="K326" s="72"/>
      <c r="L326" s="71"/>
      <c r="M326" s="72"/>
      <c r="N326" s="71"/>
      <c r="O326" s="72"/>
      <c r="P326" s="71"/>
      <c r="Q326" s="72"/>
      <c r="R326" s="70"/>
      <c r="S326" s="73"/>
      <c r="T326" s="70"/>
      <c r="U326" s="70"/>
      <c r="V326" s="70"/>
      <c r="W326" s="70"/>
      <c r="X326" s="254"/>
      <c r="Y326" s="68"/>
      <c r="AH326" s="74"/>
    </row>
    <row r="327" spans="1:42" customFormat="1" ht="14.85" customHeight="1" x14ac:dyDescent="0.3">
      <c r="A327" s="668" t="s">
        <v>9</v>
      </c>
      <c r="B327" s="669"/>
      <c r="C327" s="670"/>
      <c r="D327" s="277" t="s">
        <v>11</v>
      </c>
      <c r="E327" s="674" t="s">
        <v>96</v>
      </c>
      <c r="F327" s="663"/>
      <c r="G327" s="663"/>
      <c r="H327" s="663"/>
      <c r="I327" s="663"/>
      <c r="J327" s="7"/>
      <c r="K327" s="7"/>
      <c r="L327" s="7"/>
      <c r="M327" s="7"/>
      <c r="N327" s="7"/>
      <c r="O327" s="7"/>
      <c r="P327" s="7"/>
      <c r="Q327" s="663" t="s">
        <v>156</v>
      </c>
      <c r="R327" s="663"/>
      <c r="S327" s="663"/>
      <c r="T327" s="663"/>
      <c r="U327" s="663"/>
      <c r="V327" s="663"/>
      <c r="W327" s="1"/>
      <c r="X327" s="255"/>
      <c r="Z327" s="75"/>
      <c r="AA327" s="76"/>
      <c r="AB327" s="76"/>
      <c r="AC327" s="76"/>
      <c r="AD327" s="76"/>
    </row>
    <row r="328" spans="1:42" customFormat="1" ht="14.85" customHeight="1" x14ac:dyDescent="0.25">
      <c r="A328" s="77" t="s">
        <v>8</v>
      </c>
      <c r="B328" s="671">
        <f>ادخال1!$BJ$3</f>
        <v>0</v>
      </c>
      <c r="C328" s="672"/>
      <c r="D328" s="278"/>
      <c r="E328" s="7" t="s">
        <v>9</v>
      </c>
      <c r="F328" s="673" t="str">
        <f>ادخال1!$BJ$5</f>
        <v>د. عبدالرحمن خليفة العريبي</v>
      </c>
      <c r="G328" s="673"/>
      <c r="H328" s="673"/>
      <c r="I328" s="673"/>
      <c r="J328" s="673"/>
      <c r="K328" s="673"/>
      <c r="L328" s="673"/>
      <c r="M328" s="673"/>
      <c r="N328" s="673"/>
      <c r="O328" s="673"/>
      <c r="P328" s="7"/>
      <c r="Q328" s="673" t="str">
        <f>ادخال1!$BJ$6</f>
        <v>تاجوراء</v>
      </c>
      <c r="R328" s="673"/>
      <c r="S328" s="673"/>
      <c r="T328" s="673"/>
      <c r="U328" s="673"/>
      <c r="V328" s="673"/>
      <c r="W328" s="673"/>
      <c r="X328" s="63"/>
      <c r="Y328" s="63"/>
      <c r="Z328" s="75"/>
      <c r="AA328" s="75"/>
      <c r="AB328" s="75"/>
      <c r="AC328" s="75"/>
    </row>
    <row r="329" spans="1:42" customFormat="1" ht="14.85" customHeight="1" thickBot="1" x14ac:dyDescent="0.3">
      <c r="A329" s="78" t="s">
        <v>97</v>
      </c>
      <c r="B329" s="665">
        <f>ادخال1!$BJ$4</f>
        <v>0</v>
      </c>
      <c r="C329" s="666"/>
      <c r="D329" s="279"/>
      <c r="E329" s="7" t="s">
        <v>11</v>
      </c>
      <c r="F329" s="667"/>
      <c r="G329" s="667"/>
      <c r="H329" s="667"/>
      <c r="I329" s="667"/>
      <c r="J329" s="667"/>
      <c r="K329" s="667"/>
      <c r="L329" s="667"/>
      <c r="M329" s="667"/>
      <c r="N329" s="667"/>
      <c r="O329" s="667"/>
      <c r="P329" s="7"/>
      <c r="Q329" s="7" t="s">
        <v>11</v>
      </c>
      <c r="R329" s="1"/>
      <c r="S329" s="1"/>
      <c r="T329" s="1"/>
      <c r="U329" s="1"/>
      <c r="V329" s="1"/>
      <c r="W329" s="1"/>
      <c r="X329" s="255"/>
      <c r="Z329" s="75"/>
      <c r="AA329" s="75"/>
      <c r="AB329" s="75"/>
      <c r="AC329" s="75"/>
    </row>
    <row r="330" spans="1:42" customFormat="1" ht="14.85" customHeight="1" x14ac:dyDescent="0.25">
      <c r="A330" s="663" t="s">
        <v>98</v>
      </c>
      <c r="B330" s="663"/>
      <c r="C330" s="663"/>
      <c r="D330" s="663"/>
      <c r="E330" s="663" t="s">
        <v>99</v>
      </c>
      <c r="F330" s="663"/>
      <c r="G330" s="663"/>
      <c r="H330" s="663"/>
      <c r="I330" s="663"/>
      <c r="J330" s="663"/>
      <c r="K330" s="663"/>
      <c r="L330" s="663"/>
      <c r="M330" s="663"/>
      <c r="N330" s="663"/>
      <c r="O330" s="663"/>
      <c r="P330" s="663"/>
      <c r="Q330" s="663"/>
      <c r="R330" s="7"/>
      <c r="S330" s="664">
        <f ca="1">TODAY()</f>
        <v>46009</v>
      </c>
      <c r="T330" s="664"/>
      <c r="U330" s="664"/>
      <c r="V330" s="664"/>
      <c r="W330" s="664"/>
      <c r="X330" s="255"/>
    </row>
    <row r="331" spans="1:42" customFormat="1" ht="14.85" customHeight="1" thickBot="1" x14ac:dyDescent="0.3">
      <c r="A331" s="7"/>
      <c r="B331" s="663" t="s">
        <v>100</v>
      </c>
      <c r="C331" s="663"/>
      <c r="D331" s="663"/>
      <c r="E331" s="663" t="s">
        <v>101</v>
      </c>
      <c r="F331" s="663"/>
      <c r="G331" s="663"/>
      <c r="H331" s="663"/>
      <c r="I331" s="663"/>
      <c r="J331" s="663"/>
      <c r="K331" s="663"/>
      <c r="L331" s="663"/>
      <c r="M331" s="663"/>
      <c r="N331" s="663"/>
      <c r="O331" s="663"/>
      <c r="P331" s="663"/>
      <c r="Q331" s="663"/>
      <c r="R331" s="1"/>
      <c r="S331" s="1"/>
      <c r="T331" s="1"/>
      <c r="U331" s="1"/>
      <c r="V331" s="1"/>
      <c r="W331" s="1"/>
      <c r="X331" s="255"/>
    </row>
    <row r="332" spans="1:42" ht="14.85" customHeight="1" thickBot="1" x14ac:dyDescent="0.3">
      <c r="A332" s="610">
        <v>71</v>
      </c>
      <c r="B332" s="613">
        <f>VLOOKUP(A332,مسلسل,2,0)</f>
        <v>0</v>
      </c>
      <c r="C332" s="616" t="str">
        <f>IFERROR(VLOOKUP(B332,اسماء,2,0),"")</f>
        <v/>
      </c>
      <c r="D332" s="619" t="str">
        <f>IFERROR(VLOOKUP($B332,اسماء,3,0),"")</f>
        <v/>
      </c>
      <c r="E332" s="129" t="s">
        <v>30</v>
      </c>
      <c r="F332" s="600">
        <f>IFERROR(VLOOKUP($B332,اسماء,5,0),0)</f>
        <v>0</v>
      </c>
      <c r="G332" s="601"/>
      <c r="H332" s="602">
        <f>IFERROR(VLOOKUP($B332,اسماء,6,0),0)</f>
        <v>0</v>
      </c>
      <c r="I332" s="622"/>
      <c r="J332" s="600">
        <f>IFERROR(VLOOKUP($B332,اسماء,7,0),0)</f>
        <v>0</v>
      </c>
      <c r="K332" s="601"/>
      <c r="L332" s="602">
        <f>IFERROR(VLOOKUP($B332,اسماء,8,0),0)</f>
        <v>0</v>
      </c>
      <c r="M332" s="603"/>
      <c r="N332" s="602">
        <f>IFERROR(VLOOKUP($B332,اسماء,9,0),0)</f>
        <v>0</v>
      </c>
      <c r="O332" s="603"/>
      <c r="P332" s="600">
        <f>IFERROR(VLOOKUP($B332,اسماء,10,0),0)</f>
        <v>0</v>
      </c>
      <c r="Q332" s="622"/>
      <c r="R332" s="371">
        <f>SUM(F332:Q332)</f>
        <v>0</v>
      </c>
      <c r="S332" s="325" t="str">
        <f>IFERROR(VLOOKUP($B332,اسماء,12,0),"")</f>
        <v/>
      </c>
      <c r="T332" s="326" t="str">
        <f>IFERROR(VLOOKUP($B332,اسماء,13,0),"")</f>
        <v/>
      </c>
      <c r="U332" s="92" t="str">
        <f>IFERROR(VLOOKUP($B332,اسماء,14,0),"")</f>
        <v/>
      </c>
      <c r="V332" s="604" t="str">
        <f t="shared" ref="V332" si="876">IF(Z332="غائب","راسب",IF(R335&gt;0,"ناجح","مرحل"))</f>
        <v>مرحل</v>
      </c>
      <c r="W332" s="19" t="str">
        <f t="shared" ref="W332:W333" si="877">LOOKUP(R332,$AC$6:$AD$10)</f>
        <v>ضعيف</v>
      </c>
      <c r="X332" s="639">
        <f t="shared" ref="X332" si="878">R335/$AC$3</f>
        <v>0</v>
      </c>
      <c r="Y332" s="8"/>
      <c r="Z332" s="597" t="str">
        <f>IFERROR(VLOOKUP($B332,اسماء,48,0),"")</f>
        <v/>
      </c>
      <c r="AK332" s="671" t="str">
        <f>IF(R335=0,"",R335/1+ROW()*0.00001)</f>
        <v/>
      </c>
      <c r="AL332" s="671">
        <f>B332</f>
        <v>0</v>
      </c>
      <c r="AM332" s="696"/>
      <c r="AN332" s="698">
        <v>71</v>
      </c>
      <c r="AO332" s="699" t="str">
        <f>IFERROR(LARGE($AK$10:$AK$1420,AN332),"")</f>
        <v/>
      </c>
      <c r="AP332" s="698" t="str">
        <f>VLOOKUP(AO332,$AK$10:$AL$1530,2,0)</f>
        <v>امجد عمر عبداللطيف سلطان</v>
      </c>
    </row>
    <row r="333" spans="1:42" ht="14.85" customHeight="1" x14ac:dyDescent="0.25">
      <c r="A333" s="611"/>
      <c r="B333" s="614"/>
      <c r="C333" s="617"/>
      <c r="D333" s="620"/>
      <c r="E333" s="130" t="s">
        <v>31</v>
      </c>
      <c r="F333" s="592">
        <f>IFERROR(VLOOKUP($B332,اسماء,16,0),0)</f>
        <v>0</v>
      </c>
      <c r="G333" s="593"/>
      <c r="H333" s="594">
        <f>IFERROR(VLOOKUP($B332,اسماء,17,0),0)</f>
        <v>0</v>
      </c>
      <c r="I333" s="595"/>
      <c r="J333" s="592">
        <f>IFERROR(VLOOKUP($B332,اسماء,18,0),0)</f>
        <v>0</v>
      </c>
      <c r="K333" s="593"/>
      <c r="L333" s="594">
        <f>IFERROR(VLOOKUP($B332,اسماء,19,0),0)</f>
        <v>0</v>
      </c>
      <c r="M333" s="596"/>
      <c r="N333" s="594">
        <f>IFERROR(VLOOKUP($B332,اسماء,20,0),0)</f>
        <v>0</v>
      </c>
      <c r="O333" s="596"/>
      <c r="P333" s="592">
        <f>IFERROR(VLOOKUP($B332,اسماء,21,0),0)</f>
        <v>0</v>
      </c>
      <c r="Q333" s="595"/>
      <c r="R333" s="372">
        <f t="shared" ref="R333:R334" si="879">SUM(F333:Q333)</f>
        <v>0</v>
      </c>
      <c r="S333" s="305" t="str">
        <f>IFERROR(VLOOKUP($B332,اسماء,23,0),"")</f>
        <v/>
      </c>
      <c r="T333" s="306" t="str">
        <f>IFERROR(VLOOKUP($B332,اسماء,24,0),"")</f>
        <v/>
      </c>
      <c r="U333" s="122" t="str">
        <f>IFERROR(VLOOKUP($B332,اسماء,25,0),"")</f>
        <v/>
      </c>
      <c r="V333" s="605"/>
      <c r="W333" s="19" t="str">
        <f t="shared" si="877"/>
        <v>ضعيف</v>
      </c>
      <c r="X333" s="640"/>
      <c r="Y333" s="68"/>
      <c r="Z333" s="598"/>
      <c r="AK333" s="671"/>
      <c r="AL333" s="671"/>
      <c r="AM333" s="696"/>
      <c r="AN333" s="698"/>
      <c r="AO333" s="699"/>
      <c r="AP333" s="698"/>
    </row>
    <row r="334" spans="1:42" ht="14.85" customHeight="1" x14ac:dyDescent="0.25">
      <c r="A334" s="611"/>
      <c r="B334" s="614"/>
      <c r="C334" s="617"/>
      <c r="D334" s="620"/>
      <c r="E334" s="130" t="s">
        <v>32</v>
      </c>
      <c r="F334" s="592">
        <f>IFERROR(VLOOKUP($B332,اسماء,27,0),0)</f>
        <v>0</v>
      </c>
      <c r="G334" s="593"/>
      <c r="H334" s="594">
        <f>IFERROR(VLOOKUP($B332,اسماء,28,0),0)</f>
        <v>0</v>
      </c>
      <c r="I334" s="595"/>
      <c r="J334" s="592">
        <f>IFERROR(VLOOKUP($B332,اسماء,29,0),0)</f>
        <v>0</v>
      </c>
      <c r="K334" s="593"/>
      <c r="L334" s="594">
        <f>IFERROR(VLOOKUP($B332,اسماء,30,0),0)</f>
        <v>0</v>
      </c>
      <c r="M334" s="596"/>
      <c r="N334" s="594">
        <f>IFERROR(VLOOKUP($B332,اسماء,31,0),0)</f>
        <v>0</v>
      </c>
      <c r="O334" s="596"/>
      <c r="P334" s="592">
        <f>IFERROR(VLOOKUP($B332,اسماء,32,0),0)</f>
        <v>0</v>
      </c>
      <c r="Q334" s="595"/>
      <c r="R334" s="372">
        <f t="shared" si="879"/>
        <v>0</v>
      </c>
      <c r="S334" s="305" t="str">
        <f>IFERROR(VLOOKUP($B332,اسماء,34,0),"")</f>
        <v/>
      </c>
      <c r="T334" s="306" t="str">
        <f>IFERROR(VLOOKUP($B332,اسماء,35,0),"")</f>
        <v/>
      </c>
      <c r="U334" s="122" t="str">
        <f>IFERROR(VLOOKUP($B332,اسماء,36,0),"")</f>
        <v/>
      </c>
      <c r="V334" s="605"/>
      <c r="W334" s="20" t="str">
        <f t="shared" ref="W334" si="880">LOOKUP(R334,$AF$6:$AG$10)</f>
        <v>ضعيف</v>
      </c>
      <c r="X334" s="640"/>
      <c r="Y334" s="68"/>
      <c r="Z334" s="598"/>
      <c r="AK334" s="671"/>
      <c r="AL334" s="671"/>
      <c r="AM334" s="696"/>
      <c r="AN334" s="698"/>
      <c r="AO334" s="699"/>
      <c r="AP334" s="698"/>
    </row>
    <row r="335" spans="1:42" ht="14.85" customHeight="1" thickBot="1" x14ac:dyDescent="0.3">
      <c r="A335" s="612"/>
      <c r="B335" s="615"/>
      <c r="C335" s="618"/>
      <c r="D335" s="621"/>
      <c r="E335" s="124" t="s">
        <v>33</v>
      </c>
      <c r="F335" s="623">
        <f>SUM(F332:G334)</f>
        <v>0</v>
      </c>
      <c r="G335" s="624"/>
      <c r="H335" s="625">
        <f>SUM(H332:I334)</f>
        <v>0</v>
      </c>
      <c r="I335" s="626"/>
      <c r="J335" s="623">
        <f>SUM(J332:K334)</f>
        <v>0</v>
      </c>
      <c r="K335" s="624"/>
      <c r="L335" s="625">
        <f>SUM(L332:M334)</f>
        <v>0</v>
      </c>
      <c r="M335" s="642"/>
      <c r="N335" s="625">
        <f>SUM(N332:O334)</f>
        <v>0</v>
      </c>
      <c r="O335" s="642"/>
      <c r="P335" s="623">
        <f>SUM(P332:Q334)</f>
        <v>0</v>
      </c>
      <c r="Q335" s="626"/>
      <c r="R335" s="88">
        <f>IF(AND(F335&gt;=$G$8,H335&gt;=$I$8,J335&gt;=$K$8,L335&gt;=$M$8,N335&gt;=$O$8,P335&gt;=$Q$8),SUM(F335:Q335),0)</f>
        <v>0</v>
      </c>
      <c r="S335" s="251"/>
      <c r="T335" s="97"/>
      <c r="U335" s="94"/>
      <c r="V335" s="606"/>
      <c r="W335" s="88" t="str">
        <f t="shared" ref="W335" si="881">LOOKUP(R335,$AI$6:$AJ$10)</f>
        <v>ضعيف</v>
      </c>
      <c r="X335" s="641"/>
      <c r="Y335" s="8"/>
      <c r="Z335" s="599"/>
      <c r="AK335" s="671"/>
      <c r="AL335" s="671"/>
      <c r="AM335" s="696"/>
      <c r="AN335" s="698"/>
      <c r="AO335" s="699"/>
      <c r="AP335" s="698"/>
    </row>
    <row r="336" spans="1:42" ht="14.85" customHeight="1" thickBot="1" x14ac:dyDescent="0.3">
      <c r="A336" s="610">
        <v>72</v>
      </c>
      <c r="B336" s="613">
        <f>VLOOKUP(A336,مسلسل,2,0)</f>
        <v>0</v>
      </c>
      <c r="C336" s="616" t="str">
        <f>IFERROR(VLOOKUP(B336,اسماء,2,0),"")</f>
        <v/>
      </c>
      <c r="D336" s="619" t="str">
        <f>IFERROR(VLOOKUP($B336,اسماء,3,0),"")</f>
        <v/>
      </c>
      <c r="E336" s="129" t="s">
        <v>30</v>
      </c>
      <c r="F336" s="600">
        <f>IFERROR(VLOOKUP($B336,اسماء,5,0),0)</f>
        <v>0</v>
      </c>
      <c r="G336" s="601"/>
      <c r="H336" s="602">
        <f>IFERROR(VLOOKUP($B336,اسماء,6,0),0)</f>
        <v>0</v>
      </c>
      <c r="I336" s="622"/>
      <c r="J336" s="600">
        <f>IFERROR(VLOOKUP($B336,اسماء,7,0),0)</f>
        <v>0</v>
      </c>
      <c r="K336" s="601"/>
      <c r="L336" s="602">
        <f>IFERROR(VLOOKUP($B336,اسماء,8,0),0)</f>
        <v>0</v>
      </c>
      <c r="M336" s="603"/>
      <c r="N336" s="602">
        <f>IFERROR(VLOOKUP($B336,اسماء,9,0),0)</f>
        <v>0</v>
      </c>
      <c r="O336" s="603"/>
      <c r="P336" s="600">
        <f>IFERROR(VLOOKUP($B336,اسماء,10,0),0)</f>
        <v>0</v>
      </c>
      <c r="Q336" s="622"/>
      <c r="R336" s="371">
        <f t="shared" ref="R336:R370" si="882">SUM(F336:Q336)</f>
        <v>0</v>
      </c>
      <c r="S336" s="213" t="str">
        <f>IFERROR(VLOOKUP($B336,اسماء,12,0),"")</f>
        <v/>
      </c>
      <c r="T336" s="214" t="str">
        <f>IFERROR(VLOOKUP($B336,اسماء,13,0),"")</f>
        <v/>
      </c>
      <c r="U336" s="364" t="str">
        <f>IFERROR(VLOOKUP($B336,اسماء,14,0),"")</f>
        <v/>
      </c>
      <c r="V336" s="604" t="str">
        <f t="shared" ref="V336" si="883">IF(Z336="غائب","راسب",IF(R339&gt;0,"ناجح","مرحل"))</f>
        <v>مرحل</v>
      </c>
      <c r="W336" s="19" t="str">
        <f t="shared" ref="W336:W337" si="884">LOOKUP(R336,$AC$6:$AD$10)</f>
        <v>ضعيف</v>
      </c>
      <c r="X336" s="639">
        <f t="shared" ref="X336" si="885">R339/$AC$3</f>
        <v>0</v>
      </c>
      <c r="Y336" s="68"/>
      <c r="Z336" s="597" t="str">
        <f>IFERROR(VLOOKUP($B336,اسماء,48,0),"")</f>
        <v/>
      </c>
      <c r="AK336" s="667" t="str">
        <f t="shared" ref="AK336" si="886">IF(R339=0,"",R339/1+ROW()*0.00001)</f>
        <v/>
      </c>
      <c r="AL336" s="667">
        <f>B336</f>
        <v>0</v>
      </c>
      <c r="AM336" s="696"/>
      <c r="AN336" s="698">
        <v>72</v>
      </c>
      <c r="AO336" s="699" t="str">
        <f>IFERROR(LARGE($AK$10:$AK$1420,AN336),"")</f>
        <v/>
      </c>
      <c r="AP336" s="698" t="str">
        <f>VLOOKUP(AO336,$AK$10:$AL$1530,2,0)</f>
        <v>امجد عمر عبداللطيف سلطان</v>
      </c>
    </row>
    <row r="337" spans="1:42" ht="14.85" customHeight="1" x14ac:dyDescent="0.25">
      <c r="A337" s="611"/>
      <c r="B337" s="614"/>
      <c r="C337" s="617"/>
      <c r="D337" s="620"/>
      <c r="E337" s="130" t="s">
        <v>31</v>
      </c>
      <c r="F337" s="592">
        <f>IFERROR(VLOOKUP($B336,اسماء,15,0),0)</f>
        <v>0</v>
      </c>
      <c r="G337" s="593"/>
      <c r="H337" s="594">
        <f>IFERROR(VLOOKUP($B336,اسماء,16,0),0)</f>
        <v>0</v>
      </c>
      <c r="I337" s="595"/>
      <c r="J337" s="592">
        <f>IFERROR(VLOOKUP($B336,اسماء,17,0),0)</f>
        <v>0</v>
      </c>
      <c r="K337" s="593"/>
      <c r="L337" s="594">
        <f>IFERROR(VLOOKUP($B336,اسماء,18,0),0)</f>
        <v>0</v>
      </c>
      <c r="M337" s="596"/>
      <c r="N337" s="594">
        <f>IFERROR(VLOOKUP($B336,اسماء,19,0),0)</f>
        <v>0</v>
      </c>
      <c r="O337" s="596"/>
      <c r="P337" s="592">
        <f>IFERROR(VLOOKUP($B336,اسماء,20,0),0)</f>
        <v>0</v>
      </c>
      <c r="Q337" s="595"/>
      <c r="R337" s="372">
        <f t="shared" si="882"/>
        <v>0</v>
      </c>
      <c r="S337" s="305" t="str">
        <f>IFERROR(VLOOKUP($B336,اسماء,23,0),"")</f>
        <v/>
      </c>
      <c r="T337" s="306" t="str">
        <f>IFERROR(VLOOKUP($B336,اسماء,24,0),"")</f>
        <v/>
      </c>
      <c r="U337" s="122" t="str">
        <f>IFERROR(VLOOKUP($B336,اسماء,25,0),"")</f>
        <v/>
      </c>
      <c r="V337" s="605"/>
      <c r="W337" s="19" t="str">
        <f t="shared" si="884"/>
        <v>ضعيف</v>
      </c>
      <c r="X337" s="640"/>
      <c r="Y337" s="68"/>
      <c r="Z337" s="598"/>
      <c r="AK337" s="667"/>
      <c r="AL337" s="667"/>
      <c r="AM337" s="696"/>
      <c r="AN337" s="698"/>
      <c r="AO337" s="699"/>
      <c r="AP337" s="698"/>
    </row>
    <row r="338" spans="1:42" ht="14.85" customHeight="1" x14ac:dyDescent="0.25">
      <c r="A338" s="611"/>
      <c r="B338" s="614"/>
      <c r="C338" s="617"/>
      <c r="D338" s="620"/>
      <c r="E338" s="130" t="s">
        <v>32</v>
      </c>
      <c r="F338" s="592">
        <f>IFERROR(VLOOKUP($B336,اسماء,25,0),0)</f>
        <v>0</v>
      </c>
      <c r="G338" s="593"/>
      <c r="H338" s="594">
        <f>IFERROR(VLOOKUP($B336,اسماء,26,0),0)</f>
        <v>0</v>
      </c>
      <c r="I338" s="595"/>
      <c r="J338" s="592">
        <f>IFERROR(VLOOKUP($B336,اسماء,27,0),0)</f>
        <v>0</v>
      </c>
      <c r="K338" s="593"/>
      <c r="L338" s="594">
        <f>IFERROR(VLOOKUP($B336,اسماء,28,0),0)</f>
        <v>0</v>
      </c>
      <c r="M338" s="596"/>
      <c r="N338" s="594">
        <f>IFERROR(VLOOKUP($B336,اسماء,29,0),0)</f>
        <v>0</v>
      </c>
      <c r="O338" s="596"/>
      <c r="P338" s="592">
        <f>IFERROR(VLOOKUP($B336,اسماء,30,0),0)</f>
        <v>0</v>
      </c>
      <c r="Q338" s="595"/>
      <c r="R338" s="372">
        <f t="shared" si="882"/>
        <v>0</v>
      </c>
      <c r="S338" s="305" t="str">
        <f>IFERROR(VLOOKUP($B336,اسماء,34,0),"")</f>
        <v/>
      </c>
      <c r="T338" s="306" t="str">
        <f>IFERROR(VLOOKUP($B336,اسماء,35,0),"")</f>
        <v/>
      </c>
      <c r="U338" s="122" t="str">
        <f>IFERROR(VLOOKUP($B336,اسماء,36,0),"")</f>
        <v/>
      </c>
      <c r="V338" s="605"/>
      <c r="W338" s="20" t="str">
        <f t="shared" ref="W338" si="887">LOOKUP(R338,$AF$6:$AG$10)</f>
        <v>ضعيف</v>
      </c>
      <c r="X338" s="640"/>
      <c r="Y338" s="8"/>
      <c r="Z338" s="598"/>
      <c r="AK338" s="667"/>
      <c r="AL338" s="667"/>
      <c r="AM338" s="696"/>
      <c r="AN338" s="698"/>
      <c r="AO338" s="699"/>
      <c r="AP338" s="698"/>
    </row>
    <row r="339" spans="1:42" ht="14.85" customHeight="1" thickBot="1" x14ac:dyDescent="0.3">
      <c r="A339" s="612"/>
      <c r="B339" s="615"/>
      <c r="C339" s="618"/>
      <c r="D339" s="621"/>
      <c r="E339" s="124" t="s">
        <v>33</v>
      </c>
      <c r="F339" s="623">
        <f>SUM(F336:G338)</f>
        <v>0</v>
      </c>
      <c r="G339" s="624"/>
      <c r="H339" s="625">
        <f>SUM(H336:I338)</f>
        <v>0</v>
      </c>
      <c r="I339" s="626"/>
      <c r="J339" s="623">
        <f>SUM(J336:K338)</f>
        <v>0</v>
      </c>
      <c r="K339" s="624"/>
      <c r="L339" s="625">
        <f>SUM(L336:M338)</f>
        <v>0</v>
      </c>
      <c r="M339" s="642"/>
      <c r="N339" s="625">
        <f>SUM(N336:O338)</f>
        <v>0</v>
      </c>
      <c r="O339" s="642"/>
      <c r="P339" s="623">
        <f>SUM(P336:Q338)</f>
        <v>0</v>
      </c>
      <c r="Q339" s="626"/>
      <c r="R339" s="88">
        <f t="shared" ref="R339" si="888">IF(AND(F339&gt;=$G$8,H339&gt;=$I$8,J339&gt;=$K$8,L339&gt;=$M$8,N339&gt;=$O$8,P339&gt;=$Q$8),SUM(F339:Q339),0)</f>
        <v>0</v>
      </c>
      <c r="S339" s="251"/>
      <c r="T339" s="97"/>
      <c r="U339" s="94"/>
      <c r="V339" s="606"/>
      <c r="W339" s="88" t="str">
        <f t="shared" ref="W339" si="889">LOOKUP(R339,$AI$6:$AJ$10)</f>
        <v>ضعيف</v>
      </c>
      <c r="X339" s="641"/>
      <c r="Y339" s="68"/>
      <c r="Z339" s="599"/>
      <c r="AK339" s="667"/>
      <c r="AL339" s="667"/>
      <c r="AM339" s="696"/>
      <c r="AN339" s="698"/>
      <c r="AO339" s="699"/>
      <c r="AP339" s="698"/>
    </row>
    <row r="340" spans="1:42" ht="14.85" customHeight="1" thickBot="1" x14ac:dyDescent="0.3">
      <c r="A340" s="610">
        <v>73</v>
      </c>
      <c r="B340" s="613">
        <f>VLOOKUP(A340,مسلسل,2,0)</f>
        <v>0</v>
      </c>
      <c r="C340" s="616" t="str">
        <f>IFERROR(VLOOKUP(B340,اسماء,2,0),"")</f>
        <v/>
      </c>
      <c r="D340" s="619" t="str">
        <f>IFERROR(VLOOKUP($B340,اسماء,3,0),"")</f>
        <v/>
      </c>
      <c r="E340" s="129" t="s">
        <v>30</v>
      </c>
      <c r="F340" s="600">
        <f>IFERROR(VLOOKUP($B340,اسماء,5,0),0)</f>
        <v>0</v>
      </c>
      <c r="G340" s="601"/>
      <c r="H340" s="602">
        <f>IFERROR(VLOOKUP($B340,اسماء,6,0),0)</f>
        <v>0</v>
      </c>
      <c r="I340" s="622"/>
      <c r="J340" s="600">
        <f>IFERROR(VLOOKUP($B340,اسماء,7,0),0)</f>
        <v>0</v>
      </c>
      <c r="K340" s="601"/>
      <c r="L340" s="602">
        <f>IFERROR(VLOOKUP($B340,اسماء,8,0),0)</f>
        <v>0</v>
      </c>
      <c r="M340" s="603"/>
      <c r="N340" s="602">
        <f>IFERROR(VLOOKUP($B340,اسماء,9,0),0)</f>
        <v>0</v>
      </c>
      <c r="O340" s="603"/>
      <c r="P340" s="600">
        <f>IFERROR(VLOOKUP($B340,اسماء,10,0),0)</f>
        <v>0</v>
      </c>
      <c r="Q340" s="622"/>
      <c r="R340" s="371">
        <f t="shared" ref="R340" si="890">SUM(F340:Q340)</f>
        <v>0</v>
      </c>
      <c r="S340" s="213" t="str">
        <f>IFERROR(VLOOKUP($B340,اسماء,12,0),"")</f>
        <v/>
      </c>
      <c r="T340" s="214" t="str">
        <f>IFERROR(VLOOKUP($B340,اسماء,13,0),"")</f>
        <v/>
      </c>
      <c r="U340" s="364" t="str">
        <f>IFERROR(VLOOKUP($B340,اسماء,14,0),"")</f>
        <v/>
      </c>
      <c r="V340" s="604" t="str">
        <f t="shared" ref="V340" si="891">IF(Z340="غائب","راسب",IF(R343&gt;0,"ناجح","مرحل"))</f>
        <v>مرحل</v>
      </c>
      <c r="W340" s="19" t="str">
        <f t="shared" ref="W340:W341" si="892">LOOKUP(R340,$AC$6:$AD$10)</f>
        <v>ضعيف</v>
      </c>
      <c r="X340" s="639">
        <f t="shared" ref="X340" si="893">R343/$AC$3</f>
        <v>0</v>
      </c>
      <c r="Y340" s="68"/>
      <c r="Z340" s="597" t="str">
        <f>IFERROR(VLOOKUP($B340,اسماء,48,0),"")</f>
        <v/>
      </c>
      <c r="AK340" s="667" t="str">
        <f t="shared" ref="AK340" si="894">IF(R343=0,"",R343/1+ROW()*0.00001)</f>
        <v/>
      </c>
      <c r="AL340" s="667">
        <f>B340</f>
        <v>0</v>
      </c>
      <c r="AM340" s="696"/>
      <c r="AN340" s="698">
        <v>73</v>
      </c>
      <c r="AO340" s="699" t="str">
        <f>IFERROR(LARGE($AK$10:$AK$1420,AN340),"")</f>
        <v/>
      </c>
      <c r="AP340" s="698" t="str">
        <f>VLOOKUP(AO340,$AK$10:$AL$1530,2,0)</f>
        <v>امجد عمر عبداللطيف سلطان</v>
      </c>
    </row>
    <row r="341" spans="1:42" ht="14.85" customHeight="1" x14ac:dyDescent="0.25">
      <c r="A341" s="611"/>
      <c r="B341" s="614"/>
      <c r="C341" s="617"/>
      <c r="D341" s="620"/>
      <c r="E341" s="130" t="s">
        <v>31</v>
      </c>
      <c r="F341" s="592">
        <f>IFERROR(VLOOKUP($B340,اسماء,15,0),0)</f>
        <v>0</v>
      </c>
      <c r="G341" s="593"/>
      <c r="H341" s="594">
        <f>IFERROR(VLOOKUP($B340,اسماء,16,0),0)</f>
        <v>0</v>
      </c>
      <c r="I341" s="595"/>
      <c r="J341" s="592">
        <f>IFERROR(VLOOKUP($B340,اسماء,17,0),0)</f>
        <v>0</v>
      </c>
      <c r="K341" s="593"/>
      <c r="L341" s="594">
        <f>IFERROR(VLOOKUP($B340,اسماء,18,0),0)</f>
        <v>0</v>
      </c>
      <c r="M341" s="596"/>
      <c r="N341" s="594">
        <f>IFERROR(VLOOKUP($B340,اسماء,19,0),0)</f>
        <v>0</v>
      </c>
      <c r="O341" s="596"/>
      <c r="P341" s="592">
        <f>IFERROR(VLOOKUP($B340,اسماء,20,0),0)</f>
        <v>0</v>
      </c>
      <c r="Q341" s="595"/>
      <c r="R341" s="372">
        <f t="shared" si="882"/>
        <v>0</v>
      </c>
      <c r="S341" s="305" t="str">
        <f>IFERROR(VLOOKUP($B340,اسماء,23,0),"")</f>
        <v/>
      </c>
      <c r="T341" s="306" t="str">
        <f>IFERROR(VLOOKUP($B340,اسماء,24,0),"")</f>
        <v/>
      </c>
      <c r="U341" s="122" t="str">
        <f>IFERROR(VLOOKUP($B340,اسماء,25,0),"")</f>
        <v/>
      </c>
      <c r="V341" s="605"/>
      <c r="W341" s="19" t="str">
        <f t="shared" si="892"/>
        <v>ضعيف</v>
      </c>
      <c r="X341" s="640"/>
      <c r="Y341" s="8"/>
      <c r="Z341" s="598"/>
      <c r="AK341" s="667"/>
      <c r="AL341" s="667"/>
      <c r="AM341" s="696"/>
      <c r="AN341" s="698"/>
      <c r="AO341" s="699"/>
      <c r="AP341" s="698"/>
    </row>
    <row r="342" spans="1:42" ht="14.85" customHeight="1" x14ac:dyDescent="0.25">
      <c r="A342" s="611"/>
      <c r="B342" s="614"/>
      <c r="C342" s="617"/>
      <c r="D342" s="620"/>
      <c r="E342" s="130" t="s">
        <v>32</v>
      </c>
      <c r="F342" s="592">
        <f>IFERROR(VLOOKUP($B340,اسماء,25,0),0)</f>
        <v>0</v>
      </c>
      <c r="G342" s="593"/>
      <c r="H342" s="594">
        <f>IFERROR(VLOOKUP($B340,اسماء,26,0),0)</f>
        <v>0</v>
      </c>
      <c r="I342" s="595"/>
      <c r="J342" s="592">
        <f>IFERROR(VLOOKUP($B340,اسماء,27,0),0)</f>
        <v>0</v>
      </c>
      <c r="K342" s="593"/>
      <c r="L342" s="594">
        <f>IFERROR(VLOOKUP($B340,اسماء,28,0),0)</f>
        <v>0</v>
      </c>
      <c r="M342" s="596"/>
      <c r="N342" s="594">
        <f>IFERROR(VLOOKUP($B340,اسماء,29,0),0)</f>
        <v>0</v>
      </c>
      <c r="O342" s="596"/>
      <c r="P342" s="592">
        <f>IFERROR(VLOOKUP($B340,اسماء,30,0),0)</f>
        <v>0</v>
      </c>
      <c r="Q342" s="595"/>
      <c r="R342" s="372">
        <f t="shared" si="882"/>
        <v>0</v>
      </c>
      <c r="S342" s="305" t="str">
        <f>IFERROR(VLOOKUP($B340,اسماء,34,0),"")</f>
        <v/>
      </c>
      <c r="T342" s="306" t="str">
        <f>IFERROR(VLOOKUP($B340,اسماء,35,0),"")</f>
        <v/>
      </c>
      <c r="U342" s="122" t="str">
        <f>IFERROR(VLOOKUP($B340,اسماء,36,0),"")</f>
        <v/>
      </c>
      <c r="V342" s="605"/>
      <c r="W342" s="20" t="str">
        <f t="shared" ref="W342" si="895">LOOKUP(R342,$AF$6:$AG$10)</f>
        <v>ضعيف</v>
      </c>
      <c r="X342" s="640"/>
      <c r="Y342" s="68"/>
      <c r="Z342" s="598"/>
      <c r="AK342" s="667"/>
      <c r="AL342" s="667"/>
      <c r="AM342" s="696"/>
      <c r="AN342" s="698"/>
      <c r="AO342" s="699"/>
      <c r="AP342" s="698"/>
    </row>
    <row r="343" spans="1:42" ht="14.85" customHeight="1" thickBot="1" x14ac:dyDescent="0.3">
      <c r="A343" s="612"/>
      <c r="B343" s="615"/>
      <c r="C343" s="618"/>
      <c r="D343" s="621"/>
      <c r="E343" s="124" t="s">
        <v>33</v>
      </c>
      <c r="F343" s="623">
        <f t="shared" ref="F343" si="896">SUM(F340:G342)</f>
        <v>0</v>
      </c>
      <c r="G343" s="624"/>
      <c r="H343" s="625">
        <f t="shared" ref="H343" si="897">SUM(H340:I342)</f>
        <v>0</v>
      </c>
      <c r="I343" s="626"/>
      <c r="J343" s="623">
        <f t="shared" ref="J343" si="898">SUM(J340:K342)</f>
        <v>0</v>
      </c>
      <c r="K343" s="624"/>
      <c r="L343" s="625">
        <f t="shared" ref="L343" si="899">SUM(L340:M342)</f>
        <v>0</v>
      </c>
      <c r="M343" s="642"/>
      <c r="N343" s="625">
        <f t="shared" ref="N343" si="900">SUM(N340:O342)</f>
        <v>0</v>
      </c>
      <c r="O343" s="642"/>
      <c r="P343" s="623">
        <f t="shared" ref="P343" si="901">SUM(P340:Q342)</f>
        <v>0</v>
      </c>
      <c r="Q343" s="626"/>
      <c r="R343" s="88">
        <f t="shared" ref="R343" si="902">IF(AND(F343&gt;=$G$8,H343&gt;=$I$8,J343&gt;=$K$8,L343&gt;=$M$8,N343&gt;=$O$8,P343&gt;=$Q$8),SUM(F343:Q343),0)</f>
        <v>0</v>
      </c>
      <c r="S343" s="251"/>
      <c r="T343" s="97"/>
      <c r="U343" s="94"/>
      <c r="V343" s="606"/>
      <c r="W343" s="88" t="str">
        <f t="shared" ref="W343" si="903">LOOKUP(R343,$AI$6:$AJ$10)</f>
        <v>ضعيف</v>
      </c>
      <c r="X343" s="641"/>
      <c r="Y343" s="68"/>
      <c r="Z343" s="599"/>
      <c r="AK343" s="667"/>
      <c r="AL343" s="667"/>
      <c r="AM343" s="696"/>
      <c r="AN343" s="698"/>
      <c r="AO343" s="699"/>
      <c r="AP343" s="698"/>
    </row>
    <row r="344" spans="1:42" ht="14.85" customHeight="1" thickBot="1" x14ac:dyDescent="0.3">
      <c r="A344" s="610">
        <v>74</v>
      </c>
      <c r="B344" s="613">
        <f>VLOOKUP(A344,مسلسل,2,0)</f>
        <v>0</v>
      </c>
      <c r="C344" s="616" t="str">
        <f>IFERROR(VLOOKUP(B344,اسماء,2,0),"")</f>
        <v/>
      </c>
      <c r="D344" s="619" t="str">
        <f>IFERROR(VLOOKUP($B344,اسماء,3,0),"")</f>
        <v/>
      </c>
      <c r="E344" s="129" t="s">
        <v>30</v>
      </c>
      <c r="F344" s="600">
        <f>IFERROR(VLOOKUP($B344,اسماء,5,0),0)</f>
        <v>0</v>
      </c>
      <c r="G344" s="601"/>
      <c r="H344" s="602">
        <f>IFERROR(VLOOKUP($B344,اسماء,6,0),0)</f>
        <v>0</v>
      </c>
      <c r="I344" s="622"/>
      <c r="J344" s="600">
        <f>IFERROR(VLOOKUP($B344,اسماء,7,0),0)</f>
        <v>0</v>
      </c>
      <c r="K344" s="601"/>
      <c r="L344" s="602">
        <f>IFERROR(VLOOKUP($B344,اسماء,8,0),0)</f>
        <v>0</v>
      </c>
      <c r="M344" s="603"/>
      <c r="N344" s="602">
        <f>IFERROR(VLOOKUP($B344,اسماء,9,0),0)</f>
        <v>0</v>
      </c>
      <c r="O344" s="603"/>
      <c r="P344" s="600">
        <f>IFERROR(VLOOKUP($B344,اسماء,10,0),0)</f>
        <v>0</v>
      </c>
      <c r="Q344" s="622"/>
      <c r="R344" s="371">
        <f t="shared" ref="R344" si="904">SUM(F344:Q344)</f>
        <v>0</v>
      </c>
      <c r="S344" s="213" t="str">
        <f>IFERROR(VLOOKUP($B344,اسماء,12,0),"")</f>
        <v/>
      </c>
      <c r="T344" s="214" t="str">
        <f>IFERROR(VLOOKUP($B344,اسماء,13,0),"")</f>
        <v/>
      </c>
      <c r="U344" s="364" t="str">
        <f>IFERROR(VLOOKUP($B344,اسماء,14,0),"")</f>
        <v/>
      </c>
      <c r="V344" s="604" t="str">
        <f t="shared" ref="V344" si="905">IF(Z344="غائب","راسب",IF(R347&gt;0,"ناجح","مرحل"))</f>
        <v>مرحل</v>
      </c>
      <c r="W344" s="19" t="str">
        <f t="shared" ref="W344:W345" si="906">LOOKUP(R344,$AC$6:$AD$10)</f>
        <v>ضعيف</v>
      </c>
      <c r="X344" s="639">
        <f t="shared" ref="X344" si="907">R347/$AC$3</f>
        <v>0</v>
      </c>
      <c r="Y344" s="8"/>
      <c r="Z344" s="597" t="str">
        <f>IFERROR(VLOOKUP($B344,اسماء,48,0),"")</f>
        <v/>
      </c>
      <c r="AK344" s="667" t="str">
        <f t="shared" ref="AK344" si="908">IF(R347=0,"",R347/1+ROW()*0.00001)</f>
        <v/>
      </c>
      <c r="AL344" s="667">
        <f>B344</f>
        <v>0</v>
      </c>
      <c r="AM344" s="696"/>
      <c r="AN344" s="698">
        <v>74</v>
      </c>
      <c r="AO344" s="699" t="str">
        <f>IFERROR(LARGE($AK$10:$AK$1420,AN344),"")</f>
        <v/>
      </c>
      <c r="AP344" s="698" t="str">
        <f>VLOOKUP(AO344,$AK$10:$AL$1530,2,0)</f>
        <v>امجد عمر عبداللطيف سلطان</v>
      </c>
    </row>
    <row r="345" spans="1:42" ht="14.85" customHeight="1" x14ac:dyDescent="0.25">
      <c r="A345" s="611"/>
      <c r="B345" s="614"/>
      <c r="C345" s="617"/>
      <c r="D345" s="620"/>
      <c r="E345" s="130" t="s">
        <v>31</v>
      </c>
      <c r="F345" s="592">
        <f>IFERROR(VLOOKUP($B344,اسماء,15,0),0)</f>
        <v>0</v>
      </c>
      <c r="G345" s="593"/>
      <c r="H345" s="594">
        <f>IFERROR(VLOOKUP($B344,اسماء,16,0),0)</f>
        <v>0</v>
      </c>
      <c r="I345" s="595"/>
      <c r="J345" s="592">
        <f>IFERROR(VLOOKUP($B344,اسماء,17,0),0)</f>
        <v>0</v>
      </c>
      <c r="K345" s="593"/>
      <c r="L345" s="594">
        <f>IFERROR(VLOOKUP($B344,اسماء,18,0),0)</f>
        <v>0</v>
      </c>
      <c r="M345" s="596"/>
      <c r="N345" s="594">
        <f>IFERROR(VLOOKUP($B344,اسماء,19,0),0)</f>
        <v>0</v>
      </c>
      <c r="O345" s="596"/>
      <c r="P345" s="592">
        <f>IFERROR(VLOOKUP($B344,اسماء,20,0),0)</f>
        <v>0</v>
      </c>
      <c r="Q345" s="595"/>
      <c r="R345" s="372">
        <f t="shared" si="882"/>
        <v>0</v>
      </c>
      <c r="S345" s="305" t="str">
        <f>IFERROR(VLOOKUP($B344,اسماء,23,0),"")</f>
        <v/>
      </c>
      <c r="T345" s="306" t="str">
        <f>IFERROR(VLOOKUP($B344,اسماء,24,0),"")</f>
        <v/>
      </c>
      <c r="U345" s="122" t="str">
        <f>IFERROR(VLOOKUP($B344,اسماء,25,0),"")</f>
        <v/>
      </c>
      <c r="V345" s="605"/>
      <c r="W345" s="19" t="str">
        <f t="shared" si="906"/>
        <v>ضعيف</v>
      </c>
      <c r="X345" s="640"/>
      <c r="Y345" s="68"/>
      <c r="Z345" s="598"/>
      <c r="AK345" s="667"/>
      <c r="AL345" s="667"/>
      <c r="AM345" s="696"/>
      <c r="AN345" s="698"/>
      <c r="AO345" s="699"/>
      <c r="AP345" s="698"/>
    </row>
    <row r="346" spans="1:42" ht="14.85" customHeight="1" x14ac:dyDescent="0.25">
      <c r="A346" s="611"/>
      <c r="B346" s="614"/>
      <c r="C346" s="617"/>
      <c r="D346" s="620"/>
      <c r="E346" s="130" t="s">
        <v>32</v>
      </c>
      <c r="F346" s="592">
        <f>IFERROR(VLOOKUP($B344,اسماء,25,0),0)</f>
        <v>0</v>
      </c>
      <c r="G346" s="593"/>
      <c r="H346" s="594">
        <f>IFERROR(VLOOKUP($B344,اسماء,26,0),0)</f>
        <v>0</v>
      </c>
      <c r="I346" s="595"/>
      <c r="J346" s="592">
        <f>IFERROR(VLOOKUP($B344,اسماء,27,0),0)</f>
        <v>0</v>
      </c>
      <c r="K346" s="593"/>
      <c r="L346" s="594">
        <f>IFERROR(VLOOKUP($B344,اسماء,28,0),0)</f>
        <v>0</v>
      </c>
      <c r="M346" s="596"/>
      <c r="N346" s="594">
        <f>IFERROR(VLOOKUP($B344,اسماء,29,0),0)</f>
        <v>0</v>
      </c>
      <c r="O346" s="596"/>
      <c r="P346" s="592">
        <f>IFERROR(VLOOKUP($B344,اسماء,30,0),0)</f>
        <v>0</v>
      </c>
      <c r="Q346" s="595"/>
      <c r="R346" s="372">
        <f t="shared" si="882"/>
        <v>0</v>
      </c>
      <c r="S346" s="305" t="str">
        <f>IFERROR(VLOOKUP($B344,اسماء,34,0),"")</f>
        <v/>
      </c>
      <c r="T346" s="306" t="str">
        <f>IFERROR(VLOOKUP($B344,اسماء,35,0),"")</f>
        <v/>
      </c>
      <c r="U346" s="122" t="str">
        <f>IFERROR(VLOOKUP($B344,اسماء,36,0),"")</f>
        <v/>
      </c>
      <c r="V346" s="605"/>
      <c r="W346" s="20" t="str">
        <f t="shared" ref="W346" si="909">LOOKUP(R346,$AF$6:$AG$10)</f>
        <v>ضعيف</v>
      </c>
      <c r="X346" s="640"/>
      <c r="Y346" s="68"/>
      <c r="Z346" s="598"/>
      <c r="AK346" s="667"/>
      <c r="AL346" s="667"/>
      <c r="AM346" s="696"/>
      <c r="AN346" s="698"/>
      <c r="AO346" s="699"/>
      <c r="AP346" s="698"/>
    </row>
    <row r="347" spans="1:42" ht="14.85" customHeight="1" thickBot="1" x14ac:dyDescent="0.3">
      <c r="A347" s="612"/>
      <c r="B347" s="615"/>
      <c r="C347" s="618"/>
      <c r="D347" s="621"/>
      <c r="E347" s="124" t="s">
        <v>33</v>
      </c>
      <c r="F347" s="623">
        <f t="shared" ref="F347" si="910">SUM(F344:G346)</f>
        <v>0</v>
      </c>
      <c r="G347" s="624"/>
      <c r="H347" s="625">
        <f t="shared" ref="H347" si="911">SUM(H344:I346)</f>
        <v>0</v>
      </c>
      <c r="I347" s="626"/>
      <c r="J347" s="623">
        <f t="shared" ref="J347" si="912">SUM(J344:K346)</f>
        <v>0</v>
      </c>
      <c r="K347" s="624"/>
      <c r="L347" s="625">
        <f t="shared" ref="L347" si="913">SUM(L344:M346)</f>
        <v>0</v>
      </c>
      <c r="M347" s="642"/>
      <c r="N347" s="625">
        <f t="shared" ref="N347" si="914">SUM(N344:O346)</f>
        <v>0</v>
      </c>
      <c r="O347" s="642"/>
      <c r="P347" s="623">
        <f t="shared" ref="P347" si="915">SUM(P344:Q346)</f>
        <v>0</v>
      </c>
      <c r="Q347" s="626"/>
      <c r="R347" s="88">
        <f t="shared" ref="R347" si="916">IF(AND(F347&gt;=$G$8,H347&gt;=$I$8,J347&gt;=$K$8,L347&gt;=$M$8,N347&gt;=$O$8,P347&gt;=$Q$8),SUM(F347:Q347),0)</f>
        <v>0</v>
      </c>
      <c r="S347" s="251"/>
      <c r="T347" s="97"/>
      <c r="U347" s="94"/>
      <c r="V347" s="606"/>
      <c r="W347" s="88" t="str">
        <f t="shared" ref="W347" si="917">LOOKUP(R347,$AI$6:$AJ$10)</f>
        <v>ضعيف</v>
      </c>
      <c r="X347" s="641"/>
      <c r="Y347" s="8"/>
      <c r="Z347" s="599"/>
      <c r="AK347" s="667"/>
      <c r="AL347" s="667"/>
      <c r="AM347" s="696"/>
      <c r="AN347" s="698"/>
      <c r="AO347" s="699"/>
      <c r="AP347" s="698"/>
    </row>
    <row r="348" spans="1:42" ht="14.85" customHeight="1" thickBot="1" x14ac:dyDescent="0.3">
      <c r="A348" s="610">
        <v>75</v>
      </c>
      <c r="B348" s="613">
        <f>VLOOKUP(A348,مسلسل,2,0)</f>
        <v>0</v>
      </c>
      <c r="C348" s="616" t="str">
        <f>IFERROR(VLOOKUP(B348,اسماء,2,0),"")</f>
        <v/>
      </c>
      <c r="D348" s="619" t="str">
        <f>IFERROR(VLOOKUP($B348,اسماء,3,0),"")</f>
        <v/>
      </c>
      <c r="E348" s="129" t="s">
        <v>30</v>
      </c>
      <c r="F348" s="600">
        <f>IFERROR(VLOOKUP($B348,اسماء,5,0),0)</f>
        <v>0</v>
      </c>
      <c r="G348" s="601"/>
      <c r="H348" s="602">
        <f>IFERROR(VLOOKUP($B348,اسماء,6,0),0)</f>
        <v>0</v>
      </c>
      <c r="I348" s="622"/>
      <c r="J348" s="600">
        <f>IFERROR(VLOOKUP($B348,اسماء,7,0),0)</f>
        <v>0</v>
      </c>
      <c r="K348" s="601"/>
      <c r="L348" s="602">
        <f>IFERROR(VLOOKUP($B348,اسماء,8,0),0)</f>
        <v>0</v>
      </c>
      <c r="M348" s="603"/>
      <c r="N348" s="602">
        <f>IFERROR(VLOOKUP($B348,اسماء,9,0),0)</f>
        <v>0</v>
      </c>
      <c r="O348" s="603"/>
      <c r="P348" s="600">
        <f>IFERROR(VLOOKUP($B348,اسماء,10,0),0)</f>
        <v>0</v>
      </c>
      <c r="Q348" s="622"/>
      <c r="R348" s="371">
        <f t="shared" ref="R348" si="918">SUM(F348:Q348)</f>
        <v>0</v>
      </c>
      <c r="S348" s="213" t="str">
        <f>IFERROR(VLOOKUP($B348,اسماء,12,0),"")</f>
        <v/>
      </c>
      <c r="T348" s="214" t="str">
        <f>IFERROR(VLOOKUP($B348,اسماء,13,0),"")</f>
        <v/>
      </c>
      <c r="U348" s="364" t="str">
        <f>IFERROR(VLOOKUP($B348,اسماء,14,0),"")</f>
        <v/>
      </c>
      <c r="V348" s="604" t="str">
        <f t="shared" ref="V348" si="919">IF(Z348="غائب","راسب",IF(R351&gt;0,"ناجح","مرحل"))</f>
        <v>مرحل</v>
      </c>
      <c r="W348" s="19" t="str">
        <f t="shared" ref="W348:W349" si="920">LOOKUP(R348,$AC$6:$AD$10)</f>
        <v>ضعيف</v>
      </c>
      <c r="X348" s="639">
        <f t="shared" ref="X348" si="921">R351/$AC$3</f>
        <v>0</v>
      </c>
      <c r="Y348" s="68"/>
      <c r="Z348" s="597" t="str">
        <f>IFERROR(VLOOKUP($B348,اسماء,48,0),"")</f>
        <v/>
      </c>
      <c r="AK348" s="667" t="str">
        <f t="shared" ref="AK348" si="922">IF(R351=0,"",R351/1+ROW()*0.00001)</f>
        <v/>
      </c>
      <c r="AL348" s="667">
        <f>B348</f>
        <v>0</v>
      </c>
      <c r="AM348" s="696"/>
      <c r="AN348" s="698">
        <v>75</v>
      </c>
      <c r="AO348" s="699" t="str">
        <f>IFERROR(LARGE($AK$10:$AK$1420,AN348),"")</f>
        <v/>
      </c>
      <c r="AP348" s="698" t="str">
        <f>VLOOKUP(AO348,$AK$10:$AL$1530,2,0)</f>
        <v>امجد عمر عبداللطيف سلطان</v>
      </c>
    </row>
    <row r="349" spans="1:42" ht="14.85" customHeight="1" x14ac:dyDescent="0.25">
      <c r="A349" s="611"/>
      <c r="B349" s="614"/>
      <c r="C349" s="617"/>
      <c r="D349" s="620"/>
      <c r="E349" s="130" t="s">
        <v>31</v>
      </c>
      <c r="F349" s="592">
        <f>IFERROR(VLOOKUP($B348,اسماء,15,0),0)</f>
        <v>0</v>
      </c>
      <c r="G349" s="593"/>
      <c r="H349" s="594">
        <f>IFERROR(VLOOKUP($B348,اسماء,16,0),0)</f>
        <v>0</v>
      </c>
      <c r="I349" s="595"/>
      <c r="J349" s="592">
        <f>IFERROR(VLOOKUP($B348,اسماء,17,0),0)</f>
        <v>0</v>
      </c>
      <c r="K349" s="593"/>
      <c r="L349" s="594">
        <f>IFERROR(VLOOKUP($B348,اسماء,18,0),0)</f>
        <v>0</v>
      </c>
      <c r="M349" s="596"/>
      <c r="N349" s="594">
        <f>IFERROR(VLOOKUP($B348,اسماء,19,0),0)</f>
        <v>0</v>
      </c>
      <c r="O349" s="596"/>
      <c r="P349" s="592">
        <f>IFERROR(VLOOKUP($B348,اسماء,20,0),0)</f>
        <v>0</v>
      </c>
      <c r="Q349" s="595"/>
      <c r="R349" s="372">
        <f t="shared" si="882"/>
        <v>0</v>
      </c>
      <c r="S349" s="305" t="str">
        <f>IFERROR(VLOOKUP($B348,اسماء,23,0),"")</f>
        <v/>
      </c>
      <c r="T349" s="306" t="str">
        <f>IFERROR(VLOOKUP($B348,اسماء,24,0),"")</f>
        <v/>
      </c>
      <c r="U349" s="122" t="str">
        <f>IFERROR(VLOOKUP($B348,اسماء,25,0),"")</f>
        <v/>
      </c>
      <c r="V349" s="605"/>
      <c r="W349" s="19" t="str">
        <f t="shared" si="920"/>
        <v>ضعيف</v>
      </c>
      <c r="X349" s="640"/>
      <c r="Y349" s="68"/>
      <c r="Z349" s="598"/>
      <c r="AK349" s="667"/>
      <c r="AL349" s="667"/>
      <c r="AM349" s="696"/>
      <c r="AN349" s="698"/>
      <c r="AO349" s="699"/>
      <c r="AP349" s="698"/>
    </row>
    <row r="350" spans="1:42" ht="14.85" customHeight="1" x14ac:dyDescent="0.25">
      <c r="A350" s="611"/>
      <c r="B350" s="614"/>
      <c r="C350" s="617"/>
      <c r="D350" s="620"/>
      <c r="E350" s="130" t="s">
        <v>32</v>
      </c>
      <c r="F350" s="592">
        <f>IFERROR(VLOOKUP($B348,اسماء,25,0),0)</f>
        <v>0</v>
      </c>
      <c r="G350" s="593"/>
      <c r="H350" s="594">
        <f>IFERROR(VLOOKUP($B348,اسماء,26,0),0)</f>
        <v>0</v>
      </c>
      <c r="I350" s="595"/>
      <c r="J350" s="592">
        <f>IFERROR(VLOOKUP($B348,اسماء,27,0),0)</f>
        <v>0</v>
      </c>
      <c r="K350" s="593"/>
      <c r="L350" s="594">
        <f>IFERROR(VLOOKUP($B348,اسماء,28,0),0)</f>
        <v>0</v>
      </c>
      <c r="M350" s="596"/>
      <c r="N350" s="594">
        <f>IFERROR(VLOOKUP($B348,اسماء,29,0),0)</f>
        <v>0</v>
      </c>
      <c r="O350" s="596"/>
      <c r="P350" s="592">
        <f>IFERROR(VLOOKUP($B348,اسماء,30,0),0)</f>
        <v>0</v>
      </c>
      <c r="Q350" s="595"/>
      <c r="R350" s="372">
        <f t="shared" si="882"/>
        <v>0</v>
      </c>
      <c r="S350" s="305" t="str">
        <f>IFERROR(VLOOKUP($B348,اسماء,34,0),"")</f>
        <v/>
      </c>
      <c r="T350" s="306" t="str">
        <f>IFERROR(VLOOKUP($B348,اسماء,35,0),"")</f>
        <v/>
      </c>
      <c r="U350" s="122" t="str">
        <f>IFERROR(VLOOKUP($B348,اسماء,36,0),"")</f>
        <v/>
      </c>
      <c r="V350" s="605"/>
      <c r="W350" s="20" t="str">
        <f t="shared" ref="W350" si="923">LOOKUP(R350,$AF$6:$AG$10)</f>
        <v>ضعيف</v>
      </c>
      <c r="X350" s="640"/>
      <c r="Y350" s="8"/>
      <c r="Z350" s="598"/>
      <c r="AK350" s="667"/>
      <c r="AL350" s="667"/>
      <c r="AM350" s="696"/>
      <c r="AN350" s="698"/>
      <c r="AO350" s="699"/>
      <c r="AP350" s="698"/>
    </row>
    <row r="351" spans="1:42" ht="14.85" customHeight="1" thickBot="1" x14ac:dyDescent="0.3">
      <c r="A351" s="612"/>
      <c r="B351" s="615"/>
      <c r="C351" s="618"/>
      <c r="D351" s="621"/>
      <c r="E351" s="124" t="s">
        <v>33</v>
      </c>
      <c r="F351" s="623">
        <f t="shared" ref="F351" si="924">SUM(F348:G350)</f>
        <v>0</v>
      </c>
      <c r="G351" s="624"/>
      <c r="H351" s="625">
        <f t="shared" ref="H351" si="925">SUM(H348:I350)</f>
        <v>0</v>
      </c>
      <c r="I351" s="626"/>
      <c r="J351" s="623">
        <f t="shared" ref="J351" si="926">SUM(J348:K350)</f>
        <v>0</v>
      </c>
      <c r="K351" s="624"/>
      <c r="L351" s="625">
        <f t="shared" ref="L351" si="927">SUM(L348:M350)</f>
        <v>0</v>
      </c>
      <c r="M351" s="642"/>
      <c r="N351" s="625">
        <f t="shared" ref="N351" si="928">SUM(N348:O350)</f>
        <v>0</v>
      </c>
      <c r="O351" s="642"/>
      <c r="P351" s="623">
        <f t="shared" ref="P351" si="929">SUM(P348:Q350)</f>
        <v>0</v>
      </c>
      <c r="Q351" s="626"/>
      <c r="R351" s="88">
        <f t="shared" ref="R351" si="930">IF(AND(F351&gt;=$G$8,H351&gt;=$I$8,J351&gt;=$K$8,L351&gt;=$M$8,N351&gt;=$O$8,P351&gt;=$Q$8),SUM(F351:Q351),0)</f>
        <v>0</v>
      </c>
      <c r="S351" s="251"/>
      <c r="T351" s="97"/>
      <c r="U351" s="94"/>
      <c r="V351" s="606"/>
      <c r="W351" s="88" t="str">
        <f t="shared" ref="W351" si="931">LOOKUP(R351,$AI$6:$AJ$10)</f>
        <v>ضعيف</v>
      </c>
      <c r="X351" s="641"/>
      <c r="Y351" s="68"/>
      <c r="Z351" s="599"/>
      <c r="AK351" s="667"/>
      <c r="AL351" s="667"/>
      <c r="AM351" s="696"/>
      <c r="AN351" s="698"/>
      <c r="AO351" s="699"/>
      <c r="AP351" s="698"/>
    </row>
    <row r="352" spans="1:42" ht="14.85" customHeight="1" thickBot="1" x14ac:dyDescent="0.3">
      <c r="A352" s="610">
        <v>76</v>
      </c>
      <c r="B352" s="613">
        <f>VLOOKUP(A352,مسلسل,2,0)</f>
        <v>0</v>
      </c>
      <c r="C352" s="616" t="str">
        <f>IFERROR(VLOOKUP(B352,اسماء,2,0),"")</f>
        <v/>
      </c>
      <c r="D352" s="619" t="str">
        <f>IFERROR(VLOOKUP($B352,اسماء,3,0),"")</f>
        <v/>
      </c>
      <c r="E352" s="129" t="s">
        <v>30</v>
      </c>
      <c r="F352" s="600">
        <f>IFERROR(VLOOKUP($B352,اسماء,5,0),0)</f>
        <v>0</v>
      </c>
      <c r="G352" s="601"/>
      <c r="H352" s="602">
        <f>IFERROR(VLOOKUP($B352,اسماء,6,0),0)</f>
        <v>0</v>
      </c>
      <c r="I352" s="622"/>
      <c r="J352" s="600">
        <f>IFERROR(VLOOKUP($B352,اسماء,7,0),0)</f>
        <v>0</v>
      </c>
      <c r="K352" s="601"/>
      <c r="L352" s="602">
        <f>IFERROR(VLOOKUP($B352,اسماء,8,0),0)</f>
        <v>0</v>
      </c>
      <c r="M352" s="603"/>
      <c r="N352" s="602">
        <f>IFERROR(VLOOKUP($B352,اسماء,9,0),0)</f>
        <v>0</v>
      </c>
      <c r="O352" s="603"/>
      <c r="P352" s="600">
        <f>IFERROR(VLOOKUP($B352,اسماء,10,0),0)</f>
        <v>0</v>
      </c>
      <c r="Q352" s="622"/>
      <c r="R352" s="371">
        <f t="shared" ref="R352" si="932">SUM(F352:Q352)</f>
        <v>0</v>
      </c>
      <c r="S352" s="213" t="str">
        <f>IFERROR(VLOOKUP($B352,اسماء,12,0),"")</f>
        <v/>
      </c>
      <c r="T352" s="214" t="str">
        <f>IFERROR(VLOOKUP($B352,اسماء,13,0),"")</f>
        <v/>
      </c>
      <c r="U352" s="364" t="str">
        <f>IFERROR(VLOOKUP($B352,اسماء,14,0),"")</f>
        <v/>
      </c>
      <c r="V352" s="604" t="str">
        <f t="shared" ref="V352" si="933">IF(Z352="غائب","راسب",IF(R355&gt;0,"ناجح","مرحل"))</f>
        <v>مرحل</v>
      </c>
      <c r="W352" s="19" t="str">
        <f t="shared" ref="W352:W353" si="934">LOOKUP(R352,$AC$6:$AD$10)</f>
        <v>ضعيف</v>
      </c>
      <c r="X352" s="639">
        <f t="shared" ref="X352" si="935">R355/$AC$3</f>
        <v>0</v>
      </c>
      <c r="Y352" s="68"/>
      <c r="Z352" s="597" t="str">
        <f>IFERROR(VLOOKUP($B352,اسماء,48,0),"")</f>
        <v/>
      </c>
      <c r="AK352" s="667" t="str">
        <f t="shared" ref="AK352" si="936">IF(R355=0,"",R355/1+ROW()*0.00001)</f>
        <v/>
      </c>
      <c r="AL352" s="667">
        <f>B352</f>
        <v>0</v>
      </c>
      <c r="AM352" s="696"/>
      <c r="AN352" s="698">
        <v>76</v>
      </c>
      <c r="AO352" s="699" t="str">
        <f>IFERROR(LARGE($AK$10:$AK$1420,AN352),"")</f>
        <v/>
      </c>
      <c r="AP352" s="698" t="str">
        <f>VLOOKUP(AO352,$AK$10:$AL$1530,2,0)</f>
        <v>امجد عمر عبداللطيف سلطان</v>
      </c>
    </row>
    <row r="353" spans="1:42" ht="14.85" customHeight="1" x14ac:dyDescent="0.25">
      <c r="A353" s="611"/>
      <c r="B353" s="614"/>
      <c r="C353" s="617"/>
      <c r="D353" s="620"/>
      <c r="E353" s="130" t="s">
        <v>31</v>
      </c>
      <c r="F353" s="592">
        <f>IFERROR(VLOOKUP($B352,اسماء,15,0),0)</f>
        <v>0</v>
      </c>
      <c r="G353" s="593"/>
      <c r="H353" s="594">
        <f>IFERROR(VLOOKUP($B352,اسماء,16,0),0)</f>
        <v>0</v>
      </c>
      <c r="I353" s="595"/>
      <c r="J353" s="592">
        <f>IFERROR(VLOOKUP($B352,اسماء,17,0),0)</f>
        <v>0</v>
      </c>
      <c r="K353" s="593"/>
      <c r="L353" s="594">
        <f>IFERROR(VLOOKUP($B352,اسماء,18,0),0)</f>
        <v>0</v>
      </c>
      <c r="M353" s="596"/>
      <c r="N353" s="594">
        <f>IFERROR(VLOOKUP($B352,اسماء,19,0),0)</f>
        <v>0</v>
      </c>
      <c r="O353" s="596"/>
      <c r="P353" s="592">
        <f>IFERROR(VLOOKUP($B352,اسماء,20,0),0)</f>
        <v>0</v>
      </c>
      <c r="Q353" s="595"/>
      <c r="R353" s="372">
        <f t="shared" si="882"/>
        <v>0</v>
      </c>
      <c r="S353" s="305" t="str">
        <f>IFERROR(VLOOKUP($B352,اسماء,23,0),"")</f>
        <v/>
      </c>
      <c r="T353" s="306" t="str">
        <f>IFERROR(VLOOKUP($B352,اسماء,24,0),"")</f>
        <v/>
      </c>
      <c r="U353" s="122" t="str">
        <f>IFERROR(VLOOKUP($B352,اسماء,25,0),"")</f>
        <v/>
      </c>
      <c r="V353" s="605"/>
      <c r="W353" s="19" t="str">
        <f t="shared" si="934"/>
        <v>ضعيف</v>
      </c>
      <c r="X353" s="640"/>
      <c r="Y353" s="8"/>
      <c r="Z353" s="598"/>
      <c r="AK353" s="667"/>
      <c r="AL353" s="667"/>
      <c r="AM353" s="696"/>
      <c r="AN353" s="698"/>
      <c r="AO353" s="699"/>
      <c r="AP353" s="698"/>
    </row>
    <row r="354" spans="1:42" ht="14.85" customHeight="1" x14ac:dyDescent="0.25">
      <c r="A354" s="611"/>
      <c r="B354" s="614"/>
      <c r="C354" s="617"/>
      <c r="D354" s="620"/>
      <c r="E354" s="130" t="s">
        <v>32</v>
      </c>
      <c r="F354" s="592">
        <f>IFERROR(VLOOKUP($B352,اسماء,25,0),0)</f>
        <v>0</v>
      </c>
      <c r="G354" s="593"/>
      <c r="H354" s="594">
        <f>IFERROR(VLOOKUP($B352,اسماء,26,0),0)</f>
        <v>0</v>
      </c>
      <c r="I354" s="595"/>
      <c r="J354" s="592">
        <f>IFERROR(VLOOKUP($B352,اسماء,27,0),0)</f>
        <v>0</v>
      </c>
      <c r="K354" s="593"/>
      <c r="L354" s="594">
        <f>IFERROR(VLOOKUP($B352,اسماء,28,0),0)</f>
        <v>0</v>
      </c>
      <c r="M354" s="596"/>
      <c r="N354" s="594">
        <f>IFERROR(VLOOKUP($B352,اسماء,29,0),0)</f>
        <v>0</v>
      </c>
      <c r="O354" s="596"/>
      <c r="P354" s="592">
        <f>IFERROR(VLOOKUP($B352,اسماء,30,0),0)</f>
        <v>0</v>
      </c>
      <c r="Q354" s="595"/>
      <c r="R354" s="372">
        <f t="shared" si="882"/>
        <v>0</v>
      </c>
      <c r="S354" s="305" t="str">
        <f>IFERROR(VLOOKUP($B352,اسماء,34,0),"")</f>
        <v/>
      </c>
      <c r="T354" s="306" t="str">
        <f>IFERROR(VLOOKUP($B352,اسماء,35,0),"")</f>
        <v/>
      </c>
      <c r="U354" s="122" t="str">
        <f>IFERROR(VLOOKUP($B352,اسماء,36,0),"")</f>
        <v/>
      </c>
      <c r="V354" s="605"/>
      <c r="W354" s="20" t="str">
        <f t="shared" ref="W354" si="937">LOOKUP(R354,$AF$6:$AG$10)</f>
        <v>ضعيف</v>
      </c>
      <c r="X354" s="640"/>
      <c r="Y354" s="68"/>
      <c r="Z354" s="598"/>
      <c r="AK354" s="667"/>
      <c r="AL354" s="667"/>
      <c r="AM354" s="696"/>
      <c r="AN354" s="698"/>
      <c r="AO354" s="699"/>
      <c r="AP354" s="698"/>
    </row>
    <row r="355" spans="1:42" ht="14.85" customHeight="1" thickBot="1" x14ac:dyDescent="0.3">
      <c r="A355" s="612"/>
      <c r="B355" s="615"/>
      <c r="C355" s="618"/>
      <c r="D355" s="621"/>
      <c r="E355" s="124" t="s">
        <v>33</v>
      </c>
      <c r="F355" s="623">
        <f t="shared" ref="F355" si="938">SUM(F352:G354)</f>
        <v>0</v>
      </c>
      <c r="G355" s="624"/>
      <c r="H355" s="625">
        <f t="shared" ref="H355" si="939">SUM(H352:I354)</f>
        <v>0</v>
      </c>
      <c r="I355" s="626"/>
      <c r="J355" s="623">
        <f t="shared" ref="J355" si="940">SUM(J352:K354)</f>
        <v>0</v>
      </c>
      <c r="K355" s="624"/>
      <c r="L355" s="625">
        <f t="shared" ref="L355" si="941">SUM(L352:M354)</f>
        <v>0</v>
      </c>
      <c r="M355" s="642"/>
      <c r="N355" s="625">
        <f t="shared" ref="N355" si="942">SUM(N352:O354)</f>
        <v>0</v>
      </c>
      <c r="O355" s="642"/>
      <c r="P355" s="623">
        <f t="shared" ref="P355" si="943">SUM(P352:Q354)</f>
        <v>0</v>
      </c>
      <c r="Q355" s="626"/>
      <c r="R355" s="88">
        <f t="shared" ref="R355" si="944">IF(AND(F355&gt;=$G$8,H355&gt;=$I$8,J355&gt;=$K$8,L355&gt;=$M$8,N355&gt;=$O$8,P355&gt;=$Q$8),SUM(F355:Q355),0)</f>
        <v>0</v>
      </c>
      <c r="S355" s="251"/>
      <c r="T355" s="97"/>
      <c r="U355" s="94"/>
      <c r="V355" s="606"/>
      <c r="W355" s="88" t="str">
        <f t="shared" ref="W355" si="945">LOOKUP(R355,$AI$6:$AJ$10)</f>
        <v>ضعيف</v>
      </c>
      <c r="X355" s="641"/>
      <c r="Y355" s="68"/>
      <c r="Z355" s="599"/>
      <c r="AK355" s="667"/>
      <c r="AL355" s="667"/>
      <c r="AM355" s="696"/>
      <c r="AN355" s="698"/>
      <c r="AO355" s="699"/>
      <c r="AP355" s="698"/>
    </row>
    <row r="356" spans="1:42" ht="14.85" customHeight="1" thickBot="1" x14ac:dyDescent="0.3">
      <c r="A356" s="610">
        <v>77</v>
      </c>
      <c r="B356" s="613">
        <f>VLOOKUP(A356,مسلسل,2,0)</f>
        <v>0</v>
      </c>
      <c r="C356" s="616" t="str">
        <f>IFERROR(VLOOKUP(B356,اسماء,2,0),"")</f>
        <v/>
      </c>
      <c r="D356" s="619" t="str">
        <f>IFERROR(VLOOKUP($B356,اسماء,3,0),"")</f>
        <v/>
      </c>
      <c r="E356" s="129" t="s">
        <v>30</v>
      </c>
      <c r="F356" s="600">
        <f>IFERROR(VLOOKUP($B356,اسماء,5,0),0)</f>
        <v>0</v>
      </c>
      <c r="G356" s="601"/>
      <c r="H356" s="602">
        <f>IFERROR(VLOOKUP($B356,اسماء,6,0),0)</f>
        <v>0</v>
      </c>
      <c r="I356" s="622"/>
      <c r="J356" s="600">
        <f>IFERROR(VLOOKUP($B356,اسماء,7,0),0)</f>
        <v>0</v>
      </c>
      <c r="K356" s="601"/>
      <c r="L356" s="602">
        <f>IFERROR(VLOOKUP($B356,اسماء,8,0),0)</f>
        <v>0</v>
      </c>
      <c r="M356" s="603"/>
      <c r="N356" s="602">
        <f>IFERROR(VLOOKUP($B356,اسماء,9,0),0)</f>
        <v>0</v>
      </c>
      <c r="O356" s="603"/>
      <c r="P356" s="600">
        <f>IFERROR(VLOOKUP($B356,اسماء,10,0),0)</f>
        <v>0</v>
      </c>
      <c r="Q356" s="622"/>
      <c r="R356" s="371">
        <f t="shared" ref="R356" si="946">SUM(F356:Q356)</f>
        <v>0</v>
      </c>
      <c r="S356" s="213" t="str">
        <f>IFERROR(VLOOKUP($B356,اسماء,12,0),"")</f>
        <v/>
      </c>
      <c r="T356" s="214" t="str">
        <f>IFERROR(VLOOKUP($B356,اسماء,13,0),"")</f>
        <v/>
      </c>
      <c r="U356" s="364" t="str">
        <f>IFERROR(VLOOKUP($B356,اسماء,14,0),"")</f>
        <v/>
      </c>
      <c r="V356" s="604" t="str">
        <f t="shared" ref="V356" si="947">IF(Z356="غائب","راسب",IF(R359&gt;0,"ناجح","مرحل"))</f>
        <v>مرحل</v>
      </c>
      <c r="W356" s="19" t="str">
        <f t="shared" ref="W356:W357" si="948">LOOKUP(R356,$AC$6:$AD$10)</f>
        <v>ضعيف</v>
      </c>
      <c r="X356" s="639">
        <f t="shared" ref="X356" si="949">R359/$AC$3</f>
        <v>0</v>
      </c>
      <c r="Y356" s="8"/>
      <c r="Z356" s="597" t="str">
        <f>IFERROR(VLOOKUP($B356,اسماء,48,0),"")</f>
        <v/>
      </c>
      <c r="AK356" s="667" t="str">
        <f t="shared" ref="AK356" si="950">IF(R359=0,"",R359/1+ROW()*0.00001)</f>
        <v/>
      </c>
      <c r="AL356" s="667">
        <f>B356</f>
        <v>0</v>
      </c>
      <c r="AM356" s="696"/>
      <c r="AN356" s="698">
        <v>77</v>
      </c>
      <c r="AO356" s="699" t="str">
        <f>IFERROR(LARGE($AK$10:$AK$1420,AN356),"")</f>
        <v/>
      </c>
      <c r="AP356" s="698" t="str">
        <f>VLOOKUP(AO356,$AK$10:$AL$1530,2,0)</f>
        <v>امجد عمر عبداللطيف سلطان</v>
      </c>
    </row>
    <row r="357" spans="1:42" ht="14.85" customHeight="1" x14ac:dyDescent="0.25">
      <c r="A357" s="611"/>
      <c r="B357" s="614"/>
      <c r="C357" s="617"/>
      <c r="D357" s="620"/>
      <c r="E357" s="130" t="s">
        <v>31</v>
      </c>
      <c r="F357" s="592">
        <f>IFERROR(VLOOKUP($B356,اسماء,15,0),0)</f>
        <v>0</v>
      </c>
      <c r="G357" s="593"/>
      <c r="H357" s="594">
        <f>IFERROR(VLOOKUP($B356,اسماء,16,0),0)</f>
        <v>0</v>
      </c>
      <c r="I357" s="595"/>
      <c r="J357" s="592">
        <f>IFERROR(VLOOKUP($B356,اسماء,17,0),0)</f>
        <v>0</v>
      </c>
      <c r="K357" s="593"/>
      <c r="L357" s="594">
        <f>IFERROR(VLOOKUP($B356,اسماء,18,0),0)</f>
        <v>0</v>
      </c>
      <c r="M357" s="596"/>
      <c r="N357" s="594">
        <f>IFERROR(VLOOKUP($B356,اسماء,19,0),0)</f>
        <v>0</v>
      </c>
      <c r="O357" s="596"/>
      <c r="P357" s="592">
        <f>IFERROR(VLOOKUP($B356,اسماء,20,0),0)</f>
        <v>0</v>
      </c>
      <c r="Q357" s="595"/>
      <c r="R357" s="372">
        <f t="shared" si="882"/>
        <v>0</v>
      </c>
      <c r="S357" s="305" t="str">
        <f>IFERROR(VLOOKUP($B356,اسماء,23,0),"")</f>
        <v/>
      </c>
      <c r="T357" s="306" t="str">
        <f>IFERROR(VLOOKUP($B356,اسماء,24,0),"")</f>
        <v/>
      </c>
      <c r="U357" s="122" t="str">
        <f>IFERROR(VLOOKUP($B356,اسماء,25,0),"")</f>
        <v/>
      </c>
      <c r="V357" s="605"/>
      <c r="W357" s="19" t="str">
        <f t="shared" si="948"/>
        <v>ضعيف</v>
      </c>
      <c r="X357" s="640"/>
      <c r="Y357" s="68"/>
      <c r="Z357" s="598"/>
      <c r="AK357" s="667"/>
      <c r="AL357" s="667"/>
      <c r="AM357" s="696"/>
      <c r="AN357" s="698"/>
      <c r="AO357" s="699"/>
      <c r="AP357" s="698"/>
    </row>
    <row r="358" spans="1:42" ht="14.85" customHeight="1" x14ac:dyDescent="0.25">
      <c r="A358" s="611"/>
      <c r="B358" s="614"/>
      <c r="C358" s="617"/>
      <c r="D358" s="620"/>
      <c r="E358" s="130" t="s">
        <v>32</v>
      </c>
      <c r="F358" s="592">
        <f>IFERROR(VLOOKUP($B356,اسماء,25,0),0)</f>
        <v>0</v>
      </c>
      <c r="G358" s="593"/>
      <c r="H358" s="594">
        <f>IFERROR(VLOOKUP($B356,اسماء,26,0),0)</f>
        <v>0</v>
      </c>
      <c r="I358" s="595"/>
      <c r="J358" s="592">
        <f>IFERROR(VLOOKUP($B356,اسماء,27,0),0)</f>
        <v>0</v>
      </c>
      <c r="K358" s="593"/>
      <c r="L358" s="594">
        <f>IFERROR(VLOOKUP($B356,اسماء,28,0),0)</f>
        <v>0</v>
      </c>
      <c r="M358" s="596"/>
      <c r="N358" s="594">
        <f>IFERROR(VLOOKUP($B356,اسماء,29,0),0)</f>
        <v>0</v>
      </c>
      <c r="O358" s="596"/>
      <c r="P358" s="592">
        <f>IFERROR(VLOOKUP($B356,اسماء,30,0),0)</f>
        <v>0</v>
      </c>
      <c r="Q358" s="595"/>
      <c r="R358" s="372">
        <f t="shared" si="882"/>
        <v>0</v>
      </c>
      <c r="S358" s="305" t="str">
        <f>IFERROR(VLOOKUP($B356,اسماء,34,0),"")</f>
        <v/>
      </c>
      <c r="T358" s="306" t="str">
        <f>IFERROR(VLOOKUP($B356,اسماء,35,0),"")</f>
        <v/>
      </c>
      <c r="U358" s="122" t="str">
        <f>IFERROR(VLOOKUP($B356,اسماء,36,0),"")</f>
        <v/>
      </c>
      <c r="V358" s="605"/>
      <c r="W358" s="20" t="str">
        <f t="shared" ref="W358" si="951">LOOKUP(R358,$AF$6:$AG$10)</f>
        <v>ضعيف</v>
      </c>
      <c r="X358" s="640"/>
      <c r="Y358" s="68"/>
      <c r="Z358" s="598"/>
      <c r="AK358" s="667"/>
      <c r="AL358" s="667"/>
      <c r="AM358" s="696"/>
      <c r="AN358" s="698"/>
      <c r="AO358" s="699"/>
      <c r="AP358" s="698"/>
    </row>
    <row r="359" spans="1:42" ht="14.85" customHeight="1" thickBot="1" x14ac:dyDescent="0.3">
      <c r="A359" s="612"/>
      <c r="B359" s="615"/>
      <c r="C359" s="618"/>
      <c r="D359" s="621"/>
      <c r="E359" s="124" t="s">
        <v>33</v>
      </c>
      <c r="F359" s="623">
        <f t="shared" ref="F359" si="952">SUM(F356:G358)</f>
        <v>0</v>
      </c>
      <c r="G359" s="624"/>
      <c r="H359" s="625">
        <f t="shared" ref="H359" si="953">SUM(H356:I358)</f>
        <v>0</v>
      </c>
      <c r="I359" s="626"/>
      <c r="J359" s="623">
        <f t="shared" ref="J359" si="954">SUM(J356:K358)</f>
        <v>0</v>
      </c>
      <c r="K359" s="624"/>
      <c r="L359" s="625">
        <f t="shared" ref="L359" si="955">SUM(L356:M358)</f>
        <v>0</v>
      </c>
      <c r="M359" s="642"/>
      <c r="N359" s="625">
        <f t="shared" ref="N359" si="956">SUM(N356:O358)</f>
        <v>0</v>
      </c>
      <c r="O359" s="642"/>
      <c r="P359" s="623">
        <f t="shared" ref="P359" si="957">SUM(P356:Q358)</f>
        <v>0</v>
      </c>
      <c r="Q359" s="626"/>
      <c r="R359" s="88">
        <f t="shared" ref="R359" si="958">IF(AND(F359&gt;=$G$8,H359&gt;=$I$8,J359&gt;=$K$8,L359&gt;=$M$8,N359&gt;=$O$8,P359&gt;=$Q$8),SUM(F359:Q359),0)</f>
        <v>0</v>
      </c>
      <c r="S359" s="251"/>
      <c r="T359" s="97"/>
      <c r="U359" s="94"/>
      <c r="V359" s="606"/>
      <c r="W359" s="88" t="str">
        <f t="shared" ref="W359" si="959">LOOKUP(R359,$AI$6:$AJ$10)</f>
        <v>ضعيف</v>
      </c>
      <c r="X359" s="641"/>
      <c r="Y359" s="8"/>
      <c r="Z359" s="599"/>
      <c r="AK359" s="667"/>
      <c r="AL359" s="667"/>
      <c r="AM359" s="696"/>
      <c r="AN359" s="698"/>
      <c r="AO359" s="699"/>
      <c r="AP359" s="698"/>
    </row>
    <row r="360" spans="1:42" ht="14.85" customHeight="1" thickBot="1" x14ac:dyDescent="0.3">
      <c r="A360" s="610">
        <v>78</v>
      </c>
      <c r="B360" s="613">
        <f>VLOOKUP(A360,مسلسل,2,0)</f>
        <v>0</v>
      </c>
      <c r="C360" s="616" t="str">
        <f>IFERROR(VLOOKUP(B360,اسماء,2,0),"")</f>
        <v/>
      </c>
      <c r="D360" s="619" t="str">
        <f>IFERROR(VLOOKUP($B360,اسماء,3,0),"")</f>
        <v/>
      </c>
      <c r="E360" s="129" t="s">
        <v>30</v>
      </c>
      <c r="F360" s="600">
        <f>IFERROR(VLOOKUP($B360,اسماء,5,0),0)</f>
        <v>0</v>
      </c>
      <c r="G360" s="601"/>
      <c r="H360" s="602">
        <f>IFERROR(VLOOKUP($B360,اسماء,6,0),0)</f>
        <v>0</v>
      </c>
      <c r="I360" s="622"/>
      <c r="J360" s="600">
        <f>IFERROR(VLOOKUP($B360,اسماء,7,0),0)</f>
        <v>0</v>
      </c>
      <c r="K360" s="601"/>
      <c r="L360" s="602">
        <f>IFERROR(VLOOKUP($B360,اسماء,8,0),0)</f>
        <v>0</v>
      </c>
      <c r="M360" s="603"/>
      <c r="N360" s="602">
        <f>IFERROR(VLOOKUP($B360,اسماء,9,0),0)</f>
        <v>0</v>
      </c>
      <c r="O360" s="603"/>
      <c r="P360" s="600">
        <f>IFERROR(VLOOKUP($B360,اسماء,10,0),0)</f>
        <v>0</v>
      </c>
      <c r="Q360" s="622"/>
      <c r="R360" s="371">
        <f t="shared" ref="R360" si="960">SUM(F360:Q360)</f>
        <v>0</v>
      </c>
      <c r="S360" s="213" t="str">
        <f>IFERROR(VLOOKUP($B360,اسماء,12,0),"")</f>
        <v/>
      </c>
      <c r="T360" s="214" t="str">
        <f>IFERROR(VLOOKUP($B360,اسماء,13,0),"")</f>
        <v/>
      </c>
      <c r="U360" s="364" t="str">
        <f>IFERROR(VLOOKUP($B360,اسماء,14,0),"")</f>
        <v/>
      </c>
      <c r="V360" s="604" t="str">
        <f t="shared" ref="V360" si="961">IF(Z360="غائب","راسب",IF(R363&gt;0,"ناجح","مرحل"))</f>
        <v>مرحل</v>
      </c>
      <c r="W360" s="19" t="str">
        <f t="shared" ref="W360:W361" si="962">LOOKUP(R360,$AC$6:$AD$10)</f>
        <v>ضعيف</v>
      </c>
      <c r="X360" s="639">
        <f t="shared" ref="X360" si="963">R363/$AC$3</f>
        <v>0</v>
      </c>
      <c r="Y360" s="68"/>
      <c r="Z360" s="597" t="str">
        <f>IFERROR(VLOOKUP($B360,اسماء,48,0),"")</f>
        <v/>
      </c>
      <c r="AK360" s="667" t="str">
        <f t="shared" ref="AK360" si="964">IF(R363=0,"",R363/1+ROW()*0.00001)</f>
        <v/>
      </c>
      <c r="AL360" s="667">
        <f>B360</f>
        <v>0</v>
      </c>
      <c r="AM360" s="696"/>
      <c r="AN360" s="698">
        <v>78</v>
      </c>
      <c r="AO360" s="699" t="str">
        <f>IFERROR(LARGE($AK$10:$AK$1420,AN360),"")</f>
        <v/>
      </c>
      <c r="AP360" s="698" t="str">
        <f>VLOOKUP(AO360,$AK$10:$AL$1530,2,0)</f>
        <v>امجد عمر عبداللطيف سلطان</v>
      </c>
    </row>
    <row r="361" spans="1:42" ht="14.85" customHeight="1" x14ac:dyDescent="0.25">
      <c r="A361" s="611"/>
      <c r="B361" s="614"/>
      <c r="C361" s="617"/>
      <c r="D361" s="620"/>
      <c r="E361" s="130" t="s">
        <v>31</v>
      </c>
      <c r="F361" s="592">
        <f>IFERROR(VLOOKUP($B360,اسماء,15,0),0)</f>
        <v>0</v>
      </c>
      <c r="G361" s="593"/>
      <c r="H361" s="594">
        <f>IFERROR(VLOOKUP($B360,اسماء,16,0),0)</f>
        <v>0</v>
      </c>
      <c r="I361" s="595"/>
      <c r="J361" s="592">
        <f>IFERROR(VLOOKUP($B360,اسماء,17,0),0)</f>
        <v>0</v>
      </c>
      <c r="K361" s="593"/>
      <c r="L361" s="594">
        <f>IFERROR(VLOOKUP($B360,اسماء,18,0),0)</f>
        <v>0</v>
      </c>
      <c r="M361" s="596"/>
      <c r="N361" s="594">
        <f>IFERROR(VLOOKUP($B360,اسماء,19,0),0)</f>
        <v>0</v>
      </c>
      <c r="O361" s="596"/>
      <c r="P361" s="592">
        <f>IFERROR(VLOOKUP($B360,اسماء,20,0),0)</f>
        <v>0</v>
      </c>
      <c r="Q361" s="595"/>
      <c r="R361" s="372">
        <f t="shared" si="882"/>
        <v>0</v>
      </c>
      <c r="S361" s="305" t="str">
        <f>IFERROR(VLOOKUP($B360,اسماء,23,0),"")</f>
        <v/>
      </c>
      <c r="T361" s="306" t="str">
        <f>IFERROR(VLOOKUP($B360,اسماء,24,0),"")</f>
        <v/>
      </c>
      <c r="U361" s="122" t="str">
        <f>IFERROR(VLOOKUP($B360,اسماء,25,0),"")</f>
        <v/>
      </c>
      <c r="V361" s="605"/>
      <c r="W361" s="19" t="str">
        <f t="shared" si="962"/>
        <v>ضعيف</v>
      </c>
      <c r="X361" s="640"/>
      <c r="Y361" s="68"/>
      <c r="Z361" s="598"/>
      <c r="AK361" s="667"/>
      <c r="AL361" s="667"/>
      <c r="AM361" s="696"/>
      <c r="AN361" s="698"/>
      <c r="AO361" s="699"/>
      <c r="AP361" s="698"/>
    </row>
    <row r="362" spans="1:42" ht="14.85" customHeight="1" x14ac:dyDescent="0.25">
      <c r="A362" s="611"/>
      <c r="B362" s="614"/>
      <c r="C362" s="617"/>
      <c r="D362" s="620"/>
      <c r="E362" s="130" t="s">
        <v>32</v>
      </c>
      <c r="F362" s="592">
        <f>IFERROR(VLOOKUP($B360,اسماء,25,0),0)</f>
        <v>0</v>
      </c>
      <c r="G362" s="593"/>
      <c r="H362" s="594">
        <f>IFERROR(VLOOKUP($B360,اسماء,26,0),0)</f>
        <v>0</v>
      </c>
      <c r="I362" s="595"/>
      <c r="J362" s="592">
        <f>IFERROR(VLOOKUP($B360,اسماء,27,0),0)</f>
        <v>0</v>
      </c>
      <c r="K362" s="593"/>
      <c r="L362" s="594">
        <f>IFERROR(VLOOKUP($B360,اسماء,28,0),0)</f>
        <v>0</v>
      </c>
      <c r="M362" s="596"/>
      <c r="N362" s="594">
        <f>IFERROR(VLOOKUP($B360,اسماء,29,0),0)</f>
        <v>0</v>
      </c>
      <c r="O362" s="596"/>
      <c r="P362" s="592">
        <f>IFERROR(VLOOKUP($B360,اسماء,30,0),0)</f>
        <v>0</v>
      </c>
      <c r="Q362" s="595"/>
      <c r="R362" s="372">
        <f t="shared" si="882"/>
        <v>0</v>
      </c>
      <c r="S362" s="305" t="str">
        <f>IFERROR(VLOOKUP($B360,اسماء,34,0),"")</f>
        <v/>
      </c>
      <c r="T362" s="306" t="str">
        <f>IFERROR(VLOOKUP($B360,اسماء,35,0),"")</f>
        <v/>
      </c>
      <c r="U362" s="122" t="str">
        <f>IFERROR(VLOOKUP($B360,اسماء,36,0),"")</f>
        <v/>
      </c>
      <c r="V362" s="605"/>
      <c r="W362" s="20" t="str">
        <f t="shared" ref="W362" si="965">LOOKUP(R362,$AF$6:$AG$10)</f>
        <v>ضعيف</v>
      </c>
      <c r="X362" s="640"/>
      <c r="Y362" s="8"/>
      <c r="Z362" s="598"/>
      <c r="AK362" s="667"/>
      <c r="AL362" s="667"/>
      <c r="AM362" s="696"/>
      <c r="AN362" s="698"/>
      <c r="AO362" s="699"/>
      <c r="AP362" s="698"/>
    </row>
    <row r="363" spans="1:42" ht="14.85" customHeight="1" thickBot="1" x14ac:dyDescent="0.3">
      <c r="A363" s="612"/>
      <c r="B363" s="615"/>
      <c r="C363" s="618"/>
      <c r="D363" s="621"/>
      <c r="E363" s="124" t="s">
        <v>33</v>
      </c>
      <c r="F363" s="623">
        <f t="shared" ref="F363" si="966">SUM(F360:G362)</f>
        <v>0</v>
      </c>
      <c r="G363" s="624"/>
      <c r="H363" s="625">
        <f t="shared" ref="H363" si="967">SUM(H360:I362)</f>
        <v>0</v>
      </c>
      <c r="I363" s="626"/>
      <c r="J363" s="623">
        <f t="shared" ref="J363" si="968">SUM(J360:K362)</f>
        <v>0</v>
      </c>
      <c r="K363" s="624"/>
      <c r="L363" s="625">
        <f t="shared" ref="L363" si="969">SUM(L360:M362)</f>
        <v>0</v>
      </c>
      <c r="M363" s="642"/>
      <c r="N363" s="625">
        <f t="shared" ref="N363" si="970">SUM(N360:O362)</f>
        <v>0</v>
      </c>
      <c r="O363" s="642"/>
      <c r="P363" s="623">
        <f t="shared" ref="P363" si="971">SUM(P360:Q362)</f>
        <v>0</v>
      </c>
      <c r="Q363" s="626"/>
      <c r="R363" s="88">
        <f t="shared" ref="R363" si="972">IF(AND(F363&gt;=$G$8,H363&gt;=$I$8,J363&gt;=$K$8,L363&gt;=$M$8,N363&gt;=$O$8,P363&gt;=$Q$8),SUM(F363:Q363),0)</f>
        <v>0</v>
      </c>
      <c r="S363" s="251"/>
      <c r="T363" s="97"/>
      <c r="U363" s="94"/>
      <c r="V363" s="606"/>
      <c r="W363" s="88" t="str">
        <f t="shared" ref="W363" si="973">LOOKUP(R363,$AI$6:$AJ$10)</f>
        <v>ضعيف</v>
      </c>
      <c r="X363" s="641"/>
      <c r="Y363" s="68"/>
      <c r="Z363" s="599"/>
      <c r="AK363" s="667"/>
      <c r="AL363" s="667"/>
      <c r="AM363" s="696"/>
      <c r="AN363" s="698"/>
      <c r="AO363" s="699"/>
      <c r="AP363" s="698"/>
    </row>
    <row r="364" spans="1:42" ht="14.85" customHeight="1" thickBot="1" x14ac:dyDescent="0.3">
      <c r="A364" s="610">
        <v>79</v>
      </c>
      <c r="B364" s="613">
        <f>VLOOKUP(A364,مسلسل,2,0)</f>
        <v>0</v>
      </c>
      <c r="C364" s="616" t="str">
        <f>IFERROR(VLOOKUP(B364,اسماء,2,0),"")</f>
        <v/>
      </c>
      <c r="D364" s="619" t="str">
        <f>IFERROR(VLOOKUP($B364,اسماء,3,0),"")</f>
        <v/>
      </c>
      <c r="E364" s="129" t="s">
        <v>30</v>
      </c>
      <c r="F364" s="600">
        <f>IFERROR(VLOOKUP($B364,اسماء,5,0),0)</f>
        <v>0</v>
      </c>
      <c r="G364" s="601"/>
      <c r="H364" s="602">
        <f>IFERROR(VLOOKUP($B364,اسماء,6,0),0)</f>
        <v>0</v>
      </c>
      <c r="I364" s="622"/>
      <c r="J364" s="600">
        <f>IFERROR(VLOOKUP($B364,اسماء,7,0),0)</f>
        <v>0</v>
      </c>
      <c r="K364" s="601"/>
      <c r="L364" s="602">
        <f>IFERROR(VLOOKUP($B364,اسماء,8,0),0)</f>
        <v>0</v>
      </c>
      <c r="M364" s="603"/>
      <c r="N364" s="602">
        <f>IFERROR(VLOOKUP($B364,اسماء,9,0),0)</f>
        <v>0</v>
      </c>
      <c r="O364" s="603"/>
      <c r="P364" s="600">
        <f>IFERROR(VLOOKUP($B364,اسماء,10,0),0)</f>
        <v>0</v>
      </c>
      <c r="Q364" s="622"/>
      <c r="R364" s="371">
        <f t="shared" ref="R364" si="974">SUM(F364:Q364)</f>
        <v>0</v>
      </c>
      <c r="S364" s="213" t="str">
        <f>IFERROR(VLOOKUP($B364,اسماء,12,0),"")</f>
        <v/>
      </c>
      <c r="T364" s="214" t="str">
        <f>IFERROR(VLOOKUP($B364,اسماء,13,0),"")</f>
        <v/>
      </c>
      <c r="U364" s="364" t="str">
        <f>IFERROR(VLOOKUP($B364,اسماء,14,0),"")</f>
        <v/>
      </c>
      <c r="V364" s="604" t="str">
        <f t="shared" ref="V364" si="975">IF(Z364="غائب","راسب",IF(R367&gt;0,"ناجح","مرحل"))</f>
        <v>مرحل</v>
      </c>
      <c r="W364" s="19" t="str">
        <f t="shared" ref="W364:W365" si="976">LOOKUP(R364,$AC$6:$AD$10)</f>
        <v>ضعيف</v>
      </c>
      <c r="X364" s="639">
        <f t="shared" ref="X364" si="977">R367/$AC$3</f>
        <v>0</v>
      </c>
      <c r="Y364" s="68"/>
      <c r="Z364" s="597" t="str">
        <f>IFERROR(VLOOKUP($B364,اسماء,48,0),"")</f>
        <v/>
      </c>
      <c r="AK364" s="667" t="str">
        <f t="shared" ref="AK364" si="978">IF(R367=0,"",R367/1+ROW()*0.00001)</f>
        <v/>
      </c>
      <c r="AL364" s="667">
        <f>B364</f>
        <v>0</v>
      </c>
      <c r="AM364" s="696"/>
      <c r="AN364" s="698">
        <v>79</v>
      </c>
      <c r="AO364" s="699" t="str">
        <f>IFERROR(LARGE($AK$10:$AK$1420,AN364),"")</f>
        <v/>
      </c>
      <c r="AP364" s="698" t="str">
        <f>VLOOKUP(AO364,$AK$10:$AL$1530,2,0)</f>
        <v>امجد عمر عبداللطيف سلطان</v>
      </c>
    </row>
    <row r="365" spans="1:42" ht="14.85" customHeight="1" x14ac:dyDescent="0.25">
      <c r="A365" s="611"/>
      <c r="B365" s="614"/>
      <c r="C365" s="617"/>
      <c r="D365" s="620"/>
      <c r="E365" s="130" t="s">
        <v>31</v>
      </c>
      <c r="F365" s="592">
        <f>IFERROR(VLOOKUP($B364,اسماء,15,0),0)</f>
        <v>0</v>
      </c>
      <c r="G365" s="593"/>
      <c r="H365" s="594">
        <f>IFERROR(VLOOKUP($B364,اسماء,16,0),0)</f>
        <v>0</v>
      </c>
      <c r="I365" s="595"/>
      <c r="J365" s="592">
        <f>IFERROR(VLOOKUP($B364,اسماء,17,0),0)</f>
        <v>0</v>
      </c>
      <c r="K365" s="593"/>
      <c r="L365" s="594">
        <f>IFERROR(VLOOKUP($B364,اسماء,18,0),0)</f>
        <v>0</v>
      </c>
      <c r="M365" s="596"/>
      <c r="N365" s="594">
        <f>IFERROR(VLOOKUP($B364,اسماء,19,0),0)</f>
        <v>0</v>
      </c>
      <c r="O365" s="596"/>
      <c r="P365" s="592">
        <f>IFERROR(VLOOKUP($B364,اسماء,20,0),0)</f>
        <v>0</v>
      </c>
      <c r="Q365" s="595"/>
      <c r="R365" s="372">
        <f t="shared" si="882"/>
        <v>0</v>
      </c>
      <c r="S365" s="305" t="str">
        <f>IFERROR(VLOOKUP($B364,اسماء,23,0),"")</f>
        <v/>
      </c>
      <c r="T365" s="306" t="str">
        <f>IFERROR(VLOOKUP($B364,اسماء,24,0),"")</f>
        <v/>
      </c>
      <c r="U365" s="122" t="str">
        <f>IFERROR(VLOOKUP($B364,اسماء,25,0),"")</f>
        <v/>
      </c>
      <c r="V365" s="605"/>
      <c r="W365" s="19" t="str">
        <f t="shared" si="976"/>
        <v>ضعيف</v>
      </c>
      <c r="X365" s="640"/>
      <c r="Y365" s="8"/>
      <c r="Z365" s="598"/>
      <c r="AK365" s="667"/>
      <c r="AL365" s="667"/>
      <c r="AM365" s="696"/>
      <c r="AN365" s="698"/>
      <c r="AO365" s="699"/>
      <c r="AP365" s="698"/>
    </row>
    <row r="366" spans="1:42" ht="14.85" customHeight="1" x14ac:dyDescent="0.25">
      <c r="A366" s="611"/>
      <c r="B366" s="614"/>
      <c r="C366" s="617"/>
      <c r="D366" s="620"/>
      <c r="E366" s="130" t="s">
        <v>32</v>
      </c>
      <c r="F366" s="592">
        <f>IFERROR(VLOOKUP($B364,اسماء,25,0),0)</f>
        <v>0</v>
      </c>
      <c r="G366" s="593"/>
      <c r="H366" s="594">
        <f>IFERROR(VLOOKUP($B364,اسماء,26,0),0)</f>
        <v>0</v>
      </c>
      <c r="I366" s="595"/>
      <c r="J366" s="592">
        <f>IFERROR(VLOOKUP($B364,اسماء,27,0),0)</f>
        <v>0</v>
      </c>
      <c r="K366" s="593"/>
      <c r="L366" s="594">
        <f>IFERROR(VLOOKUP($B364,اسماء,28,0),0)</f>
        <v>0</v>
      </c>
      <c r="M366" s="596"/>
      <c r="N366" s="594">
        <f>IFERROR(VLOOKUP($B364,اسماء,29,0),0)</f>
        <v>0</v>
      </c>
      <c r="O366" s="596"/>
      <c r="P366" s="592">
        <f>IFERROR(VLOOKUP($B364,اسماء,30,0),0)</f>
        <v>0</v>
      </c>
      <c r="Q366" s="595"/>
      <c r="R366" s="372">
        <f t="shared" si="882"/>
        <v>0</v>
      </c>
      <c r="S366" s="305" t="str">
        <f>IFERROR(VLOOKUP($B364,اسماء,34,0),"")</f>
        <v/>
      </c>
      <c r="T366" s="306" t="str">
        <f>IFERROR(VLOOKUP($B364,اسماء,35,0),"")</f>
        <v/>
      </c>
      <c r="U366" s="122" t="str">
        <f>IFERROR(VLOOKUP($B364,اسماء,36,0),"")</f>
        <v/>
      </c>
      <c r="V366" s="605"/>
      <c r="W366" s="20" t="str">
        <f t="shared" ref="W366" si="979">LOOKUP(R366,$AF$6:$AG$10)</f>
        <v>ضعيف</v>
      </c>
      <c r="X366" s="640"/>
      <c r="Y366" s="68"/>
      <c r="Z366" s="598"/>
      <c r="AK366" s="667"/>
      <c r="AL366" s="667"/>
      <c r="AM366" s="696"/>
      <c r="AN366" s="698"/>
      <c r="AO366" s="699"/>
      <c r="AP366" s="698"/>
    </row>
    <row r="367" spans="1:42" ht="14.85" customHeight="1" thickBot="1" x14ac:dyDescent="0.3">
      <c r="A367" s="612"/>
      <c r="B367" s="615"/>
      <c r="C367" s="618"/>
      <c r="D367" s="621"/>
      <c r="E367" s="124" t="s">
        <v>33</v>
      </c>
      <c r="F367" s="623">
        <f t="shared" ref="F367" si="980">SUM(F364:G366)</f>
        <v>0</v>
      </c>
      <c r="G367" s="624"/>
      <c r="H367" s="625">
        <f t="shared" ref="H367" si="981">SUM(H364:I366)</f>
        <v>0</v>
      </c>
      <c r="I367" s="626"/>
      <c r="J367" s="623">
        <f t="shared" ref="J367" si="982">SUM(J364:K366)</f>
        <v>0</v>
      </c>
      <c r="K367" s="624"/>
      <c r="L367" s="625">
        <f t="shared" ref="L367" si="983">SUM(L364:M366)</f>
        <v>0</v>
      </c>
      <c r="M367" s="642"/>
      <c r="N367" s="625">
        <f t="shared" ref="N367" si="984">SUM(N364:O366)</f>
        <v>0</v>
      </c>
      <c r="O367" s="642"/>
      <c r="P367" s="623">
        <f t="shared" ref="P367" si="985">SUM(P364:Q366)</f>
        <v>0</v>
      </c>
      <c r="Q367" s="626"/>
      <c r="R367" s="88">
        <f t="shared" ref="R367" si="986">IF(AND(F367&gt;=$G$8,H367&gt;=$I$8,J367&gt;=$K$8,L367&gt;=$M$8,N367&gt;=$O$8,P367&gt;=$Q$8),SUM(F367:Q367),0)</f>
        <v>0</v>
      </c>
      <c r="S367" s="251"/>
      <c r="T367" s="97"/>
      <c r="U367" s="94"/>
      <c r="V367" s="606"/>
      <c r="W367" s="88" t="str">
        <f t="shared" ref="W367" si="987">LOOKUP(R367,$AI$6:$AJ$10)</f>
        <v>ضعيف</v>
      </c>
      <c r="X367" s="641"/>
      <c r="Y367" s="68"/>
      <c r="Z367" s="599"/>
      <c r="AK367" s="667"/>
      <c r="AL367" s="667"/>
      <c r="AM367" s="696"/>
      <c r="AN367" s="698"/>
      <c r="AO367" s="699"/>
      <c r="AP367" s="698"/>
    </row>
    <row r="368" spans="1:42" ht="14.85" customHeight="1" thickBot="1" x14ac:dyDescent="0.3">
      <c r="A368" s="610">
        <v>80</v>
      </c>
      <c r="B368" s="613">
        <f>VLOOKUP(A368,مسلسل,2,0)</f>
        <v>0</v>
      </c>
      <c r="C368" s="616" t="str">
        <f>IFERROR(VLOOKUP(B368,اسماء,2,0),"")</f>
        <v/>
      </c>
      <c r="D368" s="619" t="str">
        <f>IFERROR(VLOOKUP($B368,اسماء,3,0),"")</f>
        <v/>
      </c>
      <c r="E368" s="129" t="s">
        <v>30</v>
      </c>
      <c r="F368" s="600">
        <f>IFERROR(VLOOKUP($B368,اسماء,5,0),0)</f>
        <v>0</v>
      </c>
      <c r="G368" s="601"/>
      <c r="H368" s="602">
        <f>IFERROR(VLOOKUP($B368,اسماء,6,0),0)</f>
        <v>0</v>
      </c>
      <c r="I368" s="622"/>
      <c r="J368" s="600">
        <f>IFERROR(VLOOKUP($B368,اسماء,7,0),0)</f>
        <v>0</v>
      </c>
      <c r="K368" s="601"/>
      <c r="L368" s="602">
        <f>IFERROR(VLOOKUP($B368,اسماء,8,0),0)</f>
        <v>0</v>
      </c>
      <c r="M368" s="603"/>
      <c r="N368" s="602">
        <f>IFERROR(VLOOKUP($B368,اسماء,9,0),0)</f>
        <v>0</v>
      </c>
      <c r="O368" s="603"/>
      <c r="P368" s="600">
        <f>IFERROR(VLOOKUP($B368,اسماء,10,0),0)</f>
        <v>0</v>
      </c>
      <c r="Q368" s="622"/>
      <c r="R368" s="371">
        <f t="shared" ref="R368" si="988">SUM(F368:Q368)</f>
        <v>0</v>
      </c>
      <c r="S368" s="213" t="str">
        <f>IFERROR(VLOOKUP($B368,اسماء,12,0),"")</f>
        <v/>
      </c>
      <c r="T368" s="214" t="str">
        <f>IFERROR(VLOOKUP($B368,اسماء,13,0),"")</f>
        <v/>
      </c>
      <c r="U368" s="364" t="str">
        <f>IFERROR(VLOOKUP($B368,اسماء,14,0),"")</f>
        <v/>
      </c>
      <c r="V368" s="604" t="str">
        <f t="shared" ref="V368" si="989">IF(Z368="غائب","راسب",IF(R371&gt;0,"ناجح","مرحل"))</f>
        <v>مرحل</v>
      </c>
      <c r="W368" s="19" t="str">
        <f t="shared" ref="W368:W369" si="990">LOOKUP(R368,$AC$6:$AD$10)</f>
        <v>ضعيف</v>
      </c>
      <c r="X368" s="639">
        <f t="shared" ref="X368" si="991">R371/$AC$3</f>
        <v>0</v>
      </c>
      <c r="Y368" s="8"/>
      <c r="Z368" s="597" t="str">
        <f>IFERROR(VLOOKUP($B368,اسماء,48,0),"")</f>
        <v/>
      </c>
      <c r="AK368" s="667" t="str">
        <f t="shared" ref="AK368" si="992">IF(R371=0,"",R371/1+ROW()*0.00001)</f>
        <v/>
      </c>
      <c r="AL368" s="667">
        <f>B368</f>
        <v>0</v>
      </c>
      <c r="AM368" s="696"/>
      <c r="AN368" s="698">
        <v>80</v>
      </c>
      <c r="AO368" s="699" t="str">
        <f>IFERROR(LARGE($AK$10:$AK$1420,AN368),"")</f>
        <v/>
      </c>
      <c r="AP368" s="698" t="str">
        <f>VLOOKUP(AO368,$AK$10:$AL$1530,2,0)</f>
        <v>امجد عمر عبداللطيف سلطان</v>
      </c>
    </row>
    <row r="369" spans="1:42" ht="14.85" customHeight="1" x14ac:dyDescent="0.25">
      <c r="A369" s="611"/>
      <c r="B369" s="614"/>
      <c r="C369" s="617"/>
      <c r="D369" s="620"/>
      <c r="E369" s="130" t="s">
        <v>31</v>
      </c>
      <c r="F369" s="592">
        <f>IFERROR(VLOOKUP($B368,اسماء,15,0),0)</f>
        <v>0</v>
      </c>
      <c r="G369" s="593"/>
      <c r="H369" s="594">
        <f>IFERROR(VLOOKUP($B368,اسماء,16,0),0)</f>
        <v>0</v>
      </c>
      <c r="I369" s="595"/>
      <c r="J369" s="592">
        <f>IFERROR(VLOOKUP($B368,اسماء,17,0),0)</f>
        <v>0</v>
      </c>
      <c r="K369" s="593"/>
      <c r="L369" s="594">
        <f>IFERROR(VLOOKUP($B368,اسماء,18,0),0)</f>
        <v>0</v>
      </c>
      <c r="M369" s="596"/>
      <c r="N369" s="594">
        <f>IFERROR(VLOOKUP($B368,اسماء,19,0),0)</f>
        <v>0</v>
      </c>
      <c r="O369" s="596"/>
      <c r="P369" s="592">
        <f>IFERROR(VLOOKUP($B368,اسماء,20,0),0)</f>
        <v>0</v>
      </c>
      <c r="Q369" s="595"/>
      <c r="R369" s="372">
        <f t="shared" si="882"/>
        <v>0</v>
      </c>
      <c r="S369" s="305" t="str">
        <f>IFERROR(VLOOKUP($B368,اسماء,23,0),"")</f>
        <v/>
      </c>
      <c r="T369" s="306" t="str">
        <f>IFERROR(VLOOKUP($B368,اسماء,24,0),"")</f>
        <v/>
      </c>
      <c r="U369" s="122" t="str">
        <f>IFERROR(VLOOKUP($B368,اسماء,25,0),"")</f>
        <v/>
      </c>
      <c r="V369" s="605"/>
      <c r="W369" s="19" t="str">
        <f t="shared" si="990"/>
        <v>ضعيف</v>
      </c>
      <c r="X369" s="640"/>
      <c r="Y369" s="68"/>
      <c r="Z369" s="598"/>
      <c r="AK369" s="667"/>
      <c r="AL369" s="667"/>
      <c r="AM369" s="696"/>
      <c r="AN369" s="698"/>
      <c r="AO369" s="699"/>
      <c r="AP369" s="698"/>
    </row>
    <row r="370" spans="1:42" ht="14.85" customHeight="1" x14ac:dyDescent="0.25">
      <c r="A370" s="611"/>
      <c r="B370" s="614"/>
      <c r="C370" s="617"/>
      <c r="D370" s="620"/>
      <c r="E370" s="130" t="s">
        <v>32</v>
      </c>
      <c r="F370" s="592">
        <f>IFERROR(VLOOKUP($B368,اسماء,25,0),0)</f>
        <v>0</v>
      </c>
      <c r="G370" s="593"/>
      <c r="H370" s="594">
        <f>IFERROR(VLOOKUP($B368,اسماء,26,0),0)</f>
        <v>0</v>
      </c>
      <c r="I370" s="595"/>
      <c r="J370" s="592">
        <f>IFERROR(VLOOKUP($B368,اسماء,27,0),0)</f>
        <v>0</v>
      </c>
      <c r="K370" s="593"/>
      <c r="L370" s="594">
        <f>IFERROR(VLOOKUP($B368,اسماء,28,0),0)</f>
        <v>0</v>
      </c>
      <c r="M370" s="596"/>
      <c r="N370" s="594">
        <f>IFERROR(VLOOKUP($B368,اسماء,29,0),0)</f>
        <v>0</v>
      </c>
      <c r="O370" s="596"/>
      <c r="P370" s="592">
        <f>IFERROR(VLOOKUP($B368,اسماء,30,0),0)</f>
        <v>0</v>
      </c>
      <c r="Q370" s="595"/>
      <c r="R370" s="372">
        <f t="shared" si="882"/>
        <v>0</v>
      </c>
      <c r="S370" s="305" t="str">
        <f>IFERROR(VLOOKUP($B368,اسماء,34,0),"")</f>
        <v/>
      </c>
      <c r="T370" s="306" t="str">
        <f>IFERROR(VLOOKUP($B368,اسماء,35,0),"")</f>
        <v/>
      </c>
      <c r="U370" s="122" t="str">
        <f>IFERROR(VLOOKUP($B368,اسماء,36,0),"")</f>
        <v/>
      </c>
      <c r="V370" s="605"/>
      <c r="W370" s="20" t="str">
        <f t="shared" ref="W370" si="993">LOOKUP(R370,$AF$6:$AG$10)</f>
        <v>ضعيف</v>
      </c>
      <c r="X370" s="640"/>
      <c r="Y370" s="68"/>
      <c r="Z370" s="598"/>
      <c r="AK370" s="667"/>
      <c r="AL370" s="667"/>
      <c r="AM370" s="696"/>
      <c r="AN370" s="698"/>
      <c r="AO370" s="699"/>
      <c r="AP370" s="698"/>
    </row>
    <row r="371" spans="1:42" ht="14.85" customHeight="1" thickBot="1" x14ac:dyDescent="0.3">
      <c r="A371" s="612"/>
      <c r="B371" s="615"/>
      <c r="C371" s="618"/>
      <c r="D371" s="621"/>
      <c r="E371" s="124" t="s">
        <v>33</v>
      </c>
      <c r="F371" s="623">
        <f t="shared" ref="F371" si="994">SUM(F368:G370)</f>
        <v>0</v>
      </c>
      <c r="G371" s="624"/>
      <c r="H371" s="625">
        <f t="shared" ref="H371" si="995">SUM(H368:I370)</f>
        <v>0</v>
      </c>
      <c r="I371" s="626"/>
      <c r="J371" s="623">
        <f t="shared" ref="J371" si="996">SUM(J368:K370)</f>
        <v>0</v>
      </c>
      <c r="K371" s="624"/>
      <c r="L371" s="625">
        <f t="shared" ref="L371" si="997">SUM(L368:M370)</f>
        <v>0</v>
      </c>
      <c r="M371" s="642"/>
      <c r="N371" s="625">
        <f t="shared" ref="N371" si="998">SUM(N368:O370)</f>
        <v>0</v>
      </c>
      <c r="O371" s="642"/>
      <c r="P371" s="623">
        <f t="shared" ref="P371" si="999">SUM(P368:Q370)</f>
        <v>0</v>
      </c>
      <c r="Q371" s="626"/>
      <c r="R371" s="88">
        <f t="shared" ref="R371" si="1000">IF(AND(F371&gt;=$G$8,H371&gt;=$I$8,J371&gt;=$K$8,L371&gt;=$M$8,N371&gt;=$O$8,P371&gt;=$Q$8),SUM(F371:Q371),0)</f>
        <v>0</v>
      </c>
      <c r="S371" s="251"/>
      <c r="T371" s="97"/>
      <c r="U371" s="94"/>
      <c r="V371" s="606"/>
      <c r="W371" s="88" t="str">
        <f t="shared" ref="W371" si="1001">LOOKUP(R371,$AI$6:$AJ$10)</f>
        <v>ضعيف</v>
      </c>
      <c r="X371" s="641"/>
      <c r="Y371" s="8"/>
      <c r="Z371" s="599"/>
      <c r="AK371" s="667"/>
      <c r="AL371" s="667"/>
      <c r="AM371" s="696"/>
      <c r="AN371" s="698"/>
      <c r="AO371" s="699"/>
      <c r="AP371" s="698"/>
    </row>
    <row r="372" spans="1:42" ht="14.85" customHeight="1" thickBot="1" x14ac:dyDescent="0.3">
      <c r="F372" s="71"/>
      <c r="G372" s="72"/>
      <c r="H372" s="71"/>
      <c r="I372" s="72"/>
      <c r="J372" s="71"/>
      <c r="K372" s="72"/>
      <c r="L372" s="71"/>
      <c r="M372" s="72"/>
      <c r="N372" s="71"/>
      <c r="O372" s="72"/>
      <c r="P372" s="71"/>
      <c r="Q372" s="72"/>
      <c r="R372" s="70"/>
      <c r="S372" s="73"/>
      <c r="T372" s="70"/>
      <c r="U372" s="70"/>
      <c r="V372" s="70"/>
      <c r="W372" s="70"/>
      <c r="X372" s="254"/>
      <c r="Y372" s="68"/>
      <c r="AH372" s="74"/>
    </row>
    <row r="373" spans="1:42" customFormat="1" ht="14.85" customHeight="1" x14ac:dyDescent="0.3">
      <c r="A373" s="668" t="s">
        <v>9</v>
      </c>
      <c r="B373" s="669"/>
      <c r="C373" s="670"/>
      <c r="D373" s="277" t="s">
        <v>11</v>
      </c>
      <c r="E373" s="674" t="s">
        <v>96</v>
      </c>
      <c r="F373" s="663"/>
      <c r="G373" s="663"/>
      <c r="H373" s="663"/>
      <c r="I373" s="663"/>
      <c r="J373" s="7"/>
      <c r="K373" s="7"/>
      <c r="L373" s="7"/>
      <c r="M373" s="7"/>
      <c r="N373" s="7"/>
      <c r="O373" s="7"/>
      <c r="P373" s="7"/>
      <c r="Q373" s="663" t="s">
        <v>156</v>
      </c>
      <c r="R373" s="663"/>
      <c r="S373" s="663"/>
      <c r="T373" s="663"/>
      <c r="U373" s="663"/>
      <c r="V373" s="663"/>
      <c r="W373" s="1"/>
      <c r="X373" s="255"/>
      <c r="Z373" s="75"/>
      <c r="AA373" s="76"/>
      <c r="AB373" s="76"/>
      <c r="AC373" s="76"/>
      <c r="AD373" s="76"/>
    </row>
    <row r="374" spans="1:42" customFormat="1" ht="14.85" customHeight="1" x14ac:dyDescent="0.25">
      <c r="A374" s="77" t="s">
        <v>8</v>
      </c>
      <c r="B374" s="671">
        <f>ادخال1!$BJ$3</f>
        <v>0</v>
      </c>
      <c r="C374" s="672"/>
      <c r="D374" s="278"/>
      <c r="E374" s="7" t="s">
        <v>9</v>
      </c>
      <c r="F374" s="673" t="str">
        <f>ادخال1!$BJ$5</f>
        <v>د. عبدالرحمن خليفة العريبي</v>
      </c>
      <c r="G374" s="673"/>
      <c r="H374" s="673"/>
      <c r="I374" s="673"/>
      <c r="J374" s="673"/>
      <c r="K374" s="673"/>
      <c r="L374" s="673"/>
      <c r="M374" s="673"/>
      <c r="N374" s="673"/>
      <c r="O374" s="673"/>
      <c r="P374" s="7"/>
      <c r="Q374" s="673" t="str">
        <f>ادخال1!$BJ$6</f>
        <v>تاجوراء</v>
      </c>
      <c r="R374" s="673"/>
      <c r="S374" s="673"/>
      <c r="T374" s="673"/>
      <c r="U374" s="673"/>
      <c r="V374" s="673"/>
      <c r="W374" s="673"/>
      <c r="X374" s="63"/>
      <c r="Y374" s="63"/>
      <c r="Z374" s="75"/>
      <c r="AA374" s="75"/>
      <c r="AB374" s="75"/>
      <c r="AC374" s="75"/>
    </row>
    <row r="375" spans="1:42" customFormat="1" ht="14.85" customHeight="1" thickBot="1" x14ac:dyDescent="0.3">
      <c r="A375" s="78" t="s">
        <v>97</v>
      </c>
      <c r="B375" s="665">
        <f>ادخال1!$BJ$4</f>
        <v>0</v>
      </c>
      <c r="C375" s="666"/>
      <c r="D375" s="279"/>
      <c r="E375" s="7" t="s">
        <v>11</v>
      </c>
      <c r="F375" s="667"/>
      <c r="G375" s="667"/>
      <c r="H375" s="667"/>
      <c r="I375" s="667"/>
      <c r="J375" s="667"/>
      <c r="K375" s="667"/>
      <c r="L375" s="667"/>
      <c r="M375" s="667"/>
      <c r="N375" s="667"/>
      <c r="O375" s="667"/>
      <c r="P375" s="7"/>
      <c r="Q375" s="7" t="s">
        <v>11</v>
      </c>
      <c r="R375" s="1"/>
      <c r="S375" s="1"/>
      <c r="T375" s="1"/>
      <c r="U375" s="1"/>
      <c r="V375" s="1"/>
      <c r="W375" s="1"/>
      <c r="X375" s="255"/>
      <c r="Z375" s="75"/>
      <c r="AA375" s="75"/>
      <c r="AB375" s="75"/>
      <c r="AC375" s="75"/>
    </row>
    <row r="376" spans="1:42" customFormat="1" ht="14.85" customHeight="1" x14ac:dyDescent="0.25">
      <c r="A376" s="663" t="s">
        <v>98</v>
      </c>
      <c r="B376" s="663"/>
      <c r="C376" s="663"/>
      <c r="D376" s="663"/>
      <c r="E376" s="663" t="s">
        <v>99</v>
      </c>
      <c r="F376" s="663"/>
      <c r="G376" s="663"/>
      <c r="H376" s="663"/>
      <c r="I376" s="663"/>
      <c r="J376" s="663"/>
      <c r="K376" s="663"/>
      <c r="L376" s="663"/>
      <c r="M376" s="663"/>
      <c r="N376" s="663"/>
      <c r="O376" s="663"/>
      <c r="P376" s="663"/>
      <c r="Q376" s="663"/>
      <c r="R376" s="7"/>
      <c r="S376" s="664">
        <f ca="1">TODAY()</f>
        <v>46009</v>
      </c>
      <c r="T376" s="664"/>
      <c r="U376" s="664"/>
      <c r="V376" s="664"/>
      <c r="W376" s="664"/>
      <c r="X376" s="255"/>
    </row>
    <row r="377" spans="1:42" customFormat="1" ht="14.85" customHeight="1" thickBot="1" x14ac:dyDescent="0.3">
      <c r="A377" s="7"/>
      <c r="B377" s="663" t="s">
        <v>100</v>
      </c>
      <c r="C377" s="663"/>
      <c r="D377" s="663"/>
      <c r="E377" s="663" t="s">
        <v>101</v>
      </c>
      <c r="F377" s="663"/>
      <c r="G377" s="663"/>
      <c r="H377" s="663"/>
      <c r="I377" s="663"/>
      <c r="J377" s="663"/>
      <c r="K377" s="663"/>
      <c r="L377" s="663"/>
      <c r="M377" s="663"/>
      <c r="N377" s="663"/>
      <c r="O377" s="663"/>
      <c r="P377" s="663"/>
      <c r="Q377" s="663"/>
      <c r="R377" s="1"/>
      <c r="S377" s="1"/>
      <c r="T377" s="1"/>
      <c r="U377" s="1"/>
      <c r="V377" s="1"/>
      <c r="W377" s="1"/>
      <c r="X377" s="255"/>
    </row>
    <row r="378" spans="1:42" ht="14.85" customHeight="1" thickBot="1" x14ac:dyDescent="0.3">
      <c r="A378" s="610">
        <v>81</v>
      </c>
      <c r="B378" s="613">
        <f>VLOOKUP(A378,مسلسل,2,0)</f>
        <v>0</v>
      </c>
      <c r="C378" s="616" t="str">
        <f>IFERROR(VLOOKUP(B378,اسماء,2,0),"")</f>
        <v/>
      </c>
      <c r="D378" s="619" t="str">
        <f>IFERROR(VLOOKUP($B378,اسماء,3,0),"")</f>
        <v/>
      </c>
      <c r="E378" s="129" t="s">
        <v>30</v>
      </c>
      <c r="F378" s="600">
        <f>IFERROR(VLOOKUP($B378,اسماء,5,0),0)</f>
        <v>0</v>
      </c>
      <c r="G378" s="601"/>
      <c r="H378" s="602">
        <f>IFERROR(VLOOKUP($B378,اسماء,6,0),0)</f>
        <v>0</v>
      </c>
      <c r="I378" s="622"/>
      <c r="J378" s="600">
        <f>IFERROR(VLOOKUP($B378,اسماء,7,0),0)</f>
        <v>0</v>
      </c>
      <c r="K378" s="601"/>
      <c r="L378" s="602">
        <f>IFERROR(VLOOKUP($B378,اسماء,8,0),0)</f>
        <v>0</v>
      </c>
      <c r="M378" s="603"/>
      <c r="N378" s="602">
        <f>IFERROR(VLOOKUP($B378,اسماء,9,0),0)</f>
        <v>0</v>
      </c>
      <c r="O378" s="603"/>
      <c r="P378" s="600">
        <f>IFERROR(VLOOKUP($B378,اسماء,10,0),0)</f>
        <v>0</v>
      </c>
      <c r="Q378" s="622"/>
      <c r="R378" s="371">
        <f>SUM(F378:Q378)</f>
        <v>0</v>
      </c>
      <c r="S378" s="325" t="str">
        <f>IFERROR(VLOOKUP($B378,اسماء,12,0),"")</f>
        <v/>
      </c>
      <c r="T378" s="326" t="str">
        <f>IFERROR(VLOOKUP($B378,اسماء,13,0),"")</f>
        <v/>
      </c>
      <c r="U378" s="92" t="str">
        <f>IFERROR(VLOOKUP($B378,اسماء,14,0),"")</f>
        <v/>
      </c>
      <c r="V378" s="604" t="str">
        <f t="shared" ref="V378" si="1002">IF(Z378="غائب","راسب",IF(R381&gt;0,"ناجح","مرحل"))</f>
        <v>مرحل</v>
      </c>
      <c r="W378" s="19" t="str">
        <f t="shared" ref="W378:W379" si="1003">LOOKUP(R378,$AC$6:$AD$10)</f>
        <v>ضعيف</v>
      </c>
      <c r="X378" s="639">
        <f t="shared" ref="X378" si="1004">R381/$AC$3</f>
        <v>0</v>
      </c>
      <c r="Y378" s="68"/>
      <c r="Z378" s="597" t="str">
        <f>IFERROR(VLOOKUP($B378,اسماء,48,0),"")</f>
        <v/>
      </c>
      <c r="AK378" s="671" t="str">
        <f>IF(R381=0,"",R381/1+ROW()*0.00001)</f>
        <v/>
      </c>
      <c r="AL378" s="671">
        <f>B378</f>
        <v>0</v>
      </c>
      <c r="AM378" s="696"/>
      <c r="AN378" s="698">
        <v>81</v>
      </c>
      <c r="AO378" s="699" t="str">
        <f>IFERROR(LARGE($AK$10:$AK$1420,AN378),"")</f>
        <v/>
      </c>
      <c r="AP378" s="698" t="str">
        <f>VLOOKUP(AO378,$AK$10:$AL$1530,2,0)</f>
        <v>امجد عمر عبداللطيف سلطان</v>
      </c>
    </row>
    <row r="379" spans="1:42" ht="14.85" customHeight="1" x14ac:dyDescent="0.25">
      <c r="A379" s="611"/>
      <c r="B379" s="614"/>
      <c r="C379" s="617"/>
      <c r="D379" s="620"/>
      <c r="E379" s="130" t="s">
        <v>31</v>
      </c>
      <c r="F379" s="592">
        <f>IFERROR(VLOOKUP($B378,اسماء,16,0),0)</f>
        <v>0</v>
      </c>
      <c r="G379" s="593"/>
      <c r="H379" s="594">
        <f>IFERROR(VLOOKUP($B378,اسماء,17,0),0)</f>
        <v>0</v>
      </c>
      <c r="I379" s="595"/>
      <c r="J379" s="592">
        <f>IFERROR(VLOOKUP($B378,اسماء,18,0),0)</f>
        <v>0</v>
      </c>
      <c r="K379" s="593"/>
      <c r="L379" s="594">
        <f>IFERROR(VLOOKUP($B378,اسماء,19,0),0)</f>
        <v>0</v>
      </c>
      <c r="M379" s="596"/>
      <c r="N379" s="594">
        <f>IFERROR(VLOOKUP($B378,اسماء,20,0),0)</f>
        <v>0</v>
      </c>
      <c r="O379" s="596"/>
      <c r="P379" s="592">
        <f>IFERROR(VLOOKUP($B378,اسماء,21,0),0)</f>
        <v>0</v>
      </c>
      <c r="Q379" s="595"/>
      <c r="R379" s="372">
        <f t="shared" ref="R379:R380" si="1005">SUM(F379:Q379)</f>
        <v>0</v>
      </c>
      <c r="S379" s="305" t="str">
        <f>IFERROR(VLOOKUP($B378,اسماء,23,0),"")</f>
        <v/>
      </c>
      <c r="T379" s="306" t="str">
        <f>IFERROR(VLOOKUP($B378,اسماء,24,0),"")</f>
        <v/>
      </c>
      <c r="U379" s="122" t="str">
        <f>IFERROR(VLOOKUP($B378,اسماء,25,0),"")</f>
        <v/>
      </c>
      <c r="V379" s="605"/>
      <c r="W379" s="19" t="str">
        <f t="shared" si="1003"/>
        <v>ضعيف</v>
      </c>
      <c r="X379" s="640"/>
      <c r="Y379" s="68"/>
      <c r="Z379" s="598"/>
      <c r="AK379" s="671"/>
      <c r="AL379" s="671"/>
      <c r="AM379" s="696"/>
      <c r="AN379" s="698"/>
      <c r="AO379" s="699"/>
      <c r="AP379" s="698"/>
    </row>
    <row r="380" spans="1:42" ht="14.85" customHeight="1" x14ac:dyDescent="0.25">
      <c r="A380" s="611"/>
      <c r="B380" s="614"/>
      <c r="C380" s="617"/>
      <c r="D380" s="620"/>
      <c r="E380" s="130" t="s">
        <v>32</v>
      </c>
      <c r="F380" s="592">
        <f>IFERROR(VLOOKUP($B378,اسماء,27,0),0)</f>
        <v>0</v>
      </c>
      <c r="G380" s="593"/>
      <c r="H380" s="594">
        <f>IFERROR(VLOOKUP($B378,اسماء,28,0),0)</f>
        <v>0</v>
      </c>
      <c r="I380" s="595"/>
      <c r="J380" s="592">
        <f>IFERROR(VLOOKUP($B378,اسماء,29,0),0)</f>
        <v>0</v>
      </c>
      <c r="K380" s="593"/>
      <c r="L380" s="594">
        <f>IFERROR(VLOOKUP($B378,اسماء,30,0),0)</f>
        <v>0</v>
      </c>
      <c r="M380" s="596"/>
      <c r="N380" s="594">
        <f>IFERROR(VLOOKUP($B378,اسماء,31,0),0)</f>
        <v>0</v>
      </c>
      <c r="O380" s="596"/>
      <c r="P380" s="592">
        <f>IFERROR(VLOOKUP($B378,اسماء,32,0),0)</f>
        <v>0</v>
      </c>
      <c r="Q380" s="595"/>
      <c r="R380" s="372">
        <f t="shared" si="1005"/>
        <v>0</v>
      </c>
      <c r="S380" s="305" t="str">
        <f>IFERROR(VLOOKUP($B378,اسماء,34,0),"")</f>
        <v/>
      </c>
      <c r="T380" s="306" t="str">
        <f>IFERROR(VLOOKUP($B378,اسماء,35,0),"")</f>
        <v/>
      </c>
      <c r="U380" s="122" t="str">
        <f>IFERROR(VLOOKUP($B378,اسماء,36,0),"")</f>
        <v/>
      </c>
      <c r="V380" s="605"/>
      <c r="W380" s="20" t="str">
        <f t="shared" ref="W380" si="1006">LOOKUP(R380,$AF$6:$AG$10)</f>
        <v>ضعيف</v>
      </c>
      <c r="X380" s="640"/>
      <c r="Y380" s="8"/>
      <c r="Z380" s="598"/>
      <c r="AK380" s="671"/>
      <c r="AL380" s="671"/>
      <c r="AM380" s="696"/>
      <c r="AN380" s="698"/>
      <c r="AO380" s="699"/>
      <c r="AP380" s="698"/>
    </row>
    <row r="381" spans="1:42" ht="14.85" customHeight="1" thickBot="1" x14ac:dyDescent="0.3">
      <c r="A381" s="612"/>
      <c r="B381" s="615"/>
      <c r="C381" s="618"/>
      <c r="D381" s="621"/>
      <c r="E381" s="124" t="s">
        <v>33</v>
      </c>
      <c r="F381" s="623">
        <f>SUM(F378:G380)</f>
        <v>0</v>
      </c>
      <c r="G381" s="624"/>
      <c r="H381" s="625">
        <f>SUM(H378:I380)</f>
        <v>0</v>
      </c>
      <c r="I381" s="626"/>
      <c r="J381" s="623">
        <f>SUM(J378:K380)</f>
        <v>0</v>
      </c>
      <c r="K381" s="624"/>
      <c r="L381" s="625">
        <f>SUM(L378:M380)</f>
        <v>0</v>
      </c>
      <c r="M381" s="642"/>
      <c r="N381" s="625">
        <f>SUM(N378:O380)</f>
        <v>0</v>
      </c>
      <c r="O381" s="642"/>
      <c r="P381" s="623">
        <f>SUM(P378:Q380)</f>
        <v>0</v>
      </c>
      <c r="Q381" s="626"/>
      <c r="R381" s="88">
        <f>IF(AND(F381&gt;=$G$8,H381&gt;=$I$8,J381&gt;=$K$8,L381&gt;=$M$8,N381&gt;=$O$8,P381&gt;=$Q$8),SUM(F381:Q381),0)</f>
        <v>0</v>
      </c>
      <c r="S381" s="251"/>
      <c r="T381" s="97"/>
      <c r="U381" s="94"/>
      <c r="V381" s="606"/>
      <c r="W381" s="88" t="str">
        <f t="shared" ref="W381" si="1007">LOOKUP(R381,$AI$6:$AJ$10)</f>
        <v>ضعيف</v>
      </c>
      <c r="X381" s="641"/>
      <c r="Y381" s="68"/>
      <c r="Z381" s="599"/>
      <c r="AK381" s="671"/>
      <c r="AL381" s="671"/>
      <c r="AM381" s="696"/>
      <c r="AN381" s="698"/>
      <c r="AO381" s="699"/>
      <c r="AP381" s="698"/>
    </row>
    <row r="382" spans="1:42" ht="14.85" customHeight="1" thickBot="1" x14ac:dyDescent="0.3">
      <c r="A382" s="610">
        <v>82</v>
      </c>
      <c r="B382" s="613">
        <f>VLOOKUP(A382,مسلسل,2,0)</f>
        <v>0</v>
      </c>
      <c r="C382" s="616" t="str">
        <f>IFERROR(VLOOKUP(B382,اسماء,2,0),"")</f>
        <v/>
      </c>
      <c r="D382" s="619" t="str">
        <f>IFERROR(VLOOKUP($B382,اسماء,3,0),"")</f>
        <v/>
      </c>
      <c r="E382" s="129" t="s">
        <v>30</v>
      </c>
      <c r="F382" s="600">
        <f>IFERROR(VLOOKUP($B382,اسماء,5,0),0)</f>
        <v>0</v>
      </c>
      <c r="G382" s="601"/>
      <c r="H382" s="602">
        <f>IFERROR(VLOOKUP($B382,اسماء,6,0),0)</f>
        <v>0</v>
      </c>
      <c r="I382" s="622"/>
      <c r="J382" s="600">
        <f>IFERROR(VLOOKUP($B382,اسماء,7,0),0)</f>
        <v>0</v>
      </c>
      <c r="K382" s="601"/>
      <c r="L382" s="602">
        <f>IFERROR(VLOOKUP($B382,اسماء,8,0),0)</f>
        <v>0</v>
      </c>
      <c r="M382" s="603"/>
      <c r="N382" s="602">
        <f>IFERROR(VLOOKUP($B382,اسماء,9,0),0)</f>
        <v>0</v>
      </c>
      <c r="O382" s="603"/>
      <c r="P382" s="600">
        <f>IFERROR(VLOOKUP($B382,اسماء,10,0),0)</f>
        <v>0</v>
      </c>
      <c r="Q382" s="622"/>
      <c r="R382" s="371">
        <f t="shared" ref="R382:R416" si="1008">SUM(F382:Q382)</f>
        <v>0</v>
      </c>
      <c r="S382" s="213" t="str">
        <f>IFERROR(VLOOKUP($B382,اسماء,12,0),"")</f>
        <v/>
      </c>
      <c r="T382" s="214" t="str">
        <f>IFERROR(VLOOKUP($B382,اسماء,13,0),"")</f>
        <v/>
      </c>
      <c r="U382" s="364" t="str">
        <f>IFERROR(VLOOKUP($B382,اسماء,14,0),"")</f>
        <v/>
      </c>
      <c r="V382" s="604" t="str">
        <f t="shared" ref="V382" si="1009">IF(Z382="غائب","راسب",IF(R385&gt;0,"ناجح","مرحل"))</f>
        <v>مرحل</v>
      </c>
      <c r="W382" s="19" t="str">
        <f t="shared" ref="W382:W383" si="1010">LOOKUP(R382,$AC$6:$AD$10)</f>
        <v>ضعيف</v>
      </c>
      <c r="X382" s="639">
        <f t="shared" ref="X382" si="1011">R385/$AC$3</f>
        <v>0</v>
      </c>
      <c r="Y382" s="68"/>
      <c r="Z382" s="597" t="str">
        <f>IFERROR(VLOOKUP($B382,اسماء,48,0),"")</f>
        <v/>
      </c>
      <c r="AK382" s="667" t="str">
        <f t="shared" ref="AK382" si="1012">IF(R385=0,"",R385/1+ROW()*0.00001)</f>
        <v/>
      </c>
      <c r="AL382" s="667">
        <f>B382</f>
        <v>0</v>
      </c>
      <c r="AM382" s="696"/>
      <c r="AN382" s="698">
        <v>82</v>
      </c>
      <c r="AO382" s="699" t="str">
        <f>IFERROR(LARGE($AK$10:$AK$1420,AN382),"")</f>
        <v/>
      </c>
      <c r="AP382" s="698" t="str">
        <f>VLOOKUP(AO382,$AK$10:$AL$1530,2,0)</f>
        <v>امجد عمر عبداللطيف سلطان</v>
      </c>
    </row>
    <row r="383" spans="1:42" ht="14.85" customHeight="1" x14ac:dyDescent="0.25">
      <c r="A383" s="611"/>
      <c r="B383" s="614"/>
      <c r="C383" s="617"/>
      <c r="D383" s="620"/>
      <c r="E383" s="130" t="s">
        <v>31</v>
      </c>
      <c r="F383" s="592">
        <f>IFERROR(VLOOKUP($B382,اسماء,15,0),0)</f>
        <v>0</v>
      </c>
      <c r="G383" s="593"/>
      <c r="H383" s="594">
        <f>IFERROR(VLOOKUP($B382,اسماء,16,0),0)</f>
        <v>0</v>
      </c>
      <c r="I383" s="595"/>
      <c r="J383" s="592">
        <f>IFERROR(VLOOKUP($B382,اسماء,17,0),0)</f>
        <v>0</v>
      </c>
      <c r="K383" s="593"/>
      <c r="L383" s="594">
        <f>IFERROR(VLOOKUP($B382,اسماء,18,0),0)</f>
        <v>0</v>
      </c>
      <c r="M383" s="596"/>
      <c r="N383" s="594">
        <f>IFERROR(VLOOKUP($B382,اسماء,19,0),0)</f>
        <v>0</v>
      </c>
      <c r="O383" s="596"/>
      <c r="P383" s="592">
        <f>IFERROR(VLOOKUP($B382,اسماء,20,0),0)</f>
        <v>0</v>
      </c>
      <c r="Q383" s="595"/>
      <c r="R383" s="372">
        <f t="shared" si="1008"/>
        <v>0</v>
      </c>
      <c r="S383" s="305" t="str">
        <f>IFERROR(VLOOKUP($B382,اسماء,23,0),"")</f>
        <v/>
      </c>
      <c r="T383" s="306" t="str">
        <f>IFERROR(VLOOKUP($B382,اسماء,24,0),"")</f>
        <v/>
      </c>
      <c r="U383" s="122" t="str">
        <f>IFERROR(VLOOKUP($B382,اسماء,25,0),"")</f>
        <v/>
      </c>
      <c r="V383" s="605"/>
      <c r="W383" s="19" t="str">
        <f t="shared" si="1010"/>
        <v>ضعيف</v>
      </c>
      <c r="X383" s="640"/>
      <c r="Y383" s="8"/>
      <c r="Z383" s="598"/>
      <c r="AK383" s="667"/>
      <c r="AL383" s="667"/>
      <c r="AM383" s="696"/>
      <c r="AN383" s="698"/>
      <c r="AO383" s="699"/>
      <c r="AP383" s="698"/>
    </row>
    <row r="384" spans="1:42" ht="14.85" customHeight="1" x14ac:dyDescent="0.25">
      <c r="A384" s="611"/>
      <c r="B384" s="614"/>
      <c r="C384" s="617"/>
      <c r="D384" s="620"/>
      <c r="E384" s="130" t="s">
        <v>32</v>
      </c>
      <c r="F384" s="592">
        <f>IFERROR(VLOOKUP($B382,اسماء,25,0),0)</f>
        <v>0</v>
      </c>
      <c r="G384" s="593"/>
      <c r="H384" s="594">
        <f>IFERROR(VLOOKUP($B382,اسماء,26,0),0)</f>
        <v>0</v>
      </c>
      <c r="I384" s="595"/>
      <c r="J384" s="592">
        <f>IFERROR(VLOOKUP($B382,اسماء,27,0),0)</f>
        <v>0</v>
      </c>
      <c r="K384" s="593"/>
      <c r="L384" s="594">
        <f>IFERROR(VLOOKUP($B382,اسماء,28,0),0)</f>
        <v>0</v>
      </c>
      <c r="M384" s="596"/>
      <c r="N384" s="594">
        <f>IFERROR(VLOOKUP($B382,اسماء,29,0),0)</f>
        <v>0</v>
      </c>
      <c r="O384" s="596"/>
      <c r="P384" s="592">
        <f>IFERROR(VLOOKUP($B382,اسماء,30,0),0)</f>
        <v>0</v>
      </c>
      <c r="Q384" s="595"/>
      <c r="R384" s="372">
        <f t="shared" si="1008"/>
        <v>0</v>
      </c>
      <c r="S384" s="305" t="str">
        <f>IFERROR(VLOOKUP($B382,اسماء,34,0),"")</f>
        <v/>
      </c>
      <c r="T384" s="306" t="str">
        <f>IFERROR(VLOOKUP($B382,اسماء,35,0),"")</f>
        <v/>
      </c>
      <c r="U384" s="122" t="str">
        <f>IFERROR(VLOOKUP($B382,اسماء,36,0),"")</f>
        <v/>
      </c>
      <c r="V384" s="605"/>
      <c r="W384" s="20" t="str">
        <f t="shared" ref="W384" si="1013">LOOKUP(R384,$AF$6:$AG$10)</f>
        <v>ضعيف</v>
      </c>
      <c r="X384" s="640"/>
      <c r="Y384" s="68"/>
      <c r="Z384" s="598"/>
      <c r="AK384" s="667"/>
      <c r="AL384" s="667"/>
      <c r="AM384" s="696"/>
      <c r="AN384" s="698"/>
      <c r="AO384" s="699"/>
      <c r="AP384" s="698"/>
    </row>
    <row r="385" spans="1:42" ht="14.85" customHeight="1" thickBot="1" x14ac:dyDescent="0.3">
      <c r="A385" s="612"/>
      <c r="B385" s="615"/>
      <c r="C385" s="618"/>
      <c r="D385" s="621"/>
      <c r="E385" s="124" t="s">
        <v>33</v>
      </c>
      <c r="F385" s="623">
        <f>SUM(F382:G384)</f>
        <v>0</v>
      </c>
      <c r="G385" s="624"/>
      <c r="H385" s="625">
        <f>SUM(H382:I384)</f>
        <v>0</v>
      </c>
      <c r="I385" s="626"/>
      <c r="J385" s="623">
        <f>SUM(J382:K384)</f>
        <v>0</v>
      </c>
      <c r="K385" s="624"/>
      <c r="L385" s="625">
        <f>SUM(L382:M384)</f>
        <v>0</v>
      </c>
      <c r="M385" s="642"/>
      <c r="N385" s="625">
        <f>SUM(N382:O384)</f>
        <v>0</v>
      </c>
      <c r="O385" s="642"/>
      <c r="P385" s="623">
        <f>SUM(P382:Q384)</f>
        <v>0</v>
      </c>
      <c r="Q385" s="626"/>
      <c r="R385" s="88">
        <f t="shared" ref="R385" si="1014">IF(AND(F385&gt;=$G$8,H385&gt;=$I$8,J385&gt;=$K$8,L385&gt;=$M$8,N385&gt;=$O$8,P385&gt;=$Q$8),SUM(F385:Q385),0)</f>
        <v>0</v>
      </c>
      <c r="S385" s="251"/>
      <c r="T385" s="97"/>
      <c r="U385" s="94"/>
      <c r="V385" s="606"/>
      <c r="W385" s="88" t="str">
        <f t="shared" ref="W385" si="1015">LOOKUP(R385,$AI$6:$AJ$10)</f>
        <v>ضعيف</v>
      </c>
      <c r="X385" s="641"/>
      <c r="Y385" s="68"/>
      <c r="Z385" s="599"/>
      <c r="AK385" s="667"/>
      <c r="AL385" s="667"/>
      <c r="AM385" s="696"/>
      <c r="AN385" s="698"/>
      <c r="AO385" s="699"/>
      <c r="AP385" s="698"/>
    </row>
    <row r="386" spans="1:42" ht="14.85" customHeight="1" thickBot="1" x14ac:dyDescent="0.3">
      <c r="A386" s="610">
        <v>83</v>
      </c>
      <c r="B386" s="613">
        <f>VLOOKUP(A386,مسلسل,2,0)</f>
        <v>0</v>
      </c>
      <c r="C386" s="616" t="str">
        <f>IFERROR(VLOOKUP(B386,اسماء,2,0),"")</f>
        <v/>
      </c>
      <c r="D386" s="619" t="str">
        <f>IFERROR(VLOOKUP($B386,اسماء,3,0),"")</f>
        <v/>
      </c>
      <c r="E386" s="129" t="s">
        <v>30</v>
      </c>
      <c r="F386" s="600">
        <f>IFERROR(VLOOKUP($B386,اسماء,5,0),0)</f>
        <v>0</v>
      </c>
      <c r="G386" s="601"/>
      <c r="H386" s="602">
        <f>IFERROR(VLOOKUP($B386,اسماء,6,0),0)</f>
        <v>0</v>
      </c>
      <c r="I386" s="622"/>
      <c r="J386" s="600">
        <f>IFERROR(VLOOKUP($B386,اسماء,7,0),0)</f>
        <v>0</v>
      </c>
      <c r="K386" s="601"/>
      <c r="L386" s="602">
        <f>IFERROR(VLOOKUP($B386,اسماء,8,0),0)</f>
        <v>0</v>
      </c>
      <c r="M386" s="603"/>
      <c r="N386" s="602">
        <f>IFERROR(VLOOKUP($B386,اسماء,9,0),0)</f>
        <v>0</v>
      </c>
      <c r="O386" s="603"/>
      <c r="P386" s="600">
        <f>IFERROR(VLOOKUP($B386,اسماء,10,0),0)</f>
        <v>0</v>
      </c>
      <c r="Q386" s="622"/>
      <c r="R386" s="371">
        <f t="shared" ref="R386" si="1016">SUM(F386:Q386)</f>
        <v>0</v>
      </c>
      <c r="S386" s="213" t="str">
        <f>IFERROR(VLOOKUP($B386,اسماء,12,0),"")</f>
        <v/>
      </c>
      <c r="T386" s="214" t="str">
        <f>IFERROR(VLOOKUP($B386,اسماء,13,0),"")</f>
        <v/>
      </c>
      <c r="U386" s="364" t="str">
        <f>IFERROR(VLOOKUP($B386,اسماء,14,0),"")</f>
        <v/>
      </c>
      <c r="V386" s="604" t="str">
        <f t="shared" ref="V386" si="1017">IF(Z386="غائب","راسب",IF(R389&gt;0,"ناجح","مرحل"))</f>
        <v>مرحل</v>
      </c>
      <c r="W386" s="19" t="str">
        <f t="shared" ref="W386:W387" si="1018">LOOKUP(R386,$AC$6:$AD$10)</f>
        <v>ضعيف</v>
      </c>
      <c r="X386" s="639">
        <f t="shared" ref="X386" si="1019">R389/$AC$3</f>
        <v>0</v>
      </c>
      <c r="Y386" s="8"/>
      <c r="Z386" s="597" t="str">
        <f>IFERROR(VLOOKUP($B386,اسماء,48,0),"")</f>
        <v/>
      </c>
      <c r="AK386" s="667" t="str">
        <f t="shared" ref="AK386" si="1020">IF(R389=0,"",R389/1+ROW()*0.00001)</f>
        <v/>
      </c>
      <c r="AL386" s="667">
        <f>B386</f>
        <v>0</v>
      </c>
      <c r="AM386" s="696"/>
      <c r="AN386" s="698">
        <v>83</v>
      </c>
      <c r="AO386" s="699" t="str">
        <f>IFERROR(LARGE($AK$10:$AK$1420,AN386),"")</f>
        <v/>
      </c>
      <c r="AP386" s="698" t="str">
        <f>VLOOKUP(AO386,$AK$10:$AL$1530,2,0)</f>
        <v>امجد عمر عبداللطيف سلطان</v>
      </c>
    </row>
    <row r="387" spans="1:42" ht="14.85" customHeight="1" x14ac:dyDescent="0.25">
      <c r="A387" s="611"/>
      <c r="B387" s="614"/>
      <c r="C387" s="617"/>
      <c r="D387" s="620"/>
      <c r="E387" s="130" t="s">
        <v>31</v>
      </c>
      <c r="F387" s="592">
        <f>IFERROR(VLOOKUP($B386,اسماء,15,0),0)</f>
        <v>0</v>
      </c>
      <c r="G387" s="593"/>
      <c r="H387" s="594">
        <f>IFERROR(VLOOKUP($B386,اسماء,16,0),0)</f>
        <v>0</v>
      </c>
      <c r="I387" s="595"/>
      <c r="J387" s="592">
        <f>IFERROR(VLOOKUP($B386,اسماء,17,0),0)</f>
        <v>0</v>
      </c>
      <c r="K387" s="593"/>
      <c r="L387" s="594">
        <f>IFERROR(VLOOKUP($B386,اسماء,18,0),0)</f>
        <v>0</v>
      </c>
      <c r="M387" s="596"/>
      <c r="N387" s="594">
        <f>IFERROR(VLOOKUP($B386,اسماء,19,0),0)</f>
        <v>0</v>
      </c>
      <c r="O387" s="596"/>
      <c r="P387" s="592">
        <f>IFERROR(VLOOKUP($B386,اسماء,20,0),0)</f>
        <v>0</v>
      </c>
      <c r="Q387" s="595"/>
      <c r="R387" s="372">
        <f t="shared" si="1008"/>
        <v>0</v>
      </c>
      <c r="S387" s="305" t="str">
        <f>IFERROR(VLOOKUP($B386,اسماء,23,0),"")</f>
        <v/>
      </c>
      <c r="T387" s="306" t="str">
        <f>IFERROR(VLOOKUP($B386,اسماء,24,0),"")</f>
        <v/>
      </c>
      <c r="U387" s="122" t="str">
        <f>IFERROR(VLOOKUP($B386,اسماء,25,0),"")</f>
        <v/>
      </c>
      <c r="V387" s="605"/>
      <c r="W387" s="19" t="str">
        <f t="shared" si="1018"/>
        <v>ضعيف</v>
      </c>
      <c r="X387" s="640"/>
      <c r="Y387" s="68"/>
      <c r="Z387" s="598"/>
      <c r="AK387" s="667"/>
      <c r="AL387" s="667"/>
      <c r="AM387" s="696"/>
      <c r="AN387" s="698"/>
      <c r="AO387" s="699"/>
      <c r="AP387" s="698"/>
    </row>
    <row r="388" spans="1:42" ht="14.85" customHeight="1" x14ac:dyDescent="0.25">
      <c r="A388" s="611"/>
      <c r="B388" s="614"/>
      <c r="C388" s="617"/>
      <c r="D388" s="620"/>
      <c r="E388" s="130" t="s">
        <v>32</v>
      </c>
      <c r="F388" s="592">
        <f>IFERROR(VLOOKUP($B386,اسماء,25,0),0)</f>
        <v>0</v>
      </c>
      <c r="G388" s="593"/>
      <c r="H388" s="594">
        <f>IFERROR(VLOOKUP($B386,اسماء,26,0),0)</f>
        <v>0</v>
      </c>
      <c r="I388" s="595"/>
      <c r="J388" s="592">
        <f>IFERROR(VLOOKUP($B386,اسماء,27,0),0)</f>
        <v>0</v>
      </c>
      <c r="K388" s="593"/>
      <c r="L388" s="594">
        <f>IFERROR(VLOOKUP($B386,اسماء,28,0),0)</f>
        <v>0</v>
      </c>
      <c r="M388" s="596"/>
      <c r="N388" s="594">
        <f>IFERROR(VLOOKUP($B386,اسماء,29,0),0)</f>
        <v>0</v>
      </c>
      <c r="O388" s="596"/>
      <c r="P388" s="592">
        <f>IFERROR(VLOOKUP($B386,اسماء,30,0),0)</f>
        <v>0</v>
      </c>
      <c r="Q388" s="595"/>
      <c r="R388" s="372">
        <f t="shared" si="1008"/>
        <v>0</v>
      </c>
      <c r="S388" s="305" t="str">
        <f>IFERROR(VLOOKUP($B386,اسماء,34,0),"")</f>
        <v/>
      </c>
      <c r="T388" s="306" t="str">
        <f>IFERROR(VLOOKUP($B386,اسماء,35,0),"")</f>
        <v/>
      </c>
      <c r="U388" s="122" t="str">
        <f>IFERROR(VLOOKUP($B386,اسماء,36,0),"")</f>
        <v/>
      </c>
      <c r="V388" s="605"/>
      <c r="W388" s="20" t="str">
        <f t="shared" ref="W388" si="1021">LOOKUP(R388,$AF$6:$AG$10)</f>
        <v>ضعيف</v>
      </c>
      <c r="X388" s="640"/>
      <c r="Y388" s="68"/>
      <c r="Z388" s="598"/>
      <c r="AK388" s="667"/>
      <c r="AL388" s="667"/>
      <c r="AM388" s="696"/>
      <c r="AN388" s="698"/>
      <c r="AO388" s="699"/>
      <c r="AP388" s="698"/>
    </row>
    <row r="389" spans="1:42" ht="14.85" customHeight="1" thickBot="1" x14ac:dyDescent="0.3">
      <c r="A389" s="612"/>
      <c r="B389" s="615"/>
      <c r="C389" s="618"/>
      <c r="D389" s="621"/>
      <c r="E389" s="124" t="s">
        <v>33</v>
      </c>
      <c r="F389" s="623">
        <f t="shared" ref="F389" si="1022">SUM(F386:G388)</f>
        <v>0</v>
      </c>
      <c r="G389" s="624"/>
      <c r="H389" s="625">
        <f t="shared" ref="H389" si="1023">SUM(H386:I388)</f>
        <v>0</v>
      </c>
      <c r="I389" s="626"/>
      <c r="J389" s="623">
        <f t="shared" ref="J389" si="1024">SUM(J386:K388)</f>
        <v>0</v>
      </c>
      <c r="K389" s="624"/>
      <c r="L389" s="625">
        <f t="shared" ref="L389" si="1025">SUM(L386:M388)</f>
        <v>0</v>
      </c>
      <c r="M389" s="642"/>
      <c r="N389" s="625">
        <f t="shared" ref="N389" si="1026">SUM(N386:O388)</f>
        <v>0</v>
      </c>
      <c r="O389" s="642"/>
      <c r="P389" s="623">
        <f t="shared" ref="P389" si="1027">SUM(P386:Q388)</f>
        <v>0</v>
      </c>
      <c r="Q389" s="626"/>
      <c r="R389" s="88">
        <f t="shared" ref="R389" si="1028">IF(AND(F389&gt;=$G$8,H389&gt;=$I$8,J389&gt;=$K$8,L389&gt;=$M$8,N389&gt;=$O$8,P389&gt;=$Q$8),SUM(F389:Q389),0)</f>
        <v>0</v>
      </c>
      <c r="S389" s="251"/>
      <c r="T389" s="97"/>
      <c r="U389" s="94"/>
      <c r="V389" s="606"/>
      <c r="W389" s="88" t="str">
        <f t="shared" ref="W389" si="1029">LOOKUP(R389,$AI$6:$AJ$10)</f>
        <v>ضعيف</v>
      </c>
      <c r="X389" s="641"/>
      <c r="Y389" s="8"/>
      <c r="Z389" s="599"/>
      <c r="AK389" s="667"/>
      <c r="AL389" s="667"/>
      <c r="AM389" s="696"/>
      <c r="AN389" s="698"/>
      <c r="AO389" s="699"/>
      <c r="AP389" s="698"/>
    </row>
    <row r="390" spans="1:42" ht="14.85" customHeight="1" thickBot="1" x14ac:dyDescent="0.3">
      <c r="A390" s="610">
        <v>84</v>
      </c>
      <c r="B390" s="613">
        <f>VLOOKUP(A390,مسلسل,2,0)</f>
        <v>0</v>
      </c>
      <c r="C390" s="616" t="str">
        <f>IFERROR(VLOOKUP(B390,اسماء,2,0),"")</f>
        <v/>
      </c>
      <c r="D390" s="619" t="str">
        <f>IFERROR(VLOOKUP($B390,اسماء,3,0),"")</f>
        <v/>
      </c>
      <c r="E390" s="129" t="s">
        <v>30</v>
      </c>
      <c r="F390" s="600">
        <f>IFERROR(VLOOKUP($B390,اسماء,5,0),0)</f>
        <v>0</v>
      </c>
      <c r="G390" s="601"/>
      <c r="H390" s="602">
        <f>IFERROR(VLOOKUP($B390,اسماء,6,0),0)</f>
        <v>0</v>
      </c>
      <c r="I390" s="622"/>
      <c r="J390" s="600">
        <f>IFERROR(VLOOKUP($B390,اسماء,7,0),0)</f>
        <v>0</v>
      </c>
      <c r="K390" s="601"/>
      <c r="L390" s="602">
        <f>IFERROR(VLOOKUP($B390,اسماء,8,0),0)</f>
        <v>0</v>
      </c>
      <c r="M390" s="603"/>
      <c r="N390" s="602">
        <f>IFERROR(VLOOKUP($B390,اسماء,9,0),0)</f>
        <v>0</v>
      </c>
      <c r="O390" s="603"/>
      <c r="P390" s="600">
        <f>IFERROR(VLOOKUP($B390,اسماء,10,0),0)</f>
        <v>0</v>
      </c>
      <c r="Q390" s="622"/>
      <c r="R390" s="371">
        <f t="shared" ref="R390" si="1030">SUM(F390:Q390)</f>
        <v>0</v>
      </c>
      <c r="S390" s="213" t="str">
        <f>IFERROR(VLOOKUP($B390,اسماء,12,0),"")</f>
        <v/>
      </c>
      <c r="T390" s="214" t="str">
        <f>IFERROR(VLOOKUP($B390,اسماء,13,0),"")</f>
        <v/>
      </c>
      <c r="U390" s="364" t="str">
        <f>IFERROR(VLOOKUP($B390,اسماء,14,0),"")</f>
        <v/>
      </c>
      <c r="V390" s="604" t="str">
        <f t="shared" ref="V390" si="1031">IF(Z390="غائب","راسب",IF(R393&gt;0,"ناجح","مرحل"))</f>
        <v>مرحل</v>
      </c>
      <c r="W390" s="19" t="str">
        <f t="shared" ref="W390:W391" si="1032">LOOKUP(R390,$AC$6:$AD$10)</f>
        <v>ضعيف</v>
      </c>
      <c r="X390" s="639">
        <f t="shared" ref="X390" si="1033">R393/$AC$3</f>
        <v>0</v>
      </c>
      <c r="Y390" s="68"/>
      <c r="Z390" s="597" t="str">
        <f>IFERROR(VLOOKUP($B390,اسماء,48,0),"")</f>
        <v/>
      </c>
      <c r="AK390" s="667" t="str">
        <f t="shared" ref="AK390" si="1034">IF(R393=0,"",R393/1+ROW()*0.00001)</f>
        <v/>
      </c>
      <c r="AL390" s="667">
        <f>B390</f>
        <v>0</v>
      </c>
      <c r="AM390" s="696"/>
      <c r="AN390" s="698">
        <v>84</v>
      </c>
      <c r="AO390" s="699" t="str">
        <f>IFERROR(LARGE($AK$10:$AK$1420,AN390),"")</f>
        <v/>
      </c>
      <c r="AP390" s="698" t="str">
        <f>VLOOKUP(AO390,$AK$10:$AL$1530,2,0)</f>
        <v>امجد عمر عبداللطيف سلطان</v>
      </c>
    </row>
    <row r="391" spans="1:42" ht="14.85" customHeight="1" x14ac:dyDescent="0.25">
      <c r="A391" s="611"/>
      <c r="B391" s="614"/>
      <c r="C391" s="617"/>
      <c r="D391" s="620"/>
      <c r="E391" s="130" t="s">
        <v>31</v>
      </c>
      <c r="F391" s="592">
        <f>IFERROR(VLOOKUP($B390,اسماء,15,0),0)</f>
        <v>0</v>
      </c>
      <c r="G391" s="593"/>
      <c r="H391" s="594">
        <f>IFERROR(VLOOKUP($B390,اسماء,16,0),0)</f>
        <v>0</v>
      </c>
      <c r="I391" s="595"/>
      <c r="J391" s="592">
        <f>IFERROR(VLOOKUP($B390,اسماء,17,0),0)</f>
        <v>0</v>
      </c>
      <c r="K391" s="593"/>
      <c r="L391" s="594">
        <f>IFERROR(VLOOKUP($B390,اسماء,18,0),0)</f>
        <v>0</v>
      </c>
      <c r="M391" s="596"/>
      <c r="N391" s="594">
        <f>IFERROR(VLOOKUP($B390,اسماء,19,0),0)</f>
        <v>0</v>
      </c>
      <c r="O391" s="596"/>
      <c r="P391" s="592">
        <f>IFERROR(VLOOKUP($B390,اسماء,20,0),0)</f>
        <v>0</v>
      </c>
      <c r="Q391" s="595"/>
      <c r="R391" s="372">
        <f t="shared" si="1008"/>
        <v>0</v>
      </c>
      <c r="S391" s="305" t="str">
        <f>IFERROR(VLOOKUP($B390,اسماء,23,0),"")</f>
        <v/>
      </c>
      <c r="T391" s="306" t="str">
        <f>IFERROR(VLOOKUP($B390,اسماء,24,0),"")</f>
        <v/>
      </c>
      <c r="U391" s="122" t="str">
        <f>IFERROR(VLOOKUP($B390,اسماء,25,0),"")</f>
        <v/>
      </c>
      <c r="V391" s="605"/>
      <c r="W391" s="19" t="str">
        <f t="shared" si="1032"/>
        <v>ضعيف</v>
      </c>
      <c r="X391" s="640"/>
      <c r="Y391" s="68"/>
      <c r="Z391" s="598"/>
      <c r="AK391" s="667"/>
      <c r="AL391" s="667"/>
      <c r="AM391" s="696"/>
      <c r="AN391" s="698"/>
      <c r="AO391" s="699"/>
      <c r="AP391" s="698"/>
    </row>
    <row r="392" spans="1:42" ht="14.85" customHeight="1" x14ac:dyDescent="0.25">
      <c r="A392" s="611"/>
      <c r="B392" s="614"/>
      <c r="C392" s="617"/>
      <c r="D392" s="620"/>
      <c r="E392" s="130" t="s">
        <v>32</v>
      </c>
      <c r="F392" s="592">
        <f>IFERROR(VLOOKUP($B390,اسماء,25,0),0)</f>
        <v>0</v>
      </c>
      <c r="G392" s="593"/>
      <c r="H392" s="594">
        <f>IFERROR(VLOOKUP($B390,اسماء,26,0),0)</f>
        <v>0</v>
      </c>
      <c r="I392" s="595"/>
      <c r="J392" s="592">
        <f>IFERROR(VLOOKUP($B390,اسماء,27,0),0)</f>
        <v>0</v>
      </c>
      <c r="K392" s="593"/>
      <c r="L392" s="594">
        <f>IFERROR(VLOOKUP($B390,اسماء,28,0),0)</f>
        <v>0</v>
      </c>
      <c r="M392" s="596"/>
      <c r="N392" s="594">
        <f>IFERROR(VLOOKUP($B390,اسماء,29,0),0)</f>
        <v>0</v>
      </c>
      <c r="O392" s="596"/>
      <c r="P392" s="592">
        <f>IFERROR(VLOOKUP($B390,اسماء,30,0),0)</f>
        <v>0</v>
      </c>
      <c r="Q392" s="595"/>
      <c r="R392" s="372">
        <f t="shared" si="1008"/>
        <v>0</v>
      </c>
      <c r="S392" s="305" t="str">
        <f>IFERROR(VLOOKUP($B390,اسماء,34,0),"")</f>
        <v/>
      </c>
      <c r="T392" s="306" t="str">
        <f>IFERROR(VLOOKUP($B390,اسماء,35,0),"")</f>
        <v/>
      </c>
      <c r="U392" s="122" t="str">
        <f>IFERROR(VLOOKUP($B390,اسماء,36,0),"")</f>
        <v/>
      </c>
      <c r="V392" s="605"/>
      <c r="W392" s="20" t="str">
        <f t="shared" ref="W392" si="1035">LOOKUP(R392,$AF$6:$AG$10)</f>
        <v>ضعيف</v>
      </c>
      <c r="X392" s="640"/>
      <c r="Y392" s="8"/>
      <c r="Z392" s="598"/>
      <c r="AK392" s="667"/>
      <c r="AL392" s="667"/>
      <c r="AM392" s="696"/>
      <c r="AN392" s="698"/>
      <c r="AO392" s="699"/>
      <c r="AP392" s="698"/>
    </row>
    <row r="393" spans="1:42" ht="14.85" customHeight="1" thickBot="1" x14ac:dyDescent="0.3">
      <c r="A393" s="612"/>
      <c r="B393" s="615"/>
      <c r="C393" s="618"/>
      <c r="D393" s="621"/>
      <c r="E393" s="124" t="s">
        <v>33</v>
      </c>
      <c r="F393" s="623">
        <f t="shared" ref="F393" si="1036">SUM(F390:G392)</f>
        <v>0</v>
      </c>
      <c r="G393" s="624"/>
      <c r="H393" s="625">
        <f t="shared" ref="H393" si="1037">SUM(H390:I392)</f>
        <v>0</v>
      </c>
      <c r="I393" s="626"/>
      <c r="J393" s="623">
        <f t="shared" ref="J393" si="1038">SUM(J390:K392)</f>
        <v>0</v>
      </c>
      <c r="K393" s="624"/>
      <c r="L393" s="625">
        <f t="shared" ref="L393" si="1039">SUM(L390:M392)</f>
        <v>0</v>
      </c>
      <c r="M393" s="642"/>
      <c r="N393" s="625">
        <f t="shared" ref="N393" si="1040">SUM(N390:O392)</f>
        <v>0</v>
      </c>
      <c r="O393" s="642"/>
      <c r="P393" s="623">
        <f t="shared" ref="P393" si="1041">SUM(P390:Q392)</f>
        <v>0</v>
      </c>
      <c r="Q393" s="626"/>
      <c r="R393" s="88">
        <f t="shared" ref="R393" si="1042">IF(AND(F393&gt;=$G$8,H393&gt;=$I$8,J393&gt;=$K$8,L393&gt;=$M$8,N393&gt;=$O$8,P393&gt;=$Q$8),SUM(F393:Q393),0)</f>
        <v>0</v>
      </c>
      <c r="S393" s="251"/>
      <c r="T393" s="97"/>
      <c r="U393" s="94"/>
      <c r="V393" s="606"/>
      <c r="W393" s="88" t="str">
        <f t="shared" ref="W393" si="1043">LOOKUP(R393,$AI$6:$AJ$10)</f>
        <v>ضعيف</v>
      </c>
      <c r="X393" s="641"/>
      <c r="Y393" s="68"/>
      <c r="Z393" s="599"/>
      <c r="AK393" s="667"/>
      <c r="AL393" s="667"/>
      <c r="AM393" s="696"/>
      <c r="AN393" s="698"/>
      <c r="AO393" s="699"/>
      <c r="AP393" s="698"/>
    </row>
    <row r="394" spans="1:42" ht="14.85" customHeight="1" thickBot="1" x14ac:dyDescent="0.3">
      <c r="A394" s="610">
        <v>85</v>
      </c>
      <c r="B394" s="613">
        <f>VLOOKUP(A394,مسلسل,2,0)</f>
        <v>0</v>
      </c>
      <c r="C394" s="616" t="str">
        <f>IFERROR(VLOOKUP(B394,اسماء,2,0),"")</f>
        <v/>
      </c>
      <c r="D394" s="619" t="str">
        <f>IFERROR(VLOOKUP($B394,اسماء,3,0),"")</f>
        <v/>
      </c>
      <c r="E394" s="129" t="s">
        <v>30</v>
      </c>
      <c r="F394" s="600">
        <f>IFERROR(VLOOKUP($B394,اسماء,5,0),0)</f>
        <v>0</v>
      </c>
      <c r="G394" s="601"/>
      <c r="H394" s="602">
        <f>IFERROR(VLOOKUP($B394,اسماء,6,0),0)</f>
        <v>0</v>
      </c>
      <c r="I394" s="622"/>
      <c r="J394" s="600">
        <f>IFERROR(VLOOKUP($B394,اسماء,7,0),0)</f>
        <v>0</v>
      </c>
      <c r="K394" s="601"/>
      <c r="L394" s="602">
        <f>IFERROR(VLOOKUP($B394,اسماء,8,0),0)</f>
        <v>0</v>
      </c>
      <c r="M394" s="603"/>
      <c r="N394" s="602">
        <f>IFERROR(VLOOKUP($B394,اسماء,9,0),0)</f>
        <v>0</v>
      </c>
      <c r="O394" s="603"/>
      <c r="P394" s="600">
        <f>IFERROR(VLOOKUP($B394,اسماء,10,0),0)</f>
        <v>0</v>
      </c>
      <c r="Q394" s="622"/>
      <c r="R394" s="371">
        <f t="shared" ref="R394" si="1044">SUM(F394:Q394)</f>
        <v>0</v>
      </c>
      <c r="S394" s="213" t="str">
        <f>IFERROR(VLOOKUP($B394,اسماء,12,0),"")</f>
        <v/>
      </c>
      <c r="T394" s="214" t="str">
        <f>IFERROR(VLOOKUP($B394,اسماء,13,0),"")</f>
        <v/>
      </c>
      <c r="U394" s="364" t="str">
        <f>IFERROR(VLOOKUP($B394,اسماء,14,0),"")</f>
        <v/>
      </c>
      <c r="V394" s="604" t="str">
        <f t="shared" ref="V394" si="1045">IF(Z394="غائب","راسب",IF(R397&gt;0,"ناجح","مرحل"))</f>
        <v>مرحل</v>
      </c>
      <c r="W394" s="19" t="str">
        <f t="shared" ref="W394:W395" si="1046">LOOKUP(R394,$AC$6:$AD$10)</f>
        <v>ضعيف</v>
      </c>
      <c r="X394" s="639">
        <f t="shared" ref="X394" si="1047">R397/$AC$3</f>
        <v>0</v>
      </c>
      <c r="Y394" s="68"/>
      <c r="Z394" s="597" t="str">
        <f>IFERROR(VLOOKUP($B394,اسماء,48,0),"")</f>
        <v/>
      </c>
      <c r="AK394" s="667" t="str">
        <f t="shared" ref="AK394" si="1048">IF(R397=0,"",R397/1+ROW()*0.00001)</f>
        <v/>
      </c>
      <c r="AL394" s="667">
        <f>B394</f>
        <v>0</v>
      </c>
      <c r="AM394" s="696"/>
      <c r="AN394" s="698">
        <v>85</v>
      </c>
      <c r="AO394" s="699" t="str">
        <f>IFERROR(LARGE($AK$10:$AK$1420,AN394),"")</f>
        <v/>
      </c>
      <c r="AP394" s="698" t="str">
        <f>VLOOKUP(AO394,$AK$10:$AL$1530,2,0)</f>
        <v>امجد عمر عبداللطيف سلطان</v>
      </c>
    </row>
    <row r="395" spans="1:42" ht="14.85" customHeight="1" x14ac:dyDescent="0.25">
      <c r="A395" s="611"/>
      <c r="B395" s="614"/>
      <c r="C395" s="617"/>
      <c r="D395" s="620"/>
      <c r="E395" s="130" t="s">
        <v>31</v>
      </c>
      <c r="F395" s="592">
        <f>IFERROR(VLOOKUP($B394,اسماء,15,0),0)</f>
        <v>0</v>
      </c>
      <c r="G395" s="593"/>
      <c r="H395" s="594">
        <f>IFERROR(VLOOKUP($B394,اسماء,16,0),0)</f>
        <v>0</v>
      </c>
      <c r="I395" s="595"/>
      <c r="J395" s="592">
        <f>IFERROR(VLOOKUP($B394,اسماء,17,0),0)</f>
        <v>0</v>
      </c>
      <c r="K395" s="593"/>
      <c r="L395" s="594">
        <f>IFERROR(VLOOKUP($B394,اسماء,18,0),0)</f>
        <v>0</v>
      </c>
      <c r="M395" s="596"/>
      <c r="N395" s="594">
        <f>IFERROR(VLOOKUP($B394,اسماء,19,0),0)</f>
        <v>0</v>
      </c>
      <c r="O395" s="596"/>
      <c r="P395" s="592">
        <f>IFERROR(VLOOKUP($B394,اسماء,20,0),0)</f>
        <v>0</v>
      </c>
      <c r="Q395" s="595"/>
      <c r="R395" s="372">
        <f t="shared" si="1008"/>
        <v>0</v>
      </c>
      <c r="S395" s="305" t="str">
        <f>IFERROR(VLOOKUP($B394,اسماء,23,0),"")</f>
        <v/>
      </c>
      <c r="T395" s="306" t="str">
        <f>IFERROR(VLOOKUP($B394,اسماء,24,0),"")</f>
        <v/>
      </c>
      <c r="U395" s="122" t="str">
        <f>IFERROR(VLOOKUP($B394,اسماء,25,0),"")</f>
        <v/>
      </c>
      <c r="V395" s="605"/>
      <c r="W395" s="19" t="str">
        <f t="shared" si="1046"/>
        <v>ضعيف</v>
      </c>
      <c r="X395" s="640"/>
      <c r="Y395" s="8"/>
      <c r="Z395" s="598"/>
      <c r="AK395" s="667"/>
      <c r="AL395" s="667"/>
      <c r="AM395" s="696"/>
      <c r="AN395" s="698"/>
      <c r="AO395" s="699"/>
      <c r="AP395" s="698"/>
    </row>
    <row r="396" spans="1:42" ht="14.85" customHeight="1" x14ac:dyDescent="0.25">
      <c r="A396" s="611"/>
      <c r="B396" s="614"/>
      <c r="C396" s="617"/>
      <c r="D396" s="620"/>
      <c r="E396" s="130" t="s">
        <v>32</v>
      </c>
      <c r="F396" s="592">
        <f>IFERROR(VLOOKUP($B394,اسماء,25,0),0)</f>
        <v>0</v>
      </c>
      <c r="G396" s="593"/>
      <c r="H396" s="594">
        <f>IFERROR(VLOOKUP($B394,اسماء,26,0),0)</f>
        <v>0</v>
      </c>
      <c r="I396" s="595"/>
      <c r="J396" s="592">
        <f>IFERROR(VLOOKUP($B394,اسماء,27,0),0)</f>
        <v>0</v>
      </c>
      <c r="K396" s="593"/>
      <c r="L396" s="594">
        <f>IFERROR(VLOOKUP($B394,اسماء,28,0),0)</f>
        <v>0</v>
      </c>
      <c r="M396" s="596"/>
      <c r="N396" s="594">
        <f>IFERROR(VLOOKUP($B394,اسماء,29,0),0)</f>
        <v>0</v>
      </c>
      <c r="O396" s="596"/>
      <c r="P396" s="592">
        <f>IFERROR(VLOOKUP($B394,اسماء,30,0),0)</f>
        <v>0</v>
      </c>
      <c r="Q396" s="595"/>
      <c r="R396" s="372">
        <f t="shared" si="1008"/>
        <v>0</v>
      </c>
      <c r="S396" s="305" t="str">
        <f>IFERROR(VLOOKUP($B394,اسماء,34,0),"")</f>
        <v/>
      </c>
      <c r="T396" s="306" t="str">
        <f>IFERROR(VLOOKUP($B394,اسماء,35,0),"")</f>
        <v/>
      </c>
      <c r="U396" s="122" t="str">
        <f>IFERROR(VLOOKUP($B394,اسماء,36,0),"")</f>
        <v/>
      </c>
      <c r="V396" s="605"/>
      <c r="W396" s="20" t="str">
        <f t="shared" ref="W396" si="1049">LOOKUP(R396,$AF$6:$AG$10)</f>
        <v>ضعيف</v>
      </c>
      <c r="X396" s="640"/>
      <c r="Y396" s="68"/>
      <c r="Z396" s="598"/>
      <c r="AK396" s="667"/>
      <c r="AL396" s="667"/>
      <c r="AM396" s="696"/>
      <c r="AN396" s="698"/>
      <c r="AO396" s="699"/>
      <c r="AP396" s="698"/>
    </row>
    <row r="397" spans="1:42" ht="14.85" customHeight="1" thickBot="1" x14ac:dyDescent="0.3">
      <c r="A397" s="612"/>
      <c r="B397" s="615"/>
      <c r="C397" s="618"/>
      <c r="D397" s="621"/>
      <c r="E397" s="124" t="s">
        <v>33</v>
      </c>
      <c r="F397" s="623">
        <f t="shared" ref="F397" si="1050">SUM(F394:G396)</f>
        <v>0</v>
      </c>
      <c r="G397" s="624"/>
      <c r="H397" s="625">
        <f t="shared" ref="H397" si="1051">SUM(H394:I396)</f>
        <v>0</v>
      </c>
      <c r="I397" s="626"/>
      <c r="J397" s="623">
        <f t="shared" ref="J397" si="1052">SUM(J394:K396)</f>
        <v>0</v>
      </c>
      <c r="K397" s="624"/>
      <c r="L397" s="625">
        <f t="shared" ref="L397" si="1053">SUM(L394:M396)</f>
        <v>0</v>
      </c>
      <c r="M397" s="642"/>
      <c r="N397" s="625">
        <f t="shared" ref="N397" si="1054">SUM(N394:O396)</f>
        <v>0</v>
      </c>
      <c r="O397" s="642"/>
      <c r="P397" s="623">
        <f t="shared" ref="P397" si="1055">SUM(P394:Q396)</f>
        <v>0</v>
      </c>
      <c r="Q397" s="626"/>
      <c r="R397" s="88">
        <f t="shared" ref="R397" si="1056">IF(AND(F397&gt;=$G$8,H397&gt;=$I$8,J397&gt;=$K$8,L397&gt;=$M$8,N397&gt;=$O$8,P397&gt;=$Q$8),SUM(F397:Q397),0)</f>
        <v>0</v>
      </c>
      <c r="S397" s="251"/>
      <c r="T397" s="97"/>
      <c r="U397" s="94"/>
      <c r="V397" s="606"/>
      <c r="W397" s="88" t="str">
        <f t="shared" ref="W397" si="1057">LOOKUP(R397,$AI$6:$AJ$10)</f>
        <v>ضعيف</v>
      </c>
      <c r="X397" s="641"/>
      <c r="Y397" s="68"/>
      <c r="Z397" s="599"/>
      <c r="AK397" s="667"/>
      <c r="AL397" s="667"/>
      <c r="AM397" s="696"/>
      <c r="AN397" s="698"/>
      <c r="AO397" s="699"/>
      <c r="AP397" s="698"/>
    </row>
    <row r="398" spans="1:42" ht="14.85" customHeight="1" thickBot="1" x14ac:dyDescent="0.3">
      <c r="A398" s="610">
        <v>86</v>
      </c>
      <c r="B398" s="613">
        <f>VLOOKUP(A398,مسلسل,2,0)</f>
        <v>0</v>
      </c>
      <c r="C398" s="616" t="str">
        <f>IFERROR(VLOOKUP(B398,اسماء,2,0),"")</f>
        <v/>
      </c>
      <c r="D398" s="619" t="str">
        <f>IFERROR(VLOOKUP($B398,اسماء,3,0),"")</f>
        <v/>
      </c>
      <c r="E398" s="129" t="s">
        <v>30</v>
      </c>
      <c r="F398" s="600">
        <f>IFERROR(VLOOKUP($B398,اسماء,5,0),0)</f>
        <v>0</v>
      </c>
      <c r="G398" s="601"/>
      <c r="H398" s="602">
        <f>IFERROR(VLOOKUP($B398,اسماء,6,0),0)</f>
        <v>0</v>
      </c>
      <c r="I398" s="622"/>
      <c r="J398" s="600">
        <f>IFERROR(VLOOKUP($B398,اسماء,7,0),0)</f>
        <v>0</v>
      </c>
      <c r="K398" s="601"/>
      <c r="L398" s="602">
        <f>IFERROR(VLOOKUP($B398,اسماء,8,0),0)</f>
        <v>0</v>
      </c>
      <c r="M398" s="603"/>
      <c r="N398" s="602">
        <f>IFERROR(VLOOKUP($B398,اسماء,9,0),0)</f>
        <v>0</v>
      </c>
      <c r="O398" s="603"/>
      <c r="P398" s="600">
        <f>IFERROR(VLOOKUP($B398,اسماء,10,0),0)</f>
        <v>0</v>
      </c>
      <c r="Q398" s="622"/>
      <c r="R398" s="371">
        <f t="shared" ref="R398" si="1058">SUM(F398:Q398)</f>
        <v>0</v>
      </c>
      <c r="S398" s="213" t="str">
        <f>IFERROR(VLOOKUP($B398,اسماء,12,0),"")</f>
        <v/>
      </c>
      <c r="T398" s="214" t="str">
        <f>IFERROR(VLOOKUP($B398,اسماء,13,0),"")</f>
        <v/>
      </c>
      <c r="U398" s="364" t="str">
        <f>IFERROR(VLOOKUP($B398,اسماء,14,0),"")</f>
        <v/>
      </c>
      <c r="V398" s="604" t="str">
        <f t="shared" ref="V398" si="1059">IF(Z398="غائب","راسب",IF(R401&gt;0,"ناجح","مرحل"))</f>
        <v>مرحل</v>
      </c>
      <c r="W398" s="19" t="str">
        <f t="shared" ref="W398:W399" si="1060">LOOKUP(R398,$AC$6:$AD$10)</f>
        <v>ضعيف</v>
      </c>
      <c r="X398" s="639">
        <f t="shared" ref="X398" si="1061">R401/$AC$3</f>
        <v>0</v>
      </c>
      <c r="Y398" s="8"/>
      <c r="Z398" s="597" t="str">
        <f>IFERROR(VLOOKUP($B398,اسماء,48,0),"")</f>
        <v/>
      </c>
      <c r="AK398" s="667" t="str">
        <f t="shared" ref="AK398" si="1062">IF(R401=0,"",R401/1+ROW()*0.00001)</f>
        <v/>
      </c>
      <c r="AL398" s="667">
        <f>B398</f>
        <v>0</v>
      </c>
      <c r="AM398" s="696"/>
      <c r="AN398" s="698">
        <v>86</v>
      </c>
      <c r="AO398" s="699" t="str">
        <f>IFERROR(LARGE($AK$10:$AK$1420,AN398),"")</f>
        <v/>
      </c>
      <c r="AP398" s="698" t="str">
        <f>VLOOKUP(AO398,$AK$10:$AL$1530,2,0)</f>
        <v>امجد عمر عبداللطيف سلطان</v>
      </c>
    </row>
    <row r="399" spans="1:42" ht="14.85" customHeight="1" x14ac:dyDescent="0.25">
      <c r="A399" s="611"/>
      <c r="B399" s="614"/>
      <c r="C399" s="617"/>
      <c r="D399" s="620"/>
      <c r="E399" s="130" t="s">
        <v>31</v>
      </c>
      <c r="F399" s="592">
        <f>IFERROR(VLOOKUP($B398,اسماء,15,0),0)</f>
        <v>0</v>
      </c>
      <c r="G399" s="593"/>
      <c r="H399" s="594">
        <f>IFERROR(VLOOKUP($B398,اسماء,16,0),0)</f>
        <v>0</v>
      </c>
      <c r="I399" s="595"/>
      <c r="J399" s="592">
        <f>IFERROR(VLOOKUP($B398,اسماء,17,0),0)</f>
        <v>0</v>
      </c>
      <c r="K399" s="593"/>
      <c r="L399" s="594">
        <f>IFERROR(VLOOKUP($B398,اسماء,18,0),0)</f>
        <v>0</v>
      </c>
      <c r="M399" s="596"/>
      <c r="N399" s="594">
        <f>IFERROR(VLOOKUP($B398,اسماء,19,0),0)</f>
        <v>0</v>
      </c>
      <c r="O399" s="596"/>
      <c r="P399" s="592">
        <f>IFERROR(VLOOKUP($B398,اسماء,20,0),0)</f>
        <v>0</v>
      </c>
      <c r="Q399" s="595"/>
      <c r="R399" s="372">
        <f t="shared" si="1008"/>
        <v>0</v>
      </c>
      <c r="S399" s="305" t="str">
        <f>IFERROR(VLOOKUP($B398,اسماء,23,0),"")</f>
        <v/>
      </c>
      <c r="T399" s="306" t="str">
        <f>IFERROR(VLOOKUP($B398,اسماء,24,0),"")</f>
        <v/>
      </c>
      <c r="U399" s="122" t="str">
        <f>IFERROR(VLOOKUP($B398,اسماء,25,0),"")</f>
        <v/>
      </c>
      <c r="V399" s="605"/>
      <c r="W399" s="19" t="str">
        <f t="shared" si="1060"/>
        <v>ضعيف</v>
      </c>
      <c r="X399" s="640"/>
      <c r="Y399" s="68"/>
      <c r="Z399" s="598"/>
      <c r="AK399" s="667"/>
      <c r="AL399" s="667"/>
      <c r="AM399" s="696"/>
      <c r="AN399" s="698"/>
      <c r="AO399" s="699"/>
      <c r="AP399" s="698"/>
    </row>
    <row r="400" spans="1:42" ht="14.85" customHeight="1" x14ac:dyDescent="0.25">
      <c r="A400" s="611"/>
      <c r="B400" s="614"/>
      <c r="C400" s="617"/>
      <c r="D400" s="620"/>
      <c r="E400" s="130" t="s">
        <v>32</v>
      </c>
      <c r="F400" s="592">
        <f>IFERROR(VLOOKUP($B398,اسماء,25,0),0)</f>
        <v>0</v>
      </c>
      <c r="G400" s="593"/>
      <c r="H400" s="594">
        <f>IFERROR(VLOOKUP($B398,اسماء,26,0),0)</f>
        <v>0</v>
      </c>
      <c r="I400" s="595"/>
      <c r="J400" s="592">
        <f>IFERROR(VLOOKUP($B398,اسماء,27,0),0)</f>
        <v>0</v>
      </c>
      <c r="K400" s="593"/>
      <c r="L400" s="594">
        <f>IFERROR(VLOOKUP($B398,اسماء,28,0),0)</f>
        <v>0</v>
      </c>
      <c r="M400" s="596"/>
      <c r="N400" s="594">
        <f>IFERROR(VLOOKUP($B398,اسماء,29,0),0)</f>
        <v>0</v>
      </c>
      <c r="O400" s="596"/>
      <c r="P400" s="592">
        <f>IFERROR(VLOOKUP($B398,اسماء,30,0),0)</f>
        <v>0</v>
      </c>
      <c r="Q400" s="595"/>
      <c r="R400" s="372">
        <f t="shared" si="1008"/>
        <v>0</v>
      </c>
      <c r="S400" s="305" t="str">
        <f>IFERROR(VLOOKUP($B398,اسماء,34,0),"")</f>
        <v/>
      </c>
      <c r="T400" s="306" t="str">
        <f>IFERROR(VLOOKUP($B398,اسماء,35,0),"")</f>
        <v/>
      </c>
      <c r="U400" s="122" t="str">
        <f>IFERROR(VLOOKUP($B398,اسماء,36,0),"")</f>
        <v/>
      </c>
      <c r="V400" s="605"/>
      <c r="W400" s="20" t="str">
        <f t="shared" ref="W400" si="1063">LOOKUP(R400,$AF$6:$AG$10)</f>
        <v>ضعيف</v>
      </c>
      <c r="X400" s="640"/>
      <c r="Y400" s="68"/>
      <c r="Z400" s="598"/>
      <c r="AK400" s="667"/>
      <c r="AL400" s="667"/>
      <c r="AM400" s="696"/>
      <c r="AN400" s="698"/>
      <c r="AO400" s="699"/>
      <c r="AP400" s="698"/>
    </row>
    <row r="401" spans="1:42" ht="14.85" customHeight="1" thickBot="1" x14ac:dyDescent="0.3">
      <c r="A401" s="612"/>
      <c r="B401" s="615"/>
      <c r="C401" s="618"/>
      <c r="D401" s="621"/>
      <c r="E401" s="124" t="s">
        <v>33</v>
      </c>
      <c r="F401" s="623">
        <f t="shared" ref="F401" si="1064">SUM(F398:G400)</f>
        <v>0</v>
      </c>
      <c r="G401" s="624"/>
      <c r="H401" s="625">
        <f t="shared" ref="H401" si="1065">SUM(H398:I400)</f>
        <v>0</v>
      </c>
      <c r="I401" s="626"/>
      <c r="J401" s="623">
        <f t="shared" ref="J401" si="1066">SUM(J398:K400)</f>
        <v>0</v>
      </c>
      <c r="K401" s="624"/>
      <c r="L401" s="625">
        <f t="shared" ref="L401" si="1067">SUM(L398:M400)</f>
        <v>0</v>
      </c>
      <c r="M401" s="642"/>
      <c r="N401" s="625">
        <f t="shared" ref="N401" si="1068">SUM(N398:O400)</f>
        <v>0</v>
      </c>
      <c r="O401" s="642"/>
      <c r="P401" s="623">
        <f t="shared" ref="P401" si="1069">SUM(P398:Q400)</f>
        <v>0</v>
      </c>
      <c r="Q401" s="626"/>
      <c r="R401" s="88">
        <f t="shared" ref="R401" si="1070">IF(AND(F401&gt;=$G$8,H401&gt;=$I$8,J401&gt;=$K$8,L401&gt;=$M$8,N401&gt;=$O$8,P401&gt;=$Q$8),SUM(F401:Q401),0)</f>
        <v>0</v>
      </c>
      <c r="S401" s="251"/>
      <c r="T401" s="97"/>
      <c r="U401" s="94"/>
      <c r="V401" s="606"/>
      <c r="W401" s="88" t="str">
        <f t="shared" ref="W401" si="1071">LOOKUP(R401,$AI$6:$AJ$10)</f>
        <v>ضعيف</v>
      </c>
      <c r="X401" s="641"/>
      <c r="Y401" s="8"/>
      <c r="Z401" s="599"/>
      <c r="AK401" s="667"/>
      <c r="AL401" s="667"/>
      <c r="AM401" s="696"/>
      <c r="AN401" s="698"/>
      <c r="AO401" s="699"/>
      <c r="AP401" s="698"/>
    </row>
    <row r="402" spans="1:42" ht="14.85" customHeight="1" thickBot="1" x14ac:dyDescent="0.3">
      <c r="A402" s="610">
        <v>87</v>
      </c>
      <c r="B402" s="613">
        <f>VLOOKUP(A402,مسلسل,2,0)</f>
        <v>0</v>
      </c>
      <c r="C402" s="616" t="str">
        <f>IFERROR(VLOOKUP(B402,اسماء,2,0),"")</f>
        <v/>
      </c>
      <c r="D402" s="619" t="str">
        <f>IFERROR(VLOOKUP($B402,اسماء,3,0),"")</f>
        <v/>
      </c>
      <c r="E402" s="129" t="s">
        <v>30</v>
      </c>
      <c r="F402" s="600">
        <f>IFERROR(VLOOKUP($B402,اسماء,5,0),0)</f>
        <v>0</v>
      </c>
      <c r="G402" s="601"/>
      <c r="H402" s="602">
        <f>IFERROR(VLOOKUP($B402,اسماء,6,0),0)</f>
        <v>0</v>
      </c>
      <c r="I402" s="622"/>
      <c r="J402" s="600">
        <f>IFERROR(VLOOKUP($B402,اسماء,7,0),0)</f>
        <v>0</v>
      </c>
      <c r="K402" s="601"/>
      <c r="L402" s="602">
        <f>IFERROR(VLOOKUP($B402,اسماء,8,0),0)</f>
        <v>0</v>
      </c>
      <c r="M402" s="603"/>
      <c r="N402" s="602">
        <f>IFERROR(VLOOKUP($B402,اسماء,9,0),0)</f>
        <v>0</v>
      </c>
      <c r="O402" s="603"/>
      <c r="P402" s="600">
        <f>IFERROR(VLOOKUP($B402,اسماء,10,0),0)</f>
        <v>0</v>
      </c>
      <c r="Q402" s="622"/>
      <c r="R402" s="371">
        <f t="shared" ref="R402" si="1072">SUM(F402:Q402)</f>
        <v>0</v>
      </c>
      <c r="S402" s="213" t="str">
        <f>IFERROR(VLOOKUP($B402,اسماء,12,0),"")</f>
        <v/>
      </c>
      <c r="T402" s="214" t="str">
        <f>IFERROR(VLOOKUP($B402,اسماء,13,0),"")</f>
        <v/>
      </c>
      <c r="U402" s="364" t="str">
        <f>IFERROR(VLOOKUP($B402,اسماء,14,0),"")</f>
        <v/>
      </c>
      <c r="V402" s="604" t="str">
        <f t="shared" ref="V402" si="1073">IF(Z402="غائب","راسب",IF(R405&gt;0,"ناجح","مرحل"))</f>
        <v>مرحل</v>
      </c>
      <c r="W402" s="19" t="str">
        <f t="shared" ref="W402:W403" si="1074">LOOKUP(R402,$AC$6:$AD$10)</f>
        <v>ضعيف</v>
      </c>
      <c r="X402" s="639">
        <f t="shared" ref="X402" si="1075">R405/$AC$3</f>
        <v>0</v>
      </c>
      <c r="Y402" s="68"/>
      <c r="Z402" s="597" t="str">
        <f>IFERROR(VLOOKUP($B402,اسماء,48,0),"")</f>
        <v/>
      </c>
      <c r="AK402" s="667" t="str">
        <f t="shared" ref="AK402" si="1076">IF(R405=0,"",R405/1+ROW()*0.00001)</f>
        <v/>
      </c>
      <c r="AL402" s="667">
        <f>B402</f>
        <v>0</v>
      </c>
      <c r="AM402" s="696"/>
      <c r="AN402" s="698">
        <v>87</v>
      </c>
      <c r="AO402" s="699" t="str">
        <f>IFERROR(LARGE($AK$10:$AK$1420,AN402),"")</f>
        <v/>
      </c>
      <c r="AP402" s="698" t="str">
        <f>VLOOKUP(AO402,$AK$10:$AL$1530,2,0)</f>
        <v>امجد عمر عبداللطيف سلطان</v>
      </c>
    </row>
    <row r="403" spans="1:42" ht="14.85" customHeight="1" x14ac:dyDescent="0.25">
      <c r="A403" s="611"/>
      <c r="B403" s="614"/>
      <c r="C403" s="617"/>
      <c r="D403" s="620"/>
      <c r="E403" s="130" t="s">
        <v>31</v>
      </c>
      <c r="F403" s="592">
        <f>IFERROR(VLOOKUP($B402,اسماء,15,0),0)</f>
        <v>0</v>
      </c>
      <c r="G403" s="593"/>
      <c r="H403" s="594">
        <f>IFERROR(VLOOKUP($B402,اسماء,16,0),0)</f>
        <v>0</v>
      </c>
      <c r="I403" s="595"/>
      <c r="J403" s="592">
        <f>IFERROR(VLOOKUP($B402,اسماء,17,0),0)</f>
        <v>0</v>
      </c>
      <c r="K403" s="593"/>
      <c r="L403" s="594">
        <f>IFERROR(VLOOKUP($B402,اسماء,18,0),0)</f>
        <v>0</v>
      </c>
      <c r="M403" s="596"/>
      <c r="N403" s="594">
        <f>IFERROR(VLOOKUP($B402,اسماء,19,0),0)</f>
        <v>0</v>
      </c>
      <c r="O403" s="596"/>
      <c r="P403" s="592">
        <f>IFERROR(VLOOKUP($B402,اسماء,20,0),0)</f>
        <v>0</v>
      </c>
      <c r="Q403" s="595"/>
      <c r="R403" s="372">
        <f t="shared" si="1008"/>
        <v>0</v>
      </c>
      <c r="S403" s="305" t="str">
        <f>IFERROR(VLOOKUP($B402,اسماء,23,0),"")</f>
        <v/>
      </c>
      <c r="T403" s="306" t="str">
        <f>IFERROR(VLOOKUP($B402,اسماء,24,0),"")</f>
        <v/>
      </c>
      <c r="U403" s="122" t="str">
        <f>IFERROR(VLOOKUP($B402,اسماء,25,0),"")</f>
        <v/>
      </c>
      <c r="V403" s="605"/>
      <c r="W403" s="19" t="str">
        <f t="shared" si="1074"/>
        <v>ضعيف</v>
      </c>
      <c r="X403" s="640"/>
      <c r="Y403" s="68"/>
      <c r="Z403" s="598"/>
      <c r="AK403" s="667"/>
      <c r="AL403" s="667"/>
      <c r="AM403" s="696"/>
      <c r="AN403" s="698"/>
      <c r="AO403" s="699"/>
      <c r="AP403" s="698"/>
    </row>
    <row r="404" spans="1:42" ht="14.85" customHeight="1" x14ac:dyDescent="0.25">
      <c r="A404" s="611"/>
      <c r="B404" s="614"/>
      <c r="C404" s="617"/>
      <c r="D404" s="620"/>
      <c r="E404" s="130" t="s">
        <v>32</v>
      </c>
      <c r="F404" s="592">
        <f>IFERROR(VLOOKUP($B402,اسماء,25,0),0)</f>
        <v>0</v>
      </c>
      <c r="G404" s="593"/>
      <c r="H404" s="594">
        <f>IFERROR(VLOOKUP($B402,اسماء,26,0),0)</f>
        <v>0</v>
      </c>
      <c r="I404" s="595"/>
      <c r="J404" s="592">
        <f>IFERROR(VLOOKUP($B402,اسماء,27,0),0)</f>
        <v>0</v>
      </c>
      <c r="K404" s="593"/>
      <c r="L404" s="594">
        <f>IFERROR(VLOOKUP($B402,اسماء,28,0),0)</f>
        <v>0</v>
      </c>
      <c r="M404" s="596"/>
      <c r="N404" s="594">
        <f>IFERROR(VLOOKUP($B402,اسماء,29,0),0)</f>
        <v>0</v>
      </c>
      <c r="O404" s="596"/>
      <c r="P404" s="592">
        <f>IFERROR(VLOOKUP($B402,اسماء,30,0),0)</f>
        <v>0</v>
      </c>
      <c r="Q404" s="595"/>
      <c r="R404" s="372">
        <f t="shared" si="1008"/>
        <v>0</v>
      </c>
      <c r="S404" s="305" t="str">
        <f>IFERROR(VLOOKUP($B402,اسماء,34,0),"")</f>
        <v/>
      </c>
      <c r="T404" s="306" t="str">
        <f>IFERROR(VLOOKUP($B402,اسماء,35,0),"")</f>
        <v/>
      </c>
      <c r="U404" s="122" t="str">
        <f>IFERROR(VLOOKUP($B402,اسماء,36,0),"")</f>
        <v/>
      </c>
      <c r="V404" s="605"/>
      <c r="W404" s="20" t="str">
        <f t="shared" ref="W404" si="1077">LOOKUP(R404,$AF$6:$AG$10)</f>
        <v>ضعيف</v>
      </c>
      <c r="X404" s="640"/>
      <c r="Y404" s="8"/>
      <c r="Z404" s="598"/>
      <c r="AK404" s="667"/>
      <c r="AL404" s="667"/>
      <c r="AM404" s="696"/>
      <c r="AN404" s="698"/>
      <c r="AO404" s="699"/>
      <c r="AP404" s="698"/>
    </row>
    <row r="405" spans="1:42" ht="14.85" customHeight="1" thickBot="1" x14ac:dyDescent="0.3">
      <c r="A405" s="612"/>
      <c r="B405" s="615"/>
      <c r="C405" s="618"/>
      <c r="D405" s="621"/>
      <c r="E405" s="124" t="s">
        <v>33</v>
      </c>
      <c r="F405" s="623">
        <f t="shared" ref="F405" si="1078">SUM(F402:G404)</f>
        <v>0</v>
      </c>
      <c r="G405" s="624"/>
      <c r="H405" s="625">
        <f t="shared" ref="H405" si="1079">SUM(H402:I404)</f>
        <v>0</v>
      </c>
      <c r="I405" s="626"/>
      <c r="J405" s="623">
        <f t="shared" ref="J405" si="1080">SUM(J402:K404)</f>
        <v>0</v>
      </c>
      <c r="K405" s="624"/>
      <c r="L405" s="625">
        <f t="shared" ref="L405" si="1081">SUM(L402:M404)</f>
        <v>0</v>
      </c>
      <c r="M405" s="642"/>
      <c r="N405" s="625">
        <f t="shared" ref="N405" si="1082">SUM(N402:O404)</f>
        <v>0</v>
      </c>
      <c r="O405" s="642"/>
      <c r="P405" s="623">
        <f t="shared" ref="P405" si="1083">SUM(P402:Q404)</f>
        <v>0</v>
      </c>
      <c r="Q405" s="626"/>
      <c r="R405" s="88">
        <f t="shared" ref="R405" si="1084">IF(AND(F405&gt;=$G$8,H405&gt;=$I$8,J405&gt;=$K$8,L405&gt;=$M$8,N405&gt;=$O$8,P405&gt;=$Q$8),SUM(F405:Q405),0)</f>
        <v>0</v>
      </c>
      <c r="S405" s="251"/>
      <c r="T405" s="97"/>
      <c r="U405" s="94"/>
      <c r="V405" s="606"/>
      <c r="W405" s="88" t="str">
        <f t="shared" ref="W405" si="1085">LOOKUP(R405,$AI$6:$AJ$10)</f>
        <v>ضعيف</v>
      </c>
      <c r="X405" s="641"/>
      <c r="Y405" s="68"/>
      <c r="Z405" s="599"/>
      <c r="AK405" s="667"/>
      <c r="AL405" s="667"/>
      <c r="AM405" s="696"/>
      <c r="AN405" s="698"/>
      <c r="AO405" s="699"/>
      <c r="AP405" s="698"/>
    </row>
    <row r="406" spans="1:42" ht="14.85" customHeight="1" thickBot="1" x14ac:dyDescent="0.3">
      <c r="A406" s="610">
        <v>88</v>
      </c>
      <c r="B406" s="613">
        <f>VLOOKUP(A406,مسلسل,2,0)</f>
        <v>0</v>
      </c>
      <c r="C406" s="616" t="str">
        <f>IFERROR(VLOOKUP(B406,اسماء,2,0),"")</f>
        <v/>
      </c>
      <c r="D406" s="619" t="str">
        <f>IFERROR(VLOOKUP($B406,اسماء,3,0),"")</f>
        <v/>
      </c>
      <c r="E406" s="129" t="s">
        <v>30</v>
      </c>
      <c r="F406" s="600">
        <f>IFERROR(VLOOKUP($B406,اسماء,5,0),0)</f>
        <v>0</v>
      </c>
      <c r="G406" s="601"/>
      <c r="H406" s="602">
        <f>IFERROR(VLOOKUP($B406,اسماء,6,0),0)</f>
        <v>0</v>
      </c>
      <c r="I406" s="622"/>
      <c r="J406" s="600">
        <f>IFERROR(VLOOKUP($B406,اسماء,7,0),0)</f>
        <v>0</v>
      </c>
      <c r="K406" s="601"/>
      <c r="L406" s="602">
        <f>IFERROR(VLOOKUP($B406,اسماء,8,0),0)</f>
        <v>0</v>
      </c>
      <c r="M406" s="603"/>
      <c r="N406" s="602">
        <f>IFERROR(VLOOKUP($B406,اسماء,9,0),0)</f>
        <v>0</v>
      </c>
      <c r="O406" s="603"/>
      <c r="P406" s="600">
        <f>IFERROR(VLOOKUP($B406,اسماء,10,0),0)</f>
        <v>0</v>
      </c>
      <c r="Q406" s="622"/>
      <c r="R406" s="371">
        <f t="shared" ref="R406" si="1086">SUM(F406:Q406)</f>
        <v>0</v>
      </c>
      <c r="S406" s="213" t="str">
        <f>IFERROR(VLOOKUP($B406,اسماء,12,0),"")</f>
        <v/>
      </c>
      <c r="T406" s="214" t="str">
        <f>IFERROR(VLOOKUP($B406,اسماء,13,0),"")</f>
        <v/>
      </c>
      <c r="U406" s="364" t="str">
        <f>IFERROR(VLOOKUP($B406,اسماء,14,0),"")</f>
        <v/>
      </c>
      <c r="V406" s="604" t="str">
        <f t="shared" ref="V406" si="1087">IF(Z406="غائب","راسب",IF(R409&gt;0,"ناجح","مرحل"))</f>
        <v>مرحل</v>
      </c>
      <c r="W406" s="19" t="str">
        <f t="shared" ref="W406:W407" si="1088">LOOKUP(R406,$AC$6:$AD$10)</f>
        <v>ضعيف</v>
      </c>
      <c r="X406" s="639">
        <f t="shared" ref="X406" si="1089">R409/$AC$3</f>
        <v>0</v>
      </c>
      <c r="Y406" s="68"/>
      <c r="Z406" s="597" t="str">
        <f>IFERROR(VLOOKUP($B406,اسماء,48,0),"")</f>
        <v/>
      </c>
      <c r="AK406" s="667" t="str">
        <f t="shared" ref="AK406" si="1090">IF(R409=0,"",R409/1+ROW()*0.00001)</f>
        <v/>
      </c>
      <c r="AL406" s="667">
        <f>B406</f>
        <v>0</v>
      </c>
      <c r="AM406" s="696"/>
      <c r="AN406" s="698">
        <v>88</v>
      </c>
      <c r="AO406" s="699" t="str">
        <f>IFERROR(LARGE($AK$10:$AK$1420,AN406),"")</f>
        <v/>
      </c>
      <c r="AP406" s="698" t="str">
        <f>VLOOKUP(AO406,$AK$10:$AL$1530,2,0)</f>
        <v>امجد عمر عبداللطيف سلطان</v>
      </c>
    </row>
    <row r="407" spans="1:42" ht="14.85" customHeight="1" x14ac:dyDescent="0.25">
      <c r="A407" s="611"/>
      <c r="B407" s="614"/>
      <c r="C407" s="617"/>
      <c r="D407" s="620"/>
      <c r="E407" s="130" t="s">
        <v>31</v>
      </c>
      <c r="F407" s="592">
        <f>IFERROR(VLOOKUP($B406,اسماء,15,0),0)</f>
        <v>0</v>
      </c>
      <c r="G407" s="593"/>
      <c r="H407" s="594">
        <f>IFERROR(VLOOKUP($B406,اسماء,16,0),0)</f>
        <v>0</v>
      </c>
      <c r="I407" s="595"/>
      <c r="J407" s="592">
        <f>IFERROR(VLOOKUP($B406,اسماء,17,0),0)</f>
        <v>0</v>
      </c>
      <c r="K407" s="593"/>
      <c r="L407" s="594">
        <f>IFERROR(VLOOKUP($B406,اسماء,18,0),0)</f>
        <v>0</v>
      </c>
      <c r="M407" s="596"/>
      <c r="N407" s="594">
        <f>IFERROR(VLOOKUP($B406,اسماء,19,0),0)</f>
        <v>0</v>
      </c>
      <c r="O407" s="596"/>
      <c r="P407" s="592">
        <f>IFERROR(VLOOKUP($B406,اسماء,20,0),0)</f>
        <v>0</v>
      </c>
      <c r="Q407" s="595"/>
      <c r="R407" s="372">
        <f t="shared" si="1008"/>
        <v>0</v>
      </c>
      <c r="S407" s="305" t="str">
        <f>IFERROR(VLOOKUP($B406,اسماء,23,0),"")</f>
        <v/>
      </c>
      <c r="T407" s="306" t="str">
        <f>IFERROR(VLOOKUP($B406,اسماء,24,0),"")</f>
        <v/>
      </c>
      <c r="U407" s="122" t="str">
        <f>IFERROR(VLOOKUP($B406,اسماء,25,0),"")</f>
        <v/>
      </c>
      <c r="V407" s="605"/>
      <c r="W407" s="19" t="str">
        <f t="shared" si="1088"/>
        <v>ضعيف</v>
      </c>
      <c r="X407" s="640"/>
      <c r="Y407" s="8"/>
      <c r="Z407" s="598"/>
      <c r="AK407" s="667"/>
      <c r="AL407" s="667"/>
      <c r="AM407" s="696"/>
      <c r="AN407" s="698"/>
      <c r="AO407" s="699"/>
      <c r="AP407" s="698"/>
    </row>
    <row r="408" spans="1:42" ht="14.85" customHeight="1" x14ac:dyDescent="0.25">
      <c r="A408" s="611"/>
      <c r="B408" s="614"/>
      <c r="C408" s="617"/>
      <c r="D408" s="620"/>
      <c r="E408" s="130" t="s">
        <v>32</v>
      </c>
      <c r="F408" s="592">
        <f>IFERROR(VLOOKUP($B406,اسماء,25,0),0)</f>
        <v>0</v>
      </c>
      <c r="G408" s="593"/>
      <c r="H408" s="594">
        <f>IFERROR(VLOOKUP($B406,اسماء,26,0),0)</f>
        <v>0</v>
      </c>
      <c r="I408" s="595"/>
      <c r="J408" s="592">
        <f>IFERROR(VLOOKUP($B406,اسماء,27,0),0)</f>
        <v>0</v>
      </c>
      <c r="K408" s="593"/>
      <c r="L408" s="594">
        <f>IFERROR(VLOOKUP($B406,اسماء,28,0),0)</f>
        <v>0</v>
      </c>
      <c r="M408" s="596"/>
      <c r="N408" s="594">
        <f>IFERROR(VLOOKUP($B406,اسماء,29,0),0)</f>
        <v>0</v>
      </c>
      <c r="O408" s="596"/>
      <c r="P408" s="592">
        <f>IFERROR(VLOOKUP($B406,اسماء,30,0),0)</f>
        <v>0</v>
      </c>
      <c r="Q408" s="595"/>
      <c r="R408" s="372">
        <f t="shared" si="1008"/>
        <v>0</v>
      </c>
      <c r="S408" s="305" t="str">
        <f>IFERROR(VLOOKUP($B406,اسماء,34,0),"")</f>
        <v/>
      </c>
      <c r="T408" s="306" t="str">
        <f>IFERROR(VLOOKUP($B406,اسماء,35,0),"")</f>
        <v/>
      </c>
      <c r="U408" s="122" t="str">
        <f>IFERROR(VLOOKUP($B406,اسماء,36,0),"")</f>
        <v/>
      </c>
      <c r="V408" s="605"/>
      <c r="W408" s="20" t="str">
        <f t="shared" ref="W408" si="1091">LOOKUP(R408,$AF$6:$AG$10)</f>
        <v>ضعيف</v>
      </c>
      <c r="X408" s="640"/>
      <c r="Y408" s="68"/>
      <c r="Z408" s="598"/>
      <c r="AK408" s="667"/>
      <c r="AL408" s="667"/>
      <c r="AM408" s="696"/>
      <c r="AN408" s="698"/>
      <c r="AO408" s="699"/>
      <c r="AP408" s="698"/>
    </row>
    <row r="409" spans="1:42" ht="14.85" customHeight="1" thickBot="1" x14ac:dyDescent="0.3">
      <c r="A409" s="612"/>
      <c r="B409" s="615"/>
      <c r="C409" s="618"/>
      <c r="D409" s="621"/>
      <c r="E409" s="124" t="s">
        <v>33</v>
      </c>
      <c r="F409" s="623">
        <f t="shared" ref="F409" si="1092">SUM(F406:G408)</f>
        <v>0</v>
      </c>
      <c r="G409" s="624"/>
      <c r="H409" s="625">
        <f t="shared" ref="H409" si="1093">SUM(H406:I408)</f>
        <v>0</v>
      </c>
      <c r="I409" s="626"/>
      <c r="J409" s="623">
        <f t="shared" ref="J409" si="1094">SUM(J406:K408)</f>
        <v>0</v>
      </c>
      <c r="K409" s="624"/>
      <c r="L409" s="625">
        <f t="shared" ref="L409" si="1095">SUM(L406:M408)</f>
        <v>0</v>
      </c>
      <c r="M409" s="642"/>
      <c r="N409" s="625">
        <f t="shared" ref="N409" si="1096">SUM(N406:O408)</f>
        <v>0</v>
      </c>
      <c r="O409" s="642"/>
      <c r="P409" s="623">
        <f t="shared" ref="P409" si="1097">SUM(P406:Q408)</f>
        <v>0</v>
      </c>
      <c r="Q409" s="626"/>
      <c r="R409" s="88">
        <f t="shared" ref="R409" si="1098">IF(AND(F409&gt;=$G$8,H409&gt;=$I$8,J409&gt;=$K$8,L409&gt;=$M$8,N409&gt;=$O$8,P409&gt;=$Q$8),SUM(F409:Q409),0)</f>
        <v>0</v>
      </c>
      <c r="S409" s="251"/>
      <c r="T409" s="97"/>
      <c r="U409" s="94"/>
      <c r="V409" s="606"/>
      <c r="W409" s="88" t="str">
        <f t="shared" ref="W409" si="1099">LOOKUP(R409,$AI$6:$AJ$10)</f>
        <v>ضعيف</v>
      </c>
      <c r="X409" s="641"/>
      <c r="Y409" s="68"/>
      <c r="Z409" s="599"/>
      <c r="AK409" s="667"/>
      <c r="AL409" s="667"/>
      <c r="AM409" s="696"/>
      <c r="AN409" s="698"/>
      <c r="AO409" s="699"/>
      <c r="AP409" s="698"/>
    </row>
    <row r="410" spans="1:42" ht="14.85" customHeight="1" thickBot="1" x14ac:dyDescent="0.3">
      <c r="A410" s="610">
        <v>89</v>
      </c>
      <c r="B410" s="613">
        <f>VLOOKUP(A410,مسلسل,2,0)</f>
        <v>0</v>
      </c>
      <c r="C410" s="616" t="str">
        <f>IFERROR(VLOOKUP(B410,اسماء,2,0),"")</f>
        <v/>
      </c>
      <c r="D410" s="619" t="str">
        <f>IFERROR(VLOOKUP($B410,اسماء,3,0),"")</f>
        <v/>
      </c>
      <c r="E410" s="129" t="s">
        <v>30</v>
      </c>
      <c r="F410" s="600">
        <f>IFERROR(VLOOKUP($B410,اسماء,5,0),0)</f>
        <v>0</v>
      </c>
      <c r="G410" s="601"/>
      <c r="H410" s="602">
        <f>IFERROR(VLOOKUP($B410,اسماء,6,0),0)</f>
        <v>0</v>
      </c>
      <c r="I410" s="622"/>
      <c r="J410" s="600">
        <f>IFERROR(VLOOKUP($B410,اسماء,7,0),0)</f>
        <v>0</v>
      </c>
      <c r="K410" s="601"/>
      <c r="L410" s="602">
        <f>IFERROR(VLOOKUP($B410,اسماء,8,0),0)</f>
        <v>0</v>
      </c>
      <c r="M410" s="603"/>
      <c r="N410" s="602">
        <f>IFERROR(VLOOKUP($B410,اسماء,9,0),0)</f>
        <v>0</v>
      </c>
      <c r="O410" s="603"/>
      <c r="P410" s="600">
        <f>IFERROR(VLOOKUP($B410,اسماء,10,0),0)</f>
        <v>0</v>
      </c>
      <c r="Q410" s="622"/>
      <c r="R410" s="371">
        <f t="shared" ref="R410" si="1100">SUM(F410:Q410)</f>
        <v>0</v>
      </c>
      <c r="S410" s="213" t="str">
        <f>IFERROR(VLOOKUP($B410,اسماء,12,0),"")</f>
        <v/>
      </c>
      <c r="T410" s="214" t="str">
        <f>IFERROR(VLOOKUP($B410,اسماء,13,0),"")</f>
        <v/>
      </c>
      <c r="U410" s="364" t="str">
        <f>IFERROR(VLOOKUP($B410,اسماء,14,0),"")</f>
        <v/>
      </c>
      <c r="V410" s="604" t="str">
        <f t="shared" ref="V410" si="1101">IF(Z410="غائب","راسب",IF(R413&gt;0,"ناجح","مرحل"))</f>
        <v>مرحل</v>
      </c>
      <c r="W410" s="19" t="str">
        <f t="shared" ref="W410:W411" si="1102">LOOKUP(R410,$AC$6:$AD$10)</f>
        <v>ضعيف</v>
      </c>
      <c r="X410" s="639">
        <f t="shared" ref="X410" si="1103">R413/$AC$3</f>
        <v>0</v>
      </c>
      <c r="Y410" s="8"/>
      <c r="Z410" s="597" t="str">
        <f>IFERROR(VLOOKUP($B410,اسماء,48,0),"")</f>
        <v/>
      </c>
      <c r="AK410" s="667" t="str">
        <f t="shared" ref="AK410" si="1104">IF(R413=0,"",R413/1+ROW()*0.00001)</f>
        <v/>
      </c>
      <c r="AL410" s="667">
        <f>B410</f>
        <v>0</v>
      </c>
      <c r="AM410" s="696"/>
      <c r="AN410" s="698">
        <v>89</v>
      </c>
      <c r="AO410" s="699" t="str">
        <f>IFERROR(LARGE($AK$10:$AK$1420,AN410),"")</f>
        <v/>
      </c>
      <c r="AP410" s="698" t="str">
        <f>VLOOKUP(AO410,$AK$10:$AL$1530,2,0)</f>
        <v>امجد عمر عبداللطيف سلطان</v>
      </c>
    </row>
    <row r="411" spans="1:42" ht="14.85" customHeight="1" x14ac:dyDescent="0.25">
      <c r="A411" s="611"/>
      <c r="B411" s="614"/>
      <c r="C411" s="617"/>
      <c r="D411" s="620"/>
      <c r="E411" s="130" t="s">
        <v>31</v>
      </c>
      <c r="F411" s="592">
        <f>IFERROR(VLOOKUP($B410,اسماء,15,0),0)</f>
        <v>0</v>
      </c>
      <c r="G411" s="593"/>
      <c r="H411" s="594">
        <f>IFERROR(VLOOKUP($B410,اسماء,16,0),0)</f>
        <v>0</v>
      </c>
      <c r="I411" s="595"/>
      <c r="J411" s="592">
        <f>IFERROR(VLOOKUP($B410,اسماء,17,0),0)</f>
        <v>0</v>
      </c>
      <c r="K411" s="593"/>
      <c r="L411" s="594">
        <f>IFERROR(VLOOKUP($B410,اسماء,18,0),0)</f>
        <v>0</v>
      </c>
      <c r="M411" s="596"/>
      <c r="N411" s="594">
        <f>IFERROR(VLOOKUP($B410,اسماء,19,0),0)</f>
        <v>0</v>
      </c>
      <c r="O411" s="596"/>
      <c r="P411" s="592">
        <f>IFERROR(VLOOKUP($B410,اسماء,20,0),0)</f>
        <v>0</v>
      </c>
      <c r="Q411" s="595"/>
      <c r="R411" s="372">
        <f t="shared" si="1008"/>
        <v>0</v>
      </c>
      <c r="S411" s="305" t="str">
        <f>IFERROR(VLOOKUP($B410,اسماء,23,0),"")</f>
        <v/>
      </c>
      <c r="T411" s="306" t="str">
        <f>IFERROR(VLOOKUP($B410,اسماء,24,0),"")</f>
        <v/>
      </c>
      <c r="U411" s="122" t="str">
        <f>IFERROR(VLOOKUP($B410,اسماء,25,0),"")</f>
        <v/>
      </c>
      <c r="V411" s="605"/>
      <c r="W411" s="19" t="str">
        <f t="shared" si="1102"/>
        <v>ضعيف</v>
      </c>
      <c r="X411" s="640"/>
      <c r="Y411" s="68"/>
      <c r="Z411" s="598"/>
      <c r="AK411" s="667"/>
      <c r="AL411" s="667"/>
      <c r="AM411" s="696"/>
      <c r="AN411" s="698"/>
      <c r="AO411" s="699"/>
      <c r="AP411" s="698"/>
    </row>
    <row r="412" spans="1:42" ht="14.85" customHeight="1" x14ac:dyDescent="0.25">
      <c r="A412" s="611"/>
      <c r="B412" s="614"/>
      <c r="C412" s="617"/>
      <c r="D412" s="620"/>
      <c r="E412" s="130" t="s">
        <v>32</v>
      </c>
      <c r="F412" s="592">
        <f>IFERROR(VLOOKUP($B410,اسماء,25,0),0)</f>
        <v>0</v>
      </c>
      <c r="G412" s="593"/>
      <c r="H412" s="594">
        <f>IFERROR(VLOOKUP($B410,اسماء,26,0),0)</f>
        <v>0</v>
      </c>
      <c r="I412" s="595"/>
      <c r="J412" s="592">
        <f>IFERROR(VLOOKUP($B410,اسماء,27,0),0)</f>
        <v>0</v>
      </c>
      <c r="K412" s="593"/>
      <c r="L412" s="594">
        <f>IFERROR(VLOOKUP($B410,اسماء,28,0),0)</f>
        <v>0</v>
      </c>
      <c r="M412" s="596"/>
      <c r="N412" s="594">
        <f>IFERROR(VLOOKUP($B410,اسماء,29,0),0)</f>
        <v>0</v>
      </c>
      <c r="O412" s="596"/>
      <c r="P412" s="592">
        <f>IFERROR(VLOOKUP($B410,اسماء,30,0),0)</f>
        <v>0</v>
      </c>
      <c r="Q412" s="595"/>
      <c r="R412" s="372">
        <f t="shared" si="1008"/>
        <v>0</v>
      </c>
      <c r="S412" s="305" t="str">
        <f>IFERROR(VLOOKUP($B410,اسماء,34,0),"")</f>
        <v/>
      </c>
      <c r="T412" s="306" t="str">
        <f>IFERROR(VLOOKUP($B410,اسماء,35,0),"")</f>
        <v/>
      </c>
      <c r="U412" s="122" t="str">
        <f>IFERROR(VLOOKUP($B410,اسماء,36,0),"")</f>
        <v/>
      </c>
      <c r="V412" s="605"/>
      <c r="W412" s="20" t="str">
        <f t="shared" ref="W412" si="1105">LOOKUP(R412,$AF$6:$AG$10)</f>
        <v>ضعيف</v>
      </c>
      <c r="X412" s="640"/>
      <c r="Y412" s="68"/>
      <c r="Z412" s="598"/>
      <c r="AK412" s="667"/>
      <c r="AL412" s="667"/>
      <c r="AM412" s="696"/>
      <c r="AN412" s="698"/>
      <c r="AO412" s="699"/>
      <c r="AP412" s="698"/>
    </row>
    <row r="413" spans="1:42" ht="14.85" customHeight="1" thickBot="1" x14ac:dyDescent="0.3">
      <c r="A413" s="612"/>
      <c r="B413" s="615"/>
      <c r="C413" s="618"/>
      <c r="D413" s="621"/>
      <c r="E413" s="124" t="s">
        <v>33</v>
      </c>
      <c r="F413" s="623">
        <f t="shared" ref="F413" si="1106">SUM(F410:G412)</f>
        <v>0</v>
      </c>
      <c r="G413" s="624"/>
      <c r="H413" s="625">
        <f t="shared" ref="H413" si="1107">SUM(H410:I412)</f>
        <v>0</v>
      </c>
      <c r="I413" s="626"/>
      <c r="J413" s="623">
        <f t="shared" ref="J413" si="1108">SUM(J410:K412)</f>
        <v>0</v>
      </c>
      <c r="K413" s="624"/>
      <c r="L413" s="625">
        <f t="shared" ref="L413" si="1109">SUM(L410:M412)</f>
        <v>0</v>
      </c>
      <c r="M413" s="642"/>
      <c r="N413" s="625">
        <f t="shared" ref="N413" si="1110">SUM(N410:O412)</f>
        <v>0</v>
      </c>
      <c r="O413" s="642"/>
      <c r="P413" s="623">
        <f t="shared" ref="P413" si="1111">SUM(P410:Q412)</f>
        <v>0</v>
      </c>
      <c r="Q413" s="626"/>
      <c r="R413" s="88">
        <f t="shared" ref="R413" si="1112">IF(AND(F413&gt;=$G$8,H413&gt;=$I$8,J413&gt;=$K$8,L413&gt;=$M$8,N413&gt;=$O$8,P413&gt;=$Q$8),SUM(F413:Q413),0)</f>
        <v>0</v>
      </c>
      <c r="S413" s="251"/>
      <c r="T413" s="97"/>
      <c r="U413" s="94"/>
      <c r="V413" s="606"/>
      <c r="W413" s="88" t="str">
        <f t="shared" ref="W413" si="1113">LOOKUP(R413,$AI$6:$AJ$10)</f>
        <v>ضعيف</v>
      </c>
      <c r="X413" s="641"/>
      <c r="Y413" s="8"/>
      <c r="Z413" s="599"/>
      <c r="AK413" s="667"/>
      <c r="AL413" s="667"/>
      <c r="AM413" s="696"/>
      <c r="AN413" s="698"/>
      <c r="AO413" s="699"/>
      <c r="AP413" s="698"/>
    </row>
    <row r="414" spans="1:42" ht="14.85" customHeight="1" thickBot="1" x14ac:dyDescent="0.3">
      <c r="A414" s="610">
        <v>90</v>
      </c>
      <c r="B414" s="613">
        <f>VLOOKUP(A414,مسلسل,2,0)</f>
        <v>0</v>
      </c>
      <c r="C414" s="616" t="str">
        <f>IFERROR(VLOOKUP(B414,اسماء,2,0),"")</f>
        <v/>
      </c>
      <c r="D414" s="619" t="str">
        <f>IFERROR(VLOOKUP($B414,اسماء,3,0),"")</f>
        <v/>
      </c>
      <c r="E414" s="129" t="s">
        <v>30</v>
      </c>
      <c r="F414" s="600">
        <f>IFERROR(VLOOKUP($B414,اسماء,5,0),0)</f>
        <v>0</v>
      </c>
      <c r="G414" s="601"/>
      <c r="H414" s="602">
        <f>IFERROR(VLOOKUP($B414,اسماء,6,0),0)</f>
        <v>0</v>
      </c>
      <c r="I414" s="622"/>
      <c r="J414" s="600">
        <f>IFERROR(VLOOKUP($B414,اسماء,7,0),0)</f>
        <v>0</v>
      </c>
      <c r="K414" s="601"/>
      <c r="L414" s="602">
        <f>IFERROR(VLOOKUP($B414,اسماء,8,0),0)</f>
        <v>0</v>
      </c>
      <c r="M414" s="603"/>
      <c r="N414" s="602">
        <f>IFERROR(VLOOKUP($B414,اسماء,9,0),0)</f>
        <v>0</v>
      </c>
      <c r="O414" s="603"/>
      <c r="P414" s="600">
        <f>IFERROR(VLOOKUP($B414,اسماء,10,0),0)</f>
        <v>0</v>
      </c>
      <c r="Q414" s="622"/>
      <c r="R414" s="371">
        <f t="shared" ref="R414" si="1114">SUM(F414:Q414)</f>
        <v>0</v>
      </c>
      <c r="S414" s="213" t="str">
        <f>IFERROR(VLOOKUP($B414,اسماء,12,0),"")</f>
        <v/>
      </c>
      <c r="T414" s="214" t="str">
        <f>IFERROR(VLOOKUP($B414,اسماء,13,0),"")</f>
        <v/>
      </c>
      <c r="U414" s="364" t="str">
        <f>IFERROR(VLOOKUP($B414,اسماء,14,0),"")</f>
        <v/>
      </c>
      <c r="V414" s="604" t="str">
        <f t="shared" ref="V414" si="1115">IF(Z414="غائب","راسب",IF(R417&gt;0,"ناجح","مرحل"))</f>
        <v>مرحل</v>
      </c>
      <c r="W414" s="19" t="str">
        <f t="shared" ref="W414:W415" si="1116">LOOKUP(R414,$AC$6:$AD$10)</f>
        <v>ضعيف</v>
      </c>
      <c r="X414" s="639">
        <f t="shared" ref="X414" si="1117">R417/$AC$3</f>
        <v>0</v>
      </c>
      <c r="Y414" s="68"/>
      <c r="Z414" s="597" t="str">
        <f>IFERROR(VLOOKUP($B414,اسماء,48,0),"")</f>
        <v/>
      </c>
      <c r="AK414" s="667" t="str">
        <f t="shared" ref="AK414" si="1118">IF(R417=0,"",R417/1+ROW()*0.00001)</f>
        <v/>
      </c>
      <c r="AL414" s="667">
        <f>B414</f>
        <v>0</v>
      </c>
      <c r="AM414" s="696"/>
      <c r="AN414" s="698">
        <v>90</v>
      </c>
      <c r="AO414" s="699" t="str">
        <f>IFERROR(LARGE($AK$10:$AK$1420,AN414),"")</f>
        <v/>
      </c>
      <c r="AP414" s="698" t="str">
        <f>VLOOKUP(AO414,$AK$10:$AL$1530,2,0)</f>
        <v>امجد عمر عبداللطيف سلطان</v>
      </c>
    </row>
    <row r="415" spans="1:42" ht="14.85" customHeight="1" x14ac:dyDescent="0.25">
      <c r="A415" s="611"/>
      <c r="B415" s="614"/>
      <c r="C415" s="617"/>
      <c r="D415" s="620"/>
      <c r="E415" s="130" t="s">
        <v>31</v>
      </c>
      <c r="F415" s="592">
        <f>IFERROR(VLOOKUP($B414,اسماء,15,0),0)</f>
        <v>0</v>
      </c>
      <c r="G415" s="593"/>
      <c r="H415" s="594">
        <f>IFERROR(VLOOKUP($B414,اسماء,16,0),0)</f>
        <v>0</v>
      </c>
      <c r="I415" s="595"/>
      <c r="J415" s="592">
        <f>IFERROR(VLOOKUP($B414,اسماء,17,0),0)</f>
        <v>0</v>
      </c>
      <c r="K415" s="593"/>
      <c r="L415" s="594">
        <f>IFERROR(VLOOKUP($B414,اسماء,18,0),0)</f>
        <v>0</v>
      </c>
      <c r="M415" s="596"/>
      <c r="N415" s="594">
        <f>IFERROR(VLOOKUP($B414,اسماء,19,0),0)</f>
        <v>0</v>
      </c>
      <c r="O415" s="596"/>
      <c r="P415" s="592">
        <f>IFERROR(VLOOKUP($B414,اسماء,20,0),0)</f>
        <v>0</v>
      </c>
      <c r="Q415" s="595"/>
      <c r="R415" s="372">
        <f t="shared" si="1008"/>
        <v>0</v>
      </c>
      <c r="S415" s="305" t="str">
        <f>IFERROR(VLOOKUP($B414,اسماء,23,0),"")</f>
        <v/>
      </c>
      <c r="T415" s="306" t="str">
        <f>IFERROR(VLOOKUP($B414,اسماء,24,0),"")</f>
        <v/>
      </c>
      <c r="U415" s="122" t="str">
        <f>IFERROR(VLOOKUP($B414,اسماء,25,0),"")</f>
        <v/>
      </c>
      <c r="V415" s="605"/>
      <c r="W415" s="19" t="str">
        <f t="shared" si="1116"/>
        <v>ضعيف</v>
      </c>
      <c r="X415" s="640"/>
      <c r="Y415" s="68"/>
      <c r="Z415" s="598"/>
      <c r="AK415" s="667"/>
      <c r="AL415" s="667"/>
      <c r="AM415" s="696"/>
      <c r="AN415" s="698"/>
      <c r="AO415" s="699"/>
      <c r="AP415" s="698"/>
    </row>
    <row r="416" spans="1:42" ht="14.85" customHeight="1" x14ac:dyDescent="0.25">
      <c r="A416" s="611"/>
      <c r="B416" s="614"/>
      <c r="C416" s="617"/>
      <c r="D416" s="620"/>
      <c r="E416" s="130" t="s">
        <v>32</v>
      </c>
      <c r="F416" s="592">
        <f>IFERROR(VLOOKUP($B414,اسماء,25,0),0)</f>
        <v>0</v>
      </c>
      <c r="G416" s="593"/>
      <c r="H416" s="594">
        <f>IFERROR(VLOOKUP($B414,اسماء,26,0),0)</f>
        <v>0</v>
      </c>
      <c r="I416" s="595"/>
      <c r="J416" s="592">
        <f>IFERROR(VLOOKUP($B414,اسماء,27,0),0)</f>
        <v>0</v>
      </c>
      <c r="K416" s="593"/>
      <c r="L416" s="594">
        <f>IFERROR(VLOOKUP($B414,اسماء,28,0),0)</f>
        <v>0</v>
      </c>
      <c r="M416" s="596"/>
      <c r="N416" s="594">
        <f>IFERROR(VLOOKUP($B414,اسماء,29,0),0)</f>
        <v>0</v>
      </c>
      <c r="O416" s="596"/>
      <c r="P416" s="592">
        <f>IFERROR(VLOOKUP($B414,اسماء,30,0),0)</f>
        <v>0</v>
      </c>
      <c r="Q416" s="595"/>
      <c r="R416" s="372">
        <f t="shared" si="1008"/>
        <v>0</v>
      </c>
      <c r="S416" s="305" t="str">
        <f>IFERROR(VLOOKUP($B414,اسماء,34,0),"")</f>
        <v/>
      </c>
      <c r="T416" s="306" t="str">
        <f>IFERROR(VLOOKUP($B414,اسماء,35,0),"")</f>
        <v/>
      </c>
      <c r="U416" s="122" t="str">
        <f>IFERROR(VLOOKUP($B414,اسماء,36,0),"")</f>
        <v/>
      </c>
      <c r="V416" s="605"/>
      <c r="W416" s="20" t="str">
        <f t="shared" ref="W416" si="1119">LOOKUP(R416,$AF$6:$AG$10)</f>
        <v>ضعيف</v>
      </c>
      <c r="X416" s="640"/>
      <c r="Y416" s="8"/>
      <c r="Z416" s="598"/>
      <c r="AK416" s="667"/>
      <c r="AL416" s="667"/>
      <c r="AM416" s="696"/>
      <c r="AN416" s="698"/>
      <c r="AO416" s="699"/>
      <c r="AP416" s="698"/>
    </row>
    <row r="417" spans="1:42" ht="14.85" customHeight="1" thickBot="1" x14ac:dyDescent="0.3">
      <c r="A417" s="612"/>
      <c r="B417" s="615"/>
      <c r="C417" s="618"/>
      <c r="D417" s="621"/>
      <c r="E417" s="124" t="s">
        <v>33</v>
      </c>
      <c r="F417" s="623">
        <f t="shared" ref="F417" si="1120">SUM(F414:G416)</f>
        <v>0</v>
      </c>
      <c r="G417" s="624"/>
      <c r="H417" s="625">
        <f t="shared" ref="H417" si="1121">SUM(H414:I416)</f>
        <v>0</v>
      </c>
      <c r="I417" s="626"/>
      <c r="J417" s="623">
        <f t="shared" ref="J417" si="1122">SUM(J414:K416)</f>
        <v>0</v>
      </c>
      <c r="K417" s="624"/>
      <c r="L417" s="625">
        <f t="shared" ref="L417" si="1123">SUM(L414:M416)</f>
        <v>0</v>
      </c>
      <c r="M417" s="642"/>
      <c r="N417" s="625">
        <f t="shared" ref="N417" si="1124">SUM(N414:O416)</f>
        <v>0</v>
      </c>
      <c r="O417" s="642"/>
      <c r="P417" s="623">
        <f t="shared" ref="P417" si="1125">SUM(P414:Q416)</f>
        <v>0</v>
      </c>
      <c r="Q417" s="626"/>
      <c r="R417" s="88">
        <f t="shared" ref="R417" si="1126">IF(AND(F417&gt;=$G$8,H417&gt;=$I$8,J417&gt;=$K$8,L417&gt;=$M$8,N417&gt;=$O$8,P417&gt;=$Q$8),SUM(F417:Q417),0)</f>
        <v>0</v>
      </c>
      <c r="S417" s="251"/>
      <c r="T417" s="97"/>
      <c r="U417" s="94"/>
      <c r="V417" s="606"/>
      <c r="W417" s="88" t="str">
        <f t="shared" ref="W417" si="1127">LOOKUP(R417,$AI$6:$AJ$10)</f>
        <v>ضعيف</v>
      </c>
      <c r="X417" s="641"/>
      <c r="Y417" s="68"/>
      <c r="Z417" s="599"/>
      <c r="AK417" s="667"/>
      <c r="AL417" s="667"/>
      <c r="AM417" s="696"/>
      <c r="AN417" s="698"/>
      <c r="AO417" s="699"/>
      <c r="AP417" s="698"/>
    </row>
    <row r="418" spans="1:42" ht="14.85" customHeight="1" thickBot="1" x14ac:dyDescent="0.3">
      <c r="F418" s="71"/>
      <c r="G418" s="72"/>
      <c r="H418" s="71"/>
      <c r="I418" s="72"/>
      <c r="J418" s="71"/>
      <c r="K418" s="72"/>
      <c r="L418" s="71"/>
      <c r="M418" s="72"/>
      <c r="N418" s="71"/>
      <c r="O418" s="72"/>
      <c r="P418" s="71"/>
      <c r="Q418" s="72"/>
      <c r="R418" s="70"/>
      <c r="S418" s="73"/>
      <c r="T418" s="70"/>
      <c r="U418" s="70"/>
      <c r="V418" s="70"/>
      <c r="W418" s="70"/>
      <c r="X418" s="254"/>
      <c r="Y418" s="68"/>
      <c r="AH418" s="74"/>
    </row>
    <row r="419" spans="1:42" customFormat="1" ht="14.85" customHeight="1" x14ac:dyDescent="0.3">
      <c r="A419" s="668" t="s">
        <v>9</v>
      </c>
      <c r="B419" s="669"/>
      <c r="C419" s="670"/>
      <c r="D419" s="277" t="s">
        <v>11</v>
      </c>
      <c r="E419" s="674" t="s">
        <v>96</v>
      </c>
      <c r="F419" s="663"/>
      <c r="G419" s="663"/>
      <c r="H419" s="663"/>
      <c r="I419" s="663"/>
      <c r="J419" s="7"/>
      <c r="K419" s="7"/>
      <c r="L419" s="7"/>
      <c r="M419" s="7"/>
      <c r="N419" s="7"/>
      <c r="O419" s="7"/>
      <c r="P419" s="7"/>
      <c r="Q419" s="663" t="s">
        <v>156</v>
      </c>
      <c r="R419" s="663"/>
      <c r="S419" s="663"/>
      <c r="T419" s="663"/>
      <c r="U419" s="663"/>
      <c r="V419" s="663"/>
      <c r="W419" s="1"/>
      <c r="X419" s="255"/>
      <c r="Z419" s="75"/>
      <c r="AA419" s="76"/>
      <c r="AB419" s="76"/>
      <c r="AC419" s="76"/>
      <c r="AD419" s="76"/>
    </row>
    <row r="420" spans="1:42" customFormat="1" ht="14.85" customHeight="1" x14ac:dyDescent="0.25">
      <c r="A420" s="77" t="s">
        <v>8</v>
      </c>
      <c r="B420" s="671">
        <f>ادخال1!$BJ$3</f>
        <v>0</v>
      </c>
      <c r="C420" s="672"/>
      <c r="D420" s="278"/>
      <c r="E420" s="7" t="s">
        <v>9</v>
      </c>
      <c r="F420" s="673" t="str">
        <f>ادخال1!$BJ$5</f>
        <v>د. عبدالرحمن خليفة العريبي</v>
      </c>
      <c r="G420" s="673"/>
      <c r="H420" s="673"/>
      <c r="I420" s="673"/>
      <c r="J420" s="673"/>
      <c r="K420" s="673"/>
      <c r="L420" s="673"/>
      <c r="M420" s="673"/>
      <c r="N420" s="673"/>
      <c r="O420" s="673"/>
      <c r="P420" s="7"/>
      <c r="Q420" s="673" t="str">
        <f>ادخال1!$BJ$6</f>
        <v>تاجوراء</v>
      </c>
      <c r="R420" s="673"/>
      <c r="S420" s="673"/>
      <c r="T420" s="673"/>
      <c r="U420" s="673"/>
      <c r="V420" s="673"/>
      <c r="W420" s="673"/>
      <c r="X420" s="63"/>
      <c r="Y420" s="63"/>
      <c r="Z420" s="75"/>
      <c r="AA420" s="75"/>
      <c r="AB420" s="75"/>
      <c r="AC420" s="75"/>
    </row>
    <row r="421" spans="1:42" customFormat="1" ht="14.85" customHeight="1" thickBot="1" x14ac:dyDescent="0.3">
      <c r="A421" s="78" t="s">
        <v>97</v>
      </c>
      <c r="B421" s="665">
        <f>ادخال1!$BJ$4</f>
        <v>0</v>
      </c>
      <c r="C421" s="666"/>
      <c r="D421" s="279"/>
      <c r="E421" s="7" t="s">
        <v>11</v>
      </c>
      <c r="F421" s="667"/>
      <c r="G421" s="667"/>
      <c r="H421" s="667"/>
      <c r="I421" s="667"/>
      <c r="J421" s="667"/>
      <c r="K421" s="667"/>
      <c r="L421" s="667"/>
      <c r="M421" s="667"/>
      <c r="N421" s="667"/>
      <c r="O421" s="667"/>
      <c r="P421" s="7"/>
      <c r="Q421" s="7" t="s">
        <v>11</v>
      </c>
      <c r="R421" s="1"/>
      <c r="S421" s="1"/>
      <c r="T421" s="1"/>
      <c r="U421" s="1"/>
      <c r="V421" s="1"/>
      <c r="W421" s="1"/>
      <c r="X421" s="255"/>
      <c r="Z421" s="75"/>
      <c r="AA421" s="75"/>
      <c r="AB421" s="75"/>
      <c r="AC421" s="75"/>
    </row>
    <row r="422" spans="1:42" customFormat="1" ht="14.85" customHeight="1" x14ac:dyDescent="0.25">
      <c r="A422" s="663" t="s">
        <v>98</v>
      </c>
      <c r="B422" s="663"/>
      <c r="C422" s="663"/>
      <c r="D422" s="663"/>
      <c r="E422" s="663" t="s">
        <v>99</v>
      </c>
      <c r="F422" s="663"/>
      <c r="G422" s="663"/>
      <c r="H422" s="663"/>
      <c r="I422" s="663"/>
      <c r="J422" s="663"/>
      <c r="K422" s="663"/>
      <c r="L422" s="663"/>
      <c r="M422" s="663"/>
      <c r="N422" s="663"/>
      <c r="O422" s="663"/>
      <c r="P422" s="663"/>
      <c r="Q422" s="663"/>
      <c r="R422" s="7"/>
      <c r="S422" s="664">
        <f ca="1">TODAY()</f>
        <v>46009</v>
      </c>
      <c r="T422" s="664"/>
      <c r="U422" s="664"/>
      <c r="V422" s="664"/>
      <c r="W422" s="664"/>
      <c r="X422" s="255"/>
    </row>
    <row r="423" spans="1:42" customFormat="1" ht="14.85" customHeight="1" thickBot="1" x14ac:dyDescent="0.3">
      <c r="A423" s="7"/>
      <c r="B423" s="663" t="s">
        <v>100</v>
      </c>
      <c r="C423" s="663"/>
      <c r="D423" s="663"/>
      <c r="E423" s="663" t="s">
        <v>101</v>
      </c>
      <c r="F423" s="663"/>
      <c r="G423" s="663"/>
      <c r="H423" s="663"/>
      <c r="I423" s="663"/>
      <c r="J423" s="663"/>
      <c r="K423" s="663"/>
      <c r="L423" s="663"/>
      <c r="M423" s="663"/>
      <c r="N423" s="663"/>
      <c r="O423" s="663"/>
      <c r="P423" s="663"/>
      <c r="Q423" s="663"/>
      <c r="R423" s="1"/>
      <c r="S423" s="1"/>
      <c r="T423" s="1"/>
      <c r="U423" s="1"/>
      <c r="V423" s="1"/>
      <c r="W423" s="1"/>
      <c r="X423" s="255"/>
    </row>
    <row r="424" spans="1:42" ht="14.85" customHeight="1" thickBot="1" x14ac:dyDescent="0.3">
      <c r="A424" s="610">
        <v>91</v>
      </c>
      <c r="B424" s="613">
        <f>VLOOKUP(A424,مسلسل,2,0)</f>
        <v>0</v>
      </c>
      <c r="C424" s="616" t="str">
        <f>IFERROR(VLOOKUP(B424,اسماء,2,0),"")</f>
        <v/>
      </c>
      <c r="D424" s="619" t="str">
        <f>IFERROR(VLOOKUP($B424,اسماء,3,0),"")</f>
        <v/>
      </c>
      <c r="E424" s="129" t="s">
        <v>30</v>
      </c>
      <c r="F424" s="600">
        <f>IFERROR(VLOOKUP($B424,اسماء,5,0),0)</f>
        <v>0</v>
      </c>
      <c r="G424" s="601"/>
      <c r="H424" s="602">
        <f>IFERROR(VLOOKUP($B424,اسماء,6,0),0)</f>
        <v>0</v>
      </c>
      <c r="I424" s="622"/>
      <c r="J424" s="600">
        <f>IFERROR(VLOOKUP($B424,اسماء,7,0),0)</f>
        <v>0</v>
      </c>
      <c r="K424" s="601"/>
      <c r="L424" s="602">
        <f>IFERROR(VLOOKUP($B424,اسماء,8,0),0)</f>
        <v>0</v>
      </c>
      <c r="M424" s="603"/>
      <c r="N424" s="602">
        <f>IFERROR(VLOOKUP($B424,اسماء,9,0),0)</f>
        <v>0</v>
      </c>
      <c r="O424" s="603"/>
      <c r="P424" s="600">
        <f>IFERROR(VLOOKUP($B424,اسماء,10,0),0)</f>
        <v>0</v>
      </c>
      <c r="Q424" s="622"/>
      <c r="R424" s="371">
        <f>SUM(F424:Q424)</f>
        <v>0</v>
      </c>
      <c r="S424" s="325" t="str">
        <f>IFERROR(VLOOKUP($B424,اسماء,12,0),"")</f>
        <v/>
      </c>
      <c r="T424" s="326" t="str">
        <f>IFERROR(VLOOKUP($B424,اسماء,13,0),"")</f>
        <v/>
      </c>
      <c r="U424" s="92" t="str">
        <f>IFERROR(VLOOKUP($B424,اسماء,14,0),"")</f>
        <v/>
      </c>
      <c r="V424" s="604" t="str">
        <f t="shared" ref="V424" si="1128">IF(Z424="غائب","راسب",IF(R427&gt;0,"ناجح","مرحل"))</f>
        <v>مرحل</v>
      </c>
      <c r="W424" s="19" t="str">
        <f t="shared" ref="W424:W425" si="1129">LOOKUP(R424,$AC$6:$AD$10)</f>
        <v>ضعيف</v>
      </c>
      <c r="X424" s="639">
        <f t="shared" ref="X424" si="1130">R427/$AC$3</f>
        <v>0</v>
      </c>
      <c r="Y424" s="68"/>
      <c r="Z424" s="597" t="str">
        <f>IFERROR(VLOOKUP($B424,اسماء,48,0),"")</f>
        <v/>
      </c>
      <c r="AK424" s="671" t="str">
        <f>IF(R427=0,"",R427/1+ROW()*0.00001)</f>
        <v/>
      </c>
      <c r="AL424" s="671">
        <f>B424</f>
        <v>0</v>
      </c>
      <c r="AM424" s="696"/>
      <c r="AN424" s="698">
        <v>91</v>
      </c>
      <c r="AO424" s="699" t="str">
        <f>IFERROR(LARGE($AK$10:$AK$1420,AN424),"")</f>
        <v/>
      </c>
      <c r="AP424" s="698" t="str">
        <f>VLOOKUP(AO424,$AK$10:$AL$1530,2,0)</f>
        <v>امجد عمر عبداللطيف سلطان</v>
      </c>
    </row>
    <row r="425" spans="1:42" ht="14.85" customHeight="1" x14ac:dyDescent="0.25">
      <c r="A425" s="611"/>
      <c r="B425" s="614"/>
      <c r="C425" s="617"/>
      <c r="D425" s="620"/>
      <c r="E425" s="130" t="s">
        <v>31</v>
      </c>
      <c r="F425" s="592">
        <f>IFERROR(VLOOKUP($B424,اسماء,16,0),0)</f>
        <v>0</v>
      </c>
      <c r="G425" s="593"/>
      <c r="H425" s="594">
        <f>IFERROR(VLOOKUP($B424,اسماء,17,0),0)</f>
        <v>0</v>
      </c>
      <c r="I425" s="595"/>
      <c r="J425" s="592">
        <f>IFERROR(VLOOKUP($B424,اسماء,18,0),0)</f>
        <v>0</v>
      </c>
      <c r="K425" s="593"/>
      <c r="L425" s="594">
        <f>IFERROR(VLOOKUP($B424,اسماء,19,0),0)</f>
        <v>0</v>
      </c>
      <c r="M425" s="596"/>
      <c r="N425" s="594">
        <f>IFERROR(VLOOKUP($B424,اسماء,20,0),0)</f>
        <v>0</v>
      </c>
      <c r="O425" s="596"/>
      <c r="P425" s="592">
        <f>IFERROR(VLOOKUP($B424,اسماء,21,0),0)</f>
        <v>0</v>
      </c>
      <c r="Q425" s="595"/>
      <c r="R425" s="372">
        <f t="shared" ref="R425:R426" si="1131">SUM(F425:Q425)</f>
        <v>0</v>
      </c>
      <c r="S425" s="305" t="str">
        <f>IFERROR(VLOOKUP($B424,اسماء,23,0),"")</f>
        <v/>
      </c>
      <c r="T425" s="306" t="str">
        <f>IFERROR(VLOOKUP($B424,اسماء,24,0),"")</f>
        <v/>
      </c>
      <c r="U425" s="122" t="str">
        <f>IFERROR(VLOOKUP($B424,اسماء,25,0),"")</f>
        <v/>
      </c>
      <c r="V425" s="605"/>
      <c r="W425" s="19" t="str">
        <f t="shared" si="1129"/>
        <v>ضعيف</v>
      </c>
      <c r="X425" s="640"/>
      <c r="Y425" s="8"/>
      <c r="Z425" s="598"/>
      <c r="AK425" s="671"/>
      <c r="AL425" s="671"/>
      <c r="AM425" s="696"/>
      <c r="AN425" s="698"/>
      <c r="AO425" s="699"/>
      <c r="AP425" s="698"/>
    </row>
    <row r="426" spans="1:42" ht="14.85" customHeight="1" x14ac:dyDescent="0.25">
      <c r="A426" s="611"/>
      <c r="B426" s="614"/>
      <c r="C426" s="617"/>
      <c r="D426" s="620"/>
      <c r="E426" s="130" t="s">
        <v>32</v>
      </c>
      <c r="F426" s="592">
        <f>IFERROR(VLOOKUP($B424,اسماء,27,0),0)</f>
        <v>0</v>
      </c>
      <c r="G426" s="593"/>
      <c r="H426" s="594">
        <f>IFERROR(VLOOKUP($B424,اسماء,28,0),0)</f>
        <v>0</v>
      </c>
      <c r="I426" s="595"/>
      <c r="J426" s="592">
        <f>IFERROR(VLOOKUP($B424,اسماء,29,0),0)</f>
        <v>0</v>
      </c>
      <c r="K426" s="593"/>
      <c r="L426" s="594">
        <f>IFERROR(VLOOKUP($B424,اسماء,30,0),0)</f>
        <v>0</v>
      </c>
      <c r="M426" s="596"/>
      <c r="N426" s="594">
        <f>IFERROR(VLOOKUP($B424,اسماء,31,0),0)</f>
        <v>0</v>
      </c>
      <c r="O426" s="596"/>
      <c r="P426" s="592">
        <f>IFERROR(VLOOKUP($B424,اسماء,32,0),0)</f>
        <v>0</v>
      </c>
      <c r="Q426" s="595"/>
      <c r="R426" s="372">
        <f t="shared" si="1131"/>
        <v>0</v>
      </c>
      <c r="S426" s="305" t="str">
        <f>IFERROR(VLOOKUP($B424,اسماء,34,0),"")</f>
        <v/>
      </c>
      <c r="T426" s="306" t="str">
        <f>IFERROR(VLOOKUP($B424,اسماء,35,0),"")</f>
        <v/>
      </c>
      <c r="U426" s="122" t="str">
        <f>IFERROR(VLOOKUP($B424,اسماء,36,0),"")</f>
        <v/>
      </c>
      <c r="V426" s="605"/>
      <c r="W426" s="20" t="str">
        <f t="shared" ref="W426" si="1132">LOOKUP(R426,$AF$6:$AG$10)</f>
        <v>ضعيف</v>
      </c>
      <c r="X426" s="640"/>
      <c r="Y426" s="68"/>
      <c r="Z426" s="598"/>
      <c r="AK426" s="671"/>
      <c r="AL426" s="671"/>
      <c r="AM426" s="696"/>
      <c r="AN426" s="698"/>
      <c r="AO426" s="699"/>
      <c r="AP426" s="698"/>
    </row>
    <row r="427" spans="1:42" ht="14.85" customHeight="1" thickBot="1" x14ac:dyDescent="0.3">
      <c r="A427" s="612"/>
      <c r="B427" s="615"/>
      <c r="C427" s="618"/>
      <c r="D427" s="621"/>
      <c r="E427" s="124" t="s">
        <v>33</v>
      </c>
      <c r="F427" s="623">
        <f>SUM(F424:G426)</f>
        <v>0</v>
      </c>
      <c r="G427" s="624"/>
      <c r="H427" s="625">
        <f>SUM(H424:I426)</f>
        <v>0</v>
      </c>
      <c r="I427" s="626"/>
      <c r="J427" s="623">
        <f>SUM(J424:K426)</f>
        <v>0</v>
      </c>
      <c r="K427" s="624"/>
      <c r="L427" s="625">
        <f>SUM(L424:M426)</f>
        <v>0</v>
      </c>
      <c r="M427" s="642"/>
      <c r="N427" s="625">
        <f>SUM(N424:O426)</f>
        <v>0</v>
      </c>
      <c r="O427" s="642"/>
      <c r="P427" s="623">
        <f>SUM(P424:Q426)</f>
        <v>0</v>
      </c>
      <c r="Q427" s="626"/>
      <c r="R427" s="88">
        <f>IF(AND(F427&gt;=$G$8,H427&gt;=$I$8,J427&gt;=$K$8,L427&gt;=$M$8,N427&gt;=$O$8,P427&gt;=$Q$8),SUM(F427:Q427),0)</f>
        <v>0</v>
      </c>
      <c r="S427" s="251"/>
      <c r="T427" s="97"/>
      <c r="U427" s="94"/>
      <c r="V427" s="606"/>
      <c r="W427" s="88" t="str">
        <f t="shared" ref="W427" si="1133">LOOKUP(R427,$AI$6:$AJ$10)</f>
        <v>ضعيف</v>
      </c>
      <c r="X427" s="641"/>
      <c r="Y427" s="68"/>
      <c r="Z427" s="599"/>
      <c r="AK427" s="671"/>
      <c r="AL427" s="671"/>
      <c r="AM427" s="696"/>
      <c r="AN427" s="698"/>
      <c r="AO427" s="699"/>
      <c r="AP427" s="698"/>
    </row>
    <row r="428" spans="1:42" ht="14.85" customHeight="1" thickBot="1" x14ac:dyDescent="0.3">
      <c r="A428" s="610">
        <v>92</v>
      </c>
      <c r="B428" s="613">
        <f>VLOOKUP(A428,مسلسل,2,0)</f>
        <v>0</v>
      </c>
      <c r="C428" s="616" t="str">
        <f>IFERROR(VLOOKUP(B428,اسماء,2,0),"")</f>
        <v/>
      </c>
      <c r="D428" s="619" t="str">
        <f>IFERROR(VLOOKUP($B428,اسماء,3,0),"")</f>
        <v/>
      </c>
      <c r="E428" s="129" t="s">
        <v>30</v>
      </c>
      <c r="F428" s="600">
        <f>IFERROR(VLOOKUP($B428,اسماء,5,0),0)</f>
        <v>0</v>
      </c>
      <c r="G428" s="601"/>
      <c r="H428" s="602">
        <f>IFERROR(VLOOKUP($B428,اسماء,6,0),0)</f>
        <v>0</v>
      </c>
      <c r="I428" s="622"/>
      <c r="J428" s="600">
        <f>IFERROR(VLOOKUP($B428,اسماء,7,0),0)</f>
        <v>0</v>
      </c>
      <c r="K428" s="601"/>
      <c r="L428" s="602">
        <f>IFERROR(VLOOKUP($B428,اسماء,8,0),0)</f>
        <v>0</v>
      </c>
      <c r="M428" s="603"/>
      <c r="N428" s="602">
        <f>IFERROR(VLOOKUP($B428,اسماء,9,0),0)</f>
        <v>0</v>
      </c>
      <c r="O428" s="603"/>
      <c r="P428" s="600">
        <f>IFERROR(VLOOKUP($B428,اسماء,10,0),0)</f>
        <v>0</v>
      </c>
      <c r="Q428" s="622"/>
      <c r="R428" s="371">
        <f t="shared" ref="R428:R462" si="1134">SUM(F428:Q428)</f>
        <v>0</v>
      </c>
      <c r="S428" s="213" t="str">
        <f>IFERROR(VLOOKUP($B428,اسماء,12,0),"")</f>
        <v/>
      </c>
      <c r="T428" s="214" t="str">
        <f>IFERROR(VLOOKUP($B428,اسماء,13,0),"")</f>
        <v/>
      </c>
      <c r="U428" s="364" t="str">
        <f>IFERROR(VLOOKUP($B428,اسماء,14,0),"")</f>
        <v/>
      </c>
      <c r="V428" s="604" t="str">
        <f t="shared" ref="V428" si="1135">IF(Z428="غائب","راسب",IF(R431&gt;0,"ناجح","مرحل"))</f>
        <v>مرحل</v>
      </c>
      <c r="W428" s="19" t="str">
        <f t="shared" ref="W428:W429" si="1136">LOOKUP(R428,$AC$6:$AD$10)</f>
        <v>ضعيف</v>
      </c>
      <c r="X428" s="639">
        <f t="shared" ref="X428" si="1137">R431/$AC$3</f>
        <v>0</v>
      </c>
      <c r="Y428" s="8"/>
      <c r="Z428" s="597" t="str">
        <f>IFERROR(VLOOKUP($B428,اسماء,48,0),"")</f>
        <v/>
      </c>
      <c r="AK428" s="667" t="str">
        <f t="shared" ref="AK428" si="1138">IF(R431=0,"",R431/1+ROW()*0.00001)</f>
        <v/>
      </c>
      <c r="AL428" s="667">
        <f>B428</f>
        <v>0</v>
      </c>
      <c r="AM428" s="696"/>
      <c r="AN428" s="698">
        <v>92</v>
      </c>
      <c r="AO428" s="699" t="str">
        <f>IFERROR(LARGE($AK$10:$AK$1420,AN428),"")</f>
        <v/>
      </c>
      <c r="AP428" s="698" t="str">
        <f>VLOOKUP(AO428,$AK$10:$AL$1530,2,0)</f>
        <v>امجد عمر عبداللطيف سلطان</v>
      </c>
    </row>
    <row r="429" spans="1:42" ht="14.85" customHeight="1" x14ac:dyDescent="0.25">
      <c r="A429" s="611"/>
      <c r="B429" s="614"/>
      <c r="C429" s="617"/>
      <c r="D429" s="620"/>
      <c r="E429" s="130" t="s">
        <v>31</v>
      </c>
      <c r="F429" s="592">
        <f>IFERROR(VLOOKUP($B428,اسماء,15,0),0)</f>
        <v>0</v>
      </c>
      <c r="G429" s="593"/>
      <c r="H429" s="594">
        <f>IFERROR(VLOOKUP($B428,اسماء,16,0),0)</f>
        <v>0</v>
      </c>
      <c r="I429" s="595"/>
      <c r="J429" s="592">
        <f>IFERROR(VLOOKUP($B428,اسماء,17,0),0)</f>
        <v>0</v>
      </c>
      <c r="K429" s="593"/>
      <c r="L429" s="594">
        <f>IFERROR(VLOOKUP($B428,اسماء,18,0),0)</f>
        <v>0</v>
      </c>
      <c r="M429" s="596"/>
      <c r="N429" s="594">
        <f>IFERROR(VLOOKUP($B428,اسماء,19,0),0)</f>
        <v>0</v>
      </c>
      <c r="O429" s="596"/>
      <c r="P429" s="592">
        <f>IFERROR(VLOOKUP($B428,اسماء,20,0),0)</f>
        <v>0</v>
      </c>
      <c r="Q429" s="595"/>
      <c r="R429" s="372">
        <f t="shared" si="1134"/>
        <v>0</v>
      </c>
      <c r="S429" s="305" t="str">
        <f>IFERROR(VLOOKUP($B428,اسماء,23,0),"")</f>
        <v/>
      </c>
      <c r="T429" s="306" t="str">
        <f>IFERROR(VLOOKUP($B428,اسماء,24,0),"")</f>
        <v/>
      </c>
      <c r="U429" s="122" t="str">
        <f>IFERROR(VLOOKUP($B428,اسماء,25,0),"")</f>
        <v/>
      </c>
      <c r="V429" s="605"/>
      <c r="W429" s="19" t="str">
        <f t="shared" si="1136"/>
        <v>ضعيف</v>
      </c>
      <c r="X429" s="640"/>
      <c r="Y429" s="68"/>
      <c r="Z429" s="598"/>
      <c r="AK429" s="667"/>
      <c r="AL429" s="667"/>
      <c r="AM429" s="696"/>
      <c r="AN429" s="698"/>
      <c r="AO429" s="699"/>
      <c r="AP429" s="698"/>
    </row>
    <row r="430" spans="1:42" ht="14.85" customHeight="1" x14ac:dyDescent="0.25">
      <c r="A430" s="611"/>
      <c r="B430" s="614"/>
      <c r="C430" s="617"/>
      <c r="D430" s="620"/>
      <c r="E430" s="130" t="s">
        <v>32</v>
      </c>
      <c r="F430" s="592">
        <f>IFERROR(VLOOKUP($B428,اسماء,25,0),0)</f>
        <v>0</v>
      </c>
      <c r="G430" s="593"/>
      <c r="H430" s="594">
        <f>IFERROR(VLOOKUP($B428,اسماء,26,0),0)</f>
        <v>0</v>
      </c>
      <c r="I430" s="595"/>
      <c r="J430" s="592">
        <f>IFERROR(VLOOKUP($B428,اسماء,27,0),0)</f>
        <v>0</v>
      </c>
      <c r="K430" s="593"/>
      <c r="L430" s="594">
        <f>IFERROR(VLOOKUP($B428,اسماء,28,0),0)</f>
        <v>0</v>
      </c>
      <c r="M430" s="596"/>
      <c r="N430" s="594">
        <f>IFERROR(VLOOKUP($B428,اسماء,29,0),0)</f>
        <v>0</v>
      </c>
      <c r="O430" s="596"/>
      <c r="P430" s="592">
        <f>IFERROR(VLOOKUP($B428,اسماء,30,0),0)</f>
        <v>0</v>
      </c>
      <c r="Q430" s="595"/>
      <c r="R430" s="372">
        <f t="shared" si="1134"/>
        <v>0</v>
      </c>
      <c r="S430" s="305" t="str">
        <f>IFERROR(VLOOKUP($B428,اسماء,34,0),"")</f>
        <v/>
      </c>
      <c r="T430" s="306" t="str">
        <f>IFERROR(VLOOKUP($B428,اسماء,35,0),"")</f>
        <v/>
      </c>
      <c r="U430" s="122" t="str">
        <f>IFERROR(VLOOKUP($B428,اسماء,36,0),"")</f>
        <v/>
      </c>
      <c r="V430" s="605"/>
      <c r="W430" s="20" t="str">
        <f t="shared" ref="W430" si="1139">LOOKUP(R430,$AF$6:$AG$10)</f>
        <v>ضعيف</v>
      </c>
      <c r="X430" s="640"/>
      <c r="Y430" s="68"/>
      <c r="Z430" s="598"/>
      <c r="AK430" s="667"/>
      <c r="AL430" s="667"/>
      <c r="AM430" s="696"/>
      <c r="AN430" s="698"/>
      <c r="AO430" s="699"/>
      <c r="AP430" s="698"/>
    </row>
    <row r="431" spans="1:42" ht="14.85" customHeight="1" thickBot="1" x14ac:dyDescent="0.3">
      <c r="A431" s="612"/>
      <c r="B431" s="615"/>
      <c r="C431" s="618"/>
      <c r="D431" s="621"/>
      <c r="E431" s="124" t="s">
        <v>33</v>
      </c>
      <c r="F431" s="623">
        <f>SUM(F428:G430)</f>
        <v>0</v>
      </c>
      <c r="G431" s="624"/>
      <c r="H431" s="625">
        <f>SUM(H428:I430)</f>
        <v>0</v>
      </c>
      <c r="I431" s="626"/>
      <c r="J431" s="623">
        <f>SUM(J428:K430)</f>
        <v>0</v>
      </c>
      <c r="K431" s="624"/>
      <c r="L431" s="625">
        <f>SUM(L428:M430)</f>
        <v>0</v>
      </c>
      <c r="M431" s="642"/>
      <c r="N431" s="625">
        <f>SUM(N428:O430)</f>
        <v>0</v>
      </c>
      <c r="O431" s="642"/>
      <c r="P431" s="623">
        <f>SUM(P428:Q430)</f>
        <v>0</v>
      </c>
      <c r="Q431" s="626"/>
      <c r="R431" s="88">
        <f t="shared" ref="R431" si="1140">IF(AND(F431&gt;=$G$8,H431&gt;=$I$8,J431&gt;=$K$8,L431&gt;=$M$8,N431&gt;=$O$8,P431&gt;=$Q$8),SUM(F431:Q431),0)</f>
        <v>0</v>
      </c>
      <c r="S431" s="251"/>
      <c r="T431" s="97"/>
      <c r="U431" s="94"/>
      <c r="V431" s="606"/>
      <c r="W431" s="88" t="str">
        <f t="shared" ref="W431" si="1141">LOOKUP(R431,$AI$6:$AJ$10)</f>
        <v>ضعيف</v>
      </c>
      <c r="X431" s="641"/>
      <c r="Y431" s="8"/>
      <c r="Z431" s="599"/>
      <c r="AK431" s="667"/>
      <c r="AL431" s="667"/>
      <c r="AM431" s="696"/>
      <c r="AN431" s="698"/>
      <c r="AO431" s="699"/>
      <c r="AP431" s="698"/>
    </row>
    <row r="432" spans="1:42" ht="14.85" customHeight="1" thickBot="1" x14ac:dyDescent="0.3">
      <c r="A432" s="610">
        <v>93</v>
      </c>
      <c r="B432" s="613">
        <f>VLOOKUP(A432,مسلسل,2,0)</f>
        <v>0</v>
      </c>
      <c r="C432" s="616" t="str">
        <f>IFERROR(VLOOKUP(B432,اسماء,2,0),"")</f>
        <v/>
      </c>
      <c r="D432" s="619" t="str">
        <f>IFERROR(VLOOKUP($B432,اسماء,3,0),"")</f>
        <v/>
      </c>
      <c r="E432" s="129" t="s">
        <v>30</v>
      </c>
      <c r="F432" s="600">
        <f>IFERROR(VLOOKUP($B432,اسماء,5,0),0)</f>
        <v>0</v>
      </c>
      <c r="G432" s="601"/>
      <c r="H432" s="602">
        <f>IFERROR(VLOOKUP($B432,اسماء,6,0),0)</f>
        <v>0</v>
      </c>
      <c r="I432" s="622"/>
      <c r="J432" s="600">
        <f>IFERROR(VLOOKUP($B432,اسماء,7,0),0)</f>
        <v>0</v>
      </c>
      <c r="K432" s="601"/>
      <c r="L432" s="602">
        <f>IFERROR(VLOOKUP($B432,اسماء,8,0),0)</f>
        <v>0</v>
      </c>
      <c r="M432" s="603"/>
      <c r="N432" s="602">
        <f>IFERROR(VLOOKUP($B432,اسماء,9,0),0)</f>
        <v>0</v>
      </c>
      <c r="O432" s="603"/>
      <c r="P432" s="600">
        <f>IFERROR(VLOOKUP($B432,اسماء,10,0),0)</f>
        <v>0</v>
      </c>
      <c r="Q432" s="622"/>
      <c r="R432" s="371">
        <f t="shared" ref="R432" si="1142">SUM(F432:Q432)</f>
        <v>0</v>
      </c>
      <c r="S432" s="213" t="str">
        <f>IFERROR(VLOOKUP($B432,اسماء,12,0),"")</f>
        <v/>
      </c>
      <c r="T432" s="214" t="str">
        <f>IFERROR(VLOOKUP($B432,اسماء,13,0),"")</f>
        <v/>
      </c>
      <c r="U432" s="364" t="str">
        <f>IFERROR(VLOOKUP($B432,اسماء,14,0),"")</f>
        <v/>
      </c>
      <c r="V432" s="604" t="str">
        <f t="shared" ref="V432" si="1143">IF(Z432="غائب","راسب",IF(R435&gt;0,"ناجح","مرحل"))</f>
        <v>مرحل</v>
      </c>
      <c r="W432" s="19" t="str">
        <f t="shared" ref="W432:W433" si="1144">LOOKUP(R432,$AC$6:$AD$10)</f>
        <v>ضعيف</v>
      </c>
      <c r="X432" s="639">
        <f t="shared" ref="X432" si="1145">R435/$AC$3</f>
        <v>0</v>
      </c>
      <c r="Y432" s="68"/>
      <c r="Z432" s="597" t="str">
        <f>IFERROR(VLOOKUP($B432,اسماء,48,0),"")</f>
        <v/>
      </c>
      <c r="AK432" s="667" t="str">
        <f t="shared" ref="AK432" si="1146">IF(R435=0,"",R435/1+ROW()*0.00001)</f>
        <v/>
      </c>
      <c r="AL432" s="667">
        <f>B432</f>
        <v>0</v>
      </c>
      <c r="AM432" s="696"/>
      <c r="AN432" s="698">
        <v>93</v>
      </c>
      <c r="AO432" s="699" t="str">
        <f>IFERROR(LARGE($AK$10:$AK$1420,AN432),"")</f>
        <v/>
      </c>
      <c r="AP432" s="698" t="str">
        <f>VLOOKUP(AO432,$AK$10:$AL$1530,2,0)</f>
        <v>امجد عمر عبداللطيف سلطان</v>
      </c>
    </row>
    <row r="433" spans="1:42" ht="14.85" customHeight="1" x14ac:dyDescent="0.25">
      <c r="A433" s="611"/>
      <c r="B433" s="614"/>
      <c r="C433" s="617"/>
      <c r="D433" s="620"/>
      <c r="E433" s="130" t="s">
        <v>31</v>
      </c>
      <c r="F433" s="592">
        <f>IFERROR(VLOOKUP($B432,اسماء,15,0),0)</f>
        <v>0</v>
      </c>
      <c r="G433" s="593"/>
      <c r="H433" s="594">
        <f>IFERROR(VLOOKUP($B432,اسماء,16,0),0)</f>
        <v>0</v>
      </c>
      <c r="I433" s="595"/>
      <c r="J433" s="592">
        <f>IFERROR(VLOOKUP($B432,اسماء,17,0),0)</f>
        <v>0</v>
      </c>
      <c r="K433" s="593"/>
      <c r="L433" s="594">
        <f>IFERROR(VLOOKUP($B432,اسماء,18,0),0)</f>
        <v>0</v>
      </c>
      <c r="M433" s="596"/>
      <c r="N433" s="594">
        <f>IFERROR(VLOOKUP($B432,اسماء,19,0),0)</f>
        <v>0</v>
      </c>
      <c r="O433" s="596"/>
      <c r="P433" s="592">
        <f>IFERROR(VLOOKUP($B432,اسماء,20,0),0)</f>
        <v>0</v>
      </c>
      <c r="Q433" s="595"/>
      <c r="R433" s="372">
        <f t="shared" si="1134"/>
        <v>0</v>
      </c>
      <c r="S433" s="305" t="str">
        <f>IFERROR(VLOOKUP($B432,اسماء,23,0),"")</f>
        <v/>
      </c>
      <c r="T433" s="306" t="str">
        <f>IFERROR(VLOOKUP($B432,اسماء,24,0),"")</f>
        <v/>
      </c>
      <c r="U433" s="122" t="str">
        <f>IFERROR(VLOOKUP($B432,اسماء,25,0),"")</f>
        <v/>
      </c>
      <c r="V433" s="605"/>
      <c r="W433" s="19" t="str">
        <f t="shared" si="1144"/>
        <v>ضعيف</v>
      </c>
      <c r="X433" s="640"/>
      <c r="Y433" s="68"/>
      <c r="Z433" s="598"/>
      <c r="AK433" s="667"/>
      <c r="AL433" s="667"/>
      <c r="AM433" s="696"/>
      <c r="AN433" s="698"/>
      <c r="AO433" s="699"/>
      <c r="AP433" s="698"/>
    </row>
    <row r="434" spans="1:42" ht="14.85" customHeight="1" x14ac:dyDescent="0.25">
      <c r="A434" s="611"/>
      <c r="B434" s="614"/>
      <c r="C434" s="617"/>
      <c r="D434" s="620"/>
      <c r="E434" s="130" t="s">
        <v>32</v>
      </c>
      <c r="F434" s="592">
        <f>IFERROR(VLOOKUP($B432,اسماء,25,0),0)</f>
        <v>0</v>
      </c>
      <c r="G434" s="593"/>
      <c r="H434" s="594">
        <f>IFERROR(VLOOKUP($B432,اسماء,26,0),0)</f>
        <v>0</v>
      </c>
      <c r="I434" s="595"/>
      <c r="J434" s="592">
        <f>IFERROR(VLOOKUP($B432,اسماء,27,0),0)</f>
        <v>0</v>
      </c>
      <c r="K434" s="593"/>
      <c r="L434" s="594">
        <f>IFERROR(VLOOKUP($B432,اسماء,28,0),0)</f>
        <v>0</v>
      </c>
      <c r="M434" s="596"/>
      <c r="N434" s="594">
        <f>IFERROR(VLOOKUP($B432,اسماء,29,0),0)</f>
        <v>0</v>
      </c>
      <c r="O434" s="596"/>
      <c r="P434" s="592">
        <f>IFERROR(VLOOKUP($B432,اسماء,30,0),0)</f>
        <v>0</v>
      </c>
      <c r="Q434" s="595"/>
      <c r="R434" s="372">
        <f t="shared" si="1134"/>
        <v>0</v>
      </c>
      <c r="S434" s="305" t="str">
        <f>IFERROR(VLOOKUP($B432,اسماء,34,0),"")</f>
        <v/>
      </c>
      <c r="T434" s="306" t="str">
        <f>IFERROR(VLOOKUP($B432,اسماء,35,0),"")</f>
        <v/>
      </c>
      <c r="U434" s="122" t="str">
        <f>IFERROR(VLOOKUP($B432,اسماء,36,0),"")</f>
        <v/>
      </c>
      <c r="V434" s="605"/>
      <c r="W434" s="20" t="str">
        <f t="shared" ref="W434" si="1147">LOOKUP(R434,$AF$6:$AG$10)</f>
        <v>ضعيف</v>
      </c>
      <c r="X434" s="640"/>
      <c r="Y434" s="8"/>
      <c r="Z434" s="598"/>
      <c r="AK434" s="667"/>
      <c r="AL434" s="667"/>
      <c r="AM434" s="696"/>
      <c r="AN434" s="698"/>
      <c r="AO434" s="699"/>
      <c r="AP434" s="698"/>
    </row>
    <row r="435" spans="1:42" ht="14.85" customHeight="1" thickBot="1" x14ac:dyDescent="0.3">
      <c r="A435" s="612"/>
      <c r="B435" s="615"/>
      <c r="C435" s="618"/>
      <c r="D435" s="621"/>
      <c r="E435" s="124" t="s">
        <v>33</v>
      </c>
      <c r="F435" s="623">
        <f t="shared" ref="F435" si="1148">SUM(F432:G434)</f>
        <v>0</v>
      </c>
      <c r="G435" s="624"/>
      <c r="H435" s="625">
        <f t="shared" ref="H435" si="1149">SUM(H432:I434)</f>
        <v>0</v>
      </c>
      <c r="I435" s="626"/>
      <c r="J435" s="623">
        <f t="shared" ref="J435" si="1150">SUM(J432:K434)</f>
        <v>0</v>
      </c>
      <c r="K435" s="624"/>
      <c r="L435" s="625">
        <f t="shared" ref="L435" si="1151">SUM(L432:M434)</f>
        <v>0</v>
      </c>
      <c r="M435" s="642"/>
      <c r="N435" s="625">
        <f t="shared" ref="N435" si="1152">SUM(N432:O434)</f>
        <v>0</v>
      </c>
      <c r="O435" s="642"/>
      <c r="P435" s="623">
        <f t="shared" ref="P435" si="1153">SUM(P432:Q434)</f>
        <v>0</v>
      </c>
      <c r="Q435" s="626"/>
      <c r="R435" s="88">
        <f t="shared" ref="R435" si="1154">IF(AND(F435&gt;=$G$8,H435&gt;=$I$8,J435&gt;=$K$8,L435&gt;=$M$8,N435&gt;=$O$8,P435&gt;=$Q$8),SUM(F435:Q435),0)</f>
        <v>0</v>
      </c>
      <c r="S435" s="251"/>
      <c r="T435" s="97"/>
      <c r="U435" s="94"/>
      <c r="V435" s="606"/>
      <c r="W435" s="88" t="str">
        <f t="shared" ref="W435" si="1155">LOOKUP(R435,$AI$6:$AJ$10)</f>
        <v>ضعيف</v>
      </c>
      <c r="X435" s="641"/>
      <c r="Y435" s="68"/>
      <c r="Z435" s="599"/>
      <c r="AK435" s="667"/>
      <c r="AL435" s="667"/>
      <c r="AM435" s="696"/>
      <c r="AN435" s="698"/>
      <c r="AO435" s="699"/>
      <c r="AP435" s="698"/>
    </row>
    <row r="436" spans="1:42" ht="14.85" customHeight="1" thickBot="1" x14ac:dyDescent="0.3">
      <c r="A436" s="610">
        <v>94</v>
      </c>
      <c r="B436" s="613">
        <f>VLOOKUP(A436,مسلسل,2,0)</f>
        <v>0</v>
      </c>
      <c r="C436" s="616" t="str">
        <f>IFERROR(VLOOKUP(B436,اسماء,2,0),"")</f>
        <v/>
      </c>
      <c r="D436" s="619" t="str">
        <f>IFERROR(VLOOKUP($B436,اسماء,3,0),"")</f>
        <v/>
      </c>
      <c r="E436" s="129" t="s">
        <v>30</v>
      </c>
      <c r="F436" s="600">
        <f>IFERROR(VLOOKUP($B436,اسماء,5,0),0)</f>
        <v>0</v>
      </c>
      <c r="G436" s="601"/>
      <c r="H436" s="602">
        <f>IFERROR(VLOOKUP($B436,اسماء,6,0),0)</f>
        <v>0</v>
      </c>
      <c r="I436" s="622"/>
      <c r="J436" s="600">
        <f>IFERROR(VLOOKUP($B436,اسماء,7,0),0)</f>
        <v>0</v>
      </c>
      <c r="K436" s="601"/>
      <c r="L436" s="602">
        <f>IFERROR(VLOOKUP($B436,اسماء,8,0),0)</f>
        <v>0</v>
      </c>
      <c r="M436" s="603"/>
      <c r="N436" s="602">
        <f>IFERROR(VLOOKUP($B436,اسماء,9,0),0)</f>
        <v>0</v>
      </c>
      <c r="O436" s="603"/>
      <c r="P436" s="600">
        <f>IFERROR(VLOOKUP($B436,اسماء,10,0),0)</f>
        <v>0</v>
      </c>
      <c r="Q436" s="622"/>
      <c r="R436" s="371">
        <f t="shared" ref="R436" si="1156">SUM(F436:Q436)</f>
        <v>0</v>
      </c>
      <c r="S436" s="213" t="str">
        <f>IFERROR(VLOOKUP($B436,اسماء,12,0),"")</f>
        <v/>
      </c>
      <c r="T436" s="214" t="str">
        <f>IFERROR(VLOOKUP($B436,اسماء,13,0),"")</f>
        <v/>
      </c>
      <c r="U436" s="364" t="str">
        <f>IFERROR(VLOOKUP($B436,اسماء,14,0),"")</f>
        <v/>
      </c>
      <c r="V436" s="604" t="str">
        <f t="shared" ref="V436" si="1157">IF(Z436="غائب","راسب",IF(R439&gt;0,"ناجح","مرحل"))</f>
        <v>مرحل</v>
      </c>
      <c r="W436" s="19" t="str">
        <f t="shared" ref="W436:W437" si="1158">LOOKUP(R436,$AC$6:$AD$10)</f>
        <v>ضعيف</v>
      </c>
      <c r="X436" s="639">
        <f t="shared" ref="X436" si="1159">R439/$AC$3</f>
        <v>0</v>
      </c>
      <c r="Y436" s="68"/>
      <c r="Z436" s="597" t="str">
        <f>IFERROR(VLOOKUP($B436,اسماء,48,0),"")</f>
        <v/>
      </c>
      <c r="AK436" s="667" t="str">
        <f t="shared" ref="AK436" si="1160">IF(R439=0,"",R439/1+ROW()*0.00001)</f>
        <v/>
      </c>
      <c r="AL436" s="667">
        <f>B436</f>
        <v>0</v>
      </c>
      <c r="AM436" s="696"/>
      <c r="AN436" s="698">
        <v>94</v>
      </c>
      <c r="AO436" s="699" t="str">
        <f>IFERROR(LARGE($AK$10:$AK$1420,AN436),"")</f>
        <v/>
      </c>
      <c r="AP436" s="698" t="str">
        <f>VLOOKUP(AO436,$AK$10:$AL$1530,2,0)</f>
        <v>امجد عمر عبداللطيف سلطان</v>
      </c>
    </row>
    <row r="437" spans="1:42" ht="14.85" customHeight="1" x14ac:dyDescent="0.25">
      <c r="A437" s="611"/>
      <c r="B437" s="614"/>
      <c r="C437" s="617"/>
      <c r="D437" s="620"/>
      <c r="E437" s="130" t="s">
        <v>31</v>
      </c>
      <c r="F437" s="592">
        <f>IFERROR(VLOOKUP($B436,اسماء,15,0),0)</f>
        <v>0</v>
      </c>
      <c r="G437" s="593"/>
      <c r="H437" s="594">
        <f>IFERROR(VLOOKUP($B436,اسماء,16,0),0)</f>
        <v>0</v>
      </c>
      <c r="I437" s="595"/>
      <c r="J437" s="592">
        <f>IFERROR(VLOOKUP($B436,اسماء,17,0),0)</f>
        <v>0</v>
      </c>
      <c r="K437" s="593"/>
      <c r="L437" s="594">
        <f>IFERROR(VLOOKUP($B436,اسماء,18,0),0)</f>
        <v>0</v>
      </c>
      <c r="M437" s="596"/>
      <c r="N437" s="594">
        <f>IFERROR(VLOOKUP($B436,اسماء,19,0),0)</f>
        <v>0</v>
      </c>
      <c r="O437" s="596"/>
      <c r="P437" s="592">
        <f>IFERROR(VLOOKUP($B436,اسماء,20,0),0)</f>
        <v>0</v>
      </c>
      <c r="Q437" s="595"/>
      <c r="R437" s="372">
        <f t="shared" si="1134"/>
        <v>0</v>
      </c>
      <c r="S437" s="305" t="str">
        <f>IFERROR(VLOOKUP($B436,اسماء,23,0),"")</f>
        <v/>
      </c>
      <c r="T437" s="306" t="str">
        <f>IFERROR(VLOOKUP($B436,اسماء,24,0),"")</f>
        <v/>
      </c>
      <c r="U437" s="122" t="str">
        <f>IFERROR(VLOOKUP($B436,اسماء,25,0),"")</f>
        <v/>
      </c>
      <c r="V437" s="605"/>
      <c r="W437" s="19" t="str">
        <f t="shared" si="1158"/>
        <v>ضعيف</v>
      </c>
      <c r="X437" s="640"/>
      <c r="Y437" s="8"/>
      <c r="Z437" s="598"/>
      <c r="AK437" s="667"/>
      <c r="AL437" s="667"/>
      <c r="AM437" s="696"/>
      <c r="AN437" s="698"/>
      <c r="AO437" s="699"/>
      <c r="AP437" s="698"/>
    </row>
    <row r="438" spans="1:42" ht="14.85" customHeight="1" x14ac:dyDescent="0.25">
      <c r="A438" s="611"/>
      <c r="B438" s="614"/>
      <c r="C438" s="617"/>
      <c r="D438" s="620"/>
      <c r="E438" s="130" t="s">
        <v>32</v>
      </c>
      <c r="F438" s="592">
        <f>IFERROR(VLOOKUP($B436,اسماء,25,0),0)</f>
        <v>0</v>
      </c>
      <c r="G438" s="593"/>
      <c r="H438" s="594">
        <f>IFERROR(VLOOKUP($B436,اسماء,26,0),0)</f>
        <v>0</v>
      </c>
      <c r="I438" s="595"/>
      <c r="J438" s="592">
        <f>IFERROR(VLOOKUP($B436,اسماء,27,0),0)</f>
        <v>0</v>
      </c>
      <c r="K438" s="593"/>
      <c r="L438" s="594">
        <f>IFERROR(VLOOKUP($B436,اسماء,28,0),0)</f>
        <v>0</v>
      </c>
      <c r="M438" s="596"/>
      <c r="N438" s="594">
        <f>IFERROR(VLOOKUP($B436,اسماء,29,0),0)</f>
        <v>0</v>
      </c>
      <c r="O438" s="596"/>
      <c r="P438" s="592">
        <f>IFERROR(VLOOKUP($B436,اسماء,30,0),0)</f>
        <v>0</v>
      </c>
      <c r="Q438" s="595"/>
      <c r="R438" s="372">
        <f t="shared" si="1134"/>
        <v>0</v>
      </c>
      <c r="S438" s="305" t="str">
        <f>IFERROR(VLOOKUP($B436,اسماء,34,0),"")</f>
        <v/>
      </c>
      <c r="T438" s="306" t="str">
        <f>IFERROR(VLOOKUP($B436,اسماء,35,0),"")</f>
        <v/>
      </c>
      <c r="U438" s="122" t="str">
        <f>IFERROR(VLOOKUP($B436,اسماء,36,0),"")</f>
        <v/>
      </c>
      <c r="V438" s="605"/>
      <c r="W438" s="20" t="str">
        <f t="shared" ref="W438" si="1161">LOOKUP(R438,$AF$6:$AG$10)</f>
        <v>ضعيف</v>
      </c>
      <c r="X438" s="640"/>
      <c r="Y438" s="68"/>
      <c r="Z438" s="598"/>
      <c r="AK438" s="667"/>
      <c r="AL438" s="667"/>
      <c r="AM438" s="696"/>
      <c r="AN438" s="698"/>
      <c r="AO438" s="699"/>
      <c r="AP438" s="698"/>
    </row>
    <row r="439" spans="1:42" ht="14.85" customHeight="1" thickBot="1" x14ac:dyDescent="0.3">
      <c r="A439" s="612"/>
      <c r="B439" s="615"/>
      <c r="C439" s="618"/>
      <c r="D439" s="621"/>
      <c r="E439" s="124" t="s">
        <v>33</v>
      </c>
      <c r="F439" s="623">
        <f t="shared" ref="F439" si="1162">SUM(F436:G438)</f>
        <v>0</v>
      </c>
      <c r="G439" s="624"/>
      <c r="H439" s="625">
        <f t="shared" ref="H439" si="1163">SUM(H436:I438)</f>
        <v>0</v>
      </c>
      <c r="I439" s="626"/>
      <c r="J439" s="623">
        <f t="shared" ref="J439" si="1164">SUM(J436:K438)</f>
        <v>0</v>
      </c>
      <c r="K439" s="624"/>
      <c r="L439" s="625">
        <f t="shared" ref="L439" si="1165">SUM(L436:M438)</f>
        <v>0</v>
      </c>
      <c r="M439" s="642"/>
      <c r="N439" s="625">
        <f t="shared" ref="N439" si="1166">SUM(N436:O438)</f>
        <v>0</v>
      </c>
      <c r="O439" s="642"/>
      <c r="P439" s="623">
        <f t="shared" ref="P439" si="1167">SUM(P436:Q438)</f>
        <v>0</v>
      </c>
      <c r="Q439" s="626"/>
      <c r="R439" s="88">
        <f t="shared" ref="R439" si="1168">IF(AND(F439&gt;=$G$8,H439&gt;=$I$8,J439&gt;=$K$8,L439&gt;=$M$8,N439&gt;=$O$8,P439&gt;=$Q$8),SUM(F439:Q439),0)</f>
        <v>0</v>
      </c>
      <c r="S439" s="251"/>
      <c r="T439" s="97"/>
      <c r="U439" s="94"/>
      <c r="V439" s="606"/>
      <c r="W439" s="88" t="str">
        <f t="shared" ref="W439" si="1169">LOOKUP(R439,$AI$6:$AJ$10)</f>
        <v>ضعيف</v>
      </c>
      <c r="X439" s="641"/>
      <c r="Y439" s="68"/>
      <c r="Z439" s="599"/>
      <c r="AK439" s="667"/>
      <c r="AL439" s="667"/>
      <c r="AM439" s="696"/>
      <c r="AN439" s="698"/>
      <c r="AO439" s="699"/>
      <c r="AP439" s="698"/>
    </row>
    <row r="440" spans="1:42" ht="14.85" customHeight="1" thickBot="1" x14ac:dyDescent="0.3">
      <c r="A440" s="610">
        <v>95</v>
      </c>
      <c r="B440" s="613">
        <f>VLOOKUP(A440,مسلسل,2,0)</f>
        <v>0</v>
      </c>
      <c r="C440" s="616" t="str">
        <f>IFERROR(VLOOKUP(B440,اسماء,2,0),"")</f>
        <v/>
      </c>
      <c r="D440" s="619" t="str">
        <f>IFERROR(VLOOKUP($B440,اسماء,3,0),"")</f>
        <v/>
      </c>
      <c r="E440" s="129" t="s">
        <v>30</v>
      </c>
      <c r="F440" s="600">
        <f>IFERROR(VLOOKUP($B440,اسماء,5,0),0)</f>
        <v>0</v>
      </c>
      <c r="G440" s="601"/>
      <c r="H440" s="602">
        <f>IFERROR(VLOOKUP($B440,اسماء,6,0),0)</f>
        <v>0</v>
      </c>
      <c r="I440" s="622"/>
      <c r="J440" s="600">
        <f>IFERROR(VLOOKUP($B440,اسماء,7,0),0)</f>
        <v>0</v>
      </c>
      <c r="K440" s="601"/>
      <c r="L440" s="602">
        <f>IFERROR(VLOOKUP($B440,اسماء,8,0),0)</f>
        <v>0</v>
      </c>
      <c r="M440" s="603"/>
      <c r="N440" s="602">
        <f>IFERROR(VLOOKUP($B440,اسماء,9,0),0)</f>
        <v>0</v>
      </c>
      <c r="O440" s="603"/>
      <c r="P440" s="600">
        <f>IFERROR(VLOOKUP($B440,اسماء,10,0),0)</f>
        <v>0</v>
      </c>
      <c r="Q440" s="622"/>
      <c r="R440" s="371">
        <f t="shared" ref="R440" si="1170">SUM(F440:Q440)</f>
        <v>0</v>
      </c>
      <c r="S440" s="213" t="str">
        <f>IFERROR(VLOOKUP($B440,اسماء,12,0),"")</f>
        <v/>
      </c>
      <c r="T440" s="214" t="str">
        <f>IFERROR(VLOOKUP($B440,اسماء,13,0),"")</f>
        <v/>
      </c>
      <c r="U440" s="364" t="str">
        <f>IFERROR(VLOOKUP($B440,اسماء,14,0),"")</f>
        <v/>
      </c>
      <c r="V440" s="604" t="str">
        <f t="shared" ref="V440" si="1171">IF(Z440="غائب","راسب",IF(R443&gt;0,"ناجح","مرحل"))</f>
        <v>مرحل</v>
      </c>
      <c r="W440" s="19" t="str">
        <f t="shared" ref="W440:W441" si="1172">LOOKUP(R440,$AC$6:$AD$10)</f>
        <v>ضعيف</v>
      </c>
      <c r="X440" s="639">
        <f t="shared" ref="X440" si="1173">R443/$AC$3</f>
        <v>0</v>
      </c>
      <c r="Y440" s="8"/>
      <c r="Z440" s="597" t="str">
        <f>IFERROR(VLOOKUP($B440,اسماء,48,0),"")</f>
        <v/>
      </c>
      <c r="AK440" s="667" t="str">
        <f t="shared" ref="AK440" si="1174">IF(R443=0,"",R443/1+ROW()*0.00001)</f>
        <v/>
      </c>
      <c r="AL440" s="667">
        <f>B440</f>
        <v>0</v>
      </c>
      <c r="AM440" s="696"/>
      <c r="AN440" s="698">
        <v>95</v>
      </c>
      <c r="AO440" s="699" t="str">
        <f>IFERROR(LARGE($AK$10:$AK$1420,AN440),"")</f>
        <v/>
      </c>
      <c r="AP440" s="698" t="str">
        <f>VLOOKUP(AO440,$AK$10:$AL$1530,2,0)</f>
        <v>امجد عمر عبداللطيف سلطان</v>
      </c>
    </row>
    <row r="441" spans="1:42" ht="14.85" customHeight="1" x14ac:dyDescent="0.25">
      <c r="A441" s="611"/>
      <c r="B441" s="614"/>
      <c r="C441" s="617"/>
      <c r="D441" s="620"/>
      <c r="E441" s="130" t="s">
        <v>31</v>
      </c>
      <c r="F441" s="592">
        <f>IFERROR(VLOOKUP($B440,اسماء,15,0),0)</f>
        <v>0</v>
      </c>
      <c r="G441" s="593"/>
      <c r="H441" s="594">
        <f>IFERROR(VLOOKUP($B440,اسماء,16,0),0)</f>
        <v>0</v>
      </c>
      <c r="I441" s="595"/>
      <c r="J441" s="592">
        <f>IFERROR(VLOOKUP($B440,اسماء,17,0),0)</f>
        <v>0</v>
      </c>
      <c r="K441" s="593"/>
      <c r="L441" s="594">
        <f>IFERROR(VLOOKUP($B440,اسماء,18,0),0)</f>
        <v>0</v>
      </c>
      <c r="M441" s="596"/>
      <c r="N441" s="594">
        <f>IFERROR(VLOOKUP($B440,اسماء,19,0),0)</f>
        <v>0</v>
      </c>
      <c r="O441" s="596"/>
      <c r="P441" s="592">
        <f>IFERROR(VLOOKUP($B440,اسماء,20,0),0)</f>
        <v>0</v>
      </c>
      <c r="Q441" s="595"/>
      <c r="R441" s="372">
        <f t="shared" si="1134"/>
        <v>0</v>
      </c>
      <c r="S441" s="305" t="str">
        <f>IFERROR(VLOOKUP($B440,اسماء,23,0),"")</f>
        <v/>
      </c>
      <c r="T441" s="306" t="str">
        <f>IFERROR(VLOOKUP($B440,اسماء,24,0),"")</f>
        <v/>
      </c>
      <c r="U441" s="122" t="str">
        <f>IFERROR(VLOOKUP($B440,اسماء,25,0),"")</f>
        <v/>
      </c>
      <c r="V441" s="605"/>
      <c r="W441" s="19" t="str">
        <f t="shared" si="1172"/>
        <v>ضعيف</v>
      </c>
      <c r="X441" s="640"/>
      <c r="Y441" s="68"/>
      <c r="Z441" s="598"/>
      <c r="AK441" s="667"/>
      <c r="AL441" s="667"/>
      <c r="AM441" s="696"/>
      <c r="AN441" s="698"/>
      <c r="AO441" s="699"/>
      <c r="AP441" s="698"/>
    </row>
    <row r="442" spans="1:42" ht="14.85" customHeight="1" x14ac:dyDescent="0.25">
      <c r="A442" s="611"/>
      <c r="B442" s="614"/>
      <c r="C442" s="617"/>
      <c r="D442" s="620"/>
      <c r="E442" s="130" t="s">
        <v>32</v>
      </c>
      <c r="F442" s="592">
        <f>IFERROR(VLOOKUP($B440,اسماء,25,0),0)</f>
        <v>0</v>
      </c>
      <c r="G442" s="593"/>
      <c r="H442" s="594">
        <f>IFERROR(VLOOKUP($B440,اسماء,26,0),0)</f>
        <v>0</v>
      </c>
      <c r="I442" s="595"/>
      <c r="J442" s="592">
        <f>IFERROR(VLOOKUP($B440,اسماء,27,0),0)</f>
        <v>0</v>
      </c>
      <c r="K442" s="593"/>
      <c r="L442" s="594">
        <f>IFERROR(VLOOKUP($B440,اسماء,28,0),0)</f>
        <v>0</v>
      </c>
      <c r="M442" s="596"/>
      <c r="N442" s="594">
        <f>IFERROR(VLOOKUP($B440,اسماء,29,0),0)</f>
        <v>0</v>
      </c>
      <c r="O442" s="596"/>
      <c r="P442" s="592">
        <f>IFERROR(VLOOKUP($B440,اسماء,30,0),0)</f>
        <v>0</v>
      </c>
      <c r="Q442" s="595"/>
      <c r="R442" s="372">
        <f t="shared" si="1134"/>
        <v>0</v>
      </c>
      <c r="S442" s="305" t="str">
        <f>IFERROR(VLOOKUP($B440,اسماء,34,0),"")</f>
        <v/>
      </c>
      <c r="T442" s="306" t="str">
        <f>IFERROR(VLOOKUP($B440,اسماء,35,0),"")</f>
        <v/>
      </c>
      <c r="U442" s="122" t="str">
        <f>IFERROR(VLOOKUP($B440,اسماء,36,0),"")</f>
        <v/>
      </c>
      <c r="V442" s="605"/>
      <c r="W442" s="20" t="str">
        <f t="shared" ref="W442" si="1175">LOOKUP(R442,$AF$6:$AG$10)</f>
        <v>ضعيف</v>
      </c>
      <c r="X442" s="640"/>
      <c r="Y442" s="68"/>
      <c r="Z442" s="598"/>
      <c r="AK442" s="667"/>
      <c r="AL442" s="667"/>
      <c r="AM442" s="696"/>
      <c r="AN442" s="698"/>
      <c r="AO442" s="699"/>
      <c r="AP442" s="698"/>
    </row>
    <row r="443" spans="1:42" ht="14.85" customHeight="1" thickBot="1" x14ac:dyDescent="0.3">
      <c r="A443" s="612"/>
      <c r="B443" s="615"/>
      <c r="C443" s="618"/>
      <c r="D443" s="621"/>
      <c r="E443" s="124" t="s">
        <v>33</v>
      </c>
      <c r="F443" s="623">
        <f t="shared" ref="F443" si="1176">SUM(F440:G442)</f>
        <v>0</v>
      </c>
      <c r="G443" s="624"/>
      <c r="H443" s="625">
        <f t="shared" ref="H443" si="1177">SUM(H440:I442)</f>
        <v>0</v>
      </c>
      <c r="I443" s="626"/>
      <c r="J443" s="623">
        <f t="shared" ref="J443" si="1178">SUM(J440:K442)</f>
        <v>0</v>
      </c>
      <c r="K443" s="624"/>
      <c r="L443" s="625">
        <f t="shared" ref="L443" si="1179">SUM(L440:M442)</f>
        <v>0</v>
      </c>
      <c r="M443" s="642"/>
      <c r="N443" s="625">
        <f t="shared" ref="N443" si="1180">SUM(N440:O442)</f>
        <v>0</v>
      </c>
      <c r="O443" s="642"/>
      <c r="P443" s="623">
        <f t="shared" ref="P443" si="1181">SUM(P440:Q442)</f>
        <v>0</v>
      </c>
      <c r="Q443" s="626"/>
      <c r="R443" s="88">
        <f t="shared" ref="R443" si="1182">IF(AND(F443&gt;=$G$8,H443&gt;=$I$8,J443&gt;=$K$8,L443&gt;=$M$8,N443&gt;=$O$8,P443&gt;=$Q$8),SUM(F443:Q443),0)</f>
        <v>0</v>
      </c>
      <c r="S443" s="251"/>
      <c r="T443" s="97"/>
      <c r="U443" s="94"/>
      <c r="V443" s="606"/>
      <c r="W443" s="88" t="str">
        <f t="shared" ref="W443" si="1183">LOOKUP(R443,$AI$6:$AJ$10)</f>
        <v>ضعيف</v>
      </c>
      <c r="X443" s="641"/>
      <c r="Y443" s="8"/>
      <c r="Z443" s="599"/>
      <c r="AK443" s="667"/>
      <c r="AL443" s="667"/>
      <c r="AM443" s="696"/>
      <c r="AN443" s="698"/>
      <c r="AO443" s="699"/>
      <c r="AP443" s="698"/>
    </row>
    <row r="444" spans="1:42" ht="14.85" customHeight="1" thickBot="1" x14ac:dyDescent="0.3">
      <c r="A444" s="610">
        <v>96</v>
      </c>
      <c r="B444" s="613">
        <f>VLOOKUP(A444,مسلسل,2,0)</f>
        <v>0</v>
      </c>
      <c r="C444" s="616" t="str">
        <f>IFERROR(VLOOKUP(B444,اسماء,2,0),"")</f>
        <v/>
      </c>
      <c r="D444" s="619" t="str">
        <f>IFERROR(VLOOKUP($B444,اسماء,3,0),"")</f>
        <v/>
      </c>
      <c r="E444" s="129" t="s">
        <v>30</v>
      </c>
      <c r="F444" s="600">
        <f>IFERROR(VLOOKUP($B444,اسماء,5,0),0)</f>
        <v>0</v>
      </c>
      <c r="G444" s="601"/>
      <c r="H444" s="602">
        <f>IFERROR(VLOOKUP($B444,اسماء,6,0),0)</f>
        <v>0</v>
      </c>
      <c r="I444" s="622"/>
      <c r="J444" s="600">
        <f>IFERROR(VLOOKUP($B444,اسماء,7,0),0)</f>
        <v>0</v>
      </c>
      <c r="K444" s="601"/>
      <c r="L444" s="602">
        <f>IFERROR(VLOOKUP($B444,اسماء,8,0),0)</f>
        <v>0</v>
      </c>
      <c r="M444" s="603"/>
      <c r="N444" s="602">
        <f>IFERROR(VLOOKUP($B444,اسماء,9,0),0)</f>
        <v>0</v>
      </c>
      <c r="O444" s="603"/>
      <c r="P444" s="600">
        <f>IFERROR(VLOOKUP($B444,اسماء,10,0),0)</f>
        <v>0</v>
      </c>
      <c r="Q444" s="622"/>
      <c r="R444" s="371">
        <f t="shared" ref="R444" si="1184">SUM(F444:Q444)</f>
        <v>0</v>
      </c>
      <c r="S444" s="213" t="str">
        <f>IFERROR(VLOOKUP($B444,اسماء,12,0),"")</f>
        <v/>
      </c>
      <c r="T444" s="214" t="str">
        <f>IFERROR(VLOOKUP($B444,اسماء,13,0),"")</f>
        <v/>
      </c>
      <c r="U444" s="364" t="str">
        <f>IFERROR(VLOOKUP($B444,اسماء,14,0),"")</f>
        <v/>
      </c>
      <c r="V444" s="604" t="str">
        <f t="shared" ref="V444" si="1185">IF(Z444="غائب","راسب",IF(R447&gt;0,"ناجح","مرحل"))</f>
        <v>مرحل</v>
      </c>
      <c r="W444" s="19" t="str">
        <f t="shared" ref="W444:W445" si="1186">LOOKUP(R444,$AC$6:$AD$10)</f>
        <v>ضعيف</v>
      </c>
      <c r="X444" s="639">
        <f t="shared" ref="X444" si="1187">R447/$AC$3</f>
        <v>0</v>
      </c>
      <c r="Y444" s="68"/>
      <c r="Z444" s="597" t="str">
        <f>IFERROR(VLOOKUP($B444,اسماء,48,0),"")</f>
        <v/>
      </c>
      <c r="AK444" s="667" t="str">
        <f t="shared" ref="AK444" si="1188">IF(R447=0,"",R447/1+ROW()*0.00001)</f>
        <v/>
      </c>
      <c r="AL444" s="667">
        <f>B444</f>
        <v>0</v>
      </c>
      <c r="AM444" s="696"/>
      <c r="AN444" s="698">
        <v>96</v>
      </c>
      <c r="AO444" s="699" t="str">
        <f>IFERROR(LARGE($AK$10:$AK$1420,AN444),"")</f>
        <v/>
      </c>
      <c r="AP444" s="698" t="str">
        <f>VLOOKUP(AO444,$AK$10:$AL$1530,2,0)</f>
        <v>امجد عمر عبداللطيف سلطان</v>
      </c>
    </row>
    <row r="445" spans="1:42" ht="14.85" customHeight="1" x14ac:dyDescent="0.25">
      <c r="A445" s="611"/>
      <c r="B445" s="614"/>
      <c r="C445" s="617"/>
      <c r="D445" s="620"/>
      <c r="E445" s="130" t="s">
        <v>31</v>
      </c>
      <c r="F445" s="592">
        <f>IFERROR(VLOOKUP($B444,اسماء,15,0),0)</f>
        <v>0</v>
      </c>
      <c r="G445" s="593"/>
      <c r="H445" s="594">
        <f>IFERROR(VLOOKUP($B444,اسماء,16,0),0)</f>
        <v>0</v>
      </c>
      <c r="I445" s="595"/>
      <c r="J445" s="592">
        <f>IFERROR(VLOOKUP($B444,اسماء,17,0),0)</f>
        <v>0</v>
      </c>
      <c r="K445" s="593"/>
      <c r="L445" s="594">
        <f>IFERROR(VLOOKUP($B444,اسماء,18,0),0)</f>
        <v>0</v>
      </c>
      <c r="M445" s="596"/>
      <c r="N445" s="594">
        <f>IFERROR(VLOOKUP($B444,اسماء,19,0),0)</f>
        <v>0</v>
      </c>
      <c r="O445" s="596"/>
      <c r="P445" s="592">
        <f>IFERROR(VLOOKUP($B444,اسماء,20,0),0)</f>
        <v>0</v>
      </c>
      <c r="Q445" s="595"/>
      <c r="R445" s="372">
        <f t="shared" si="1134"/>
        <v>0</v>
      </c>
      <c r="S445" s="305" t="str">
        <f>IFERROR(VLOOKUP($B444,اسماء,23,0),"")</f>
        <v/>
      </c>
      <c r="T445" s="306" t="str">
        <f>IFERROR(VLOOKUP($B444,اسماء,24,0),"")</f>
        <v/>
      </c>
      <c r="U445" s="122" t="str">
        <f>IFERROR(VLOOKUP($B444,اسماء,25,0),"")</f>
        <v/>
      </c>
      <c r="V445" s="605"/>
      <c r="W445" s="19" t="str">
        <f t="shared" si="1186"/>
        <v>ضعيف</v>
      </c>
      <c r="X445" s="640"/>
      <c r="Y445" s="68"/>
      <c r="Z445" s="598"/>
      <c r="AK445" s="667"/>
      <c r="AL445" s="667"/>
      <c r="AM445" s="696"/>
      <c r="AN445" s="698"/>
      <c r="AO445" s="699"/>
      <c r="AP445" s="698"/>
    </row>
    <row r="446" spans="1:42" ht="14.85" customHeight="1" x14ac:dyDescent="0.25">
      <c r="A446" s="611"/>
      <c r="B446" s="614"/>
      <c r="C446" s="617"/>
      <c r="D446" s="620"/>
      <c r="E446" s="130" t="s">
        <v>32</v>
      </c>
      <c r="F446" s="592">
        <f>IFERROR(VLOOKUP($B444,اسماء,25,0),0)</f>
        <v>0</v>
      </c>
      <c r="G446" s="593"/>
      <c r="H446" s="594">
        <f>IFERROR(VLOOKUP($B444,اسماء,26,0),0)</f>
        <v>0</v>
      </c>
      <c r="I446" s="595"/>
      <c r="J446" s="592">
        <f>IFERROR(VLOOKUP($B444,اسماء,27,0),0)</f>
        <v>0</v>
      </c>
      <c r="K446" s="593"/>
      <c r="L446" s="594">
        <f>IFERROR(VLOOKUP($B444,اسماء,28,0),0)</f>
        <v>0</v>
      </c>
      <c r="M446" s="596"/>
      <c r="N446" s="594">
        <f>IFERROR(VLOOKUP($B444,اسماء,29,0),0)</f>
        <v>0</v>
      </c>
      <c r="O446" s="596"/>
      <c r="P446" s="592">
        <f>IFERROR(VLOOKUP($B444,اسماء,30,0),0)</f>
        <v>0</v>
      </c>
      <c r="Q446" s="595"/>
      <c r="R446" s="372">
        <f t="shared" si="1134"/>
        <v>0</v>
      </c>
      <c r="S446" s="305" t="str">
        <f>IFERROR(VLOOKUP($B444,اسماء,34,0),"")</f>
        <v/>
      </c>
      <c r="T446" s="306" t="str">
        <f>IFERROR(VLOOKUP($B444,اسماء,35,0),"")</f>
        <v/>
      </c>
      <c r="U446" s="122" t="str">
        <f>IFERROR(VLOOKUP($B444,اسماء,36,0),"")</f>
        <v/>
      </c>
      <c r="V446" s="605"/>
      <c r="W446" s="20" t="str">
        <f t="shared" ref="W446" si="1189">LOOKUP(R446,$AF$6:$AG$10)</f>
        <v>ضعيف</v>
      </c>
      <c r="X446" s="640"/>
      <c r="Y446" s="8"/>
      <c r="Z446" s="598"/>
      <c r="AK446" s="667"/>
      <c r="AL446" s="667"/>
      <c r="AM446" s="696"/>
      <c r="AN446" s="698"/>
      <c r="AO446" s="699"/>
      <c r="AP446" s="698"/>
    </row>
    <row r="447" spans="1:42" ht="14.85" customHeight="1" thickBot="1" x14ac:dyDescent="0.3">
      <c r="A447" s="612"/>
      <c r="B447" s="615"/>
      <c r="C447" s="618"/>
      <c r="D447" s="621"/>
      <c r="E447" s="124" t="s">
        <v>33</v>
      </c>
      <c r="F447" s="623">
        <f t="shared" ref="F447" si="1190">SUM(F444:G446)</f>
        <v>0</v>
      </c>
      <c r="G447" s="624"/>
      <c r="H447" s="625">
        <f t="shared" ref="H447" si="1191">SUM(H444:I446)</f>
        <v>0</v>
      </c>
      <c r="I447" s="626"/>
      <c r="J447" s="623">
        <f t="shared" ref="J447" si="1192">SUM(J444:K446)</f>
        <v>0</v>
      </c>
      <c r="K447" s="624"/>
      <c r="L447" s="625">
        <f t="shared" ref="L447" si="1193">SUM(L444:M446)</f>
        <v>0</v>
      </c>
      <c r="M447" s="642"/>
      <c r="N447" s="625">
        <f t="shared" ref="N447" si="1194">SUM(N444:O446)</f>
        <v>0</v>
      </c>
      <c r="O447" s="642"/>
      <c r="P447" s="623">
        <f t="shared" ref="P447" si="1195">SUM(P444:Q446)</f>
        <v>0</v>
      </c>
      <c r="Q447" s="626"/>
      <c r="R447" s="88">
        <f t="shared" ref="R447" si="1196">IF(AND(F447&gt;=$G$8,H447&gt;=$I$8,J447&gt;=$K$8,L447&gt;=$M$8,N447&gt;=$O$8,P447&gt;=$Q$8),SUM(F447:Q447),0)</f>
        <v>0</v>
      </c>
      <c r="S447" s="251"/>
      <c r="T447" s="97"/>
      <c r="U447" s="94"/>
      <c r="V447" s="606"/>
      <c r="W447" s="88" t="str">
        <f t="shared" ref="W447" si="1197">LOOKUP(R447,$AI$6:$AJ$10)</f>
        <v>ضعيف</v>
      </c>
      <c r="X447" s="641"/>
      <c r="Y447" s="68"/>
      <c r="Z447" s="599"/>
      <c r="AK447" s="667"/>
      <c r="AL447" s="667"/>
      <c r="AM447" s="696"/>
      <c r="AN447" s="698"/>
      <c r="AO447" s="699"/>
      <c r="AP447" s="698"/>
    </row>
    <row r="448" spans="1:42" ht="14.85" customHeight="1" thickBot="1" x14ac:dyDescent="0.3">
      <c r="A448" s="610">
        <v>97</v>
      </c>
      <c r="B448" s="613">
        <f>VLOOKUP(A448,مسلسل,2,0)</f>
        <v>0</v>
      </c>
      <c r="C448" s="616" t="str">
        <f>IFERROR(VLOOKUP(B448,اسماء,2,0),"")</f>
        <v/>
      </c>
      <c r="D448" s="619" t="str">
        <f>IFERROR(VLOOKUP($B448,اسماء,3,0),"")</f>
        <v/>
      </c>
      <c r="E448" s="129" t="s">
        <v>30</v>
      </c>
      <c r="F448" s="600">
        <f>IFERROR(VLOOKUP($B448,اسماء,5,0),0)</f>
        <v>0</v>
      </c>
      <c r="G448" s="601"/>
      <c r="H448" s="602">
        <f>IFERROR(VLOOKUP($B448,اسماء,6,0),0)</f>
        <v>0</v>
      </c>
      <c r="I448" s="622"/>
      <c r="J448" s="600">
        <f>IFERROR(VLOOKUP($B448,اسماء,7,0),0)</f>
        <v>0</v>
      </c>
      <c r="K448" s="601"/>
      <c r="L448" s="602">
        <f>IFERROR(VLOOKUP($B448,اسماء,8,0),0)</f>
        <v>0</v>
      </c>
      <c r="M448" s="603"/>
      <c r="N448" s="602">
        <f>IFERROR(VLOOKUP($B448,اسماء,9,0),0)</f>
        <v>0</v>
      </c>
      <c r="O448" s="603"/>
      <c r="P448" s="600">
        <f>IFERROR(VLOOKUP($B448,اسماء,10,0),0)</f>
        <v>0</v>
      </c>
      <c r="Q448" s="622"/>
      <c r="R448" s="371">
        <f t="shared" ref="R448" si="1198">SUM(F448:Q448)</f>
        <v>0</v>
      </c>
      <c r="S448" s="213" t="str">
        <f>IFERROR(VLOOKUP($B448,اسماء,12,0),"")</f>
        <v/>
      </c>
      <c r="T448" s="214" t="str">
        <f>IFERROR(VLOOKUP($B448,اسماء,13,0),"")</f>
        <v/>
      </c>
      <c r="U448" s="364" t="str">
        <f>IFERROR(VLOOKUP($B448,اسماء,14,0),"")</f>
        <v/>
      </c>
      <c r="V448" s="604" t="str">
        <f t="shared" ref="V448" si="1199">IF(Z448="غائب","راسب",IF(R451&gt;0,"ناجح","مرحل"))</f>
        <v>مرحل</v>
      </c>
      <c r="W448" s="19" t="str">
        <f t="shared" ref="W448:W449" si="1200">LOOKUP(R448,$AC$6:$AD$10)</f>
        <v>ضعيف</v>
      </c>
      <c r="X448" s="639">
        <f t="shared" ref="X448" si="1201">R451/$AC$3</f>
        <v>0</v>
      </c>
      <c r="Y448" s="68"/>
      <c r="Z448" s="597" t="str">
        <f>IFERROR(VLOOKUP($B448,اسماء,48,0),"")</f>
        <v/>
      </c>
      <c r="AK448" s="667" t="str">
        <f t="shared" ref="AK448" si="1202">IF(R451=0,"",R451/1+ROW()*0.00001)</f>
        <v/>
      </c>
      <c r="AL448" s="667">
        <f>B448</f>
        <v>0</v>
      </c>
      <c r="AM448" s="696"/>
      <c r="AN448" s="698">
        <v>97</v>
      </c>
      <c r="AO448" s="699" t="str">
        <f>IFERROR(LARGE($AK$10:$AK$1420,AN448),"")</f>
        <v/>
      </c>
      <c r="AP448" s="698" t="str">
        <f>VLOOKUP(AO448,$AK$10:$AL$1530,2,0)</f>
        <v>امجد عمر عبداللطيف سلطان</v>
      </c>
    </row>
    <row r="449" spans="1:42" ht="14.85" customHeight="1" x14ac:dyDescent="0.25">
      <c r="A449" s="611"/>
      <c r="B449" s="614"/>
      <c r="C449" s="617"/>
      <c r="D449" s="620"/>
      <c r="E449" s="130" t="s">
        <v>31</v>
      </c>
      <c r="F449" s="592">
        <f>IFERROR(VLOOKUP($B448,اسماء,15,0),0)</f>
        <v>0</v>
      </c>
      <c r="G449" s="593"/>
      <c r="H449" s="594">
        <f>IFERROR(VLOOKUP($B448,اسماء,16,0),0)</f>
        <v>0</v>
      </c>
      <c r="I449" s="595"/>
      <c r="J449" s="592">
        <f>IFERROR(VLOOKUP($B448,اسماء,17,0),0)</f>
        <v>0</v>
      </c>
      <c r="K449" s="593"/>
      <c r="L449" s="594">
        <f>IFERROR(VLOOKUP($B448,اسماء,18,0),0)</f>
        <v>0</v>
      </c>
      <c r="M449" s="596"/>
      <c r="N449" s="594">
        <f>IFERROR(VLOOKUP($B448,اسماء,19,0),0)</f>
        <v>0</v>
      </c>
      <c r="O449" s="596"/>
      <c r="P449" s="592">
        <f>IFERROR(VLOOKUP($B448,اسماء,20,0),0)</f>
        <v>0</v>
      </c>
      <c r="Q449" s="595"/>
      <c r="R449" s="372">
        <f t="shared" si="1134"/>
        <v>0</v>
      </c>
      <c r="S449" s="305" t="str">
        <f>IFERROR(VLOOKUP($B448,اسماء,23,0),"")</f>
        <v/>
      </c>
      <c r="T449" s="306" t="str">
        <f>IFERROR(VLOOKUP($B448,اسماء,24,0),"")</f>
        <v/>
      </c>
      <c r="U449" s="122" t="str">
        <f>IFERROR(VLOOKUP($B448,اسماء,25,0),"")</f>
        <v/>
      </c>
      <c r="V449" s="605"/>
      <c r="W449" s="19" t="str">
        <f t="shared" si="1200"/>
        <v>ضعيف</v>
      </c>
      <c r="X449" s="640"/>
      <c r="Y449" s="8"/>
      <c r="Z449" s="598"/>
      <c r="AK449" s="667"/>
      <c r="AL449" s="667"/>
      <c r="AM449" s="696"/>
      <c r="AN449" s="698"/>
      <c r="AO449" s="699"/>
      <c r="AP449" s="698"/>
    </row>
    <row r="450" spans="1:42" ht="14.85" customHeight="1" x14ac:dyDescent="0.25">
      <c r="A450" s="611"/>
      <c r="B450" s="614"/>
      <c r="C450" s="617"/>
      <c r="D450" s="620"/>
      <c r="E450" s="130" t="s">
        <v>32</v>
      </c>
      <c r="F450" s="592">
        <f>IFERROR(VLOOKUP($B448,اسماء,25,0),0)</f>
        <v>0</v>
      </c>
      <c r="G450" s="593"/>
      <c r="H450" s="594">
        <f>IFERROR(VLOOKUP($B448,اسماء,26,0),0)</f>
        <v>0</v>
      </c>
      <c r="I450" s="595"/>
      <c r="J450" s="592">
        <f>IFERROR(VLOOKUP($B448,اسماء,27,0),0)</f>
        <v>0</v>
      </c>
      <c r="K450" s="593"/>
      <c r="L450" s="594">
        <f>IFERROR(VLOOKUP($B448,اسماء,28,0),0)</f>
        <v>0</v>
      </c>
      <c r="M450" s="596"/>
      <c r="N450" s="594">
        <f>IFERROR(VLOOKUP($B448,اسماء,29,0),0)</f>
        <v>0</v>
      </c>
      <c r="O450" s="596"/>
      <c r="P450" s="592">
        <f>IFERROR(VLOOKUP($B448,اسماء,30,0),0)</f>
        <v>0</v>
      </c>
      <c r="Q450" s="595"/>
      <c r="R450" s="372">
        <f t="shared" si="1134"/>
        <v>0</v>
      </c>
      <c r="S450" s="305" t="str">
        <f>IFERROR(VLOOKUP($B448,اسماء,34,0),"")</f>
        <v/>
      </c>
      <c r="T450" s="306" t="str">
        <f>IFERROR(VLOOKUP($B448,اسماء,35,0),"")</f>
        <v/>
      </c>
      <c r="U450" s="122" t="str">
        <f>IFERROR(VLOOKUP($B448,اسماء,36,0),"")</f>
        <v/>
      </c>
      <c r="V450" s="605"/>
      <c r="W450" s="20" t="str">
        <f t="shared" ref="W450" si="1203">LOOKUP(R450,$AF$6:$AG$10)</f>
        <v>ضعيف</v>
      </c>
      <c r="X450" s="640"/>
      <c r="Y450" s="68"/>
      <c r="Z450" s="598"/>
      <c r="AK450" s="667"/>
      <c r="AL450" s="667"/>
      <c r="AM450" s="696"/>
      <c r="AN450" s="698"/>
      <c r="AO450" s="699"/>
      <c r="AP450" s="698"/>
    </row>
    <row r="451" spans="1:42" ht="14.85" customHeight="1" thickBot="1" x14ac:dyDescent="0.3">
      <c r="A451" s="612"/>
      <c r="B451" s="615"/>
      <c r="C451" s="618"/>
      <c r="D451" s="621"/>
      <c r="E451" s="124" t="s">
        <v>33</v>
      </c>
      <c r="F451" s="623">
        <f t="shared" ref="F451" si="1204">SUM(F448:G450)</f>
        <v>0</v>
      </c>
      <c r="G451" s="624"/>
      <c r="H451" s="625">
        <f t="shared" ref="H451" si="1205">SUM(H448:I450)</f>
        <v>0</v>
      </c>
      <c r="I451" s="626"/>
      <c r="J451" s="623">
        <f t="shared" ref="J451" si="1206">SUM(J448:K450)</f>
        <v>0</v>
      </c>
      <c r="K451" s="624"/>
      <c r="L451" s="625">
        <f t="shared" ref="L451" si="1207">SUM(L448:M450)</f>
        <v>0</v>
      </c>
      <c r="M451" s="642"/>
      <c r="N451" s="625">
        <f t="shared" ref="N451" si="1208">SUM(N448:O450)</f>
        <v>0</v>
      </c>
      <c r="O451" s="642"/>
      <c r="P451" s="623">
        <f t="shared" ref="P451" si="1209">SUM(P448:Q450)</f>
        <v>0</v>
      </c>
      <c r="Q451" s="626"/>
      <c r="R451" s="88">
        <f t="shared" ref="R451" si="1210">IF(AND(F451&gt;=$G$8,H451&gt;=$I$8,J451&gt;=$K$8,L451&gt;=$M$8,N451&gt;=$O$8,P451&gt;=$Q$8),SUM(F451:Q451),0)</f>
        <v>0</v>
      </c>
      <c r="S451" s="251"/>
      <c r="T451" s="97"/>
      <c r="U451" s="94"/>
      <c r="V451" s="606"/>
      <c r="W451" s="88" t="str">
        <f t="shared" ref="W451" si="1211">LOOKUP(R451,$AI$6:$AJ$10)</f>
        <v>ضعيف</v>
      </c>
      <c r="X451" s="641"/>
      <c r="Y451" s="68"/>
      <c r="Z451" s="599"/>
      <c r="AK451" s="667"/>
      <c r="AL451" s="667"/>
      <c r="AM451" s="696"/>
      <c r="AN451" s="698"/>
      <c r="AO451" s="699"/>
      <c r="AP451" s="698"/>
    </row>
    <row r="452" spans="1:42" ht="14.85" customHeight="1" thickBot="1" x14ac:dyDescent="0.3">
      <c r="A452" s="610">
        <v>98</v>
      </c>
      <c r="B452" s="613">
        <f>VLOOKUP(A452,مسلسل,2,0)</f>
        <v>0</v>
      </c>
      <c r="C452" s="616" t="str">
        <f>IFERROR(VLOOKUP(B452,اسماء,2,0),"")</f>
        <v/>
      </c>
      <c r="D452" s="619" t="str">
        <f>IFERROR(VLOOKUP($B452,اسماء,3,0),"")</f>
        <v/>
      </c>
      <c r="E452" s="129" t="s">
        <v>30</v>
      </c>
      <c r="F452" s="600">
        <f>IFERROR(VLOOKUP($B452,اسماء,5,0),0)</f>
        <v>0</v>
      </c>
      <c r="G452" s="601"/>
      <c r="H452" s="602">
        <f>IFERROR(VLOOKUP($B452,اسماء,6,0),0)</f>
        <v>0</v>
      </c>
      <c r="I452" s="622"/>
      <c r="J452" s="600">
        <f>IFERROR(VLOOKUP($B452,اسماء,7,0),0)</f>
        <v>0</v>
      </c>
      <c r="K452" s="601"/>
      <c r="L452" s="602">
        <f>IFERROR(VLOOKUP($B452,اسماء,8,0),0)</f>
        <v>0</v>
      </c>
      <c r="M452" s="603"/>
      <c r="N452" s="602">
        <f>IFERROR(VLOOKUP($B452,اسماء,9,0),0)</f>
        <v>0</v>
      </c>
      <c r="O452" s="603"/>
      <c r="P452" s="600">
        <f>IFERROR(VLOOKUP($B452,اسماء,10,0),0)</f>
        <v>0</v>
      </c>
      <c r="Q452" s="622"/>
      <c r="R452" s="371">
        <f t="shared" ref="R452" si="1212">SUM(F452:Q452)</f>
        <v>0</v>
      </c>
      <c r="S452" s="213" t="str">
        <f>IFERROR(VLOOKUP($B452,اسماء,12,0),"")</f>
        <v/>
      </c>
      <c r="T452" s="214" t="str">
        <f>IFERROR(VLOOKUP($B452,اسماء,13,0),"")</f>
        <v/>
      </c>
      <c r="U452" s="364" t="str">
        <f>IFERROR(VLOOKUP($B452,اسماء,14,0),"")</f>
        <v/>
      </c>
      <c r="V452" s="604" t="str">
        <f t="shared" ref="V452" si="1213">IF(Z452="غائب","راسب",IF(R455&gt;0,"ناجح","مرحل"))</f>
        <v>مرحل</v>
      </c>
      <c r="W452" s="19" t="str">
        <f t="shared" ref="W452:W453" si="1214">LOOKUP(R452,$AC$6:$AD$10)</f>
        <v>ضعيف</v>
      </c>
      <c r="X452" s="639">
        <f t="shared" ref="X452" si="1215">R455/$AC$3</f>
        <v>0</v>
      </c>
      <c r="Y452" s="8"/>
      <c r="Z452" s="597" t="str">
        <f>IFERROR(VLOOKUP($B452,اسماء,48,0),"")</f>
        <v/>
      </c>
      <c r="AK452" s="667" t="str">
        <f t="shared" ref="AK452" si="1216">IF(R455=0,"",R455/1+ROW()*0.00001)</f>
        <v/>
      </c>
      <c r="AL452" s="667">
        <f>B452</f>
        <v>0</v>
      </c>
      <c r="AM452" s="696"/>
      <c r="AN452" s="698">
        <v>98</v>
      </c>
      <c r="AO452" s="699" t="str">
        <f>IFERROR(LARGE($AK$10:$AK$1420,AN452),"")</f>
        <v/>
      </c>
      <c r="AP452" s="698" t="str">
        <f>VLOOKUP(AO452,$AK$10:$AL$1530,2,0)</f>
        <v>امجد عمر عبداللطيف سلطان</v>
      </c>
    </row>
    <row r="453" spans="1:42" ht="14.85" customHeight="1" x14ac:dyDescent="0.25">
      <c r="A453" s="611"/>
      <c r="B453" s="614"/>
      <c r="C453" s="617"/>
      <c r="D453" s="620"/>
      <c r="E453" s="130" t="s">
        <v>31</v>
      </c>
      <c r="F453" s="592">
        <f>IFERROR(VLOOKUP($B452,اسماء,15,0),0)</f>
        <v>0</v>
      </c>
      <c r="G453" s="593"/>
      <c r="H453" s="594">
        <f>IFERROR(VLOOKUP($B452,اسماء,16,0),0)</f>
        <v>0</v>
      </c>
      <c r="I453" s="595"/>
      <c r="J453" s="592">
        <f>IFERROR(VLOOKUP($B452,اسماء,17,0),0)</f>
        <v>0</v>
      </c>
      <c r="K453" s="593"/>
      <c r="L453" s="594">
        <f>IFERROR(VLOOKUP($B452,اسماء,18,0),0)</f>
        <v>0</v>
      </c>
      <c r="M453" s="596"/>
      <c r="N453" s="594">
        <f>IFERROR(VLOOKUP($B452,اسماء,19,0),0)</f>
        <v>0</v>
      </c>
      <c r="O453" s="596"/>
      <c r="P453" s="592">
        <f>IFERROR(VLOOKUP($B452,اسماء,20,0),0)</f>
        <v>0</v>
      </c>
      <c r="Q453" s="595"/>
      <c r="R453" s="372">
        <f t="shared" si="1134"/>
        <v>0</v>
      </c>
      <c r="S453" s="305" t="str">
        <f>IFERROR(VLOOKUP($B452,اسماء,23,0),"")</f>
        <v/>
      </c>
      <c r="T453" s="306" t="str">
        <f>IFERROR(VLOOKUP($B452,اسماء,24,0),"")</f>
        <v/>
      </c>
      <c r="U453" s="122" t="str">
        <f>IFERROR(VLOOKUP($B452,اسماء,25,0),"")</f>
        <v/>
      </c>
      <c r="V453" s="605"/>
      <c r="W453" s="19" t="str">
        <f t="shared" si="1214"/>
        <v>ضعيف</v>
      </c>
      <c r="X453" s="640"/>
      <c r="Y453" s="68"/>
      <c r="Z453" s="598"/>
      <c r="AK453" s="667"/>
      <c r="AL453" s="667"/>
      <c r="AM453" s="696"/>
      <c r="AN453" s="698"/>
      <c r="AO453" s="699"/>
      <c r="AP453" s="698"/>
    </row>
    <row r="454" spans="1:42" ht="14.85" customHeight="1" x14ac:dyDescent="0.25">
      <c r="A454" s="611"/>
      <c r="B454" s="614"/>
      <c r="C454" s="617"/>
      <c r="D454" s="620"/>
      <c r="E454" s="130" t="s">
        <v>32</v>
      </c>
      <c r="F454" s="592">
        <f>IFERROR(VLOOKUP($B452,اسماء,25,0),0)</f>
        <v>0</v>
      </c>
      <c r="G454" s="593"/>
      <c r="H454" s="594">
        <f>IFERROR(VLOOKUP($B452,اسماء,26,0),0)</f>
        <v>0</v>
      </c>
      <c r="I454" s="595"/>
      <c r="J454" s="592">
        <f>IFERROR(VLOOKUP($B452,اسماء,27,0),0)</f>
        <v>0</v>
      </c>
      <c r="K454" s="593"/>
      <c r="L454" s="594">
        <f>IFERROR(VLOOKUP($B452,اسماء,28,0),0)</f>
        <v>0</v>
      </c>
      <c r="M454" s="596"/>
      <c r="N454" s="594">
        <f>IFERROR(VLOOKUP($B452,اسماء,29,0),0)</f>
        <v>0</v>
      </c>
      <c r="O454" s="596"/>
      <c r="P454" s="592">
        <f>IFERROR(VLOOKUP($B452,اسماء,30,0),0)</f>
        <v>0</v>
      </c>
      <c r="Q454" s="595"/>
      <c r="R454" s="372">
        <f t="shared" si="1134"/>
        <v>0</v>
      </c>
      <c r="S454" s="305" t="str">
        <f>IFERROR(VLOOKUP($B452,اسماء,34,0),"")</f>
        <v/>
      </c>
      <c r="T454" s="306" t="str">
        <f>IFERROR(VLOOKUP($B452,اسماء,35,0),"")</f>
        <v/>
      </c>
      <c r="U454" s="122" t="str">
        <f>IFERROR(VLOOKUP($B452,اسماء,36,0),"")</f>
        <v/>
      </c>
      <c r="V454" s="605"/>
      <c r="W454" s="20" t="str">
        <f t="shared" ref="W454" si="1217">LOOKUP(R454,$AF$6:$AG$10)</f>
        <v>ضعيف</v>
      </c>
      <c r="X454" s="640"/>
      <c r="Y454" s="68"/>
      <c r="Z454" s="598"/>
      <c r="AK454" s="667"/>
      <c r="AL454" s="667"/>
      <c r="AM454" s="696"/>
      <c r="AN454" s="698"/>
      <c r="AO454" s="699"/>
      <c r="AP454" s="698"/>
    </row>
    <row r="455" spans="1:42" ht="14.85" customHeight="1" thickBot="1" x14ac:dyDescent="0.3">
      <c r="A455" s="612"/>
      <c r="B455" s="615"/>
      <c r="C455" s="618"/>
      <c r="D455" s="621"/>
      <c r="E455" s="124" t="s">
        <v>33</v>
      </c>
      <c r="F455" s="623">
        <f t="shared" ref="F455" si="1218">SUM(F452:G454)</f>
        <v>0</v>
      </c>
      <c r="G455" s="624"/>
      <c r="H455" s="625">
        <f t="shared" ref="H455" si="1219">SUM(H452:I454)</f>
        <v>0</v>
      </c>
      <c r="I455" s="626"/>
      <c r="J455" s="623">
        <f t="shared" ref="J455" si="1220">SUM(J452:K454)</f>
        <v>0</v>
      </c>
      <c r="K455" s="624"/>
      <c r="L455" s="625">
        <f t="shared" ref="L455" si="1221">SUM(L452:M454)</f>
        <v>0</v>
      </c>
      <c r="M455" s="642"/>
      <c r="N455" s="625">
        <f t="shared" ref="N455" si="1222">SUM(N452:O454)</f>
        <v>0</v>
      </c>
      <c r="O455" s="642"/>
      <c r="P455" s="623">
        <f t="shared" ref="P455" si="1223">SUM(P452:Q454)</f>
        <v>0</v>
      </c>
      <c r="Q455" s="626"/>
      <c r="R455" s="88">
        <f t="shared" ref="R455" si="1224">IF(AND(F455&gt;=$G$8,H455&gt;=$I$8,J455&gt;=$K$8,L455&gt;=$M$8,N455&gt;=$O$8,P455&gt;=$Q$8),SUM(F455:Q455),0)</f>
        <v>0</v>
      </c>
      <c r="S455" s="251"/>
      <c r="T455" s="97"/>
      <c r="U455" s="94"/>
      <c r="V455" s="606"/>
      <c r="W455" s="88" t="str">
        <f t="shared" ref="W455" si="1225">LOOKUP(R455,$AI$6:$AJ$10)</f>
        <v>ضعيف</v>
      </c>
      <c r="X455" s="641"/>
      <c r="Y455" s="8"/>
      <c r="Z455" s="599"/>
      <c r="AK455" s="667"/>
      <c r="AL455" s="667"/>
      <c r="AM455" s="696"/>
      <c r="AN455" s="698"/>
      <c r="AO455" s="699"/>
      <c r="AP455" s="698"/>
    </row>
    <row r="456" spans="1:42" ht="14.85" customHeight="1" thickBot="1" x14ac:dyDescent="0.3">
      <c r="A456" s="610">
        <v>99</v>
      </c>
      <c r="B456" s="613">
        <f>VLOOKUP(A456,مسلسل,2,0)</f>
        <v>0</v>
      </c>
      <c r="C456" s="616" t="str">
        <f>IFERROR(VLOOKUP(B456,اسماء,2,0),"")</f>
        <v/>
      </c>
      <c r="D456" s="619" t="str">
        <f>IFERROR(VLOOKUP($B456,اسماء,3,0),"")</f>
        <v/>
      </c>
      <c r="E456" s="129" t="s">
        <v>30</v>
      </c>
      <c r="F456" s="600">
        <f>IFERROR(VLOOKUP($B456,اسماء,5,0),0)</f>
        <v>0</v>
      </c>
      <c r="G456" s="601"/>
      <c r="H456" s="602">
        <f>IFERROR(VLOOKUP($B456,اسماء,6,0),0)</f>
        <v>0</v>
      </c>
      <c r="I456" s="622"/>
      <c r="J456" s="600">
        <f>IFERROR(VLOOKUP($B456,اسماء,7,0),0)</f>
        <v>0</v>
      </c>
      <c r="K456" s="601"/>
      <c r="L456" s="602">
        <f>IFERROR(VLOOKUP($B456,اسماء,8,0),0)</f>
        <v>0</v>
      </c>
      <c r="M456" s="603"/>
      <c r="N456" s="602">
        <f>IFERROR(VLOOKUP($B456,اسماء,9,0),0)</f>
        <v>0</v>
      </c>
      <c r="O456" s="603"/>
      <c r="P456" s="600">
        <f>IFERROR(VLOOKUP($B456,اسماء,10,0),0)</f>
        <v>0</v>
      </c>
      <c r="Q456" s="622"/>
      <c r="R456" s="371">
        <f t="shared" ref="R456" si="1226">SUM(F456:Q456)</f>
        <v>0</v>
      </c>
      <c r="S456" s="213" t="str">
        <f>IFERROR(VLOOKUP($B456,اسماء,12,0),"")</f>
        <v/>
      </c>
      <c r="T456" s="214" t="str">
        <f>IFERROR(VLOOKUP($B456,اسماء,13,0),"")</f>
        <v/>
      </c>
      <c r="U456" s="364" t="str">
        <f>IFERROR(VLOOKUP($B456,اسماء,14,0),"")</f>
        <v/>
      </c>
      <c r="V456" s="604" t="str">
        <f t="shared" ref="V456" si="1227">IF(Z456="غائب","راسب",IF(R459&gt;0,"ناجح","مرحل"))</f>
        <v>مرحل</v>
      </c>
      <c r="W456" s="19" t="str">
        <f t="shared" ref="W456:W457" si="1228">LOOKUP(R456,$AC$6:$AD$10)</f>
        <v>ضعيف</v>
      </c>
      <c r="X456" s="639">
        <f t="shared" ref="X456" si="1229">R459/$AC$3</f>
        <v>0</v>
      </c>
      <c r="Y456" s="68"/>
      <c r="Z456" s="597" t="str">
        <f>IFERROR(VLOOKUP($B456,اسماء,48,0),"")</f>
        <v/>
      </c>
      <c r="AK456" s="667" t="str">
        <f t="shared" ref="AK456" si="1230">IF(R459=0,"",R459/1+ROW()*0.00001)</f>
        <v/>
      </c>
      <c r="AL456" s="667">
        <f>B456</f>
        <v>0</v>
      </c>
      <c r="AM456" s="696"/>
      <c r="AN456" s="698">
        <v>99</v>
      </c>
      <c r="AO456" s="699" t="str">
        <f>IFERROR(LARGE($AK$10:$AK$1420,AN456),"")</f>
        <v/>
      </c>
      <c r="AP456" s="698" t="str">
        <f>VLOOKUP(AO456,$AK$10:$AL$1530,2,0)</f>
        <v>امجد عمر عبداللطيف سلطان</v>
      </c>
    </row>
    <row r="457" spans="1:42" ht="14.85" customHeight="1" x14ac:dyDescent="0.25">
      <c r="A457" s="611"/>
      <c r="B457" s="614"/>
      <c r="C457" s="617"/>
      <c r="D457" s="620"/>
      <c r="E457" s="130" t="s">
        <v>31</v>
      </c>
      <c r="F457" s="592">
        <f>IFERROR(VLOOKUP($B456,اسماء,15,0),0)</f>
        <v>0</v>
      </c>
      <c r="G457" s="593"/>
      <c r="H457" s="594">
        <f>IFERROR(VLOOKUP($B456,اسماء,16,0),0)</f>
        <v>0</v>
      </c>
      <c r="I457" s="595"/>
      <c r="J457" s="592">
        <f>IFERROR(VLOOKUP($B456,اسماء,17,0),0)</f>
        <v>0</v>
      </c>
      <c r="K457" s="593"/>
      <c r="L457" s="594">
        <f>IFERROR(VLOOKUP($B456,اسماء,18,0),0)</f>
        <v>0</v>
      </c>
      <c r="M457" s="596"/>
      <c r="N457" s="594">
        <f>IFERROR(VLOOKUP($B456,اسماء,19,0),0)</f>
        <v>0</v>
      </c>
      <c r="O457" s="596"/>
      <c r="P457" s="592">
        <f>IFERROR(VLOOKUP($B456,اسماء,20,0),0)</f>
        <v>0</v>
      </c>
      <c r="Q457" s="595"/>
      <c r="R457" s="372">
        <f t="shared" si="1134"/>
        <v>0</v>
      </c>
      <c r="S457" s="305" t="str">
        <f>IFERROR(VLOOKUP($B456,اسماء,23,0),"")</f>
        <v/>
      </c>
      <c r="T457" s="306" t="str">
        <f>IFERROR(VLOOKUP($B456,اسماء,24,0),"")</f>
        <v/>
      </c>
      <c r="U457" s="122" t="str">
        <f>IFERROR(VLOOKUP($B456,اسماء,25,0),"")</f>
        <v/>
      </c>
      <c r="V457" s="605"/>
      <c r="W457" s="19" t="str">
        <f t="shared" si="1228"/>
        <v>ضعيف</v>
      </c>
      <c r="X457" s="640"/>
      <c r="Y457" s="68"/>
      <c r="Z457" s="598"/>
      <c r="AK457" s="667"/>
      <c r="AL457" s="667"/>
      <c r="AM457" s="696"/>
      <c r="AN457" s="698"/>
      <c r="AO457" s="699"/>
      <c r="AP457" s="698"/>
    </row>
    <row r="458" spans="1:42" ht="14.85" customHeight="1" x14ac:dyDescent="0.25">
      <c r="A458" s="611"/>
      <c r="B458" s="614"/>
      <c r="C458" s="617"/>
      <c r="D458" s="620"/>
      <c r="E458" s="130" t="s">
        <v>32</v>
      </c>
      <c r="F458" s="592">
        <f>IFERROR(VLOOKUP($B456,اسماء,25,0),0)</f>
        <v>0</v>
      </c>
      <c r="G458" s="593"/>
      <c r="H458" s="594">
        <f>IFERROR(VLOOKUP($B456,اسماء,26,0),0)</f>
        <v>0</v>
      </c>
      <c r="I458" s="595"/>
      <c r="J458" s="592">
        <f>IFERROR(VLOOKUP($B456,اسماء,27,0),0)</f>
        <v>0</v>
      </c>
      <c r="K458" s="593"/>
      <c r="L458" s="594">
        <f>IFERROR(VLOOKUP($B456,اسماء,28,0),0)</f>
        <v>0</v>
      </c>
      <c r="M458" s="596"/>
      <c r="N458" s="594">
        <f>IFERROR(VLOOKUP($B456,اسماء,29,0),0)</f>
        <v>0</v>
      </c>
      <c r="O458" s="596"/>
      <c r="P458" s="592">
        <f>IFERROR(VLOOKUP($B456,اسماء,30,0),0)</f>
        <v>0</v>
      </c>
      <c r="Q458" s="595"/>
      <c r="R458" s="372">
        <f t="shared" si="1134"/>
        <v>0</v>
      </c>
      <c r="S458" s="305" t="str">
        <f>IFERROR(VLOOKUP($B456,اسماء,34,0),"")</f>
        <v/>
      </c>
      <c r="T458" s="306" t="str">
        <f>IFERROR(VLOOKUP($B456,اسماء,35,0),"")</f>
        <v/>
      </c>
      <c r="U458" s="122" t="str">
        <f>IFERROR(VLOOKUP($B456,اسماء,36,0),"")</f>
        <v/>
      </c>
      <c r="V458" s="605"/>
      <c r="W458" s="20" t="str">
        <f t="shared" ref="W458" si="1231">LOOKUP(R458,$AF$6:$AG$10)</f>
        <v>ضعيف</v>
      </c>
      <c r="X458" s="640"/>
      <c r="Y458" s="8"/>
      <c r="Z458" s="598"/>
      <c r="AK458" s="667"/>
      <c r="AL458" s="667"/>
      <c r="AM458" s="696"/>
      <c r="AN458" s="698"/>
      <c r="AO458" s="699"/>
      <c r="AP458" s="698"/>
    </row>
    <row r="459" spans="1:42" ht="14.85" customHeight="1" thickBot="1" x14ac:dyDescent="0.3">
      <c r="A459" s="612"/>
      <c r="B459" s="615"/>
      <c r="C459" s="618"/>
      <c r="D459" s="621"/>
      <c r="E459" s="124" t="s">
        <v>33</v>
      </c>
      <c r="F459" s="623">
        <f t="shared" ref="F459" si="1232">SUM(F456:G458)</f>
        <v>0</v>
      </c>
      <c r="G459" s="624"/>
      <c r="H459" s="625">
        <f t="shared" ref="H459" si="1233">SUM(H456:I458)</f>
        <v>0</v>
      </c>
      <c r="I459" s="626"/>
      <c r="J459" s="623">
        <f t="shared" ref="J459" si="1234">SUM(J456:K458)</f>
        <v>0</v>
      </c>
      <c r="K459" s="624"/>
      <c r="L459" s="625">
        <f t="shared" ref="L459" si="1235">SUM(L456:M458)</f>
        <v>0</v>
      </c>
      <c r="M459" s="642"/>
      <c r="N459" s="625">
        <f t="shared" ref="N459" si="1236">SUM(N456:O458)</f>
        <v>0</v>
      </c>
      <c r="O459" s="642"/>
      <c r="P459" s="623">
        <f t="shared" ref="P459" si="1237">SUM(P456:Q458)</f>
        <v>0</v>
      </c>
      <c r="Q459" s="626"/>
      <c r="R459" s="88">
        <f t="shared" ref="R459" si="1238">IF(AND(F459&gt;=$G$8,H459&gt;=$I$8,J459&gt;=$K$8,L459&gt;=$M$8,N459&gt;=$O$8,P459&gt;=$Q$8),SUM(F459:Q459),0)</f>
        <v>0</v>
      </c>
      <c r="S459" s="251"/>
      <c r="T459" s="97"/>
      <c r="U459" s="94"/>
      <c r="V459" s="606"/>
      <c r="W459" s="88" t="str">
        <f t="shared" ref="W459" si="1239">LOOKUP(R459,$AI$6:$AJ$10)</f>
        <v>ضعيف</v>
      </c>
      <c r="X459" s="641"/>
      <c r="Y459" s="68"/>
      <c r="Z459" s="599"/>
      <c r="AK459" s="667"/>
      <c r="AL459" s="667"/>
      <c r="AM459" s="696"/>
      <c r="AN459" s="698"/>
      <c r="AO459" s="699"/>
      <c r="AP459" s="698"/>
    </row>
    <row r="460" spans="1:42" ht="14.85" customHeight="1" thickBot="1" x14ac:dyDescent="0.3">
      <c r="A460" s="610">
        <v>100</v>
      </c>
      <c r="B460" s="613">
        <f>VLOOKUP(A460,مسلسل,2,0)</f>
        <v>0</v>
      </c>
      <c r="C460" s="616" t="str">
        <f>IFERROR(VLOOKUP(B460,اسماء,2,0),"")</f>
        <v/>
      </c>
      <c r="D460" s="619" t="str">
        <f>IFERROR(VLOOKUP($B460,اسماء,3,0),"")</f>
        <v/>
      </c>
      <c r="E460" s="129" t="s">
        <v>30</v>
      </c>
      <c r="F460" s="600">
        <f>IFERROR(VLOOKUP($B460,اسماء,5,0),0)</f>
        <v>0</v>
      </c>
      <c r="G460" s="601"/>
      <c r="H460" s="602">
        <f>IFERROR(VLOOKUP($B460,اسماء,6,0),0)</f>
        <v>0</v>
      </c>
      <c r="I460" s="622"/>
      <c r="J460" s="600">
        <f>IFERROR(VLOOKUP($B460,اسماء,7,0),0)</f>
        <v>0</v>
      </c>
      <c r="K460" s="601"/>
      <c r="L460" s="602">
        <f>IFERROR(VLOOKUP($B460,اسماء,8,0),0)</f>
        <v>0</v>
      </c>
      <c r="M460" s="603"/>
      <c r="N460" s="602">
        <f>IFERROR(VLOOKUP($B460,اسماء,9,0),0)</f>
        <v>0</v>
      </c>
      <c r="O460" s="603"/>
      <c r="P460" s="600">
        <f>IFERROR(VLOOKUP($B460,اسماء,10,0),0)</f>
        <v>0</v>
      </c>
      <c r="Q460" s="622"/>
      <c r="R460" s="371">
        <f t="shared" ref="R460" si="1240">SUM(F460:Q460)</f>
        <v>0</v>
      </c>
      <c r="S460" s="213" t="str">
        <f>IFERROR(VLOOKUP($B460,اسماء,12,0),"")</f>
        <v/>
      </c>
      <c r="T460" s="214" t="str">
        <f>IFERROR(VLOOKUP($B460,اسماء,13,0),"")</f>
        <v/>
      </c>
      <c r="U460" s="364" t="str">
        <f>IFERROR(VLOOKUP($B460,اسماء,14,0),"")</f>
        <v/>
      </c>
      <c r="V460" s="604" t="str">
        <f t="shared" ref="V460" si="1241">IF(Z460="غائب","راسب",IF(R463&gt;0,"ناجح","مرحل"))</f>
        <v>مرحل</v>
      </c>
      <c r="W460" s="19" t="str">
        <f t="shared" ref="W460:W461" si="1242">LOOKUP(R460,$AC$6:$AD$10)</f>
        <v>ضعيف</v>
      </c>
      <c r="X460" s="639">
        <f t="shared" ref="X460" si="1243">R463/$AC$3</f>
        <v>0</v>
      </c>
      <c r="Y460" s="68"/>
      <c r="Z460" s="597" t="str">
        <f>IFERROR(VLOOKUP($B460,اسماء,48,0),"")</f>
        <v/>
      </c>
      <c r="AK460" s="667" t="str">
        <f t="shared" ref="AK460" si="1244">IF(R463=0,"",R463/1+ROW()*0.00001)</f>
        <v/>
      </c>
      <c r="AL460" s="667">
        <f>B460</f>
        <v>0</v>
      </c>
      <c r="AM460" s="696"/>
      <c r="AN460" s="698">
        <v>100</v>
      </c>
      <c r="AO460" s="699" t="str">
        <f>IFERROR(LARGE($AK$10:$AK$1420,AN460),"")</f>
        <v/>
      </c>
      <c r="AP460" s="698" t="str">
        <f>VLOOKUP(AO460,$AK$10:$AL$1530,2,0)</f>
        <v>امجد عمر عبداللطيف سلطان</v>
      </c>
    </row>
    <row r="461" spans="1:42" ht="14.85" customHeight="1" x14ac:dyDescent="0.25">
      <c r="A461" s="611"/>
      <c r="B461" s="614"/>
      <c r="C461" s="617"/>
      <c r="D461" s="620"/>
      <c r="E461" s="130" t="s">
        <v>31</v>
      </c>
      <c r="F461" s="592">
        <f>IFERROR(VLOOKUP($B460,اسماء,15,0),0)</f>
        <v>0</v>
      </c>
      <c r="G461" s="593"/>
      <c r="H461" s="594">
        <f>IFERROR(VLOOKUP($B460,اسماء,16,0),0)</f>
        <v>0</v>
      </c>
      <c r="I461" s="595"/>
      <c r="J461" s="592">
        <f>IFERROR(VLOOKUP($B460,اسماء,17,0),0)</f>
        <v>0</v>
      </c>
      <c r="K461" s="593"/>
      <c r="L461" s="594">
        <f>IFERROR(VLOOKUP($B460,اسماء,18,0),0)</f>
        <v>0</v>
      </c>
      <c r="M461" s="596"/>
      <c r="N461" s="594">
        <f>IFERROR(VLOOKUP($B460,اسماء,19,0),0)</f>
        <v>0</v>
      </c>
      <c r="O461" s="596"/>
      <c r="P461" s="592">
        <f>IFERROR(VLOOKUP($B460,اسماء,20,0),0)</f>
        <v>0</v>
      </c>
      <c r="Q461" s="595"/>
      <c r="R461" s="372">
        <f t="shared" si="1134"/>
        <v>0</v>
      </c>
      <c r="S461" s="305" t="str">
        <f>IFERROR(VLOOKUP($B460,اسماء,23,0),"")</f>
        <v/>
      </c>
      <c r="T461" s="306" t="str">
        <f>IFERROR(VLOOKUP($B460,اسماء,24,0),"")</f>
        <v/>
      </c>
      <c r="U461" s="122" t="str">
        <f>IFERROR(VLOOKUP($B460,اسماء,25,0),"")</f>
        <v/>
      </c>
      <c r="V461" s="605"/>
      <c r="W461" s="19" t="str">
        <f t="shared" si="1242"/>
        <v>ضعيف</v>
      </c>
      <c r="X461" s="640"/>
      <c r="Y461" s="8"/>
      <c r="Z461" s="598"/>
      <c r="AK461" s="667"/>
      <c r="AL461" s="667"/>
      <c r="AM461" s="696"/>
      <c r="AN461" s="698"/>
      <c r="AO461" s="699"/>
      <c r="AP461" s="698"/>
    </row>
    <row r="462" spans="1:42" ht="14.85" customHeight="1" x14ac:dyDescent="0.25">
      <c r="A462" s="611"/>
      <c r="B462" s="614"/>
      <c r="C462" s="617"/>
      <c r="D462" s="620"/>
      <c r="E462" s="130" t="s">
        <v>32</v>
      </c>
      <c r="F462" s="592">
        <f>IFERROR(VLOOKUP($B460,اسماء,25,0),0)</f>
        <v>0</v>
      </c>
      <c r="G462" s="593"/>
      <c r="H462" s="594">
        <f>IFERROR(VLOOKUP($B460,اسماء,26,0),0)</f>
        <v>0</v>
      </c>
      <c r="I462" s="595"/>
      <c r="J462" s="592">
        <f>IFERROR(VLOOKUP($B460,اسماء,27,0),0)</f>
        <v>0</v>
      </c>
      <c r="K462" s="593"/>
      <c r="L462" s="594">
        <f>IFERROR(VLOOKUP($B460,اسماء,28,0),0)</f>
        <v>0</v>
      </c>
      <c r="M462" s="596"/>
      <c r="N462" s="594">
        <f>IFERROR(VLOOKUP($B460,اسماء,29,0),0)</f>
        <v>0</v>
      </c>
      <c r="O462" s="596"/>
      <c r="P462" s="592">
        <f>IFERROR(VLOOKUP($B460,اسماء,30,0),0)</f>
        <v>0</v>
      </c>
      <c r="Q462" s="595"/>
      <c r="R462" s="372">
        <f t="shared" si="1134"/>
        <v>0</v>
      </c>
      <c r="S462" s="305" t="str">
        <f>IFERROR(VLOOKUP($B460,اسماء,34,0),"")</f>
        <v/>
      </c>
      <c r="T462" s="306" t="str">
        <f>IFERROR(VLOOKUP($B460,اسماء,35,0),"")</f>
        <v/>
      </c>
      <c r="U462" s="122" t="str">
        <f>IFERROR(VLOOKUP($B460,اسماء,36,0),"")</f>
        <v/>
      </c>
      <c r="V462" s="605"/>
      <c r="W462" s="20" t="str">
        <f t="shared" ref="W462" si="1245">LOOKUP(R462,$AF$6:$AG$10)</f>
        <v>ضعيف</v>
      </c>
      <c r="X462" s="640"/>
      <c r="Y462" s="68"/>
      <c r="Z462" s="598"/>
      <c r="AK462" s="667"/>
      <c r="AL462" s="667"/>
      <c r="AM462" s="696"/>
      <c r="AN462" s="698"/>
      <c r="AO462" s="699"/>
      <c r="AP462" s="698"/>
    </row>
    <row r="463" spans="1:42" ht="14.85" customHeight="1" thickBot="1" x14ac:dyDescent="0.3">
      <c r="A463" s="612"/>
      <c r="B463" s="615"/>
      <c r="C463" s="618"/>
      <c r="D463" s="621"/>
      <c r="E463" s="124" t="s">
        <v>33</v>
      </c>
      <c r="F463" s="623">
        <f t="shared" ref="F463" si="1246">SUM(F460:G462)</f>
        <v>0</v>
      </c>
      <c r="G463" s="624"/>
      <c r="H463" s="625">
        <f t="shared" ref="H463" si="1247">SUM(H460:I462)</f>
        <v>0</v>
      </c>
      <c r="I463" s="626"/>
      <c r="J463" s="623">
        <f t="shared" ref="J463" si="1248">SUM(J460:K462)</f>
        <v>0</v>
      </c>
      <c r="K463" s="624"/>
      <c r="L463" s="625">
        <f t="shared" ref="L463" si="1249">SUM(L460:M462)</f>
        <v>0</v>
      </c>
      <c r="M463" s="642"/>
      <c r="N463" s="625">
        <f t="shared" ref="N463" si="1250">SUM(N460:O462)</f>
        <v>0</v>
      </c>
      <c r="O463" s="642"/>
      <c r="P463" s="623">
        <f t="shared" ref="P463" si="1251">SUM(P460:Q462)</f>
        <v>0</v>
      </c>
      <c r="Q463" s="626"/>
      <c r="R463" s="88">
        <f t="shared" ref="R463" si="1252">IF(AND(F463&gt;=$G$8,H463&gt;=$I$8,J463&gt;=$K$8,L463&gt;=$M$8,N463&gt;=$O$8,P463&gt;=$Q$8),SUM(F463:Q463),0)</f>
        <v>0</v>
      </c>
      <c r="S463" s="251"/>
      <c r="T463" s="97"/>
      <c r="U463" s="94"/>
      <c r="V463" s="606"/>
      <c r="W463" s="88" t="str">
        <f t="shared" ref="W463" si="1253">LOOKUP(R463,$AI$6:$AJ$10)</f>
        <v>ضعيف</v>
      </c>
      <c r="X463" s="641"/>
      <c r="Y463" s="68"/>
      <c r="Z463" s="599"/>
      <c r="AK463" s="667"/>
      <c r="AL463" s="667"/>
      <c r="AM463" s="696"/>
      <c r="AN463" s="698"/>
      <c r="AO463" s="699"/>
      <c r="AP463" s="698"/>
    </row>
    <row r="464" spans="1:42" ht="14.85" customHeight="1" thickBot="1" x14ac:dyDescent="0.3">
      <c r="F464" s="71"/>
      <c r="G464" s="72"/>
      <c r="H464" s="71"/>
      <c r="I464" s="72"/>
      <c r="J464" s="71"/>
      <c r="K464" s="72"/>
      <c r="L464" s="71"/>
      <c r="M464" s="72"/>
      <c r="N464" s="71"/>
      <c r="O464" s="72"/>
      <c r="P464" s="71"/>
      <c r="Q464" s="72"/>
      <c r="R464" s="70"/>
      <c r="S464" s="73"/>
      <c r="T464" s="70"/>
      <c r="U464" s="70"/>
      <c r="V464" s="70"/>
      <c r="W464" s="70"/>
      <c r="X464" s="254"/>
      <c r="Y464" s="68"/>
      <c r="AH464" s="74"/>
    </row>
    <row r="465" spans="1:42" customFormat="1" ht="14.85" customHeight="1" x14ac:dyDescent="0.3">
      <c r="A465" s="668" t="s">
        <v>9</v>
      </c>
      <c r="B465" s="669"/>
      <c r="C465" s="670"/>
      <c r="D465" s="277" t="s">
        <v>11</v>
      </c>
      <c r="E465" s="674" t="s">
        <v>96</v>
      </c>
      <c r="F465" s="663"/>
      <c r="G465" s="663"/>
      <c r="H465" s="663"/>
      <c r="I465" s="663"/>
      <c r="J465" s="7"/>
      <c r="K465" s="7"/>
      <c r="L465" s="7"/>
      <c r="M465" s="7"/>
      <c r="N465" s="7"/>
      <c r="O465" s="7"/>
      <c r="P465" s="7"/>
      <c r="Q465" s="663" t="s">
        <v>156</v>
      </c>
      <c r="R465" s="663"/>
      <c r="S465" s="663"/>
      <c r="T465" s="663"/>
      <c r="U465" s="663"/>
      <c r="V465" s="663"/>
      <c r="W465" s="1"/>
      <c r="X465" s="255"/>
      <c r="Z465" s="75"/>
      <c r="AA465" s="76"/>
      <c r="AB465" s="76"/>
      <c r="AC465" s="76"/>
      <c r="AD465" s="76"/>
    </row>
    <row r="466" spans="1:42" customFormat="1" ht="14.85" customHeight="1" x14ac:dyDescent="0.25">
      <c r="A466" s="77" t="s">
        <v>8</v>
      </c>
      <c r="B466" s="671">
        <f>ادخال1!$BJ$3</f>
        <v>0</v>
      </c>
      <c r="C466" s="672"/>
      <c r="D466" s="278"/>
      <c r="E466" s="7" t="s">
        <v>9</v>
      </c>
      <c r="F466" s="673" t="str">
        <f>ادخال1!$BJ$5</f>
        <v>د. عبدالرحمن خليفة العريبي</v>
      </c>
      <c r="G466" s="673"/>
      <c r="H466" s="673"/>
      <c r="I466" s="673"/>
      <c r="J466" s="673"/>
      <c r="K466" s="673"/>
      <c r="L466" s="673"/>
      <c r="M466" s="673"/>
      <c r="N466" s="673"/>
      <c r="O466" s="673"/>
      <c r="P466" s="7"/>
      <c r="Q466" s="673" t="str">
        <f>ادخال1!$BJ$6</f>
        <v>تاجوراء</v>
      </c>
      <c r="R466" s="673"/>
      <c r="S466" s="673"/>
      <c r="T466" s="673"/>
      <c r="U466" s="673"/>
      <c r="V466" s="673"/>
      <c r="W466" s="673"/>
      <c r="X466" s="63"/>
      <c r="Y466" s="63"/>
      <c r="Z466" s="75"/>
      <c r="AA466" s="75"/>
      <c r="AB466" s="75"/>
      <c r="AC466" s="75"/>
    </row>
    <row r="467" spans="1:42" customFormat="1" ht="14.85" customHeight="1" thickBot="1" x14ac:dyDescent="0.3">
      <c r="A467" s="78" t="s">
        <v>97</v>
      </c>
      <c r="B467" s="665">
        <f>ادخال1!$BJ$4</f>
        <v>0</v>
      </c>
      <c r="C467" s="666"/>
      <c r="D467" s="279"/>
      <c r="E467" s="7" t="s">
        <v>11</v>
      </c>
      <c r="F467" s="667"/>
      <c r="G467" s="667"/>
      <c r="H467" s="667"/>
      <c r="I467" s="667"/>
      <c r="J467" s="667"/>
      <c r="K467" s="667"/>
      <c r="L467" s="667"/>
      <c r="M467" s="667"/>
      <c r="N467" s="667"/>
      <c r="O467" s="667"/>
      <c r="P467" s="7"/>
      <c r="Q467" s="7" t="s">
        <v>11</v>
      </c>
      <c r="R467" s="1"/>
      <c r="S467" s="1"/>
      <c r="T467" s="1"/>
      <c r="U467" s="1"/>
      <c r="V467" s="1"/>
      <c r="W467" s="1"/>
      <c r="X467" s="255"/>
      <c r="Z467" s="75"/>
      <c r="AA467" s="75"/>
      <c r="AB467" s="75"/>
      <c r="AC467" s="75"/>
    </row>
    <row r="468" spans="1:42" customFormat="1" ht="14.85" customHeight="1" x14ac:dyDescent="0.25">
      <c r="A468" s="663" t="s">
        <v>98</v>
      </c>
      <c r="B468" s="663"/>
      <c r="C468" s="663"/>
      <c r="D468" s="663"/>
      <c r="E468" s="663" t="s">
        <v>99</v>
      </c>
      <c r="F468" s="663"/>
      <c r="G468" s="663"/>
      <c r="H468" s="663"/>
      <c r="I468" s="663"/>
      <c r="J468" s="663"/>
      <c r="K468" s="663"/>
      <c r="L468" s="663"/>
      <c r="M468" s="663"/>
      <c r="N468" s="663"/>
      <c r="O468" s="663"/>
      <c r="P468" s="663"/>
      <c r="Q468" s="663"/>
      <c r="R468" s="7"/>
      <c r="S468" s="664">
        <f ca="1">TODAY()</f>
        <v>46009</v>
      </c>
      <c r="T468" s="664"/>
      <c r="U468" s="664"/>
      <c r="V468" s="664"/>
      <c r="W468" s="664"/>
      <c r="X468" s="255"/>
    </row>
    <row r="469" spans="1:42" customFormat="1" ht="14.85" customHeight="1" thickBot="1" x14ac:dyDescent="0.3">
      <c r="A469" s="7"/>
      <c r="B469" s="663" t="s">
        <v>100</v>
      </c>
      <c r="C469" s="663"/>
      <c r="D469" s="663"/>
      <c r="E469" s="663" t="s">
        <v>101</v>
      </c>
      <c r="F469" s="663"/>
      <c r="G469" s="663"/>
      <c r="H469" s="663"/>
      <c r="I469" s="663"/>
      <c r="J469" s="663"/>
      <c r="K469" s="663"/>
      <c r="L469" s="663"/>
      <c r="M469" s="663"/>
      <c r="N469" s="663"/>
      <c r="O469" s="663"/>
      <c r="P469" s="663"/>
      <c r="Q469" s="663"/>
      <c r="R469" s="1"/>
      <c r="S469" s="1"/>
      <c r="T469" s="1"/>
      <c r="U469" s="1"/>
      <c r="V469" s="1"/>
      <c r="W469" s="1"/>
      <c r="X469" s="255"/>
    </row>
    <row r="470" spans="1:42" ht="14.85" customHeight="1" thickBot="1" x14ac:dyDescent="0.3">
      <c r="A470" s="610">
        <v>101</v>
      </c>
      <c r="B470" s="613">
        <f>VLOOKUP(A470,مسلسل,2,0)</f>
        <v>0</v>
      </c>
      <c r="C470" s="616" t="str">
        <f>IFERROR(VLOOKUP(B470,اسماء,2,0),"")</f>
        <v/>
      </c>
      <c r="D470" s="619" t="str">
        <f>IFERROR(VLOOKUP($B470,اسماء,3,0),"")</f>
        <v/>
      </c>
      <c r="E470" s="129" t="s">
        <v>30</v>
      </c>
      <c r="F470" s="600">
        <f>IFERROR(VLOOKUP($B470,اسماء,5,0),0)</f>
        <v>0</v>
      </c>
      <c r="G470" s="601"/>
      <c r="H470" s="602">
        <f>IFERROR(VLOOKUP($B470,اسماء,6,0),0)</f>
        <v>0</v>
      </c>
      <c r="I470" s="622"/>
      <c r="J470" s="600">
        <f>IFERROR(VLOOKUP($B470,اسماء,7,0),0)</f>
        <v>0</v>
      </c>
      <c r="K470" s="601"/>
      <c r="L470" s="602">
        <f>IFERROR(VLOOKUP($B470,اسماء,8,0),0)</f>
        <v>0</v>
      </c>
      <c r="M470" s="603"/>
      <c r="N470" s="602">
        <f>IFERROR(VLOOKUP($B470,اسماء,9,0),0)</f>
        <v>0</v>
      </c>
      <c r="O470" s="603"/>
      <c r="P470" s="600">
        <f>IFERROR(VLOOKUP($B470,اسماء,10,0),0)</f>
        <v>0</v>
      </c>
      <c r="Q470" s="622"/>
      <c r="R470" s="371">
        <f>SUM(F470:Q470)</f>
        <v>0</v>
      </c>
      <c r="S470" s="325" t="str">
        <f>IFERROR(VLOOKUP($B470,اسماء,12,0),"")</f>
        <v/>
      </c>
      <c r="T470" s="326" t="str">
        <f>IFERROR(VLOOKUP($B470,اسماء,13,0),"")</f>
        <v/>
      </c>
      <c r="U470" s="92" t="str">
        <f>IFERROR(VLOOKUP($B470,اسماء,14,0),"")</f>
        <v/>
      </c>
      <c r="V470" s="604" t="str">
        <f t="shared" ref="V470" si="1254">IF(Z470="غائب","راسب",IF(R473&gt;0,"ناجح","مرحل"))</f>
        <v>مرحل</v>
      </c>
      <c r="W470" s="19" t="str">
        <f t="shared" ref="W470:W471" si="1255">LOOKUP(R470,$AC$6:$AD$10)</f>
        <v>ضعيف</v>
      </c>
      <c r="X470" s="639">
        <f t="shared" ref="X470" si="1256">R473/$AC$3</f>
        <v>0</v>
      </c>
      <c r="Y470" s="8"/>
      <c r="Z470" s="597" t="str">
        <f>IFERROR(VLOOKUP($B470,اسماء,48,0),"")</f>
        <v/>
      </c>
      <c r="AK470" s="671" t="str">
        <f>IF(R473=0,"",R473/1+ROW()*0.00001)</f>
        <v/>
      </c>
      <c r="AL470" s="671">
        <f>B470</f>
        <v>0</v>
      </c>
      <c r="AM470" s="696"/>
      <c r="AN470" s="698">
        <v>101</v>
      </c>
      <c r="AO470" s="699" t="str">
        <f>IFERROR(LARGE($AK$10:$AK$1420,AN470),"")</f>
        <v/>
      </c>
      <c r="AP470" s="698" t="str">
        <f>VLOOKUP(AO470,$AK$10:$AL$1530,2,0)</f>
        <v>امجد عمر عبداللطيف سلطان</v>
      </c>
    </row>
    <row r="471" spans="1:42" ht="14.85" customHeight="1" x14ac:dyDescent="0.25">
      <c r="A471" s="611"/>
      <c r="B471" s="614"/>
      <c r="C471" s="617"/>
      <c r="D471" s="620"/>
      <c r="E471" s="130" t="s">
        <v>31</v>
      </c>
      <c r="F471" s="592">
        <f>IFERROR(VLOOKUP($B470,اسماء,16,0),0)</f>
        <v>0</v>
      </c>
      <c r="G471" s="593"/>
      <c r="H471" s="594">
        <f>IFERROR(VLOOKUP($B470,اسماء,17,0),0)</f>
        <v>0</v>
      </c>
      <c r="I471" s="595"/>
      <c r="J471" s="592">
        <f>IFERROR(VLOOKUP($B470,اسماء,18,0),0)</f>
        <v>0</v>
      </c>
      <c r="K471" s="593"/>
      <c r="L471" s="594">
        <f>IFERROR(VLOOKUP($B470,اسماء,19,0),0)</f>
        <v>0</v>
      </c>
      <c r="M471" s="596"/>
      <c r="N471" s="594">
        <f>IFERROR(VLOOKUP($B470,اسماء,20,0),0)</f>
        <v>0</v>
      </c>
      <c r="O471" s="596"/>
      <c r="P471" s="592">
        <f>IFERROR(VLOOKUP($B470,اسماء,21,0),0)</f>
        <v>0</v>
      </c>
      <c r="Q471" s="595"/>
      <c r="R471" s="372">
        <f t="shared" ref="R471:R472" si="1257">SUM(F471:Q471)</f>
        <v>0</v>
      </c>
      <c r="S471" s="305" t="str">
        <f>IFERROR(VLOOKUP($B470,اسماء,23,0),"")</f>
        <v/>
      </c>
      <c r="T471" s="306" t="str">
        <f>IFERROR(VLOOKUP($B470,اسماء,24,0),"")</f>
        <v/>
      </c>
      <c r="U471" s="122" t="str">
        <f>IFERROR(VLOOKUP($B470,اسماء,25,0),"")</f>
        <v/>
      </c>
      <c r="V471" s="605"/>
      <c r="W471" s="19" t="str">
        <f t="shared" si="1255"/>
        <v>ضعيف</v>
      </c>
      <c r="X471" s="640"/>
      <c r="Y471" s="68"/>
      <c r="Z471" s="598"/>
      <c r="AK471" s="671"/>
      <c r="AL471" s="671"/>
      <c r="AM471" s="696"/>
      <c r="AN471" s="698"/>
      <c r="AO471" s="699"/>
      <c r="AP471" s="698"/>
    </row>
    <row r="472" spans="1:42" ht="14.85" customHeight="1" x14ac:dyDescent="0.25">
      <c r="A472" s="611"/>
      <c r="B472" s="614"/>
      <c r="C472" s="617"/>
      <c r="D472" s="620"/>
      <c r="E472" s="130" t="s">
        <v>32</v>
      </c>
      <c r="F472" s="592">
        <f>IFERROR(VLOOKUP($B470,اسماء,27,0),0)</f>
        <v>0</v>
      </c>
      <c r="G472" s="593"/>
      <c r="H472" s="594">
        <f>IFERROR(VLOOKUP($B470,اسماء,28,0),0)</f>
        <v>0</v>
      </c>
      <c r="I472" s="595"/>
      <c r="J472" s="592">
        <f>IFERROR(VLOOKUP($B470,اسماء,29,0),0)</f>
        <v>0</v>
      </c>
      <c r="K472" s="593"/>
      <c r="L472" s="594">
        <f>IFERROR(VLOOKUP($B470,اسماء,30,0),0)</f>
        <v>0</v>
      </c>
      <c r="M472" s="596"/>
      <c r="N472" s="594">
        <f>IFERROR(VLOOKUP($B470,اسماء,31,0),0)</f>
        <v>0</v>
      </c>
      <c r="O472" s="596"/>
      <c r="P472" s="592">
        <f>IFERROR(VLOOKUP($B470,اسماء,32,0),0)</f>
        <v>0</v>
      </c>
      <c r="Q472" s="595"/>
      <c r="R472" s="372">
        <f t="shared" si="1257"/>
        <v>0</v>
      </c>
      <c r="S472" s="305" t="str">
        <f>IFERROR(VLOOKUP($B470,اسماء,34,0),"")</f>
        <v/>
      </c>
      <c r="T472" s="306" t="str">
        <f>IFERROR(VLOOKUP($B470,اسماء,35,0),"")</f>
        <v/>
      </c>
      <c r="U472" s="122" t="str">
        <f>IFERROR(VLOOKUP($B470,اسماء,36,0),"")</f>
        <v/>
      </c>
      <c r="V472" s="605"/>
      <c r="W472" s="20" t="str">
        <f t="shared" ref="W472" si="1258">LOOKUP(R472,$AF$6:$AG$10)</f>
        <v>ضعيف</v>
      </c>
      <c r="X472" s="640"/>
      <c r="Y472" s="68"/>
      <c r="Z472" s="598"/>
      <c r="AK472" s="671"/>
      <c r="AL472" s="671"/>
      <c r="AM472" s="696"/>
      <c r="AN472" s="698"/>
      <c r="AO472" s="699"/>
      <c r="AP472" s="698"/>
    </row>
    <row r="473" spans="1:42" ht="14.85" customHeight="1" thickBot="1" x14ac:dyDescent="0.3">
      <c r="A473" s="612"/>
      <c r="B473" s="615"/>
      <c r="C473" s="618"/>
      <c r="D473" s="621"/>
      <c r="E473" s="124" t="s">
        <v>33</v>
      </c>
      <c r="F473" s="623">
        <f>SUM(F470:G472)</f>
        <v>0</v>
      </c>
      <c r="G473" s="624"/>
      <c r="H473" s="625">
        <f>SUM(H470:I472)</f>
        <v>0</v>
      </c>
      <c r="I473" s="626"/>
      <c r="J473" s="623">
        <f>SUM(J470:K472)</f>
        <v>0</v>
      </c>
      <c r="K473" s="624"/>
      <c r="L473" s="625">
        <f>SUM(L470:M472)</f>
        <v>0</v>
      </c>
      <c r="M473" s="642"/>
      <c r="N473" s="625">
        <f>SUM(N470:O472)</f>
        <v>0</v>
      </c>
      <c r="O473" s="642"/>
      <c r="P473" s="623">
        <f>SUM(P470:Q472)</f>
        <v>0</v>
      </c>
      <c r="Q473" s="626"/>
      <c r="R473" s="88">
        <f>IF(AND(F473&gt;=$G$8,H473&gt;=$I$8,J473&gt;=$K$8,L473&gt;=$M$8,N473&gt;=$O$8,P473&gt;=$Q$8),SUM(F473:Q473),0)</f>
        <v>0</v>
      </c>
      <c r="S473" s="251"/>
      <c r="T473" s="97"/>
      <c r="U473" s="94"/>
      <c r="V473" s="606"/>
      <c r="W473" s="88" t="str">
        <f t="shared" ref="W473" si="1259">LOOKUP(R473,$AI$6:$AJ$10)</f>
        <v>ضعيف</v>
      </c>
      <c r="X473" s="641"/>
      <c r="Y473" s="8"/>
      <c r="Z473" s="599"/>
      <c r="AK473" s="671"/>
      <c r="AL473" s="671"/>
      <c r="AM473" s="696"/>
      <c r="AN473" s="698"/>
      <c r="AO473" s="699"/>
      <c r="AP473" s="698"/>
    </row>
    <row r="474" spans="1:42" ht="14.85" customHeight="1" thickBot="1" x14ac:dyDescent="0.3">
      <c r="A474" s="610">
        <v>102</v>
      </c>
      <c r="B474" s="613">
        <f>VLOOKUP(A474,مسلسل,2,0)</f>
        <v>0</v>
      </c>
      <c r="C474" s="616" t="str">
        <f>IFERROR(VLOOKUP(B474,اسماء,2,0),"")</f>
        <v/>
      </c>
      <c r="D474" s="619" t="str">
        <f>IFERROR(VLOOKUP($B474,اسماء,3,0),"")</f>
        <v/>
      </c>
      <c r="E474" s="129" t="s">
        <v>30</v>
      </c>
      <c r="F474" s="600">
        <f>IFERROR(VLOOKUP($B474,اسماء,5,0),0)</f>
        <v>0</v>
      </c>
      <c r="G474" s="601"/>
      <c r="H474" s="602">
        <f>IFERROR(VLOOKUP($B474,اسماء,6,0),0)</f>
        <v>0</v>
      </c>
      <c r="I474" s="622"/>
      <c r="J474" s="600">
        <f>IFERROR(VLOOKUP($B474,اسماء,7,0),0)</f>
        <v>0</v>
      </c>
      <c r="K474" s="601"/>
      <c r="L474" s="602">
        <f>IFERROR(VLOOKUP($B474,اسماء,8,0),0)</f>
        <v>0</v>
      </c>
      <c r="M474" s="603"/>
      <c r="N474" s="602">
        <f>IFERROR(VLOOKUP($B474,اسماء,9,0),0)</f>
        <v>0</v>
      </c>
      <c r="O474" s="603"/>
      <c r="P474" s="600">
        <f>IFERROR(VLOOKUP($B474,اسماء,10,0),0)</f>
        <v>0</v>
      </c>
      <c r="Q474" s="622"/>
      <c r="R474" s="371">
        <f t="shared" ref="R474:R508" si="1260">SUM(F474:Q474)</f>
        <v>0</v>
      </c>
      <c r="S474" s="213" t="str">
        <f>IFERROR(VLOOKUP($B474,اسماء,12,0),"")</f>
        <v/>
      </c>
      <c r="T474" s="214" t="str">
        <f>IFERROR(VLOOKUP($B474,اسماء,13,0),"")</f>
        <v/>
      </c>
      <c r="U474" s="364" t="str">
        <f>IFERROR(VLOOKUP($B474,اسماء,14,0),"")</f>
        <v/>
      </c>
      <c r="V474" s="604" t="str">
        <f t="shared" ref="V474" si="1261">IF(Z474="غائب","راسب",IF(R477&gt;0,"ناجح","مرحل"))</f>
        <v>مرحل</v>
      </c>
      <c r="W474" s="19" t="str">
        <f t="shared" ref="W474:W475" si="1262">LOOKUP(R474,$AC$6:$AD$10)</f>
        <v>ضعيف</v>
      </c>
      <c r="X474" s="639">
        <f t="shared" ref="X474" si="1263">R477/$AC$3</f>
        <v>0</v>
      </c>
      <c r="Y474" s="68"/>
      <c r="Z474" s="597" t="str">
        <f>IFERROR(VLOOKUP($B474,اسماء,48,0),"")</f>
        <v/>
      </c>
      <c r="AK474" s="667" t="str">
        <f t="shared" ref="AK474" si="1264">IF(R477=0,"",R477/1+ROW()*0.00001)</f>
        <v/>
      </c>
      <c r="AL474" s="667">
        <f>B474</f>
        <v>0</v>
      </c>
      <c r="AM474" s="696"/>
      <c r="AN474" s="698">
        <v>102</v>
      </c>
      <c r="AO474" s="699" t="str">
        <f>IFERROR(LARGE($AK$10:$AK$1420,AN474),"")</f>
        <v/>
      </c>
      <c r="AP474" s="698" t="str">
        <f>VLOOKUP(AO474,$AK$10:$AL$1530,2,0)</f>
        <v>امجد عمر عبداللطيف سلطان</v>
      </c>
    </row>
    <row r="475" spans="1:42" ht="14.85" customHeight="1" x14ac:dyDescent="0.25">
      <c r="A475" s="611"/>
      <c r="B475" s="614"/>
      <c r="C475" s="617"/>
      <c r="D475" s="620"/>
      <c r="E475" s="130" t="s">
        <v>31</v>
      </c>
      <c r="F475" s="592">
        <f>IFERROR(VLOOKUP($B474,اسماء,15,0),0)</f>
        <v>0</v>
      </c>
      <c r="G475" s="593"/>
      <c r="H475" s="594">
        <f>IFERROR(VLOOKUP($B474,اسماء,16,0),0)</f>
        <v>0</v>
      </c>
      <c r="I475" s="595"/>
      <c r="J475" s="592">
        <f>IFERROR(VLOOKUP($B474,اسماء,17,0),0)</f>
        <v>0</v>
      </c>
      <c r="K475" s="593"/>
      <c r="L475" s="594">
        <f>IFERROR(VLOOKUP($B474,اسماء,18,0),0)</f>
        <v>0</v>
      </c>
      <c r="M475" s="596"/>
      <c r="N475" s="594">
        <f>IFERROR(VLOOKUP($B474,اسماء,19,0),0)</f>
        <v>0</v>
      </c>
      <c r="O475" s="596"/>
      <c r="P475" s="592">
        <f>IFERROR(VLOOKUP($B474,اسماء,20,0),0)</f>
        <v>0</v>
      </c>
      <c r="Q475" s="595"/>
      <c r="R475" s="372">
        <f t="shared" si="1260"/>
        <v>0</v>
      </c>
      <c r="S475" s="305" t="str">
        <f>IFERROR(VLOOKUP($B474,اسماء,23,0),"")</f>
        <v/>
      </c>
      <c r="T475" s="306" t="str">
        <f>IFERROR(VLOOKUP($B474,اسماء,24,0),"")</f>
        <v/>
      </c>
      <c r="U475" s="122" t="str">
        <f>IFERROR(VLOOKUP($B474,اسماء,25,0),"")</f>
        <v/>
      </c>
      <c r="V475" s="605"/>
      <c r="W475" s="19" t="str">
        <f t="shared" si="1262"/>
        <v>ضعيف</v>
      </c>
      <c r="X475" s="640"/>
      <c r="Y475" s="68"/>
      <c r="Z475" s="598"/>
      <c r="AK475" s="667"/>
      <c r="AL475" s="667"/>
      <c r="AM475" s="696"/>
      <c r="AN475" s="698"/>
      <c r="AO475" s="699"/>
      <c r="AP475" s="698"/>
    </row>
    <row r="476" spans="1:42" ht="14.85" customHeight="1" x14ac:dyDescent="0.25">
      <c r="A476" s="611"/>
      <c r="B476" s="614"/>
      <c r="C476" s="617"/>
      <c r="D476" s="620"/>
      <c r="E476" s="130" t="s">
        <v>32</v>
      </c>
      <c r="F476" s="592">
        <f>IFERROR(VLOOKUP($B474,اسماء,25,0),0)</f>
        <v>0</v>
      </c>
      <c r="G476" s="593"/>
      <c r="H476" s="594">
        <f>IFERROR(VLOOKUP($B474,اسماء,26,0),0)</f>
        <v>0</v>
      </c>
      <c r="I476" s="595"/>
      <c r="J476" s="592">
        <f>IFERROR(VLOOKUP($B474,اسماء,27,0),0)</f>
        <v>0</v>
      </c>
      <c r="K476" s="593"/>
      <c r="L476" s="594">
        <f>IFERROR(VLOOKUP($B474,اسماء,28,0),0)</f>
        <v>0</v>
      </c>
      <c r="M476" s="596"/>
      <c r="N476" s="594">
        <f>IFERROR(VLOOKUP($B474,اسماء,29,0),0)</f>
        <v>0</v>
      </c>
      <c r="O476" s="596"/>
      <c r="P476" s="592">
        <f>IFERROR(VLOOKUP($B474,اسماء,30,0),0)</f>
        <v>0</v>
      </c>
      <c r="Q476" s="595"/>
      <c r="R476" s="372">
        <f t="shared" si="1260"/>
        <v>0</v>
      </c>
      <c r="S476" s="305" t="str">
        <f>IFERROR(VLOOKUP($B474,اسماء,34,0),"")</f>
        <v/>
      </c>
      <c r="T476" s="306" t="str">
        <f>IFERROR(VLOOKUP($B474,اسماء,35,0),"")</f>
        <v/>
      </c>
      <c r="U476" s="122" t="str">
        <f>IFERROR(VLOOKUP($B474,اسماء,36,0),"")</f>
        <v/>
      </c>
      <c r="V476" s="605"/>
      <c r="W476" s="20" t="str">
        <f t="shared" ref="W476" si="1265">LOOKUP(R476,$AF$6:$AG$10)</f>
        <v>ضعيف</v>
      </c>
      <c r="X476" s="640"/>
      <c r="Y476" s="8"/>
      <c r="Z476" s="598"/>
      <c r="AK476" s="667"/>
      <c r="AL476" s="667"/>
      <c r="AM476" s="696"/>
      <c r="AN476" s="698"/>
      <c r="AO476" s="699"/>
      <c r="AP476" s="698"/>
    </row>
    <row r="477" spans="1:42" ht="14.85" customHeight="1" thickBot="1" x14ac:dyDescent="0.3">
      <c r="A477" s="612"/>
      <c r="B477" s="615"/>
      <c r="C477" s="618"/>
      <c r="D477" s="621"/>
      <c r="E477" s="124" t="s">
        <v>33</v>
      </c>
      <c r="F477" s="623">
        <f>SUM(F474:G476)</f>
        <v>0</v>
      </c>
      <c r="G477" s="624"/>
      <c r="H477" s="625">
        <f>SUM(H474:I476)</f>
        <v>0</v>
      </c>
      <c r="I477" s="626"/>
      <c r="J477" s="623">
        <f>SUM(J474:K476)</f>
        <v>0</v>
      </c>
      <c r="K477" s="624"/>
      <c r="L477" s="625">
        <f>SUM(L474:M476)</f>
        <v>0</v>
      </c>
      <c r="M477" s="642"/>
      <c r="N477" s="625">
        <f>SUM(N474:O476)</f>
        <v>0</v>
      </c>
      <c r="O477" s="642"/>
      <c r="P477" s="623">
        <f>SUM(P474:Q476)</f>
        <v>0</v>
      </c>
      <c r="Q477" s="626"/>
      <c r="R477" s="88">
        <f t="shared" ref="R477" si="1266">IF(AND(F477&gt;=$G$8,H477&gt;=$I$8,J477&gt;=$K$8,L477&gt;=$M$8,N477&gt;=$O$8,P477&gt;=$Q$8),SUM(F477:Q477),0)</f>
        <v>0</v>
      </c>
      <c r="S477" s="251"/>
      <c r="T477" s="97"/>
      <c r="U477" s="94"/>
      <c r="V477" s="606"/>
      <c r="W477" s="88" t="str">
        <f t="shared" ref="W477" si="1267">LOOKUP(R477,$AI$6:$AJ$10)</f>
        <v>ضعيف</v>
      </c>
      <c r="X477" s="641"/>
      <c r="Y477" s="68"/>
      <c r="Z477" s="599"/>
      <c r="AK477" s="667"/>
      <c r="AL477" s="667"/>
      <c r="AM477" s="696"/>
      <c r="AN477" s="698"/>
      <c r="AO477" s="699"/>
      <c r="AP477" s="698"/>
    </row>
    <row r="478" spans="1:42" ht="14.85" customHeight="1" thickBot="1" x14ac:dyDescent="0.3">
      <c r="A478" s="610">
        <v>103</v>
      </c>
      <c r="B478" s="613">
        <f>VLOOKUP(A478,مسلسل,2,0)</f>
        <v>0</v>
      </c>
      <c r="C478" s="616" t="str">
        <f>IFERROR(VLOOKUP(B478,اسماء,2,0),"")</f>
        <v/>
      </c>
      <c r="D478" s="619" t="str">
        <f>IFERROR(VLOOKUP($B478,اسماء,3,0),"")</f>
        <v/>
      </c>
      <c r="E478" s="129" t="s">
        <v>30</v>
      </c>
      <c r="F478" s="600">
        <f>IFERROR(VLOOKUP($B478,اسماء,5,0),0)</f>
        <v>0</v>
      </c>
      <c r="G478" s="601"/>
      <c r="H478" s="602">
        <f>IFERROR(VLOOKUP($B478,اسماء,6,0),0)</f>
        <v>0</v>
      </c>
      <c r="I478" s="622"/>
      <c r="J478" s="600">
        <f>IFERROR(VLOOKUP($B478,اسماء,7,0),0)</f>
        <v>0</v>
      </c>
      <c r="K478" s="601"/>
      <c r="L478" s="602">
        <f>IFERROR(VLOOKUP($B478,اسماء,8,0),0)</f>
        <v>0</v>
      </c>
      <c r="M478" s="603"/>
      <c r="N478" s="602">
        <f>IFERROR(VLOOKUP($B478,اسماء,9,0),0)</f>
        <v>0</v>
      </c>
      <c r="O478" s="603"/>
      <c r="P478" s="600">
        <f>IFERROR(VLOOKUP($B478,اسماء,10,0),0)</f>
        <v>0</v>
      </c>
      <c r="Q478" s="622"/>
      <c r="R478" s="371">
        <f t="shared" ref="R478" si="1268">SUM(F478:Q478)</f>
        <v>0</v>
      </c>
      <c r="S478" s="213" t="str">
        <f>IFERROR(VLOOKUP($B478,اسماء,12,0),"")</f>
        <v/>
      </c>
      <c r="T478" s="214" t="str">
        <f>IFERROR(VLOOKUP($B478,اسماء,13,0),"")</f>
        <v/>
      </c>
      <c r="U478" s="364" t="str">
        <f>IFERROR(VLOOKUP($B478,اسماء,14,0),"")</f>
        <v/>
      </c>
      <c r="V478" s="604" t="str">
        <f t="shared" ref="V478" si="1269">IF(Z478="غائب","راسب",IF(R481&gt;0,"ناجح","مرحل"))</f>
        <v>مرحل</v>
      </c>
      <c r="W478" s="19" t="str">
        <f t="shared" ref="W478:W479" si="1270">LOOKUP(R478,$AC$6:$AD$10)</f>
        <v>ضعيف</v>
      </c>
      <c r="X478" s="639">
        <f t="shared" ref="X478" si="1271">R481/$AC$3</f>
        <v>0</v>
      </c>
      <c r="Y478" s="68"/>
      <c r="Z478" s="597" t="str">
        <f>IFERROR(VLOOKUP($B478,اسماء,48,0),"")</f>
        <v/>
      </c>
      <c r="AK478" s="667" t="str">
        <f t="shared" ref="AK478" si="1272">IF(R481=0,"",R481/1+ROW()*0.00001)</f>
        <v/>
      </c>
      <c r="AL478" s="667">
        <f>B478</f>
        <v>0</v>
      </c>
      <c r="AM478" s="696"/>
      <c r="AN478" s="698">
        <v>103</v>
      </c>
      <c r="AO478" s="699" t="str">
        <f>IFERROR(LARGE($AK$10:$AK$1420,AN478),"")</f>
        <v/>
      </c>
      <c r="AP478" s="698" t="str">
        <f>VLOOKUP(AO478,$AK$10:$AL$1530,2,0)</f>
        <v>امجد عمر عبداللطيف سلطان</v>
      </c>
    </row>
    <row r="479" spans="1:42" ht="14.85" customHeight="1" x14ac:dyDescent="0.25">
      <c r="A479" s="611"/>
      <c r="B479" s="614"/>
      <c r="C479" s="617"/>
      <c r="D479" s="620"/>
      <c r="E479" s="130" t="s">
        <v>31</v>
      </c>
      <c r="F479" s="592">
        <f>IFERROR(VLOOKUP($B478,اسماء,15,0),0)</f>
        <v>0</v>
      </c>
      <c r="G479" s="593"/>
      <c r="H479" s="594">
        <f>IFERROR(VLOOKUP($B478,اسماء,16,0),0)</f>
        <v>0</v>
      </c>
      <c r="I479" s="595"/>
      <c r="J479" s="592">
        <f>IFERROR(VLOOKUP($B478,اسماء,17,0),0)</f>
        <v>0</v>
      </c>
      <c r="K479" s="593"/>
      <c r="L479" s="594">
        <f>IFERROR(VLOOKUP($B478,اسماء,18,0),0)</f>
        <v>0</v>
      </c>
      <c r="M479" s="596"/>
      <c r="N479" s="594">
        <f>IFERROR(VLOOKUP($B478,اسماء,19,0),0)</f>
        <v>0</v>
      </c>
      <c r="O479" s="596"/>
      <c r="P479" s="592">
        <f>IFERROR(VLOOKUP($B478,اسماء,20,0),0)</f>
        <v>0</v>
      </c>
      <c r="Q479" s="595"/>
      <c r="R479" s="372">
        <f t="shared" si="1260"/>
        <v>0</v>
      </c>
      <c r="S479" s="305" t="str">
        <f>IFERROR(VLOOKUP($B478,اسماء,23,0),"")</f>
        <v/>
      </c>
      <c r="T479" s="306" t="str">
        <f>IFERROR(VLOOKUP($B478,اسماء,24,0),"")</f>
        <v/>
      </c>
      <c r="U479" s="122" t="str">
        <f>IFERROR(VLOOKUP($B478,اسماء,25,0),"")</f>
        <v/>
      </c>
      <c r="V479" s="605"/>
      <c r="W479" s="19" t="str">
        <f t="shared" si="1270"/>
        <v>ضعيف</v>
      </c>
      <c r="X479" s="640"/>
      <c r="Y479" s="8"/>
      <c r="Z479" s="598"/>
      <c r="AK479" s="667"/>
      <c r="AL479" s="667"/>
      <c r="AM479" s="696"/>
      <c r="AN479" s="698"/>
      <c r="AO479" s="699"/>
      <c r="AP479" s="698"/>
    </row>
    <row r="480" spans="1:42" ht="14.85" customHeight="1" x14ac:dyDescent="0.25">
      <c r="A480" s="611"/>
      <c r="B480" s="614"/>
      <c r="C480" s="617"/>
      <c r="D480" s="620"/>
      <c r="E480" s="130" t="s">
        <v>32</v>
      </c>
      <c r="F480" s="592">
        <f>IFERROR(VLOOKUP($B478,اسماء,25,0),0)</f>
        <v>0</v>
      </c>
      <c r="G480" s="593"/>
      <c r="H480" s="594">
        <f>IFERROR(VLOOKUP($B478,اسماء,26,0),0)</f>
        <v>0</v>
      </c>
      <c r="I480" s="595"/>
      <c r="J480" s="592">
        <f>IFERROR(VLOOKUP($B478,اسماء,27,0),0)</f>
        <v>0</v>
      </c>
      <c r="K480" s="593"/>
      <c r="L480" s="594">
        <f>IFERROR(VLOOKUP($B478,اسماء,28,0),0)</f>
        <v>0</v>
      </c>
      <c r="M480" s="596"/>
      <c r="N480" s="594">
        <f>IFERROR(VLOOKUP($B478,اسماء,29,0),0)</f>
        <v>0</v>
      </c>
      <c r="O480" s="596"/>
      <c r="P480" s="592">
        <f>IFERROR(VLOOKUP($B478,اسماء,30,0),0)</f>
        <v>0</v>
      </c>
      <c r="Q480" s="595"/>
      <c r="R480" s="372">
        <f t="shared" si="1260"/>
        <v>0</v>
      </c>
      <c r="S480" s="305" t="str">
        <f>IFERROR(VLOOKUP($B478,اسماء,34,0),"")</f>
        <v/>
      </c>
      <c r="T480" s="306" t="str">
        <f>IFERROR(VLOOKUP($B478,اسماء,35,0),"")</f>
        <v/>
      </c>
      <c r="U480" s="122" t="str">
        <f>IFERROR(VLOOKUP($B478,اسماء,36,0),"")</f>
        <v/>
      </c>
      <c r="V480" s="605"/>
      <c r="W480" s="20" t="str">
        <f t="shared" ref="W480" si="1273">LOOKUP(R480,$AF$6:$AG$10)</f>
        <v>ضعيف</v>
      </c>
      <c r="X480" s="640"/>
      <c r="Y480" s="68"/>
      <c r="Z480" s="598"/>
      <c r="AK480" s="667"/>
      <c r="AL480" s="667"/>
      <c r="AM480" s="696"/>
      <c r="AN480" s="698"/>
      <c r="AO480" s="699"/>
      <c r="AP480" s="698"/>
    </row>
    <row r="481" spans="1:42" ht="14.85" customHeight="1" thickBot="1" x14ac:dyDescent="0.3">
      <c r="A481" s="612"/>
      <c r="B481" s="615"/>
      <c r="C481" s="618"/>
      <c r="D481" s="621"/>
      <c r="E481" s="124" t="s">
        <v>33</v>
      </c>
      <c r="F481" s="623">
        <f t="shared" ref="F481" si="1274">SUM(F478:G480)</f>
        <v>0</v>
      </c>
      <c r="G481" s="624"/>
      <c r="H481" s="625">
        <f t="shared" ref="H481" si="1275">SUM(H478:I480)</f>
        <v>0</v>
      </c>
      <c r="I481" s="626"/>
      <c r="J481" s="623">
        <f t="shared" ref="J481" si="1276">SUM(J478:K480)</f>
        <v>0</v>
      </c>
      <c r="K481" s="624"/>
      <c r="L481" s="625">
        <f t="shared" ref="L481" si="1277">SUM(L478:M480)</f>
        <v>0</v>
      </c>
      <c r="M481" s="642"/>
      <c r="N481" s="625">
        <f t="shared" ref="N481" si="1278">SUM(N478:O480)</f>
        <v>0</v>
      </c>
      <c r="O481" s="642"/>
      <c r="P481" s="623">
        <f t="shared" ref="P481" si="1279">SUM(P478:Q480)</f>
        <v>0</v>
      </c>
      <c r="Q481" s="626"/>
      <c r="R481" s="88">
        <f t="shared" ref="R481" si="1280">IF(AND(F481&gt;=$G$8,H481&gt;=$I$8,J481&gt;=$K$8,L481&gt;=$M$8,N481&gt;=$O$8,P481&gt;=$Q$8),SUM(F481:Q481),0)</f>
        <v>0</v>
      </c>
      <c r="S481" s="251"/>
      <c r="T481" s="97"/>
      <c r="U481" s="94"/>
      <c r="V481" s="606"/>
      <c r="W481" s="88" t="str">
        <f t="shared" ref="W481" si="1281">LOOKUP(R481,$AI$6:$AJ$10)</f>
        <v>ضعيف</v>
      </c>
      <c r="X481" s="641"/>
      <c r="Y481" s="68"/>
      <c r="Z481" s="599"/>
      <c r="AK481" s="667"/>
      <c r="AL481" s="667"/>
      <c r="AM481" s="696"/>
      <c r="AN481" s="698"/>
      <c r="AO481" s="699"/>
      <c r="AP481" s="698"/>
    </row>
    <row r="482" spans="1:42" ht="14.85" customHeight="1" thickBot="1" x14ac:dyDescent="0.3">
      <c r="A482" s="610">
        <v>104</v>
      </c>
      <c r="B482" s="613">
        <f>VLOOKUP(A482,مسلسل,2,0)</f>
        <v>0</v>
      </c>
      <c r="C482" s="616" t="str">
        <f>IFERROR(VLOOKUP(B482,اسماء,2,0),"")</f>
        <v/>
      </c>
      <c r="D482" s="619" t="str">
        <f>IFERROR(VLOOKUP($B482,اسماء,3,0),"")</f>
        <v/>
      </c>
      <c r="E482" s="129" t="s">
        <v>30</v>
      </c>
      <c r="F482" s="600">
        <f>IFERROR(VLOOKUP($B482,اسماء,5,0),0)</f>
        <v>0</v>
      </c>
      <c r="G482" s="601"/>
      <c r="H482" s="602">
        <f>IFERROR(VLOOKUP($B482,اسماء,6,0),0)</f>
        <v>0</v>
      </c>
      <c r="I482" s="622"/>
      <c r="J482" s="600">
        <f>IFERROR(VLOOKUP($B482,اسماء,7,0),0)</f>
        <v>0</v>
      </c>
      <c r="K482" s="601"/>
      <c r="L482" s="602">
        <f>IFERROR(VLOOKUP($B482,اسماء,8,0),0)</f>
        <v>0</v>
      </c>
      <c r="M482" s="603"/>
      <c r="N482" s="602">
        <f>IFERROR(VLOOKUP($B482,اسماء,9,0),0)</f>
        <v>0</v>
      </c>
      <c r="O482" s="603"/>
      <c r="P482" s="600">
        <f>IFERROR(VLOOKUP($B482,اسماء,10,0),0)</f>
        <v>0</v>
      </c>
      <c r="Q482" s="622"/>
      <c r="R482" s="371">
        <f t="shared" ref="R482" si="1282">SUM(F482:Q482)</f>
        <v>0</v>
      </c>
      <c r="S482" s="213" t="str">
        <f>IFERROR(VLOOKUP($B482,اسماء,12,0),"")</f>
        <v/>
      </c>
      <c r="T482" s="214" t="str">
        <f>IFERROR(VLOOKUP($B482,اسماء,13,0),"")</f>
        <v/>
      </c>
      <c r="U482" s="364" t="str">
        <f>IFERROR(VLOOKUP($B482,اسماء,14,0),"")</f>
        <v/>
      </c>
      <c r="V482" s="604" t="str">
        <f t="shared" ref="V482" si="1283">IF(Z482="غائب","راسب",IF(R485&gt;0,"ناجح","مرحل"))</f>
        <v>مرحل</v>
      </c>
      <c r="W482" s="19" t="str">
        <f t="shared" ref="W482:W483" si="1284">LOOKUP(R482,$AC$6:$AD$10)</f>
        <v>ضعيف</v>
      </c>
      <c r="X482" s="639">
        <f t="shared" ref="X482" si="1285">R485/$AC$3</f>
        <v>0</v>
      </c>
      <c r="Y482" s="8"/>
      <c r="Z482" s="597" t="str">
        <f>IFERROR(VLOOKUP($B482,اسماء,48,0),"")</f>
        <v/>
      </c>
      <c r="AK482" s="667" t="str">
        <f t="shared" ref="AK482" si="1286">IF(R485=0,"",R485/1+ROW()*0.00001)</f>
        <v/>
      </c>
      <c r="AL482" s="667">
        <f>B482</f>
        <v>0</v>
      </c>
      <c r="AM482" s="696"/>
      <c r="AN482" s="698">
        <v>104</v>
      </c>
      <c r="AO482" s="699" t="str">
        <f>IFERROR(LARGE($AK$10:$AK$1420,AN482),"")</f>
        <v/>
      </c>
      <c r="AP482" s="698" t="str">
        <f>VLOOKUP(AO482,$AK$10:$AL$1530,2,0)</f>
        <v>امجد عمر عبداللطيف سلطان</v>
      </c>
    </row>
    <row r="483" spans="1:42" ht="14.85" customHeight="1" x14ac:dyDescent="0.25">
      <c r="A483" s="611"/>
      <c r="B483" s="614"/>
      <c r="C483" s="617"/>
      <c r="D483" s="620"/>
      <c r="E483" s="130" t="s">
        <v>31</v>
      </c>
      <c r="F483" s="592">
        <f>IFERROR(VLOOKUP($B482,اسماء,15,0),0)</f>
        <v>0</v>
      </c>
      <c r="G483" s="593"/>
      <c r="H483" s="594">
        <f>IFERROR(VLOOKUP($B482,اسماء,16,0),0)</f>
        <v>0</v>
      </c>
      <c r="I483" s="595"/>
      <c r="J483" s="592">
        <f>IFERROR(VLOOKUP($B482,اسماء,17,0),0)</f>
        <v>0</v>
      </c>
      <c r="K483" s="593"/>
      <c r="L483" s="594">
        <f>IFERROR(VLOOKUP($B482,اسماء,18,0),0)</f>
        <v>0</v>
      </c>
      <c r="M483" s="596"/>
      <c r="N483" s="594">
        <f>IFERROR(VLOOKUP($B482,اسماء,19,0),0)</f>
        <v>0</v>
      </c>
      <c r="O483" s="596"/>
      <c r="P483" s="592">
        <f>IFERROR(VLOOKUP($B482,اسماء,20,0),0)</f>
        <v>0</v>
      </c>
      <c r="Q483" s="595"/>
      <c r="R483" s="372">
        <f t="shared" si="1260"/>
        <v>0</v>
      </c>
      <c r="S483" s="305" t="str">
        <f>IFERROR(VLOOKUP($B482,اسماء,23,0),"")</f>
        <v/>
      </c>
      <c r="T483" s="306" t="str">
        <f>IFERROR(VLOOKUP($B482,اسماء,24,0),"")</f>
        <v/>
      </c>
      <c r="U483" s="122" t="str">
        <f>IFERROR(VLOOKUP($B482,اسماء,25,0),"")</f>
        <v/>
      </c>
      <c r="V483" s="605"/>
      <c r="W483" s="19" t="str">
        <f t="shared" si="1284"/>
        <v>ضعيف</v>
      </c>
      <c r="X483" s="640"/>
      <c r="Y483" s="68"/>
      <c r="Z483" s="598"/>
      <c r="AK483" s="667"/>
      <c r="AL483" s="667"/>
      <c r="AM483" s="696"/>
      <c r="AN483" s="698"/>
      <c r="AO483" s="699"/>
      <c r="AP483" s="698"/>
    </row>
    <row r="484" spans="1:42" ht="14.85" customHeight="1" x14ac:dyDescent="0.25">
      <c r="A484" s="611"/>
      <c r="B484" s="614"/>
      <c r="C484" s="617"/>
      <c r="D484" s="620"/>
      <c r="E484" s="130" t="s">
        <v>32</v>
      </c>
      <c r="F484" s="592">
        <f>IFERROR(VLOOKUP($B482,اسماء,25,0),0)</f>
        <v>0</v>
      </c>
      <c r="G484" s="593"/>
      <c r="H484" s="594">
        <f>IFERROR(VLOOKUP($B482,اسماء,26,0),0)</f>
        <v>0</v>
      </c>
      <c r="I484" s="595"/>
      <c r="J484" s="592">
        <f>IFERROR(VLOOKUP($B482,اسماء,27,0),0)</f>
        <v>0</v>
      </c>
      <c r="K484" s="593"/>
      <c r="L484" s="594">
        <f>IFERROR(VLOOKUP($B482,اسماء,28,0),0)</f>
        <v>0</v>
      </c>
      <c r="M484" s="596"/>
      <c r="N484" s="594">
        <f>IFERROR(VLOOKUP($B482,اسماء,29,0),0)</f>
        <v>0</v>
      </c>
      <c r="O484" s="596"/>
      <c r="P484" s="592">
        <f>IFERROR(VLOOKUP($B482,اسماء,30,0),0)</f>
        <v>0</v>
      </c>
      <c r="Q484" s="595"/>
      <c r="R484" s="372">
        <f t="shared" si="1260"/>
        <v>0</v>
      </c>
      <c r="S484" s="305" t="str">
        <f>IFERROR(VLOOKUP($B482,اسماء,34,0),"")</f>
        <v/>
      </c>
      <c r="T484" s="306" t="str">
        <f>IFERROR(VLOOKUP($B482,اسماء,35,0),"")</f>
        <v/>
      </c>
      <c r="U484" s="122" t="str">
        <f>IFERROR(VLOOKUP($B482,اسماء,36,0),"")</f>
        <v/>
      </c>
      <c r="V484" s="605"/>
      <c r="W484" s="20" t="str">
        <f t="shared" ref="W484" si="1287">LOOKUP(R484,$AF$6:$AG$10)</f>
        <v>ضعيف</v>
      </c>
      <c r="X484" s="640"/>
      <c r="Y484" s="68"/>
      <c r="Z484" s="598"/>
      <c r="AK484" s="667"/>
      <c r="AL484" s="667"/>
      <c r="AM484" s="696"/>
      <c r="AN484" s="698"/>
      <c r="AO484" s="699"/>
      <c r="AP484" s="698"/>
    </row>
    <row r="485" spans="1:42" ht="14.85" customHeight="1" thickBot="1" x14ac:dyDescent="0.3">
      <c r="A485" s="612"/>
      <c r="B485" s="615"/>
      <c r="C485" s="618"/>
      <c r="D485" s="621"/>
      <c r="E485" s="124" t="s">
        <v>33</v>
      </c>
      <c r="F485" s="623">
        <f t="shared" ref="F485" si="1288">SUM(F482:G484)</f>
        <v>0</v>
      </c>
      <c r="G485" s="624"/>
      <c r="H485" s="625">
        <f t="shared" ref="H485" si="1289">SUM(H482:I484)</f>
        <v>0</v>
      </c>
      <c r="I485" s="626"/>
      <c r="J485" s="623">
        <f t="shared" ref="J485" si="1290">SUM(J482:K484)</f>
        <v>0</v>
      </c>
      <c r="K485" s="624"/>
      <c r="L485" s="625">
        <f t="shared" ref="L485" si="1291">SUM(L482:M484)</f>
        <v>0</v>
      </c>
      <c r="M485" s="642"/>
      <c r="N485" s="625">
        <f t="shared" ref="N485" si="1292">SUM(N482:O484)</f>
        <v>0</v>
      </c>
      <c r="O485" s="642"/>
      <c r="P485" s="623">
        <f t="shared" ref="P485" si="1293">SUM(P482:Q484)</f>
        <v>0</v>
      </c>
      <c r="Q485" s="626"/>
      <c r="R485" s="88">
        <f t="shared" ref="R485" si="1294">IF(AND(F485&gt;=$G$8,H485&gt;=$I$8,J485&gt;=$K$8,L485&gt;=$M$8,N485&gt;=$O$8,P485&gt;=$Q$8),SUM(F485:Q485),0)</f>
        <v>0</v>
      </c>
      <c r="S485" s="251"/>
      <c r="T485" s="97"/>
      <c r="U485" s="94"/>
      <c r="V485" s="606"/>
      <c r="W485" s="88" t="str">
        <f t="shared" ref="W485" si="1295">LOOKUP(R485,$AI$6:$AJ$10)</f>
        <v>ضعيف</v>
      </c>
      <c r="X485" s="641"/>
      <c r="Y485" s="8"/>
      <c r="Z485" s="599"/>
      <c r="AK485" s="667"/>
      <c r="AL485" s="667"/>
      <c r="AM485" s="696"/>
      <c r="AN485" s="698"/>
      <c r="AO485" s="699"/>
      <c r="AP485" s="698"/>
    </row>
    <row r="486" spans="1:42" ht="14.85" customHeight="1" thickBot="1" x14ac:dyDescent="0.3">
      <c r="A486" s="610">
        <v>105</v>
      </c>
      <c r="B486" s="613">
        <f>VLOOKUP(A486,مسلسل,2,0)</f>
        <v>0</v>
      </c>
      <c r="C486" s="616" t="str">
        <f>IFERROR(VLOOKUP(B486,اسماء,2,0),"")</f>
        <v/>
      </c>
      <c r="D486" s="619" t="str">
        <f>IFERROR(VLOOKUP($B486,اسماء,3,0),"")</f>
        <v/>
      </c>
      <c r="E486" s="129" t="s">
        <v>30</v>
      </c>
      <c r="F486" s="600">
        <f>IFERROR(VLOOKUP($B486,اسماء,5,0),0)</f>
        <v>0</v>
      </c>
      <c r="G486" s="601"/>
      <c r="H486" s="602">
        <f>IFERROR(VLOOKUP($B486,اسماء,6,0),0)</f>
        <v>0</v>
      </c>
      <c r="I486" s="622"/>
      <c r="J486" s="600">
        <f>IFERROR(VLOOKUP($B486,اسماء,7,0),0)</f>
        <v>0</v>
      </c>
      <c r="K486" s="601"/>
      <c r="L486" s="602">
        <f>IFERROR(VLOOKUP($B486,اسماء,8,0),0)</f>
        <v>0</v>
      </c>
      <c r="M486" s="603"/>
      <c r="N486" s="602">
        <f>IFERROR(VLOOKUP($B486,اسماء,9,0),0)</f>
        <v>0</v>
      </c>
      <c r="O486" s="603"/>
      <c r="P486" s="600">
        <f>IFERROR(VLOOKUP($B486,اسماء,10,0),0)</f>
        <v>0</v>
      </c>
      <c r="Q486" s="622"/>
      <c r="R486" s="371">
        <f t="shared" ref="R486" si="1296">SUM(F486:Q486)</f>
        <v>0</v>
      </c>
      <c r="S486" s="213" t="str">
        <f>IFERROR(VLOOKUP($B486,اسماء,12,0),"")</f>
        <v/>
      </c>
      <c r="T486" s="214" t="str">
        <f>IFERROR(VLOOKUP($B486,اسماء,13,0),"")</f>
        <v/>
      </c>
      <c r="U486" s="364" t="str">
        <f>IFERROR(VLOOKUP($B486,اسماء,14,0),"")</f>
        <v/>
      </c>
      <c r="V486" s="604" t="str">
        <f t="shared" ref="V486" si="1297">IF(Z486="غائب","راسب",IF(R489&gt;0,"ناجح","مرحل"))</f>
        <v>مرحل</v>
      </c>
      <c r="W486" s="19" t="str">
        <f t="shared" ref="W486:W487" si="1298">LOOKUP(R486,$AC$6:$AD$10)</f>
        <v>ضعيف</v>
      </c>
      <c r="X486" s="639">
        <f t="shared" ref="X486" si="1299">R489/$AC$3</f>
        <v>0</v>
      </c>
      <c r="Y486" s="68"/>
      <c r="Z486" s="597" t="str">
        <f>IFERROR(VLOOKUP($B486,اسماء,48,0),"")</f>
        <v/>
      </c>
      <c r="AK486" s="667" t="str">
        <f t="shared" ref="AK486" si="1300">IF(R489=0,"",R489/1+ROW()*0.00001)</f>
        <v/>
      </c>
      <c r="AL486" s="667">
        <f>B486</f>
        <v>0</v>
      </c>
      <c r="AM486" s="696"/>
      <c r="AN486" s="698">
        <v>105</v>
      </c>
      <c r="AO486" s="699" t="str">
        <f>IFERROR(LARGE($AK$10:$AK$1420,AN486),"")</f>
        <v/>
      </c>
      <c r="AP486" s="698" t="str">
        <f>VLOOKUP(AO486,$AK$10:$AL$1530,2,0)</f>
        <v>امجد عمر عبداللطيف سلطان</v>
      </c>
    </row>
    <row r="487" spans="1:42" ht="14.85" customHeight="1" x14ac:dyDescent="0.25">
      <c r="A487" s="611"/>
      <c r="B487" s="614"/>
      <c r="C487" s="617"/>
      <c r="D487" s="620"/>
      <c r="E487" s="130" t="s">
        <v>31</v>
      </c>
      <c r="F487" s="592">
        <f>IFERROR(VLOOKUP($B486,اسماء,15,0),0)</f>
        <v>0</v>
      </c>
      <c r="G487" s="593"/>
      <c r="H487" s="594">
        <f>IFERROR(VLOOKUP($B486,اسماء,16,0),0)</f>
        <v>0</v>
      </c>
      <c r="I487" s="595"/>
      <c r="J487" s="592">
        <f>IFERROR(VLOOKUP($B486,اسماء,17,0),0)</f>
        <v>0</v>
      </c>
      <c r="K487" s="593"/>
      <c r="L487" s="594">
        <f>IFERROR(VLOOKUP($B486,اسماء,18,0),0)</f>
        <v>0</v>
      </c>
      <c r="M487" s="596"/>
      <c r="N487" s="594">
        <f>IFERROR(VLOOKUP($B486,اسماء,19,0),0)</f>
        <v>0</v>
      </c>
      <c r="O487" s="596"/>
      <c r="P487" s="592">
        <f>IFERROR(VLOOKUP($B486,اسماء,20,0),0)</f>
        <v>0</v>
      </c>
      <c r="Q487" s="595"/>
      <c r="R487" s="372">
        <f t="shared" si="1260"/>
        <v>0</v>
      </c>
      <c r="S487" s="305" t="str">
        <f>IFERROR(VLOOKUP($B486,اسماء,23,0),"")</f>
        <v/>
      </c>
      <c r="T487" s="306" t="str">
        <f>IFERROR(VLOOKUP($B486,اسماء,24,0),"")</f>
        <v/>
      </c>
      <c r="U487" s="122" t="str">
        <f>IFERROR(VLOOKUP($B486,اسماء,25,0),"")</f>
        <v/>
      </c>
      <c r="V487" s="605"/>
      <c r="W487" s="19" t="str">
        <f t="shared" si="1298"/>
        <v>ضعيف</v>
      </c>
      <c r="X487" s="640"/>
      <c r="Y487" s="68"/>
      <c r="Z487" s="598"/>
      <c r="AK487" s="667"/>
      <c r="AL487" s="667"/>
      <c r="AM487" s="696"/>
      <c r="AN487" s="698"/>
      <c r="AO487" s="699"/>
      <c r="AP487" s="698"/>
    </row>
    <row r="488" spans="1:42" ht="14.85" customHeight="1" x14ac:dyDescent="0.25">
      <c r="A488" s="611"/>
      <c r="B488" s="614"/>
      <c r="C488" s="617"/>
      <c r="D488" s="620"/>
      <c r="E488" s="130" t="s">
        <v>32</v>
      </c>
      <c r="F488" s="592">
        <f>IFERROR(VLOOKUP($B486,اسماء,25,0),0)</f>
        <v>0</v>
      </c>
      <c r="G488" s="593"/>
      <c r="H488" s="594">
        <f>IFERROR(VLOOKUP($B486,اسماء,26,0),0)</f>
        <v>0</v>
      </c>
      <c r="I488" s="595"/>
      <c r="J488" s="592">
        <f>IFERROR(VLOOKUP($B486,اسماء,27,0),0)</f>
        <v>0</v>
      </c>
      <c r="K488" s="593"/>
      <c r="L488" s="594">
        <f>IFERROR(VLOOKUP($B486,اسماء,28,0),0)</f>
        <v>0</v>
      </c>
      <c r="M488" s="596"/>
      <c r="N488" s="594">
        <f>IFERROR(VLOOKUP($B486,اسماء,29,0),0)</f>
        <v>0</v>
      </c>
      <c r="O488" s="596"/>
      <c r="P488" s="592">
        <f>IFERROR(VLOOKUP($B486,اسماء,30,0),0)</f>
        <v>0</v>
      </c>
      <c r="Q488" s="595"/>
      <c r="R488" s="372">
        <f t="shared" si="1260"/>
        <v>0</v>
      </c>
      <c r="S488" s="305" t="str">
        <f>IFERROR(VLOOKUP($B486,اسماء,34,0),"")</f>
        <v/>
      </c>
      <c r="T488" s="306" t="str">
        <f>IFERROR(VLOOKUP($B486,اسماء,35,0),"")</f>
        <v/>
      </c>
      <c r="U488" s="122" t="str">
        <f>IFERROR(VLOOKUP($B486,اسماء,36,0),"")</f>
        <v/>
      </c>
      <c r="V488" s="605"/>
      <c r="W488" s="20" t="str">
        <f t="shared" ref="W488" si="1301">LOOKUP(R488,$AF$6:$AG$10)</f>
        <v>ضعيف</v>
      </c>
      <c r="X488" s="640"/>
      <c r="Y488" s="8"/>
      <c r="Z488" s="598"/>
      <c r="AK488" s="667"/>
      <c r="AL488" s="667"/>
      <c r="AM488" s="696"/>
      <c r="AN488" s="698"/>
      <c r="AO488" s="699"/>
      <c r="AP488" s="698"/>
    </row>
    <row r="489" spans="1:42" ht="14.85" customHeight="1" thickBot="1" x14ac:dyDescent="0.3">
      <c r="A489" s="612"/>
      <c r="B489" s="615"/>
      <c r="C489" s="618"/>
      <c r="D489" s="621"/>
      <c r="E489" s="124" t="s">
        <v>33</v>
      </c>
      <c r="F489" s="623">
        <f t="shared" ref="F489" si="1302">SUM(F486:G488)</f>
        <v>0</v>
      </c>
      <c r="G489" s="624"/>
      <c r="H489" s="625">
        <f t="shared" ref="H489" si="1303">SUM(H486:I488)</f>
        <v>0</v>
      </c>
      <c r="I489" s="626"/>
      <c r="J489" s="623">
        <f t="shared" ref="J489" si="1304">SUM(J486:K488)</f>
        <v>0</v>
      </c>
      <c r="K489" s="624"/>
      <c r="L489" s="625">
        <f t="shared" ref="L489" si="1305">SUM(L486:M488)</f>
        <v>0</v>
      </c>
      <c r="M489" s="642"/>
      <c r="N489" s="625">
        <f t="shared" ref="N489" si="1306">SUM(N486:O488)</f>
        <v>0</v>
      </c>
      <c r="O489" s="642"/>
      <c r="P489" s="623">
        <f t="shared" ref="P489" si="1307">SUM(P486:Q488)</f>
        <v>0</v>
      </c>
      <c r="Q489" s="626"/>
      <c r="R489" s="88">
        <f t="shared" ref="R489" si="1308">IF(AND(F489&gt;=$G$8,H489&gt;=$I$8,J489&gt;=$K$8,L489&gt;=$M$8,N489&gt;=$O$8,P489&gt;=$Q$8),SUM(F489:Q489),0)</f>
        <v>0</v>
      </c>
      <c r="S489" s="251"/>
      <c r="T489" s="97"/>
      <c r="U489" s="94"/>
      <c r="V489" s="606"/>
      <c r="W489" s="88" t="str">
        <f t="shared" ref="W489" si="1309">LOOKUP(R489,$AI$6:$AJ$10)</f>
        <v>ضعيف</v>
      </c>
      <c r="X489" s="641"/>
      <c r="Y489" s="68"/>
      <c r="Z489" s="599"/>
      <c r="AK489" s="667"/>
      <c r="AL489" s="667"/>
      <c r="AM489" s="696"/>
      <c r="AN489" s="698"/>
      <c r="AO489" s="699"/>
      <c r="AP489" s="698"/>
    </row>
    <row r="490" spans="1:42" ht="14.85" customHeight="1" thickBot="1" x14ac:dyDescent="0.3">
      <c r="A490" s="610">
        <v>106</v>
      </c>
      <c r="B490" s="613">
        <f>VLOOKUP(A490,مسلسل,2,0)</f>
        <v>0</v>
      </c>
      <c r="C490" s="616" t="str">
        <f>IFERROR(VLOOKUP(B490,اسماء,2,0),"")</f>
        <v/>
      </c>
      <c r="D490" s="619" t="str">
        <f>IFERROR(VLOOKUP($B490,اسماء,3,0),"")</f>
        <v/>
      </c>
      <c r="E490" s="129" t="s">
        <v>30</v>
      </c>
      <c r="F490" s="600">
        <f>IFERROR(VLOOKUP($B490,اسماء,5,0),0)</f>
        <v>0</v>
      </c>
      <c r="G490" s="601"/>
      <c r="H490" s="602">
        <f>IFERROR(VLOOKUP($B490,اسماء,6,0),0)</f>
        <v>0</v>
      </c>
      <c r="I490" s="622"/>
      <c r="J490" s="600">
        <f>IFERROR(VLOOKUP($B490,اسماء,7,0),0)</f>
        <v>0</v>
      </c>
      <c r="K490" s="601"/>
      <c r="L490" s="602">
        <f>IFERROR(VLOOKUP($B490,اسماء,8,0),0)</f>
        <v>0</v>
      </c>
      <c r="M490" s="603"/>
      <c r="N490" s="602">
        <f>IFERROR(VLOOKUP($B490,اسماء,9,0),0)</f>
        <v>0</v>
      </c>
      <c r="O490" s="603"/>
      <c r="P490" s="600">
        <f>IFERROR(VLOOKUP($B490,اسماء,10,0),0)</f>
        <v>0</v>
      </c>
      <c r="Q490" s="622"/>
      <c r="R490" s="371">
        <f t="shared" ref="R490" si="1310">SUM(F490:Q490)</f>
        <v>0</v>
      </c>
      <c r="S490" s="213" t="str">
        <f>IFERROR(VLOOKUP($B490,اسماء,12,0),"")</f>
        <v/>
      </c>
      <c r="T490" s="214" t="str">
        <f>IFERROR(VLOOKUP($B490,اسماء,13,0),"")</f>
        <v/>
      </c>
      <c r="U490" s="364" t="str">
        <f>IFERROR(VLOOKUP($B490,اسماء,14,0),"")</f>
        <v/>
      </c>
      <c r="V490" s="604" t="str">
        <f t="shared" ref="V490" si="1311">IF(Z490="غائب","راسب",IF(R493&gt;0,"ناجح","مرحل"))</f>
        <v>مرحل</v>
      </c>
      <c r="W490" s="19" t="str">
        <f t="shared" ref="W490:W491" si="1312">LOOKUP(R490,$AC$6:$AD$10)</f>
        <v>ضعيف</v>
      </c>
      <c r="X490" s="639">
        <f t="shared" ref="X490" si="1313">R493/$AC$3</f>
        <v>0</v>
      </c>
      <c r="Y490" s="68"/>
      <c r="Z490" s="597" t="str">
        <f>IFERROR(VLOOKUP($B490,اسماء,48,0),"")</f>
        <v/>
      </c>
      <c r="AK490" s="667" t="str">
        <f t="shared" ref="AK490" si="1314">IF(R493=0,"",R493/1+ROW()*0.00001)</f>
        <v/>
      </c>
      <c r="AL490" s="667">
        <f>B490</f>
        <v>0</v>
      </c>
      <c r="AM490" s="696"/>
      <c r="AN490" s="698">
        <v>106</v>
      </c>
      <c r="AO490" s="699" t="str">
        <f>IFERROR(LARGE($AK$10:$AK$1420,AN490),"")</f>
        <v/>
      </c>
      <c r="AP490" s="698" t="str">
        <f>VLOOKUP(AO490,$AK$10:$AL$1530,2,0)</f>
        <v>امجد عمر عبداللطيف سلطان</v>
      </c>
    </row>
    <row r="491" spans="1:42" ht="14.85" customHeight="1" x14ac:dyDescent="0.25">
      <c r="A491" s="611"/>
      <c r="B491" s="614"/>
      <c r="C491" s="617"/>
      <c r="D491" s="620"/>
      <c r="E491" s="130" t="s">
        <v>31</v>
      </c>
      <c r="F491" s="592">
        <f>IFERROR(VLOOKUP($B490,اسماء,15,0),0)</f>
        <v>0</v>
      </c>
      <c r="G491" s="593"/>
      <c r="H491" s="594">
        <f>IFERROR(VLOOKUP($B490,اسماء,16,0),0)</f>
        <v>0</v>
      </c>
      <c r="I491" s="595"/>
      <c r="J491" s="592">
        <f>IFERROR(VLOOKUP($B490,اسماء,17,0),0)</f>
        <v>0</v>
      </c>
      <c r="K491" s="593"/>
      <c r="L491" s="594">
        <f>IFERROR(VLOOKUP($B490,اسماء,18,0),0)</f>
        <v>0</v>
      </c>
      <c r="M491" s="596"/>
      <c r="N491" s="594">
        <f>IFERROR(VLOOKUP($B490,اسماء,19,0),0)</f>
        <v>0</v>
      </c>
      <c r="O491" s="596"/>
      <c r="P491" s="592">
        <f>IFERROR(VLOOKUP($B490,اسماء,20,0),0)</f>
        <v>0</v>
      </c>
      <c r="Q491" s="595"/>
      <c r="R491" s="372">
        <f t="shared" si="1260"/>
        <v>0</v>
      </c>
      <c r="S491" s="305" t="str">
        <f>IFERROR(VLOOKUP($B490,اسماء,23,0),"")</f>
        <v/>
      </c>
      <c r="T491" s="306" t="str">
        <f>IFERROR(VLOOKUP($B490,اسماء,24,0),"")</f>
        <v/>
      </c>
      <c r="U491" s="122" t="str">
        <f>IFERROR(VLOOKUP($B490,اسماء,25,0),"")</f>
        <v/>
      </c>
      <c r="V491" s="605"/>
      <c r="W491" s="19" t="str">
        <f t="shared" si="1312"/>
        <v>ضعيف</v>
      </c>
      <c r="X491" s="640"/>
      <c r="Y491" s="8"/>
      <c r="Z491" s="598"/>
      <c r="AK491" s="667"/>
      <c r="AL491" s="667"/>
      <c r="AM491" s="696"/>
      <c r="AN491" s="698"/>
      <c r="AO491" s="699"/>
      <c r="AP491" s="698"/>
    </row>
    <row r="492" spans="1:42" ht="14.85" customHeight="1" x14ac:dyDescent="0.25">
      <c r="A492" s="611"/>
      <c r="B492" s="614"/>
      <c r="C492" s="617"/>
      <c r="D492" s="620"/>
      <c r="E492" s="130" t="s">
        <v>32</v>
      </c>
      <c r="F492" s="592">
        <f>IFERROR(VLOOKUP($B490,اسماء,25,0),0)</f>
        <v>0</v>
      </c>
      <c r="G492" s="593"/>
      <c r="H492" s="594">
        <f>IFERROR(VLOOKUP($B490,اسماء,26,0),0)</f>
        <v>0</v>
      </c>
      <c r="I492" s="595"/>
      <c r="J492" s="592">
        <f>IFERROR(VLOOKUP($B490,اسماء,27,0),0)</f>
        <v>0</v>
      </c>
      <c r="K492" s="593"/>
      <c r="L492" s="594">
        <f>IFERROR(VLOOKUP($B490,اسماء,28,0),0)</f>
        <v>0</v>
      </c>
      <c r="M492" s="596"/>
      <c r="N492" s="594">
        <f>IFERROR(VLOOKUP($B490,اسماء,29,0),0)</f>
        <v>0</v>
      </c>
      <c r="O492" s="596"/>
      <c r="P492" s="592">
        <f>IFERROR(VLOOKUP($B490,اسماء,30,0),0)</f>
        <v>0</v>
      </c>
      <c r="Q492" s="595"/>
      <c r="R492" s="372">
        <f t="shared" si="1260"/>
        <v>0</v>
      </c>
      <c r="S492" s="305" t="str">
        <f>IFERROR(VLOOKUP($B490,اسماء,34,0),"")</f>
        <v/>
      </c>
      <c r="T492" s="306" t="str">
        <f>IFERROR(VLOOKUP($B490,اسماء,35,0),"")</f>
        <v/>
      </c>
      <c r="U492" s="122" t="str">
        <f>IFERROR(VLOOKUP($B490,اسماء,36,0),"")</f>
        <v/>
      </c>
      <c r="V492" s="605"/>
      <c r="W492" s="20" t="str">
        <f t="shared" ref="W492" si="1315">LOOKUP(R492,$AF$6:$AG$10)</f>
        <v>ضعيف</v>
      </c>
      <c r="X492" s="640"/>
      <c r="Y492" s="68"/>
      <c r="Z492" s="598"/>
      <c r="AK492" s="667"/>
      <c r="AL492" s="667"/>
      <c r="AM492" s="696"/>
      <c r="AN492" s="698"/>
      <c r="AO492" s="699"/>
      <c r="AP492" s="698"/>
    </row>
    <row r="493" spans="1:42" ht="14.85" customHeight="1" thickBot="1" x14ac:dyDescent="0.3">
      <c r="A493" s="612"/>
      <c r="B493" s="615"/>
      <c r="C493" s="618"/>
      <c r="D493" s="621"/>
      <c r="E493" s="124" t="s">
        <v>33</v>
      </c>
      <c r="F493" s="623">
        <f t="shared" ref="F493" si="1316">SUM(F490:G492)</f>
        <v>0</v>
      </c>
      <c r="G493" s="624"/>
      <c r="H493" s="625">
        <f t="shared" ref="H493" si="1317">SUM(H490:I492)</f>
        <v>0</v>
      </c>
      <c r="I493" s="626"/>
      <c r="J493" s="623">
        <f t="shared" ref="J493" si="1318">SUM(J490:K492)</f>
        <v>0</v>
      </c>
      <c r="K493" s="624"/>
      <c r="L493" s="625">
        <f t="shared" ref="L493" si="1319">SUM(L490:M492)</f>
        <v>0</v>
      </c>
      <c r="M493" s="642"/>
      <c r="N493" s="625">
        <f t="shared" ref="N493" si="1320">SUM(N490:O492)</f>
        <v>0</v>
      </c>
      <c r="O493" s="642"/>
      <c r="P493" s="623">
        <f t="shared" ref="P493" si="1321">SUM(P490:Q492)</f>
        <v>0</v>
      </c>
      <c r="Q493" s="626"/>
      <c r="R493" s="88">
        <f t="shared" ref="R493" si="1322">IF(AND(F493&gt;=$G$8,H493&gt;=$I$8,J493&gt;=$K$8,L493&gt;=$M$8,N493&gt;=$O$8,P493&gt;=$Q$8),SUM(F493:Q493),0)</f>
        <v>0</v>
      </c>
      <c r="S493" s="251"/>
      <c r="T493" s="97"/>
      <c r="U493" s="94"/>
      <c r="V493" s="606"/>
      <c r="W493" s="88" t="str">
        <f t="shared" ref="W493" si="1323">LOOKUP(R493,$AI$6:$AJ$10)</f>
        <v>ضعيف</v>
      </c>
      <c r="X493" s="641"/>
      <c r="Y493" s="68"/>
      <c r="Z493" s="599"/>
      <c r="AK493" s="667"/>
      <c r="AL493" s="667"/>
      <c r="AM493" s="696"/>
      <c r="AN493" s="698"/>
      <c r="AO493" s="699"/>
      <c r="AP493" s="698"/>
    </row>
    <row r="494" spans="1:42" ht="14.85" customHeight="1" thickBot="1" x14ac:dyDescent="0.3">
      <c r="A494" s="610">
        <v>107</v>
      </c>
      <c r="B494" s="613">
        <f>VLOOKUP(A494,مسلسل,2,0)</f>
        <v>0</v>
      </c>
      <c r="C494" s="616" t="str">
        <f>IFERROR(VLOOKUP(B494,اسماء,2,0),"")</f>
        <v/>
      </c>
      <c r="D494" s="619" t="str">
        <f>IFERROR(VLOOKUP($B494,اسماء,3,0),"")</f>
        <v/>
      </c>
      <c r="E494" s="129" t="s">
        <v>30</v>
      </c>
      <c r="F494" s="600">
        <f>IFERROR(VLOOKUP($B494,اسماء,5,0),0)</f>
        <v>0</v>
      </c>
      <c r="G494" s="601"/>
      <c r="H494" s="602">
        <f>IFERROR(VLOOKUP($B494,اسماء,6,0),0)</f>
        <v>0</v>
      </c>
      <c r="I494" s="622"/>
      <c r="J494" s="600">
        <f>IFERROR(VLOOKUP($B494,اسماء,7,0),0)</f>
        <v>0</v>
      </c>
      <c r="K494" s="601"/>
      <c r="L494" s="602">
        <f>IFERROR(VLOOKUP($B494,اسماء,8,0),0)</f>
        <v>0</v>
      </c>
      <c r="M494" s="603"/>
      <c r="N494" s="602">
        <f>IFERROR(VLOOKUP($B494,اسماء,9,0),0)</f>
        <v>0</v>
      </c>
      <c r="O494" s="603"/>
      <c r="P494" s="600">
        <f>IFERROR(VLOOKUP($B494,اسماء,10,0),0)</f>
        <v>0</v>
      </c>
      <c r="Q494" s="622"/>
      <c r="R494" s="371">
        <f t="shared" ref="R494" si="1324">SUM(F494:Q494)</f>
        <v>0</v>
      </c>
      <c r="S494" s="213" t="str">
        <f>IFERROR(VLOOKUP($B494,اسماء,12,0),"")</f>
        <v/>
      </c>
      <c r="T494" s="214" t="str">
        <f>IFERROR(VLOOKUP($B494,اسماء,13,0),"")</f>
        <v/>
      </c>
      <c r="U494" s="364" t="str">
        <f>IFERROR(VLOOKUP($B494,اسماء,14,0),"")</f>
        <v/>
      </c>
      <c r="V494" s="604" t="str">
        <f t="shared" ref="V494" si="1325">IF(Z494="غائب","راسب",IF(R497&gt;0,"ناجح","مرحل"))</f>
        <v>مرحل</v>
      </c>
      <c r="W494" s="19" t="str">
        <f t="shared" ref="W494:W495" si="1326">LOOKUP(R494,$AC$6:$AD$10)</f>
        <v>ضعيف</v>
      </c>
      <c r="X494" s="639">
        <f t="shared" ref="X494" si="1327">R497/$AC$3</f>
        <v>0</v>
      </c>
      <c r="Y494" s="8"/>
      <c r="Z494" s="597" t="str">
        <f>IFERROR(VLOOKUP($B494,اسماء,48,0),"")</f>
        <v/>
      </c>
      <c r="AK494" s="667" t="str">
        <f t="shared" ref="AK494" si="1328">IF(R497=0,"",R497/1+ROW()*0.00001)</f>
        <v/>
      </c>
      <c r="AL494" s="667">
        <f>B494</f>
        <v>0</v>
      </c>
      <c r="AM494" s="696"/>
      <c r="AN494" s="698">
        <v>107</v>
      </c>
      <c r="AO494" s="699" t="str">
        <f>IFERROR(LARGE($AK$10:$AK$1420,AN494),"")</f>
        <v/>
      </c>
      <c r="AP494" s="698" t="str">
        <f>VLOOKUP(AO494,$AK$10:$AL$1530,2,0)</f>
        <v>امجد عمر عبداللطيف سلطان</v>
      </c>
    </row>
    <row r="495" spans="1:42" ht="14.85" customHeight="1" x14ac:dyDescent="0.25">
      <c r="A495" s="611"/>
      <c r="B495" s="614"/>
      <c r="C495" s="617"/>
      <c r="D495" s="620"/>
      <c r="E495" s="130" t="s">
        <v>31</v>
      </c>
      <c r="F495" s="592">
        <f>IFERROR(VLOOKUP($B494,اسماء,15,0),0)</f>
        <v>0</v>
      </c>
      <c r="G495" s="593"/>
      <c r="H495" s="594">
        <f>IFERROR(VLOOKUP($B494,اسماء,16,0),0)</f>
        <v>0</v>
      </c>
      <c r="I495" s="595"/>
      <c r="J495" s="592">
        <f>IFERROR(VLOOKUP($B494,اسماء,17,0),0)</f>
        <v>0</v>
      </c>
      <c r="K495" s="593"/>
      <c r="L495" s="594">
        <f>IFERROR(VLOOKUP($B494,اسماء,18,0),0)</f>
        <v>0</v>
      </c>
      <c r="M495" s="596"/>
      <c r="N495" s="594">
        <f>IFERROR(VLOOKUP($B494,اسماء,19,0),0)</f>
        <v>0</v>
      </c>
      <c r="O495" s="596"/>
      <c r="P495" s="592">
        <f>IFERROR(VLOOKUP($B494,اسماء,20,0),0)</f>
        <v>0</v>
      </c>
      <c r="Q495" s="595"/>
      <c r="R495" s="372">
        <f t="shared" si="1260"/>
        <v>0</v>
      </c>
      <c r="S495" s="305" t="str">
        <f>IFERROR(VLOOKUP($B494,اسماء,23,0),"")</f>
        <v/>
      </c>
      <c r="T495" s="306" t="str">
        <f>IFERROR(VLOOKUP($B494,اسماء,24,0),"")</f>
        <v/>
      </c>
      <c r="U495" s="122" t="str">
        <f>IFERROR(VLOOKUP($B494,اسماء,25,0),"")</f>
        <v/>
      </c>
      <c r="V495" s="605"/>
      <c r="W495" s="19" t="str">
        <f t="shared" si="1326"/>
        <v>ضعيف</v>
      </c>
      <c r="X495" s="640"/>
      <c r="Y495" s="68"/>
      <c r="Z495" s="598"/>
      <c r="AK495" s="667"/>
      <c r="AL495" s="667"/>
      <c r="AM495" s="696"/>
      <c r="AN495" s="698"/>
      <c r="AO495" s="699"/>
      <c r="AP495" s="698"/>
    </row>
    <row r="496" spans="1:42" ht="14.85" customHeight="1" x14ac:dyDescent="0.25">
      <c r="A496" s="611"/>
      <c r="B496" s="614"/>
      <c r="C496" s="617"/>
      <c r="D496" s="620"/>
      <c r="E496" s="130" t="s">
        <v>32</v>
      </c>
      <c r="F496" s="592">
        <f>IFERROR(VLOOKUP($B494,اسماء,25,0),0)</f>
        <v>0</v>
      </c>
      <c r="G496" s="593"/>
      <c r="H496" s="594">
        <f>IFERROR(VLOOKUP($B494,اسماء,26,0),0)</f>
        <v>0</v>
      </c>
      <c r="I496" s="595"/>
      <c r="J496" s="592">
        <f>IFERROR(VLOOKUP($B494,اسماء,27,0),0)</f>
        <v>0</v>
      </c>
      <c r="K496" s="593"/>
      <c r="L496" s="594">
        <f>IFERROR(VLOOKUP($B494,اسماء,28,0),0)</f>
        <v>0</v>
      </c>
      <c r="M496" s="596"/>
      <c r="N496" s="594">
        <f>IFERROR(VLOOKUP($B494,اسماء,29,0),0)</f>
        <v>0</v>
      </c>
      <c r="O496" s="596"/>
      <c r="P496" s="592">
        <f>IFERROR(VLOOKUP($B494,اسماء,30,0),0)</f>
        <v>0</v>
      </c>
      <c r="Q496" s="595"/>
      <c r="R496" s="372">
        <f t="shared" si="1260"/>
        <v>0</v>
      </c>
      <c r="S496" s="305" t="str">
        <f>IFERROR(VLOOKUP($B494,اسماء,34,0),"")</f>
        <v/>
      </c>
      <c r="T496" s="306" t="str">
        <f>IFERROR(VLOOKUP($B494,اسماء,35,0),"")</f>
        <v/>
      </c>
      <c r="U496" s="122" t="str">
        <f>IFERROR(VLOOKUP($B494,اسماء,36,0),"")</f>
        <v/>
      </c>
      <c r="V496" s="605"/>
      <c r="W496" s="20" t="str">
        <f t="shared" ref="W496" si="1329">LOOKUP(R496,$AF$6:$AG$10)</f>
        <v>ضعيف</v>
      </c>
      <c r="X496" s="640"/>
      <c r="Y496" s="68"/>
      <c r="Z496" s="598"/>
      <c r="AK496" s="667"/>
      <c r="AL496" s="667"/>
      <c r="AM496" s="696"/>
      <c r="AN496" s="698"/>
      <c r="AO496" s="699"/>
      <c r="AP496" s="698"/>
    </row>
    <row r="497" spans="1:42" ht="14.85" customHeight="1" thickBot="1" x14ac:dyDescent="0.3">
      <c r="A497" s="612"/>
      <c r="B497" s="615"/>
      <c r="C497" s="618"/>
      <c r="D497" s="621"/>
      <c r="E497" s="124" t="s">
        <v>33</v>
      </c>
      <c r="F497" s="623">
        <f t="shared" ref="F497" si="1330">SUM(F494:G496)</f>
        <v>0</v>
      </c>
      <c r="G497" s="624"/>
      <c r="H497" s="625">
        <f t="shared" ref="H497" si="1331">SUM(H494:I496)</f>
        <v>0</v>
      </c>
      <c r="I497" s="626"/>
      <c r="J497" s="623">
        <f t="shared" ref="J497" si="1332">SUM(J494:K496)</f>
        <v>0</v>
      </c>
      <c r="K497" s="624"/>
      <c r="L497" s="625">
        <f t="shared" ref="L497" si="1333">SUM(L494:M496)</f>
        <v>0</v>
      </c>
      <c r="M497" s="642"/>
      <c r="N497" s="625">
        <f t="shared" ref="N497" si="1334">SUM(N494:O496)</f>
        <v>0</v>
      </c>
      <c r="O497" s="642"/>
      <c r="P497" s="623">
        <f t="shared" ref="P497" si="1335">SUM(P494:Q496)</f>
        <v>0</v>
      </c>
      <c r="Q497" s="626"/>
      <c r="R497" s="88">
        <f t="shared" ref="R497" si="1336">IF(AND(F497&gt;=$G$8,H497&gt;=$I$8,J497&gt;=$K$8,L497&gt;=$M$8,N497&gt;=$O$8,P497&gt;=$Q$8),SUM(F497:Q497),0)</f>
        <v>0</v>
      </c>
      <c r="S497" s="251"/>
      <c r="T497" s="97"/>
      <c r="U497" s="94"/>
      <c r="V497" s="606"/>
      <c r="W497" s="88" t="str">
        <f t="shared" ref="W497" si="1337">LOOKUP(R497,$AI$6:$AJ$10)</f>
        <v>ضعيف</v>
      </c>
      <c r="X497" s="641"/>
      <c r="Y497" s="8"/>
      <c r="Z497" s="599"/>
      <c r="AK497" s="667"/>
      <c r="AL497" s="667"/>
      <c r="AM497" s="696"/>
      <c r="AN497" s="698"/>
      <c r="AO497" s="699"/>
      <c r="AP497" s="698"/>
    </row>
    <row r="498" spans="1:42" ht="14.85" customHeight="1" thickBot="1" x14ac:dyDescent="0.3">
      <c r="A498" s="610">
        <v>108</v>
      </c>
      <c r="B498" s="613">
        <f>VLOOKUP(A498,مسلسل,2,0)</f>
        <v>0</v>
      </c>
      <c r="C498" s="616" t="str">
        <f>IFERROR(VLOOKUP(B498,اسماء,2,0),"")</f>
        <v/>
      </c>
      <c r="D498" s="619" t="str">
        <f>IFERROR(VLOOKUP($B498,اسماء,3,0),"")</f>
        <v/>
      </c>
      <c r="E498" s="129" t="s">
        <v>30</v>
      </c>
      <c r="F498" s="600">
        <f>IFERROR(VLOOKUP($B498,اسماء,5,0),0)</f>
        <v>0</v>
      </c>
      <c r="G498" s="601"/>
      <c r="H498" s="602">
        <f>IFERROR(VLOOKUP($B498,اسماء,6,0),0)</f>
        <v>0</v>
      </c>
      <c r="I498" s="622"/>
      <c r="J498" s="600">
        <f>IFERROR(VLOOKUP($B498,اسماء,7,0),0)</f>
        <v>0</v>
      </c>
      <c r="K498" s="601"/>
      <c r="L498" s="602">
        <f>IFERROR(VLOOKUP($B498,اسماء,8,0),0)</f>
        <v>0</v>
      </c>
      <c r="M498" s="603"/>
      <c r="N498" s="602">
        <f>IFERROR(VLOOKUP($B498,اسماء,9,0),0)</f>
        <v>0</v>
      </c>
      <c r="O498" s="603"/>
      <c r="P498" s="600">
        <f>IFERROR(VLOOKUP($B498,اسماء,10,0),0)</f>
        <v>0</v>
      </c>
      <c r="Q498" s="622"/>
      <c r="R498" s="371">
        <f t="shared" ref="R498" si="1338">SUM(F498:Q498)</f>
        <v>0</v>
      </c>
      <c r="S498" s="213" t="str">
        <f>IFERROR(VLOOKUP($B498,اسماء,12,0),"")</f>
        <v/>
      </c>
      <c r="T498" s="214" t="str">
        <f>IFERROR(VLOOKUP($B498,اسماء,13,0),"")</f>
        <v/>
      </c>
      <c r="U498" s="364" t="str">
        <f>IFERROR(VLOOKUP($B498,اسماء,14,0),"")</f>
        <v/>
      </c>
      <c r="V498" s="604" t="str">
        <f t="shared" ref="V498" si="1339">IF(Z498="غائب","راسب",IF(R501&gt;0,"ناجح","مرحل"))</f>
        <v>مرحل</v>
      </c>
      <c r="W498" s="19" t="str">
        <f t="shared" ref="W498:W499" si="1340">LOOKUP(R498,$AC$6:$AD$10)</f>
        <v>ضعيف</v>
      </c>
      <c r="X498" s="639">
        <f t="shared" ref="X498" si="1341">R501/$AC$3</f>
        <v>0</v>
      </c>
      <c r="Y498" s="68"/>
      <c r="Z498" s="597" t="str">
        <f>IFERROR(VLOOKUP($B498,اسماء,48,0),"")</f>
        <v/>
      </c>
      <c r="AK498" s="667" t="str">
        <f t="shared" ref="AK498" si="1342">IF(R501=0,"",R501/1+ROW()*0.00001)</f>
        <v/>
      </c>
      <c r="AL498" s="667">
        <f>B498</f>
        <v>0</v>
      </c>
      <c r="AM498" s="696"/>
      <c r="AN498" s="698">
        <v>108</v>
      </c>
      <c r="AO498" s="699" t="str">
        <f>IFERROR(LARGE($AK$10:$AK$1420,AN498),"")</f>
        <v/>
      </c>
      <c r="AP498" s="698" t="str">
        <f>VLOOKUP(AO498,$AK$10:$AL$1530,2,0)</f>
        <v>امجد عمر عبداللطيف سلطان</v>
      </c>
    </row>
    <row r="499" spans="1:42" ht="14.85" customHeight="1" x14ac:dyDescent="0.25">
      <c r="A499" s="611"/>
      <c r="B499" s="614"/>
      <c r="C499" s="617"/>
      <c r="D499" s="620"/>
      <c r="E499" s="130" t="s">
        <v>31</v>
      </c>
      <c r="F499" s="592">
        <f>IFERROR(VLOOKUP($B498,اسماء,15,0),0)</f>
        <v>0</v>
      </c>
      <c r="G499" s="593"/>
      <c r="H499" s="594">
        <f>IFERROR(VLOOKUP($B498,اسماء,16,0),0)</f>
        <v>0</v>
      </c>
      <c r="I499" s="595"/>
      <c r="J499" s="592">
        <f>IFERROR(VLOOKUP($B498,اسماء,17,0),0)</f>
        <v>0</v>
      </c>
      <c r="K499" s="593"/>
      <c r="L499" s="594">
        <f>IFERROR(VLOOKUP($B498,اسماء,18,0),0)</f>
        <v>0</v>
      </c>
      <c r="M499" s="596"/>
      <c r="N499" s="594">
        <f>IFERROR(VLOOKUP($B498,اسماء,19,0),0)</f>
        <v>0</v>
      </c>
      <c r="O499" s="596"/>
      <c r="P499" s="592">
        <f>IFERROR(VLOOKUP($B498,اسماء,20,0),0)</f>
        <v>0</v>
      </c>
      <c r="Q499" s="595"/>
      <c r="R499" s="372">
        <f t="shared" si="1260"/>
        <v>0</v>
      </c>
      <c r="S499" s="305" t="str">
        <f>IFERROR(VLOOKUP($B498,اسماء,23,0),"")</f>
        <v/>
      </c>
      <c r="T499" s="306" t="str">
        <f>IFERROR(VLOOKUP($B498,اسماء,24,0),"")</f>
        <v/>
      </c>
      <c r="U499" s="122" t="str">
        <f>IFERROR(VLOOKUP($B498,اسماء,25,0),"")</f>
        <v/>
      </c>
      <c r="V499" s="605"/>
      <c r="W499" s="19" t="str">
        <f t="shared" si="1340"/>
        <v>ضعيف</v>
      </c>
      <c r="X499" s="640"/>
      <c r="Y499" s="68"/>
      <c r="Z499" s="598"/>
      <c r="AK499" s="667"/>
      <c r="AL499" s="667"/>
      <c r="AM499" s="696"/>
      <c r="AN499" s="698"/>
      <c r="AO499" s="699"/>
      <c r="AP499" s="698"/>
    </row>
    <row r="500" spans="1:42" ht="14.85" customHeight="1" x14ac:dyDescent="0.25">
      <c r="A500" s="611"/>
      <c r="B500" s="614"/>
      <c r="C500" s="617"/>
      <c r="D500" s="620"/>
      <c r="E500" s="130" t="s">
        <v>32</v>
      </c>
      <c r="F500" s="592">
        <f>IFERROR(VLOOKUP($B498,اسماء,25,0),0)</f>
        <v>0</v>
      </c>
      <c r="G500" s="593"/>
      <c r="H500" s="594">
        <f>IFERROR(VLOOKUP($B498,اسماء,26,0),0)</f>
        <v>0</v>
      </c>
      <c r="I500" s="595"/>
      <c r="J500" s="592">
        <f>IFERROR(VLOOKUP($B498,اسماء,27,0),0)</f>
        <v>0</v>
      </c>
      <c r="K500" s="593"/>
      <c r="L500" s="594">
        <f>IFERROR(VLOOKUP($B498,اسماء,28,0),0)</f>
        <v>0</v>
      </c>
      <c r="M500" s="596"/>
      <c r="N500" s="594">
        <f>IFERROR(VLOOKUP($B498,اسماء,29,0),0)</f>
        <v>0</v>
      </c>
      <c r="O500" s="596"/>
      <c r="P500" s="592">
        <f>IFERROR(VLOOKUP($B498,اسماء,30,0),0)</f>
        <v>0</v>
      </c>
      <c r="Q500" s="595"/>
      <c r="R500" s="372">
        <f t="shared" si="1260"/>
        <v>0</v>
      </c>
      <c r="S500" s="305" t="str">
        <f>IFERROR(VLOOKUP($B498,اسماء,34,0),"")</f>
        <v/>
      </c>
      <c r="T500" s="306" t="str">
        <f>IFERROR(VLOOKUP($B498,اسماء,35,0),"")</f>
        <v/>
      </c>
      <c r="U500" s="122" t="str">
        <f>IFERROR(VLOOKUP($B498,اسماء,36,0),"")</f>
        <v/>
      </c>
      <c r="V500" s="605"/>
      <c r="W500" s="20" t="str">
        <f t="shared" ref="W500" si="1343">LOOKUP(R500,$AF$6:$AG$10)</f>
        <v>ضعيف</v>
      </c>
      <c r="X500" s="640"/>
      <c r="Y500" s="8"/>
      <c r="Z500" s="598"/>
      <c r="AK500" s="667"/>
      <c r="AL500" s="667"/>
      <c r="AM500" s="696"/>
      <c r="AN500" s="698"/>
      <c r="AO500" s="699"/>
      <c r="AP500" s="698"/>
    </row>
    <row r="501" spans="1:42" ht="14.85" customHeight="1" thickBot="1" x14ac:dyDescent="0.3">
      <c r="A501" s="612"/>
      <c r="B501" s="615"/>
      <c r="C501" s="618"/>
      <c r="D501" s="621"/>
      <c r="E501" s="124" t="s">
        <v>33</v>
      </c>
      <c r="F501" s="623">
        <f t="shared" ref="F501" si="1344">SUM(F498:G500)</f>
        <v>0</v>
      </c>
      <c r="G501" s="624"/>
      <c r="H501" s="625">
        <f t="shared" ref="H501" si="1345">SUM(H498:I500)</f>
        <v>0</v>
      </c>
      <c r="I501" s="626"/>
      <c r="J501" s="623">
        <f t="shared" ref="J501" si="1346">SUM(J498:K500)</f>
        <v>0</v>
      </c>
      <c r="K501" s="624"/>
      <c r="L501" s="625">
        <f t="shared" ref="L501" si="1347">SUM(L498:M500)</f>
        <v>0</v>
      </c>
      <c r="M501" s="642"/>
      <c r="N501" s="625">
        <f t="shared" ref="N501" si="1348">SUM(N498:O500)</f>
        <v>0</v>
      </c>
      <c r="O501" s="642"/>
      <c r="P501" s="623">
        <f t="shared" ref="P501" si="1349">SUM(P498:Q500)</f>
        <v>0</v>
      </c>
      <c r="Q501" s="626"/>
      <c r="R501" s="88">
        <f t="shared" ref="R501" si="1350">IF(AND(F501&gt;=$G$8,H501&gt;=$I$8,J501&gt;=$K$8,L501&gt;=$M$8,N501&gt;=$O$8,P501&gt;=$Q$8),SUM(F501:Q501),0)</f>
        <v>0</v>
      </c>
      <c r="S501" s="251"/>
      <c r="T501" s="97"/>
      <c r="U501" s="94"/>
      <c r="V501" s="606"/>
      <c r="W501" s="88" t="str">
        <f t="shared" ref="W501" si="1351">LOOKUP(R501,$AI$6:$AJ$10)</f>
        <v>ضعيف</v>
      </c>
      <c r="X501" s="641"/>
      <c r="Y501" s="68"/>
      <c r="Z501" s="599"/>
      <c r="AK501" s="667"/>
      <c r="AL501" s="667"/>
      <c r="AM501" s="696"/>
      <c r="AN501" s="698"/>
      <c r="AO501" s="699"/>
      <c r="AP501" s="698"/>
    </row>
    <row r="502" spans="1:42" ht="14.85" customHeight="1" thickBot="1" x14ac:dyDescent="0.3">
      <c r="A502" s="610">
        <v>109</v>
      </c>
      <c r="B502" s="613">
        <f>VLOOKUP(A502,مسلسل,2,0)</f>
        <v>0</v>
      </c>
      <c r="C502" s="616" t="str">
        <f>IFERROR(VLOOKUP(B502,اسماء,2,0),"")</f>
        <v/>
      </c>
      <c r="D502" s="619" t="str">
        <f>IFERROR(VLOOKUP($B502,اسماء,3,0),"")</f>
        <v/>
      </c>
      <c r="E502" s="129" t="s">
        <v>30</v>
      </c>
      <c r="F502" s="600">
        <f>IFERROR(VLOOKUP($B502,اسماء,5,0),0)</f>
        <v>0</v>
      </c>
      <c r="G502" s="601"/>
      <c r="H502" s="602">
        <f>IFERROR(VLOOKUP($B502,اسماء,6,0),0)</f>
        <v>0</v>
      </c>
      <c r="I502" s="622"/>
      <c r="J502" s="600">
        <f>IFERROR(VLOOKUP($B502,اسماء,7,0),0)</f>
        <v>0</v>
      </c>
      <c r="K502" s="601"/>
      <c r="L502" s="602">
        <f>IFERROR(VLOOKUP($B502,اسماء,8,0),0)</f>
        <v>0</v>
      </c>
      <c r="M502" s="603"/>
      <c r="N502" s="602">
        <f>IFERROR(VLOOKUP($B502,اسماء,9,0),0)</f>
        <v>0</v>
      </c>
      <c r="O502" s="603"/>
      <c r="P502" s="600">
        <f>IFERROR(VLOOKUP($B502,اسماء,10,0),0)</f>
        <v>0</v>
      </c>
      <c r="Q502" s="622"/>
      <c r="R502" s="371">
        <f t="shared" ref="R502" si="1352">SUM(F502:Q502)</f>
        <v>0</v>
      </c>
      <c r="S502" s="213" t="str">
        <f>IFERROR(VLOOKUP($B502,اسماء,12,0),"")</f>
        <v/>
      </c>
      <c r="T502" s="214" t="str">
        <f>IFERROR(VLOOKUP($B502,اسماء,13,0),"")</f>
        <v/>
      </c>
      <c r="U502" s="364" t="str">
        <f>IFERROR(VLOOKUP($B502,اسماء,14,0),"")</f>
        <v/>
      </c>
      <c r="V502" s="604" t="str">
        <f t="shared" ref="V502" si="1353">IF(Z502="غائب","راسب",IF(R505&gt;0,"ناجح","مرحل"))</f>
        <v>مرحل</v>
      </c>
      <c r="W502" s="19" t="str">
        <f t="shared" ref="W502:W503" si="1354">LOOKUP(R502,$AC$6:$AD$10)</f>
        <v>ضعيف</v>
      </c>
      <c r="X502" s="639">
        <f t="shared" ref="X502" si="1355">R505/$AC$3</f>
        <v>0</v>
      </c>
      <c r="Y502" s="68"/>
      <c r="Z502" s="597" t="str">
        <f>IFERROR(VLOOKUP($B502,اسماء,48,0),"")</f>
        <v/>
      </c>
      <c r="AK502" s="667" t="str">
        <f t="shared" ref="AK502" si="1356">IF(R505=0,"",R505/1+ROW()*0.00001)</f>
        <v/>
      </c>
      <c r="AL502" s="667">
        <f>B502</f>
        <v>0</v>
      </c>
      <c r="AM502" s="696"/>
      <c r="AN502" s="698">
        <v>109</v>
      </c>
      <c r="AO502" s="699" t="str">
        <f>IFERROR(LARGE($AK$10:$AK$1420,AN502),"")</f>
        <v/>
      </c>
      <c r="AP502" s="698" t="str">
        <f>VLOOKUP(AO502,$AK$10:$AL$1530,2,0)</f>
        <v>امجد عمر عبداللطيف سلطان</v>
      </c>
    </row>
    <row r="503" spans="1:42" ht="14.85" customHeight="1" x14ac:dyDescent="0.25">
      <c r="A503" s="611"/>
      <c r="B503" s="614"/>
      <c r="C503" s="617"/>
      <c r="D503" s="620"/>
      <c r="E503" s="130" t="s">
        <v>31</v>
      </c>
      <c r="F503" s="592">
        <f>IFERROR(VLOOKUP($B502,اسماء,15,0),0)</f>
        <v>0</v>
      </c>
      <c r="G503" s="593"/>
      <c r="H503" s="594">
        <f>IFERROR(VLOOKUP($B502,اسماء,16,0),0)</f>
        <v>0</v>
      </c>
      <c r="I503" s="595"/>
      <c r="J503" s="592">
        <f>IFERROR(VLOOKUP($B502,اسماء,17,0),0)</f>
        <v>0</v>
      </c>
      <c r="K503" s="593"/>
      <c r="L503" s="594">
        <f>IFERROR(VLOOKUP($B502,اسماء,18,0),0)</f>
        <v>0</v>
      </c>
      <c r="M503" s="596"/>
      <c r="N503" s="594">
        <f>IFERROR(VLOOKUP($B502,اسماء,19,0),0)</f>
        <v>0</v>
      </c>
      <c r="O503" s="596"/>
      <c r="P503" s="592">
        <f>IFERROR(VLOOKUP($B502,اسماء,20,0),0)</f>
        <v>0</v>
      </c>
      <c r="Q503" s="595"/>
      <c r="R503" s="372">
        <f t="shared" si="1260"/>
        <v>0</v>
      </c>
      <c r="S503" s="305" t="str">
        <f>IFERROR(VLOOKUP($B502,اسماء,23,0),"")</f>
        <v/>
      </c>
      <c r="T503" s="306" t="str">
        <f>IFERROR(VLOOKUP($B502,اسماء,24,0),"")</f>
        <v/>
      </c>
      <c r="U503" s="122" t="str">
        <f>IFERROR(VLOOKUP($B502,اسماء,25,0),"")</f>
        <v/>
      </c>
      <c r="V503" s="605"/>
      <c r="W503" s="19" t="str">
        <f t="shared" si="1354"/>
        <v>ضعيف</v>
      </c>
      <c r="X503" s="640"/>
      <c r="Y503" s="8"/>
      <c r="Z503" s="598"/>
      <c r="AK503" s="667"/>
      <c r="AL503" s="667"/>
      <c r="AM503" s="696"/>
      <c r="AN503" s="698"/>
      <c r="AO503" s="699"/>
      <c r="AP503" s="698"/>
    </row>
    <row r="504" spans="1:42" ht="14.85" customHeight="1" x14ac:dyDescent="0.25">
      <c r="A504" s="611"/>
      <c r="B504" s="614"/>
      <c r="C504" s="617"/>
      <c r="D504" s="620"/>
      <c r="E504" s="130" t="s">
        <v>32</v>
      </c>
      <c r="F504" s="592">
        <f>IFERROR(VLOOKUP($B502,اسماء,25,0),0)</f>
        <v>0</v>
      </c>
      <c r="G504" s="593"/>
      <c r="H504" s="594">
        <f>IFERROR(VLOOKUP($B502,اسماء,26,0),0)</f>
        <v>0</v>
      </c>
      <c r="I504" s="595"/>
      <c r="J504" s="592">
        <f>IFERROR(VLOOKUP($B502,اسماء,27,0),0)</f>
        <v>0</v>
      </c>
      <c r="K504" s="593"/>
      <c r="L504" s="594">
        <f>IFERROR(VLOOKUP($B502,اسماء,28,0),0)</f>
        <v>0</v>
      </c>
      <c r="M504" s="596"/>
      <c r="N504" s="594">
        <f>IFERROR(VLOOKUP($B502,اسماء,29,0),0)</f>
        <v>0</v>
      </c>
      <c r="O504" s="596"/>
      <c r="P504" s="592">
        <f>IFERROR(VLOOKUP($B502,اسماء,30,0),0)</f>
        <v>0</v>
      </c>
      <c r="Q504" s="595"/>
      <c r="R504" s="372">
        <f t="shared" si="1260"/>
        <v>0</v>
      </c>
      <c r="S504" s="305" t="str">
        <f>IFERROR(VLOOKUP($B502,اسماء,34,0),"")</f>
        <v/>
      </c>
      <c r="T504" s="306" t="str">
        <f>IFERROR(VLOOKUP($B502,اسماء,35,0),"")</f>
        <v/>
      </c>
      <c r="U504" s="122" t="str">
        <f>IFERROR(VLOOKUP($B502,اسماء,36,0),"")</f>
        <v/>
      </c>
      <c r="V504" s="605"/>
      <c r="W504" s="20" t="str">
        <f t="shared" ref="W504" si="1357">LOOKUP(R504,$AF$6:$AG$10)</f>
        <v>ضعيف</v>
      </c>
      <c r="X504" s="640"/>
      <c r="Y504" s="68"/>
      <c r="Z504" s="598"/>
      <c r="AK504" s="667"/>
      <c r="AL504" s="667"/>
      <c r="AM504" s="696"/>
      <c r="AN504" s="698"/>
      <c r="AO504" s="699"/>
      <c r="AP504" s="698"/>
    </row>
    <row r="505" spans="1:42" ht="14.85" customHeight="1" thickBot="1" x14ac:dyDescent="0.3">
      <c r="A505" s="612"/>
      <c r="B505" s="615"/>
      <c r="C505" s="618"/>
      <c r="D505" s="621"/>
      <c r="E505" s="124" t="s">
        <v>33</v>
      </c>
      <c r="F505" s="623">
        <f t="shared" ref="F505" si="1358">SUM(F502:G504)</f>
        <v>0</v>
      </c>
      <c r="G505" s="624"/>
      <c r="H505" s="625">
        <f t="shared" ref="H505" si="1359">SUM(H502:I504)</f>
        <v>0</v>
      </c>
      <c r="I505" s="626"/>
      <c r="J505" s="623">
        <f t="shared" ref="J505" si="1360">SUM(J502:K504)</f>
        <v>0</v>
      </c>
      <c r="K505" s="624"/>
      <c r="L505" s="625">
        <f t="shared" ref="L505" si="1361">SUM(L502:M504)</f>
        <v>0</v>
      </c>
      <c r="M505" s="642"/>
      <c r="N505" s="625">
        <f t="shared" ref="N505" si="1362">SUM(N502:O504)</f>
        <v>0</v>
      </c>
      <c r="O505" s="642"/>
      <c r="P505" s="623">
        <f t="shared" ref="P505" si="1363">SUM(P502:Q504)</f>
        <v>0</v>
      </c>
      <c r="Q505" s="626"/>
      <c r="R505" s="88">
        <f t="shared" ref="R505" si="1364">IF(AND(F505&gt;=$G$8,H505&gt;=$I$8,J505&gt;=$K$8,L505&gt;=$M$8,N505&gt;=$O$8,P505&gt;=$Q$8),SUM(F505:Q505),0)</f>
        <v>0</v>
      </c>
      <c r="S505" s="251"/>
      <c r="T505" s="97"/>
      <c r="U505" s="94"/>
      <c r="V505" s="606"/>
      <c r="W505" s="88" t="str">
        <f t="shared" ref="W505" si="1365">LOOKUP(R505,$AI$6:$AJ$10)</f>
        <v>ضعيف</v>
      </c>
      <c r="X505" s="641"/>
      <c r="Y505" s="68"/>
      <c r="Z505" s="599"/>
      <c r="AK505" s="667"/>
      <c r="AL505" s="667"/>
      <c r="AM505" s="696"/>
      <c r="AN505" s="698"/>
      <c r="AO505" s="699"/>
      <c r="AP505" s="698"/>
    </row>
    <row r="506" spans="1:42" ht="14.85" customHeight="1" thickBot="1" x14ac:dyDescent="0.3">
      <c r="A506" s="610">
        <v>110</v>
      </c>
      <c r="B506" s="613">
        <f>VLOOKUP(A506,مسلسل,2,0)</f>
        <v>0</v>
      </c>
      <c r="C506" s="616" t="str">
        <f>IFERROR(VLOOKUP(B506,اسماء,2,0),"")</f>
        <v/>
      </c>
      <c r="D506" s="619" t="str">
        <f>IFERROR(VLOOKUP($B506,اسماء,3,0),"")</f>
        <v/>
      </c>
      <c r="E506" s="129" t="s">
        <v>30</v>
      </c>
      <c r="F506" s="600">
        <f>IFERROR(VLOOKUP($B506,اسماء,5,0),0)</f>
        <v>0</v>
      </c>
      <c r="G506" s="601"/>
      <c r="H506" s="602">
        <f>IFERROR(VLOOKUP($B506,اسماء,6,0),0)</f>
        <v>0</v>
      </c>
      <c r="I506" s="622"/>
      <c r="J506" s="600">
        <f>IFERROR(VLOOKUP($B506,اسماء,7,0),0)</f>
        <v>0</v>
      </c>
      <c r="K506" s="601"/>
      <c r="L506" s="602">
        <f>IFERROR(VLOOKUP($B506,اسماء,8,0),0)</f>
        <v>0</v>
      </c>
      <c r="M506" s="603"/>
      <c r="N506" s="602">
        <f>IFERROR(VLOOKUP($B506,اسماء,9,0),0)</f>
        <v>0</v>
      </c>
      <c r="O506" s="603"/>
      <c r="P506" s="600">
        <f>IFERROR(VLOOKUP($B506,اسماء,10,0),0)</f>
        <v>0</v>
      </c>
      <c r="Q506" s="622"/>
      <c r="R506" s="371">
        <f t="shared" ref="R506" si="1366">SUM(F506:Q506)</f>
        <v>0</v>
      </c>
      <c r="S506" s="213" t="str">
        <f>IFERROR(VLOOKUP($B506,اسماء,12,0),"")</f>
        <v/>
      </c>
      <c r="T506" s="214" t="str">
        <f>IFERROR(VLOOKUP($B506,اسماء,13,0),"")</f>
        <v/>
      </c>
      <c r="U506" s="364" t="str">
        <f>IFERROR(VLOOKUP($B506,اسماء,14,0),"")</f>
        <v/>
      </c>
      <c r="V506" s="604" t="str">
        <f t="shared" ref="V506" si="1367">IF(Z506="غائب","راسب",IF(R509&gt;0,"ناجح","مرحل"))</f>
        <v>مرحل</v>
      </c>
      <c r="W506" s="19" t="str">
        <f t="shared" ref="W506:W507" si="1368">LOOKUP(R506,$AC$6:$AD$10)</f>
        <v>ضعيف</v>
      </c>
      <c r="X506" s="639">
        <f t="shared" ref="X506" si="1369">R509/$AC$3</f>
        <v>0</v>
      </c>
      <c r="Y506" s="8"/>
      <c r="Z506" s="597" t="str">
        <f>IFERROR(VLOOKUP($B506,اسماء,48,0),"")</f>
        <v/>
      </c>
      <c r="AK506" s="667" t="str">
        <f t="shared" ref="AK506" si="1370">IF(R509=0,"",R509/1+ROW()*0.00001)</f>
        <v/>
      </c>
      <c r="AL506" s="667">
        <f>B506</f>
        <v>0</v>
      </c>
      <c r="AM506" s="696"/>
      <c r="AN506" s="698">
        <v>110</v>
      </c>
      <c r="AO506" s="699" t="str">
        <f>IFERROR(LARGE($AK$10:$AK$1420,AN506),"")</f>
        <v/>
      </c>
      <c r="AP506" s="698" t="str">
        <f>VLOOKUP(AO506,$AK$10:$AL$1530,2,0)</f>
        <v>امجد عمر عبداللطيف سلطان</v>
      </c>
    </row>
    <row r="507" spans="1:42" ht="14.85" customHeight="1" x14ac:dyDescent="0.25">
      <c r="A507" s="611"/>
      <c r="B507" s="614"/>
      <c r="C507" s="617"/>
      <c r="D507" s="620"/>
      <c r="E507" s="130" t="s">
        <v>31</v>
      </c>
      <c r="F507" s="592">
        <f>IFERROR(VLOOKUP($B506,اسماء,15,0),0)</f>
        <v>0</v>
      </c>
      <c r="G507" s="593"/>
      <c r="H507" s="594">
        <f>IFERROR(VLOOKUP($B506,اسماء,16,0),0)</f>
        <v>0</v>
      </c>
      <c r="I507" s="595"/>
      <c r="J507" s="592">
        <f>IFERROR(VLOOKUP($B506,اسماء,17,0),0)</f>
        <v>0</v>
      </c>
      <c r="K507" s="593"/>
      <c r="L507" s="594">
        <f>IFERROR(VLOOKUP($B506,اسماء,18,0),0)</f>
        <v>0</v>
      </c>
      <c r="M507" s="596"/>
      <c r="N507" s="594">
        <f>IFERROR(VLOOKUP($B506,اسماء,19,0),0)</f>
        <v>0</v>
      </c>
      <c r="O507" s="596"/>
      <c r="P507" s="592">
        <f>IFERROR(VLOOKUP($B506,اسماء,20,0),0)</f>
        <v>0</v>
      </c>
      <c r="Q507" s="595"/>
      <c r="R507" s="372">
        <f t="shared" si="1260"/>
        <v>0</v>
      </c>
      <c r="S507" s="305" t="str">
        <f>IFERROR(VLOOKUP($B506,اسماء,23,0),"")</f>
        <v/>
      </c>
      <c r="T507" s="306" t="str">
        <f>IFERROR(VLOOKUP($B506,اسماء,24,0),"")</f>
        <v/>
      </c>
      <c r="U507" s="122" t="str">
        <f>IFERROR(VLOOKUP($B506,اسماء,25,0),"")</f>
        <v/>
      </c>
      <c r="V507" s="605"/>
      <c r="W507" s="19" t="str">
        <f t="shared" si="1368"/>
        <v>ضعيف</v>
      </c>
      <c r="X507" s="640"/>
      <c r="Y507" s="68"/>
      <c r="Z507" s="598"/>
      <c r="AK507" s="667"/>
      <c r="AL507" s="667"/>
      <c r="AM507" s="696"/>
      <c r="AN507" s="698"/>
      <c r="AO507" s="699"/>
      <c r="AP507" s="698"/>
    </row>
    <row r="508" spans="1:42" ht="14.85" customHeight="1" x14ac:dyDescent="0.25">
      <c r="A508" s="611"/>
      <c r="B508" s="614"/>
      <c r="C508" s="617"/>
      <c r="D508" s="620"/>
      <c r="E508" s="130" t="s">
        <v>32</v>
      </c>
      <c r="F508" s="592">
        <f>IFERROR(VLOOKUP($B506,اسماء,25,0),0)</f>
        <v>0</v>
      </c>
      <c r="G508" s="593"/>
      <c r="H508" s="594">
        <f>IFERROR(VLOOKUP($B506,اسماء,26,0),0)</f>
        <v>0</v>
      </c>
      <c r="I508" s="595"/>
      <c r="J508" s="592">
        <f>IFERROR(VLOOKUP($B506,اسماء,27,0),0)</f>
        <v>0</v>
      </c>
      <c r="K508" s="593"/>
      <c r="L508" s="594">
        <f>IFERROR(VLOOKUP($B506,اسماء,28,0),0)</f>
        <v>0</v>
      </c>
      <c r="M508" s="596"/>
      <c r="N508" s="594">
        <f>IFERROR(VLOOKUP($B506,اسماء,29,0),0)</f>
        <v>0</v>
      </c>
      <c r="O508" s="596"/>
      <c r="P508" s="592">
        <f>IFERROR(VLOOKUP($B506,اسماء,30,0),0)</f>
        <v>0</v>
      </c>
      <c r="Q508" s="595"/>
      <c r="R508" s="372">
        <f t="shared" si="1260"/>
        <v>0</v>
      </c>
      <c r="S508" s="305" t="str">
        <f>IFERROR(VLOOKUP($B506,اسماء,34,0),"")</f>
        <v/>
      </c>
      <c r="T508" s="306" t="str">
        <f>IFERROR(VLOOKUP($B506,اسماء,35,0),"")</f>
        <v/>
      </c>
      <c r="U508" s="122" t="str">
        <f>IFERROR(VLOOKUP($B506,اسماء,36,0),"")</f>
        <v/>
      </c>
      <c r="V508" s="605"/>
      <c r="W508" s="20" t="str">
        <f t="shared" ref="W508" si="1371">LOOKUP(R508,$AF$6:$AG$10)</f>
        <v>ضعيف</v>
      </c>
      <c r="X508" s="640"/>
      <c r="Y508" s="68"/>
      <c r="Z508" s="598"/>
      <c r="AK508" s="667"/>
      <c r="AL508" s="667"/>
      <c r="AM508" s="696"/>
      <c r="AN508" s="698"/>
      <c r="AO508" s="699"/>
      <c r="AP508" s="698"/>
    </row>
    <row r="509" spans="1:42" ht="14.85" customHeight="1" thickBot="1" x14ac:dyDescent="0.3">
      <c r="A509" s="612"/>
      <c r="B509" s="615"/>
      <c r="C509" s="618"/>
      <c r="D509" s="621"/>
      <c r="E509" s="124" t="s">
        <v>33</v>
      </c>
      <c r="F509" s="623">
        <f t="shared" ref="F509" si="1372">SUM(F506:G508)</f>
        <v>0</v>
      </c>
      <c r="G509" s="624"/>
      <c r="H509" s="625">
        <f t="shared" ref="H509" si="1373">SUM(H506:I508)</f>
        <v>0</v>
      </c>
      <c r="I509" s="626"/>
      <c r="J509" s="623">
        <f t="shared" ref="J509" si="1374">SUM(J506:K508)</f>
        <v>0</v>
      </c>
      <c r="K509" s="624"/>
      <c r="L509" s="625">
        <f t="shared" ref="L509" si="1375">SUM(L506:M508)</f>
        <v>0</v>
      </c>
      <c r="M509" s="642"/>
      <c r="N509" s="625">
        <f t="shared" ref="N509" si="1376">SUM(N506:O508)</f>
        <v>0</v>
      </c>
      <c r="O509" s="642"/>
      <c r="P509" s="623">
        <f t="shared" ref="P509" si="1377">SUM(P506:Q508)</f>
        <v>0</v>
      </c>
      <c r="Q509" s="626"/>
      <c r="R509" s="88">
        <f t="shared" ref="R509" si="1378">IF(AND(F509&gt;=$G$8,H509&gt;=$I$8,J509&gt;=$K$8,L509&gt;=$M$8,N509&gt;=$O$8,P509&gt;=$Q$8),SUM(F509:Q509),0)</f>
        <v>0</v>
      </c>
      <c r="S509" s="251"/>
      <c r="T509" s="97"/>
      <c r="U509" s="94"/>
      <c r="V509" s="606"/>
      <c r="W509" s="88" t="str">
        <f t="shared" ref="W509" si="1379">LOOKUP(R509,$AI$6:$AJ$10)</f>
        <v>ضعيف</v>
      </c>
      <c r="X509" s="641"/>
      <c r="Y509" s="8"/>
      <c r="Z509" s="599"/>
      <c r="AK509" s="667"/>
      <c r="AL509" s="667"/>
      <c r="AM509" s="696"/>
      <c r="AN509" s="698"/>
      <c r="AO509" s="699"/>
      <c r="AP509" s="698"/>
    </row>
    <row r="510" spans="1:42" ht="14.85" customHeight="1" thickBot="1" x14ac:dyDescent="0.3">
      <c r="F510" s="71"/>
      <c r="G510" s="72"/>
      <c r="H510" s="71"/>
      <c r="I510" s="72"/>
      <c r="J510" s="71"/>
      <c r="K510" s="72"/>
      <c r="L510" s="71"/>
      <c r="M510" s="72"/>
      <c r="N510" s="71"/>
      <c r="O510" s="72"/>
      <c r="P510" s="71"/>
      <c r="Q510" s="72"/>
      <c r="R510" s="70"/>
      <c r="S510" s="73"/>
      <c r="T510" s="70"/>
      <c r="U510" s="70"/>
      <c r="V510" s="70"/>
      <c r="W510" s="70"/>
      <c r="X510" s="254"/>
      <c r="Y510" s="68"/>
      <c r="AH510" s="74"/>
    </row>
    <row r="511" spans="1:42" customFormat="1" ht="14.85" customHeight="1" x14ac:dyDescent="0.3">
      <c r="A511" s="668" t="s">
        <v>9</v>
      </c>
      <c r="B511" s="669"/>
      <c r="C511" s="670"/>
      <c r="D511" s="277" t="s">
        <v>11</v>
      </c>
      <c r="E511" s="674" t="s">
        <v>96</v>
      </c>
      <c r="F511" s="663"/>
      <c r="G511" s="663"/>
      <c r="H511" s="663"/>
      <c r="I511" s="663"/>
      <c r="J511" s="7"/>
      <c r="K511" s="7"/>
      <c r="L511" s="7"/>
      <c r="M511" s="7"/>
      <c r="N511" s="7"/>
      <c r="O511" s="7"/>
      <c r="P511" s="7"/>
      <c r="Q511" s="663" t="s">
        <v>156</v>
      </c>
      <c r="R511" s="663"/>
      <c r="S511" s="663"/>
      <c r="T511" s="663"/>
      <c r="U511" s="663"/>
      <c r="V511" s="663"/>
      <c r="W511" s="1"/>
      <c r="X511" s="255"/>
      <c r="Z511" s="75"/>
      <c r="AA511" s="76"/>
      <c r="AB511" s="76"/>
      <c r="AC511" s="76"/>
      <c r="AD511" s="76"/>
    </row>
    <row r="512" spans="1:42" customFormat="1" ht="14.85" customHeight="1" x14ac:dyDescent="0.25">
      <c r="A512" s="77" t="s">
        <v>8</v>
      </c>
      <c r="B512" s="671">
        <f>ادخال1!$BJ$3</f>
        <v>0</v>
      </c>
      <c r="C512" s="672"/>
      <c r="D512" s="278"/>
      <c r="E512" s="7" t="s">
        <v>9</v>
      </c>
      <c r="F512" s="673" t="str">
        <f>ادخال1!$BJ$5</f>
        <v>د. عبدالرحمن خليفة العريبي</v>
      </c>
      <c r="G512" s="673"/>
      <c r="H512" s="673"/>
      <c r="I512" s="673"/>
      <c r="J512" s="673"/>
      <c r="K512" s="673"/>
      <c r="L512" s="673"/>
      <c r="M512" s="673"/>
      <c r="N512" s="673"/>
      <c r="O512" s="673"/>
      <c r="P512" s="7"/>
      <c r="Q512" s="673" t="str">
        <f>ادخال1!$BJ$6</f>
        <v>تاجوراء</v>
      </c>
      <c r="R512" s="673"/>
      <c r="S512" s="673"/>
      <c r="T512" s="673"/>
      <c r="U512" s="673"/>
      <c r="V512" s="673"/>
      <c r="W512" s="673"/>
      <c r="X512" s="63"/>
      <c r="Y512" s="63"/>
      <c r="Z512" s="75"/>
      <c r="AA512" s="75"/>
      <c r="AB512" s="75"/>
      <c r="AC512" s="75"/>
    </row>
    <row r="513" spans="1:42" customFormat="1" ht="14.85" customHeight="1" thickBot="1" x14ac:dyDescent="0.3">
      <c r="A513" s="78" t="s">
        <v>97</v>
      </c>
      <c r="B513" s="665">
        <f>ادخال1!$BJ$4</f>
        <v>0</v>
      </c>
      <c r="C513" s="666"/>
      <c r="D513" s="279"/>
      <c r="E513" s="7" t="s">
        <v>11</v>
      </c>
      <c r="F513" s="667"/>
      <c r="G513" s="667"/>
      <c r="H513" s="667"/>
      <c r="I513" s="667"/>
      <c r="J513" s="667"/>
      <c r="K513" s="667"/>
      <c r="L513" s="667"/>
      <c r="M513" s="667"/>
      <c r="N513" s="667"/>
      <c r="O513" s="667"/>
      <c r="P513" s="7"/>
      <c r="Q513" s="7" t="s">
        <v>11</v>
      </c>
      <c r="R513" s="1"/>
      <c r="S513" s="1"/>
      <c r="T513" s="1"/>
      <c r="U513" s="1"/>
      <c r="V513" s="1"/>
      <c r="W513" s="1"/>
      <c r="X513" s="255"/>
      <c r="Z513" s="75"/>
      <c r="AA513" s="75"/>
      <c r="AB513" s="75"/>
      <c r="AC513" s="75"/>
    </row>
    <row r="514" spans="1:42" customFormat="1" ht="14.85" customHeight="1" x14ac:dyDescent="0.25">
      <c r="A514" s="663" t="s">
        <v>98</v>
      </c>
      <c r="B514" s="663"/>
      <c r="C514" s="663"/>
      <c r="D514" s="663"/>
      <c r="E514" s="663" t="s">
        <v>99</v>
      </c>
      <c r="F514" s="663"/>
      <c r="G514" s="663"/>
      <c r="H514" s="663"/>
      <c r="I514" s="663"/>
      <c r="J514" s="663"/>
      <c r="K514" s="663"/>
      <c r="L514" s="663"/>
      <c r="M514" s="663"/>
      <c r="N514" s="663"/>
      <c r="O514" s="663"/>
      <c r="P514" s="663"/>
      <c r="Q514" s="663"/>
      <c r="R514" s="7"/>
      <c r="S514" s="664">
        <f ca="1">TODAY()</f>
        <v>46009</v>
      </c>
      <c r="T514" s="664"/>
      <c r="U514" s="664"/>
      <c r="V514" s="664"/>
      <c r="W514" s="664"/>
      <c r="X514" s="255"/>
    </row>
    <row r="515" spans="1:42" customFormat="1" ht="14.85" customHeight="1" thickBot="1" x14ac:dyDescent="0.3">
      <c r="A515" s="7"/>
      <c r="B515" s="663" t="s">
        <v>100</v>
      </c>
      <c r="C515" s="663"/>
      <c r="D515" s="663"/>
      <c r="E515" s="663" t="s">
        <v>101</v>
      </c>
      <c r="F515" s="663"/>
      <c r="G515" s="663"/>
      <c r="H515" s="663"/>
      <c r="I515" s="663"/>
      <c r="J515" s="663"/>
      <c r="K515" s="663"/>
      <c r="L515" s="663"/>
      <c r="M515" s="663"/>
      <c r="N515" s="663"/>
      <c r="O515" s="663"/>
      <c r="P515" s="663"/>
      <c r="Q515" s="663"/>
      <c r="R515" s="1"/>
      <c r="S515" s="1"/>
      <c r="T515" s="1"/>
      <c r="U515" s="1"/>
      <c r="V515" s="1"/>
      <c r="W515" s="1"/>
      <c r="X515" s="255"/>
    </row>
    <row r="516" spans="1:42" ht="14.85" customHeight="1" thickBot="1" x14ac:dyDescent="0.3">
      <c r="A516" s="610">
        <v>111</v>
      </c>
      <c r="B516" s="613">
        <f>VLOOKUP(A516,مسلسل,2,0)</f>
        <v>0</v>
      </c>
      <c r="C516" s="616" t="str">
        <f>IFERROR(VLOOKUP(B516,اسماء,2,0),"")</f>
        <v/>
      </c>
      <c r="D516" s="619" t="str">
        <f>IFERROR(VLOOKUP($B516,اسماء,3,0),"")</f>
        <v/>
      </c>
      <c r="E516" s="129" t="s">
        <v>30</v>
      </c>
      <c r="F516" s="600">
        <f>IFERROR(VLOOKUP($B516,اسماء,5,0),0)</f>
        <v>0</v>
      </c>
      <c r="G516" s="601"/>
      <c r="H516" s="602">
        <f>IFERROR(VLOOKUP($B516,اسماء,6,0),0)</f>
        <v>0</v>
      </c>
      <c r="I516" s="622"/>
      <c r="J516" s="600">
        <f>IFERROR(VLOOKUP($B516,اسماء,7,0),0)</f>
        <v>0</v>
      </c>
      <c r="K516" s="601"/>
      <c r="L516" s="602">
        <f>IFERROR(VLOOKUP($B516,اسماء,8,0),0)</f>
        <v>0</v>
      </c>
      <c r="M516" s="603"/>
      <c r="N516" s="602">
        <f>IFERROR(VLOOKUP($B516,اسماء,9,0),0)</f>
        <v>0</v>
      </c>
      <c r="O516" s="603"/>
      <c r="P516" s="600">
        <f>IFERROR(VLOOKUP($B516,اسماء,10,0),0)</f>
        <v>0</v>
      </c>
      <c r="Q516" s="622"/>
      <c r="R516" s="371">
        <f>SUM(F516:Q516)</f>
        <v>0</v>
      </c>
      <c r="S516" s="325" t="str">
        <f>IFERROR(VLOOKUP($B516,اسماء,12,0),"")</f>
        <v/>
      </c>
      <c r="T516" s="326" t="str">
        <f>IFERROR(VLOOKUP($B516,اسماء,13,0),"")</f>
        <v/>
      </c>
      <c r="U516" s="92" t="str">
        <f>IFERROR(VLOOKUP($B516,اسماء,14,0),"")</f>
        <v/>
      </c>
      <c r="V516" s="604" t="str">
        <f t="shared" ref="V516" si="1380">IF(Z516="غائب","راسب",IF(R519&gt;0,"ناجح","مرحل"))</f>
        <v>مرحل</v>
      </c>
      <c r="W516" s="19" t="str">
        <f t="shared" ref="W516:W517" si="1381">LOOKUP(R516,$AC$6:$AD$10)</f>
        <v>ضعيف</v>
      </c>
      <c r="X516" s="639">
        <f t="shared" ref="X516" si="1382">R519/$AC$3</f>
        <v>0</v>
      </c>
      <c r="Y516" s="68"/>
      <c r="Z516" s="597" t="str">
        <f>IFERROR(VLOOKUP($B516,اسماء,48,0),"")</f>
        <v/>
      </c>
      <c r="AK516" s="671" t="str">
        <f>IF(R519=0,"",R519/1+ROW()*0.00001)</f>
        <v/>
      </c>
      <c r="AL516" s="671">
        <f>B516</f>
        <v>0</v>
      </c>
      <c r="AM516" s="696"/>
      <c r="AN516" s="698">
        <v>111</v>
      </c>
      <c r="AO516" s="699" t="str">
        <f>IFERROR(LARGE($AK$10:$AK$1420,AN516),"")</f>
        <v/>
      </c>
      <c r="AP516" s="698" t="str">
        <f>VLOOKUP(AO516,$AK$10:$AL$1530,2,0)</f>
        <v>امجد عمر عبداللطيف سلطان</v>
      </c>
    </row>
    <row r="517" spans="1:42" ht="14.85" customHeight="1" x14ac:dyDescent="0.25">
      <c r="A517" s="611"/>
      <c r="B517" s="614"/>
      <c r="C517" s="617"/>
      <c r="D517" s="620"/>
      <c r="E517" s="130" t="s">
        <v>31</v>
      </c>
      <c r="F517" s="592">
        <f>IFERROR(VLOOKUP($B516,اسماء,16,0),0)</f>
        <v>0</v>
      </c>
      <c r="G517" s="593"/>
      <c r="H517" s="594">
        <f>IFERROR(VLOOKUP($B516,اسماء,17,0),0)</f>
        <v>0</v>
      </c>
      <c r="I517" s="595"/>
      <c r="J517" s="592">
        <f>IFERROR(VLOOKUP($B516,اسماء,18,0),0)</f>
        <v>0</v>
      </c>
      <c r="K517" s="593"/>
      <c r="L517" s="594">
        <f>IFERROR(VLOOKUP($B516,اسماء,19,0),0)</f>
        <v>0</v>
      </c>
      <c r="M517" s="596"/>
      <c r="N517" s="594">
        <f>IFERROR(VLOOKUP($B516,اسماء,20,0),0)</f>
        <v>0</v>
      </c>
      <c r="O517" s="596"/>
      <c r="P517" s="592">
        <f>IFERROR(VLOOKUP($B516,اسماء,21,0),0)</f>
        <v>0</v>
      </c>
      <c r="Q517" s="595"/>
      <c r="R517" s="372">
        <f t="shared" ref="R517:R518" si="1383">SUM(F517:Q517)</f>
        <v>0</v>
      </c>
      <c r="S517" s="305" t="str">
        <f>IFERROR(VLOOKUP($B516,اسماء,23,0),"")</f>
        <v/>
      </c>
      <c r="T517" s="306" t="str">
        <f>IFERROR(VLOOKUP($B516,اسماء,24,0),"")</f>
        <v/>
      </c>
      <c r="U517" s="122" t="str">
        <f>IFERROR(VLOOKUP($B516,اسماء,25,0),"")</f>
        <v/>
      </c>
      <c r="V517" s="605"/>
      <c r="W517" s="19" t="str">
        <f t="shared" si="1381"/>
        <v>ضعيف</v>
      </c>
      <c r="X517" s="640"/>
      <c r="Y517" s="68"/>
      <c r="Z517" s="598"/>
      <c r="AK517" s="671"/>
      <c r="AL517" s="671"/>
      <c r="AM517" s="696"/>
      <c r="AN517" s="698"/>
      <c r="AO517" s="699"/>
      <c r="AP517" s="698"/>
    </row>
    <row r="518" spans="1:42" ht="14.85" customHeight="1" x14ac:dyDescent="0.25">
      <c r="A518" s="611"/>
      <c r="B518" s="614"/>
      <c r="C518" s="617"/>
      <c r="D518" s="620"/>
      <c r="E518" s="130" t="s">
        <v>32</v>
      </c>
      <c r="F518" s="592">
        <f>IFERROR(VLOOKUP($B516,اسماء,27,0),0)</f>
        <v>0</v>
      </c>
      <c r="G518" s="593"/>
      <c r="H518" s="594">
        <f>IFERROR(VLOOKUP($B516,اسماء,28,0),0)</f>
        <v>0</v>
      </c>
      <c r="I518" s="595"/>
      <c r="J518" s="592">
        <f>IFERROR(VLOOKUP($B516,اسماء,29,0),0)</f>
        <v>0</v>
      </c>
      <c r="K518" s="593"/>
      <c r="L518" s="594">
        <f>IFERROR(VLOOKUP($B516,اسماء,30,0),0)</f>
        <v>0</v>
      </c>
      <c r="M518" s="596"/>
      <c r="N518" s="594">
        <f>IFERROR(VLOOKUP($B516,اسماء,31,0),0)</f>
        <v>0</v>
      </c>
      <c r="O518" s="596"/>
      <c r="P518" s="592">
        <f>IFERROR(VLOOKUP($B516,اسماء,32,0),0)</f>
        <v>0</v>
      </c>
      <c r="Q518" s="595"/>
      <c r="R518" s="372">
        <f t="shared" si="1383"/>
        <v>0</v>
      </c>
      <c r="S518" s="305" t="str">
        <f>IFERROR(VLOOKUP($B516,اسماء,34,0),"")</f>
        <v/>
      </c>
      <c r="T518" s="306" t="str">
        <f>IFERROR(VLOOKUP($B516,اسماء,35,0),"")</f>
        <v/>
      </c>
      <c r="U518" s="122" t="str">
        <f>IFERROR(VLOOKUP($B516,اسماء,36,0),"")</f>
        <v/>
      </c>
      <c r="V518" s="605"/>
      <c r="W518" s="20" t="str">
        <f t="shared" ref="W518" si="1384">LOOKUP(R518,$AF$6:$AG$10)</f>
        <v>ضعيف</v>
      </c>
      <c r="X518" s="640"/>
      <c r="Y518" s="8"/>
      <c r="Z518" s="598"/>
      <c r="AK518" s="671"/>
      <c r="AL518" s="671"/>
      <c r="AM518" s="696"/>
      <c r="AN518" s="698"/>
      <c r="AO518" s="699"/>
      <c r="AP518" s="698"/>
    </row>
    <row r="519" spans="1:42" ht="14.85" customHeight="1" thickBot="1" x14ac:dyDescent="0.3">
      <c r="A519" s="612"/>
      <c r="B519" s="615"/>
      <c r="C519" s="618"/>
      <c r="D519" s="621"/>
      <c r="E519" s="124" t="s">
        <v>33</v>
      </c>
      <c r="F519" s="623">
        <f>SUM(F516:G518)</f>
        <v>0</v>
      </c>
      <c r="G519" s="624"/>
      <c r="H519" s="625">
        <f>SUM(H516:I518)</f>
        <v>0</v>
      </c>
      <c r="I519" s="626"/>
      <c r="J519" s="623">
        <f>SUM(J516:K518)</f>
        <v>0</v>
      </c>
      <c r="K519" s="624"/>
      <c r="L519" s="625">
        <f>SUM(L516:M518)</f>
        <v>0</v>
      </c>
      <c r="M519" s="642"/>
      <c r="N519" s="625">
        <f>SUM(N516:O518)</f>
        <v>0</v>
      </c>
      <c r="O519" s="642"/>
      <c r="P519" s="623">
        <f>SUM(P516:Q518)</f>
        <v>0</v>
      </c>
      <c r="Q519" s="626"/>
      <c r="R519" s="88">
        <f>IF(AND(F519&gt;=$G$8,H519&gt;=$I$8,J519&gt;=$K$8,L519&gt;=$M$8,N519&gt;=$O$8,P519&gt;=$Q$8),SUM(F519:Q519),0)</f>
        <v>0</v>
      </c>
      <c r="S519" s="251"/>
      <c r="T519" s="97"/>
      <c r="U519" s="94"/>
      <c r="V519" s="606"/>
      <c r="W519" s="88" t="str">
        <f t="shared" ref="W519" si="1385">LOOKUP(R519,$AI$6:$AJ$10)</f>
        <v>ضعيف</v>
      </c>
      <c r="X519" s="641"/>
      <c r="Y519" s="68"/>
      <c r="Z519" s="599"/>
      <c r="AK519" s="671"/>
      <c r="AL519" s="671"/>
      <c r="AM519" s="696"/>
      <c r="AN519" s="698"/>
      <c r="AO519" s="699"/>
      <c r="AP519" s="698"/>
    </row>
    <row r="520" spans="1:42" ht="14.85" customHeight="1" thickBot="1" x14ac:dyDescent="0.3">
      <c r="A520" s="610">
        <v>112</v>
      </c>
      <c r="B520" s="613">
        <f>VLOOKUP(A520,مسلسل,2,0)</f>
        <v>0</v>
      </c>
      <c r="C520" s="616" t="str">
        <f>IFERROR(VLOOKUP(B520,اسماء,2,0),"")</f>
        <v/>
      </c>
      <c r="D520" s="619" t="str">
        <f>IFERROR(VLOOKUP($B520,اسماء,3,0),"")</f>
        <v/>
      </c>
      <c r="E520" s="129" t="s">
        <v>30</v>
      </c>
      <c r="F520" s="600">
        <f>IFERROR(VLOOKUP($B520,اسماء,5,0),0)</f>
        <v>0</v>
      </c>
      <c r="G520" s="601"/>
      <c r="H520" s="602">
        <f>IFERROR(VLOOKUP($B520,اسماء,6,0),0)</f>
        <v>0</v>
      </c>
      <c r="I520" s="622"/>
      <c r="J520" s="600">
        <f>IFERROR(VLOOKUP($B520,اسماء,7,0),0)</f>
        <v>0</v>
      </c>
      <c r="K520" s="601"/>
      <c r="L520" s="602">
        <f>IFERROR(VLOOKUP($B520,اسماء,8,0),0)</f>
        <v>0</v>
      </c>
      <c r="M520" s="603"/>
      <c r="N520" s="602">
        <f>IFERROR(VLOOKUP($B520,اسماء,9,0),0)</f>
        <v>0</v>
      </c>
      <c r="O520" s="603"/>
      <c r="P520" s="600">
        <f>IFERROR(VLOOKUP($B520,اسماء,10,0),0)</f>
        <v>0</v>
      </c>
      <c r="Q520" s="622"/>
      <c r="R520" s="371">
        <f t="shared" ref="R520:R554" si="1386">SUM(F520:Q520)</f>
        <v>0</v>
      </c>
      <c r="S520" s="213" t="str">
        <f>IFERROR(VLOOKUP($B520,اسماء,12,0),"")</f>
        <v/>
      </c>
      <c r="T520" s="214" t="str">
        <f>IFERROR(VLOOKUP($B520,اسماء,13,0),"")</f>
        <v/>
      </c>
      <c r="U520" s="364" t="str">
        <f>IFERROR(VLOOKUP($B520,اسماء,14,0),"")</f>
        <v/>
      </c>
      <c r="V520" s="604" t="str">
        <f t="shared" ref="V520" si="1387">IF(Z520="غائب","راسب",IF(R523&gt;0,"ناجح","مرحل"))</f>
        <v>مرحل</v>
      </c>
      <c r="W520" s="19" t="str">
        <f t="shared" ref="W520:W521" si="1388">LOOKUP(R520,$AC$6:$AD$10)</f>
        <v>ضعيف</v>
      </c>
      <c r="X520" s="639">
        <f t="shared" ref="X520" si="1389">R523/$AC$3</f>
        <v>0</v>
      </c>
      <c r="Y520" s="68"/>
      <c r="Z520" s="597" t="str">
        <f>IFERROR(VLOOKUP($B520,اسماء,48,0),"")</f>
        <v/>
      </c>
      <c r="AK520" s="667" t="str">
        <f t="shared" ref="AK520" si="1390">IF(R523=0,"",R523/1+ROW()*0.00001)</f>
        <v/>
      </c>
      <c r="AL520" s="667">
        <f>B520</f>
        <v>0</v>
      </c>
      <c r="AM520" s="696"/>
      <c r="AN520" s="698">
        <v>112</v>
      </c>
      <c r="AO520" s="699" t="str">
        <f>IFERROR(LARGE($AK$10:$AK$1420,AN520),"")</f>
        <v/>
      </c>
      <c r="AP520" s="698" t="str">
        <f>VLOOKUP(AO520,$AK$10:$AL$1530,2,0)</f>
        <v>امجد عمر عبداللطيف سلطان</v>
      </c>
    </row>
    <row r="521" spans="1:42" ht="14.85" customHeight="1" x14ac:dyDescent="0.25">
      <c r="A521" s="611"/>
      <c r="B521" s="614"/>
      <c r="C521" s="617"/>
      <c r="D521" s="620"/>
      <c r="E521" s="130" t="s">
        <v>31</v>
      </c>
      <c r="F521" s="592">
        <f>IFERROR(VLOOKUP($B520,اسماء,15,0),0)</f>
        <v>0</v>
      </c>
      <c r="G521" s="593"/>
      <c r="H521" s="594">
        <f>IFERROR(VLOOKUP($B520,اسماء,16,0),0)</f>
        <v>0</v>
      </c>
      <c r="I521" s="595"/>
      <c r="J521" s="592">
        <f>IFERROR(VLOOKUP($B520,اسماء,17,0),0)</f>
        <v>0</v>
      </c>
      <c r="K521" s="593"/>
      <c r="L521" s="594">
        <f>IFERROR(VLOOKUP($B520,اسماء,18,0),0)</f>
        <v>0</v>
      </c>
      <c r="M521" s="596"/>
      <c r="N521" s="594">
        <f>IFERROR(VLOOKUP($B520,اسماء,19,0),0)</f>
        <v>0</v>
      </c>
      <c r="O521" s="596"/>
      <c r="P521" s="592">
        <f>IFERROR(VLOOKUP($B520,اسماء,20,0),0)</f>
        <v>0</v>
      </c>
      <c r="Q521" s="595"/>
      <c r="R521" s="372">
        <f t="shared" si="1386"/>
        <v>0</v>
      </c>
      <c r="S521" s="305" t="str">
        <f>IFERROR(VLOOKUP($B520,اسماء,23,0),"")</f>
        <v/>
      </c>
      <c r="T521" s="306" t="str">
        <f>IFERROR(VLOOKUP($B520,اسماء,24,0),"")</f>
        <v/>
      </c>
      <c r="U521" s="122" t="str">
        <f>IFERROR(VLOOKUP($B520,اسماء,25,0),"")</f>
        <v/>
      </c>
      <c r="V521" s="605"/>
      <c r="W521" s="19" t="str">
        <f t="shared" si="1388"/>
        <v>ضعيف</v>
      </c>
      <c r="X521" s="640"/>
      <c r="Y521" s="8"/>
      <c r="Z521" s="598"/>
      <c r="AK521" s="667"/>
      <c r="AL521" s="667"/>
      <c r="AM521" s="696"/>
      <c r="AN521" s="698"/>
      <c r="AO521" s="699"/>
      <c r="AP521" s="698"/>
    </row>
    <row r="522" spans="1:42" ht="14.85" customHeight="1" x14ac:dyDescent="0.25">
      <c r="A522" s="611"/>
      <c r="B522" s="614"/>
      <c r="C522" s="617"/>
      <c r="D522" s="620"/>
      <c r="E522" s="130" t="s">
        <v>32</v>
      </c>
      <c r="F522" s="592">
        <f>IFERROR(VLOOKUP($B520,اسماء,25,0),0)</f>
        <v>0</v>
      </c>
      <c r="G522" s="593"/>
      <c r="H522" s="594">
        <f>IFERROR(VLOOKUP($B520,اسماء,26,0),0)</f>
        <v>0</v>
      </c>
      <c r="I522" s="595"/>
      <c r="J522" s="592">
        <f>IFERROR(VLOOKUP($B520,اسماء,27,0),0)</f>
        <v>0</v>
      </c>
      <c r="K522" s="593"/>
      <c r="L522" s="594">
        <f>IFERROR(VLOOKUP($B520,اسماء,28,0),0)</f>
        <v>0</v>
      </c>
      <c r="M522" s="596"/>
      <c r="N522" s="594">
        <f>IFERROR(VLOOKUP($B520,اسماء,29,0),0)</f>
        <v>0</v>
      </c>
      <c r="O522" s="596"/>
      <c r="P522" s="592">
        <f>IFERROR(VLOOKUP($B520,اسماء,30,0),0)</f>
        <v>0</v>
      </c>
      <c r="Q522" s="595"/>
      <c r="R522" s="372">
        <f t="shared" si="1386"/>
        <v>0</v>
      </c>
      <c r="S522" s="305" t="str">
        <f>IFERROR(VLOOKUP($B520,اسماء,34,0),"")</f>
        <v/>
      </c>
      <c r="T522" s="306" t="str">
        <f>IFERROR(VLOOKUP($B520,اسماء,35,0),"")</f>
        <v/>
      </c>
      <c r="U522" s="122" t="str">
        <f>IFERROR(VLOOKUP($B520,اسماء,36,0),"")</f>
        <v/>
      </c>
      <c r="V522" s="605"/>
      <c r="W522" s="20" t="str">
        <f t="shared" ref="W522" si="1391">LOOKUP(R522,$AF$6:$AG$10)</f>
        <v>ضعيف</v>
      </c>
      <c r="X522" s="640"/>
      <c r="Y522" s="68"/>
      <c r="Z522" s="598"/>
      <c r="AK522" s="667"/>
      <c r="AL522" s="667"/>
      <c r="AM522" s="696"/>
      <c r="AN522" s="698"/>
      <c r="AO522" s="699"/>
      <c r="AP522" s="698"/>
    </row>
    <row r="523" spans="1:42" ht="14.85" customHeight="1" thickBot="1" x14ac:dyDescent="0.3">
      <c r="A523" s="612"/>
      <c r="B523" s="615"/>
      <c r="C523" s="618"/>
      <c r="D523" s="621"/>
      <c r="E523" s="124" t="s">
        <v>33</v>
      </c>
      <c r="F523" s="623">
        <f>SUM(F520:G522)</f>
        <v>0</v>
      </c>
      <c r="G523" s="624"/>
      <c r="H523" s="625">
        <f>SUM(H520:I522)</f>
        <v>0</v>
      </c>
      <c r="I523" s="626"/>
      <c r="J523" s="623">
        <f>SUM(J520:K522)</f>
        <v>0</v>
      </c>
      <c r="K523" s="624"/>
      <c r="L523" s="625">
        <f>SUM(L520:M522)</f>
        <v>0</v>
      </c>
      <c r="M523" s="642"/>
      <c r="N523" s="625">
        <f>SUM(N520:O522)</f>
        <v>0</v>
      </c>
      <c r="O523" s="642"/>
      <c r="P523" s="623">
        <f>SUM(P520:Q522)</f>
        <v>0</v>
      </c>
      <c r="Q523" s="626"/>
      <c r="R523" s="88">
        <f t="shared" ref="R523" si="1392">IF(AND(F523&gt;=$G$8,H523&gt;=$I$8,J523&gt;=$K$8,L523&gt;=$M$8,N523&gt;=$O$8,P523&gt;=$Q$8),SUM(F523:Q523),0)</f>
        <v>0</v>
      </c>
      <c r="S523" s="251"/>
      <c r="T523" s="97"/>
      <c r="U523" s="94"/>
      <c r="V523" s="606"/>
      <c r="W523" s="88" t="str">
        <f t="shared" ref="W523" si="1393">LOOKUP(R523,$AI$6:$AJ$10)</f>
        <v>ضعيف</v>
      </c>
      <c r="X523" s="641"/>
      <c r="Y523" s="68"/>
      <c r="Z523" s="599"/>
      <c r="AK523" s="667"/>
      <c r="AL523" s="667"/>
      <c r="AM523" s="696"/>
      <c r="AN523" s="698"/>
      <c r="AO523" s="699"/>
      <c r="AP523" s="698"/>
    </row>
    <row r="524" spans="1:42" ht="14.85" customHeight="1" thickBot="1" x14ac:dyDescent="0.3">
      <c r="A524" s="610">
        <v>113</v>
      </c>
      <c r="B524" s="613">
        <f>VLOOKUP(A524,مسلسل,2,0)</f>
        <v>0</v>
      </c>
      <c r="C524" s="616" t="str">
        <f>IFERROR(VLOOKUP(B524,اسماء,2,0),"")</f>
        <v/>
      </c>
      <c r="D524" s="619" t="str">
        <f>IFERROR(VLOOKUP($B524,اسماء,3,0),"")</f>
        <v/>
      </c>
      <c r="E524" s="129" t="s">
        <v>30</v>
      </c>
      <c r="F524" s="600">
        <f>IFERROR(VLOOKUP($B524,اسماء,5,0),0)</f>
        <v>0</v>
      </c>
      <c r="G524" s="601"/>
      <c r="H524" s="602">
        <f>IFERROR(VLOOKUP($B524,اسماء,6,0),0)</f>
        <v>0</v>
      </c>
      <c r="I524" s="622"/>
      <c r="J524" s="600">
        <f>IFERROR(VLOOKUP($B524,اسماء,7,0),0)</f>
        <v>0</v>
      </c>
      <c r="K524" s="601"/>
      <c r="L524" s="602">
        <f>IFERROR(VLOOKUP($B524,اسماء,8,0),0)</f>
        <v>0</v>
      </c>
      <c r="M524" s="603"/>
      <c r="N524" s="602">
        <f>IFERROR(VLOOKUP($B524,اسماء,9,0),0)</f>
        <v>0</v>
      </c>
      <c r="O524" s="603"/>
      <c r="P524" s="600">
        <f>IFERROR(VLOOKUP($B524,اسماء,10,0),0)</f>
        <v>0</v>
      </c>
      <c r="Q524" s="622"/>
      <c r="R524" s="371">
        <f t="shared" ref="R524" si="1394">SUM(F524:Q524)</f>
        <v>0</v>
      </c>
      <c r="S524" s="213" t="str">
        <f>IFERROR(VLOOKUP($B524,اسماء,12,0),"")</f>
        <v/>
      </c>
      <c r="T524" s="214" t="str">
        <f>IFERROR(VLOOKUP($B524,اسماء,13,0),"")</f>
        <v/>
      </c>
      <c r="U524" s="364" t="str">
        <f>IFERROR(VLOOKUP($B524,اسماء,14,0),"")</f>
        <v/>
      </c>
      <c r="V524" s="604" t="str">
        <f t="shared" ref="V524" si="1395">IF(Z524="غائب","راسب",IF(R527&gt;0,"ناجح","مرحل"))</f>
        <v>مرحل</v>
      </c>
      <c r="W524" s="19" t="str">
        <f t="shared" ref="W524:W525" si="1396">LOOKUP(R524,$AC$6:$AD$10)</f>
        <v>ضعيف</v>
      </c>
      <c r="X524" s="639">
        <f t="shared" ref="X524" si="1397">R527/$AC$3</f>
        <v>0</v>
      </c>
      <c r="Y524" s="8"/>
      <c r="Z524" s="597" t="str">
        <f>IFERROR(VLOOKUP($B524,اسماء,48,0),"")</f>
        <v/>
      </c>
      <c r="AK524" s="667" t="str">
        <f t="shared" ref="AK524" si="1398">IF(R527=0,"",R527/1+ROW()*0.00001)</f>
        <v/>
      </c>
      <c r="AL524" s="667">
        <f>B524</f>
        <v>0</v>
      </c>
      <c r="AM524" s="696"/>
      <c r="AN524" s="698">
        <v>113</v>
      </c>
      <c r="AO524" s="699" t="str">
        <f>IFERROR(LARGE($AK$10:$AK$1420,AN524),"")</f>
        <v/>
      </c>
      <c r="AP524" s="698" t="str">
        <f>VLOOKUP(AO524,$AK$10:$AL$1530,2,0)</f>
        <v>امجد عمر عبداللطيف سلطان</v>
      </c>
    </row>
    <row r="525" spans="1:42" ht="14.85" customHeight="1" x14ac:dyDescent="0.25">
      <c r="A525" s="611"/>
      <c r="B525" s="614"/>
      <c r="C525" s="617"/>
      <c r="D525" s="620"/>
      <c r="E525" s="130" t="s">
        <v>31</v>
      </c>
      <c r="F525" s="592">
        <f>IFERROR(VLOOKUP($B524,اسماء,15,0),0)</f>
        <v>0</v>
      </c>
      <c r="G525" s="593"/>
      <c r="H525" s="594">
        <f>IFERROR(VLOOKUP($B524,اسماء,16,0),0)</f>
        <v>0</v>
      </c>
      <c r="I525" s="595"/>
      <c r="J525" s="592">
        <f>IFERROR(VLOOKUP($B524,اسماء,17,0),0)</f>
        <v>0</v>
      </c>
      <c r="K525" s="593"/>
      <c r="L525" s="594">
        <f>IFERROR(VLOOKUP($B524,اسماء,18,0),0)</f>
        <v>0</v>
      </c>
      <c r="M525" s="596"/>
      <c r="N525" s="594">
        <f>IFERROR(VLOOKUP($B524,اسماء,19,0),0)</f>
        <v>0</v>
      </c>
      <c r="O525" s="596"/>
      <c r="P525" s="592">
        <f>IFERROR(VLOOKUP($B524,اسماء,20,0),0)</f>
        <v>0</v>
      </c>
      <c r="Q525" s="595"/>
      <c r="R525" s="372">
        <f t="shared" si="1386"/>
        <v>0</v>
      </c>
      <c r="S525" s="305" t="str">
        <f>IFERROR(VLOOKUP($B524,اسماء,23,0),"")</f>
        <v/>
      </c>
      <c r="T525" s="306" t="str">
        <f>IFERROR(VLOOKUP($B524,اسماء,24,0),"")</f>
        <v/>
      </c>
      <c r="U525" s="122" t="str">
        <f>IFERROR(VLOOKUP($B524,اسماء,25,0),"")</f>
        <v/>
      </c>
      <c r="V525" s="605"/>
      <c r="W525" s="19" t="str">
        <f t="shared" si="1396"/>
        <v>ضعيف</v>
      </c>
      <c r="X525" s="640"/>
      <c r="Y525" s="68"/>
      <c r="Z525" s="598"/>
      <c r="AK525" s="667"/>
      <c r="AL525" s="667"/>
      <c r="AM525" s="696"/>
      <c r="AN525" s="698"/>
      <c r="AO525" s="699"/>
      <c r="AP525" s="698"/>
    </row>
    <row r="526" spans="1:42" ht="14.85" customHeight="1" x14ac:dyDescent="0.25">
      <c r="A526" s="611"/>
      <c r="B526" s="614"/>
      <c r="C526" s="617"/>
      <c r="D526" s="620"/>
      <c r="E526" s="130" t="s">
        <v>32</v>
      </c>
      <c r="F526" s="592">
        <f>IFERROR(VLOOKUP($B524,اسماء,25,0),0)</f>
        <v>0</v>
      </c>
      <c r="G526" s="593"/>
      <c r="H526" s="594">
        <f>IFERROR(VLOOKUP($B524,اسماء,26,0),0)</f>
        <v>0</v>
      </c>
      <c r="I526" s="595"/>
      <c r="J526" s="592">
        <f>IFERROR(VLOOKUP($B524,اسماء,27,0),0)</f>
        <v>0</v>
      </c>
      <c r="K526" s="593"/>
      <c r="L526" s="594">
        <f>IFERROR(VLOOKUP($B524,اسماء,28,0),0)</f>
        <v>0</v>
      </c>
      <c r="M526" s="596"/>
      <c r="N526" s="594">
        <f>IFERROR(VLOOKUP($B524,اسماء,29,0),0)</f>
        <v>0</v>
      </c>
      <c r="O526" s="596"/>
      <c r="P526" s="592">
        <f>IFERROR(VLOOKUP($B524,اسماء,30,0),0)</f>
        <v>0</v>
      </c>
      <c r="Q526" s="595"/>
      <c r="R526" s="372">
        <f t="shared" si="1386"/>
        <v>0</v>
      </c>
      <c r="S526" s="305" t="str">
        <f>IFERROR(VLOOKUP($B524,اسماء,34,0),"")</f>
        <v/>
      </c>
      <c r="T526" s="306" t="str">
        <f>IFERROR(VLOOKUP($B524,اسماء,35,0),"")</f>
        <v/>
      </c>
      <c r="U526" s="122" t="str">
        <f>IFERROR(VLOOKUP($B524,اسماء,36,0),"")</f>
        <v/>
      </c>
      <c r="V526" s="605"/>
      <c r="W526" s="20" t="str">
        <f t="shared" ref="W526" si="1399">LOOKUP(R526,$AF$6:$AG$10)</f>
        <v>ضعيف</v>
      </c>
      <c r="X526" s="640"/>
      <c r="Y526" s="68"/>
      <c r="Z526" s="598"/>
      <c r="AK526" s="667"/>
      <c r="AL526" s="667"/>
      <c r="AM526" s="696"/>
      <c r="AN526" s="698"/>
      <c r="AO526" s="699"/>
      <c r="AP526" s="698"/>
    </row>
    <row r="527" spans="1:42" ht="14.85" customHeight="1" thickBot="1" x14ac:dyDescent="0.3">
      <c r="A527" s="612"/>
      <c r="B527" s="615"/>
      <c r="C527" s="618"/>
      <c r="D527" s="621"/>
      <c r="E527" s="124" t="s">
        <v>33</v>
      </c>
      <c r="F527" s="623">
        <f t="shared" ref="F527" si="1400">SUM(F524:G526)</f>
        <v>0</v>
      </c>
      <c r="G527" s="624"/>
      <c r="H527" s="625">
        <f t="shared" ref="H527" si="1401">SUM(H524:I526)</f>
        <v>0</v>
      </c>
      <c r="I527" s="626"/>
      <c r="J527" s="623">
        <f t="shared" ref="J527" si="1402">SUM(J524:K526)</f>
        <v>0</v>
      </c>
      <c r="K527" s="624"/>
      <c r="L527" s="625">
        <f t="shared" ref="L527" si="1403">SUM(L524:M526)</f>
        <v>0</v>
      </c>
      <c r="M527" s="642"/>
      <c r="N527" s="625">
        <f t="shared" ref="N527" si="1404">SUM(N524:O526)</f>
        <v>0</v>
      </c>
      <c r="O527" s="642"/>
      <c r="P527" s="623">
        <f t="shared" ref="P527" si="1405">SUM(P524:Q526)</f>
        <v>0</v>
      </c>
      <c r="Q527" s="626"/>
      <c r="R527" s="88">
        <f t="shared" ref="R527" si="1406">IF(AND(F527&gt;=$G$8,H527&gt;=$I$8,J527&gt;=$K$8,L527&gt;=$M$8,N527&gt;=$O$8,P527&gt;=$Q$8),SUM(F527:Q527),0)</f>
        <v>0</v>
      </c>
      <c r="S527" s="251"/>
      <c r="T527" s="97"/>
      <c r="U527" s="94"/>
      <c r="V527" s="606"/>
      <c r="W527" s="88" t="str">
        <f t="shared" ref="W527" si="1407">LOOKUP(R527,$AI$6:$AJ$10)</f>
        <v>ضعيف</v>
      </c>
      <c r="X527" s="641"/>
      <c r="Y527" s="8"/>
      <c r="Z527" s="599"/>
      <c r="AK527" s="667"/>
      <c r="AL527" s="667"/>
      <c r="AM527" s="696"/>
      <c r="AN527" s="698"/>
      <c r="AO527" s="699"/>
      <c r="AP527" s="698"/>
    </row>
    <row r="528" spans="1:42" ht="14.85" customHeight="1" thickBot="1" x14ac:dyDescent="0.3">
      <c r="A528" s="610">
        <v>114</v>
      </c>
      <c r="B528" s="613">
        <f>VLOOKUP(A528,مسلسل,2,0)</f>
        <v>0</v>
      </c>
      <c r="C528" s="616" t="str">
        <f>IFERROR(VLOOKUP(B528,اسماء,2,0),"")</f>
        <v/>
      </c>
      <c r="D528" s="619" t="str">
        <f>IFERROR(VLOOKUP($B528,اسماء,3,0),"")</f>
        <v/>
      </c>
      <c r="E528" s="129" t="s">
        <v>30</v>
      </c>
      <c r="F528" s="600">
        <f>IFERROR(VLOOKUP($B528,اسماء,5,0),0)</f>
        <v>0</v>
      </c>
      <c r="G528" s="601"/>
      <c r="H528" s="602">
        <f>IFERROR(VLOOKUP($B528,اسماء,6,0),0)</f>
        <v>0</v>
      </c>
      <c r="I528" s="622"/>
      <c r="J528" s="600">
        <f>IFERROR(VLOOKUP($B528,اسماء,7,0),0)</f>
        <v>0</v>
      </c>
      <c r="K528" s="601"/>
      <c r="L528" s="602">
        <f>IFERROR(VLOOKUP($B528,اسماء,8,0),0)</f>
        <v>0</v>
      </c>
      <c r="M528" s="603"/>
      <c r="N528" s="602">
        <f>IFERROR(VLOOKUP($B528,اسماء,9,0),0)</f>
        <v>0</v>
      </c>
      <c r="O528" s="603"/>
      <c r="P528" s="600">
        <f>IFERROR(VLOOKUP($B528,اسماء,10,0),0)</f>
        <v>0</v>
      </c>
      <c r="Q528" s="622"/>
      <c r="R528" s="371">
        <f t="shared" ref="R528" si="1408">SUM(F528:Q528)</f>
        <v>0</v>
      </c>
      <c r="S528" s="213" t="str">
        <f>IFERROR(VLOOKUP($B528,اسماء,12,0),"")</f>
        <v/>
      </c>
      <c r="T528" s="214" t="str">
        <f>IFERROR(VLOOKUP($B528,اسماء,13,0),"")</f>
        <v/>
      </c>
      <c r="U528" s="364" t="str">
        <f>IFERROR(VLOOKUP($B528,اسماء,14,0),"")</f>
        <v/>
      </c>
      <c r="V528" s="604" t="str">
        <f t="shared" ref="V528" si="1409">IF(Z528="غائب","راسب",IF(R531&gt;0,"ناجح","مرحل"))</f>
        <v>مرحل</v>
      </c>
      <c r="W528" s="19" t="str">
        <f t="shared" ref="W528:W529" si="1410">LOOKUP(R528,$AC$6:$AD$10)</f>
        <v>ضعيف</v>
      </c>
      <c r="X528" s="639">
        <f t="shared" ref="X528" si="1411">R531/$AC$3</f>
        <v>0</v>
      </c>
      <c r="Y528" s="68"/>
      <c r="Z528" s="597" t="str">
        <f>IFERROR(VLOOKUP($B528,اسماء,48,0),"")</f>
        <v/>
      </c>
      <c r="AK528" s="667" t="str">
        <f t="shared" ref="AK528" si="1412">IF(R531=0,"",R531/1+ROW()*0.00001)</f>
        <v/>
      </c>
      <c r="AL528" s="667">
        <f>B528</f>
        <v>0</v>
      </c>
      <c r="AM528" s="696"/>
      <c r="AN528" s="698">
        <v>114</v>
      </c>
      <c r="AO528" s="699" t="str">
        <f>IFERROR(LARGE($AK$10:$AK$1420,AN528),"")</f>
        <v/>
      </c>
      <c r="AP528" s="698" t="str">
        <f>VLOOKUP(AO528,$AK$10:$AL$1530,2,0)</f>
        <v>امجد عمر عبداللطيف سلطان</v>
      </c>
    </row>
    <row r="529" spans="1:42" ht="14.85" customHeight="1" x14ac:dyDescent="0.25">
      <c r="A529" s="611"/>
      <c r="B529" s="614"/>
      <c r="C529" s="617"/>
      <c r="D529" s="620"/>
      <c r="E529" s="130" t="s">
        <v>31</v>
      </c>
      <c r="F529" s="592">
        <f>IFERROR(VLOOKUP($B528,اسماء,15,0),0)</f>
        <v>0</v>
      </c>
      <c r="G529" s="593"/>
      <c r="H529" s="594">
        <f>IFERROR(VLOOKUP($B528,اسماء,16,0),0)</f>
        <v>0</v>
      </c>
      <c r="I529" s="595"/>
      <c r="J529" s="592">
        <f>IFERROR(VLOOKUP($B528,اسماء,17,0),0)</f>
        <v>0</v>
      </c>
      <c r="K529" s="593"/>
      <c r="L529" s="594">
        <f>IFERROR(VLOOKUP($B528,اسماء,18,0),0)</f>
        <v>0</v>
      </c>
      <c r="M529" s="596"/>
      <c r="N529" s="594">
        <f>IFERROR(VLOOKUP($B528,اسماء,19,0),0)</f>
        <v>0</v>
      </c>
      <c r="O529" s="596"/>
      <c r="P529" s="592">
        <f>IFERROR(VLOOKUP($B528,اسماء,20,0),0)</f>
        <v>0</v>
      </c>
      <c r="Q529" s="595"/>
      <c r="R529" s="372">
        <f t="shared" si="1386"/>
        <v>0</v>
      </c>
      <c r="S529" s="305" t="str">
        <f>IFERROR(VLOOKUP($B528,اسماء,23,0),"")</f>
        <v/>
      </c>
      <c r="T529" s="306" t="str">
        <f>IFERROR(VLOOKUP($B528,اسماء,24,0),"")</f>
        <v/>
      </c>
      <c r="U529" s="122" t="str">
        <f>IFERROR(VLOOKUP($B528,اسماء,25,0),"")</f>
        <v/>
      </c>
      <c r="V529" s="605"/>
      <c r="W529" s="19" t="str">
        <f t="shared" si="1410"/>
        <v>ضعيف</v>
      </c>
      <c r="X529" s="640"/>
      <c r="Y529" s="68"/>
      <c r="Z529" s="598"/>
      <c r="AK529" s="667"/>
      <c r="AL529" s="667"/>
      <c r="AM529" s="696"/>
      <c r="AN529" s="698"/>
      <c r="AO529" s="699"/>
      <c r="AP529" s="698"/>
    </row>
    <row r="530" spans="1:42" ht="14.85" customHeight="1" x14ac:dyDescent="0.25">
      <c r="A530" s="611"/>
      <c r="B530" s="614"/>
      <c r="C530" s="617"/>
      <c r="D530" s="620"/>
      <c r="E530" s="130" t="s">
        <v>32</v>
      </c>
      <c r="F530" s="592">
        <f>IFERROR(VLOOKUP($B528,اسماء,25,0),0)</f>
        <v>0</v>
      </c>
      <c r="G530" s="593"/>
      <c r="H530" s="594">
        <f>IFERROR(VLOOKUP($B528,اسماء,26,0),0)</f>
        <v>0</v>
      </c>
      <c r="I530" s="595"/>
      <c r="J530" s="592">
        <f>IFERROR(VLOOKUP($B528,اسماء,27,0),0)</f>
        <v>0</v>
      </c>
      <c r="K530" s="593"/>
      <c r="L530" s="594">
        <f>IFERROR(VLOOKUP($B528,اسماء,28,0),0)</f>
        <v>0</v>
      </c>
      <c r="M530" s="596"/>
      <c r="N530" s="594">
        <f>IFERROR(VLOOKUP($B528,اسماء,29,0),0)</f>
        <v>0</v>
      </c>
      <c r="O530" s="596"/>
      <c r="P530" s="592">
        <f>IFERROR(VLOOKUP($B528,اسماء,30,0),0)</f>
        <v>0</v>
      </c>
      <c r="Q530" s="595"/>
      <c r="R530" s="372">
        <f t="shared" si="1386"/>
        <v>0</v>
      </c>
      <c r="S530" s="305" t="str">
        <f>IFERROR(VLOOKUP($B528,اسماء,34,0),"")</f>
        <v/>
      </c>
      <c r="T530" s="306" t="str">
        <f>IFERROR(VLOOKUP($B528,اسماء,35,0),"")</f>
        <v/>
      </c>
      <c r="U530" s="122" t="str">
        <f>IFERROR(VLOOKUP($B528,اسماء,36,0),"")</f>
        <v/>
      </c>
      <c r="V530" s="605"/>
      <c r="W530" s="20" t="str">
        <f t="shared" ref="W530" si="1413">LOOKUP(R530,$AF$6:$AG$10)</f>
        <v>ضعيف</v>
      </c>
      <c r="X530" s="640"/>
      <c r="Y530" s="8"/>
      <c r="Z530" s="598"/>
      <c r="AK530" s="667"/>
      <c r="AL530" s="667"/>
      <c r="AM530" s="696"/>
      <c r="AN530" s="698"/>
      <c r="AO530" s="699"/>
      <c r="AP530" s="698"/>
    </row>
    <row r="531" spans="1:42" ht="14.85" customHeight="1" thickBot="1" x14ac:dyDescent="0.3">
      <c r="A531" s="612"/>
      <c r="B531" s="615"/>
      <c r="C531" s="618"/>
      <c r="D531" s="621"/>
      <c r="E531" s="124" t="s">
        <v>33</v>
      </c>
      <c r="F531" s="623">
        <f t="shared" ref="F531" si="1414">SUM(F528:G530)</f>
        <v>0</v>
      </c>
      <c r="G531" s="624"/>
      <c r="H531" s="625">
        <f t="shared" ref="H531" si="1415">SUM(H528:I530)</f>
        <v>0</v>
      </c>
      <c r="I531" s="626"/>
      <c r="J531" s="623">
        <f t="shared" ref="J531" si="1416">SUM(J528:K530)</f>
        <v>0</v>
      </c>
      <c r="K531" s="624"/>
      <c r="L531" s="625">
        <f t="shared" ref="L531" si="1417">SUM(L528:M530)</f>
        <v>0</v>
      </c>
      <c r="M531" s="642"/>
      <c r="N531" s="625">
        <f t="shared" ref="N531" si="1418">SUM(N528:O530)</f>
        <v>0</v>
      </c>
      <c r="O531" s="642"/>
      <c r="P531" s="623">
        <f t="shared" ref="P531" si="1419">SUM(P528:Q530)</f>
        <v>0</v>
      </c>
      <c r="Q531" s="626"/>
      <c r="R531" s="88">
        <f t="shared" ref="R531" si="1420">IF(AND(F531&gt;=$G$8,H531&gt;=$I$8,J531&gt;=$K$8,L531&gt;=$M$8,N531&gt;=$O$8,P531&gt;=$Q$8),SUM(F531:Q531),0)</f>
        <v>0</v>
      </c>
      <c r="S531" s="251"/>
      <c r="T531" s="97"/>
      <c r="U531" s="94"/>
      <c r="V531" s="606"/>
      <c r="W531" s="88" t="str">
        <f t="shared" ref="W531" si="1421">LOOKUP(R531,$AI$6:$AJ$10)</f>
        <v>ضعيف</v>
      </c>
      <c r="X531" s="641"/>
      <c r="Y531" s="68"/>
      <c r="Z531" s="599"/>
      <c r="AK531" s="667"/>
      <c r="AL531" s="667"/>
      <c r="AM531" s="696"/>
      <c r="AN531" s="698"/>
      <c r="AO531" s="699"/>
      <c r="AP531" s="698"/>
    </row>
    <row r="532" spans="1:42" ht="14.85" customHeight="1" thickBot="1" x14ac:dyDescent="0.3">
      <c r="A532" s="610">
        <v>115</v>
      </c>
      <c r="B532" s="613">
        <f>VLOOKUP(A532,مسلسل,2,0)</f>
        <v>0</v>
      </c>
      <c r="C532" s="616" t="str">
        <f>IFERROR(VLOOKUP(B532,اسماء,2,0),"")</f>
        <v/>
      </c>
      <c r="D532" s="619" t="str">
        <f>IFERROR(VLOOKUP($B532,اسماء,3,0),"")</f>
        <v/>
      </c>
      <c r="E532" s="129" t="s">
        <v>30</v>
      </c>
      <c r="F532" s="600">
        <f>IFERROR(VLOOKUP($B532,اسماء,5,0),0)</f>
        <v>0</v>
      </c>
      <c r="G532" s="601"/>
      <c r="H532" s="602">
        <f>IFERROR(VLOOKUP($B532,اسماء,6,0),0)</f>
        <v>0</v>
      </c>
      <c r="I532" s="622"/>
      <c r="J532" s="600">
        <f>IFERROR(VLOOKUP($B532,اسماء,7,0),0)</f>
        <v>0</v>
      </c>
      <c r="K532" s="601"/>
      <c r="L532" s="602">
        <f>IFERROR(VLOOKUP($B532,اسماء,8,0),0)</f>
        <v>0</v>
      </c>
      <c r="M532" s="603"/>
      <c r="N532" s="602">
        <f>IFERROR(VLOOKUP($B532,اسماء,9,0),0)</f>
        <v>0</v>
      </c>
      <c r="O532" s="603"/>
      <c r="P532" s="600">
        <f>IFERROR(VLOOKUP($B532,اسماء,10,0),0)</f>
        <v>0</v>
      </c>
      <c r="Q532" s="622"/>
      <c r="R532" s="371">
        <f t="shared" ref="R532" si="1422">SUM(F532:Q532)</f>
        <v>0</v>
      </c>
      <c r="S532" s="213" t="str">
        <f>IFERROR(VLOOKUP($B532,اسماء,12,0),"")</f>
        <v/>
      </c>
      <c r="T532" s="214" t="str">
        <f>IFERROR(VLOOKUP($B532,اسماء,13,0),"")</f>
        <v/>
      </c>
      <c r="U532" s="364" t="str">
        <f>IFERROR(VLOOKUP($B532,اسماء,14,0),"")</f>
        <v/>
      </c>
      <c r="V532" s="604" t="str">
        <f t="shared" ref="V532" si="1423">IF(Z532="غائب","راسب",IF(R535&gt;0,"ناجح","مرحل"))</f>
        <v>مرحل</v>
      </c>
      <c r="W532" s="19" t="str">
        <f t="shared" ref="W532:W533" si="1424">LOOKUP(R532,$AC$6:$AD$10)</f>
        <v>ضعيف</v>
      </c>
      <c r="X532" s="639">
        <f t="shared" ref="X532" si="1425">R535/$AC$3</f>
        <v>0</v>
      </c>
      <c r="Y532" s="68"/>
      <c r="Z532" s="597" t="str">
        <f>IFERROR(VLOOKUP($B532,اسماء,48,0),"")</f>
        <v/>
      </c>
      <c r="AK532" s="667" t="str">
        <f t="shared" ref="AK532" si="1426">IF(R535=0,"",R535/1+ROW()*0.00001)</f>
        <v/>
      </c>
      <c r="AL532" s="667">
        <f>B532</f>
        <v>0</v>
      </c>
      <c r="AM532" s="696"/>
      <c r="AN532" s="698">
        <v>115</v>
      </c>
      <c r="AO532" s="699" t="str">
        <f>IFERROR(LARGE($AK$10:$AK$1420,AN532),"")</f>
        <v/>
      </c>
      <c r="AP532" s="698" t="str">
        <f>VLOOKUP(AO532,$AK$10:$AL$1530,2,0)</f>
        <v>امجد عمر عبداللطيف سلطان</v>
      </c>
    </row>
    <row r="533" spans="1:42" ht="14.85" customHeight="1" x14ac:dyDescent="0.25">
      <c r="A533" s="611"/>
      <c r="B533" s="614"/>
      <c r="C533" s="617"/>
      <c r="D533" s="620"/>
      <c r="E533" s="130" t="s">
        <v>31</v>
      </c>
      <c r="F533" s="592">
        <f>IFERROR(VLOOKUP($B532,اسماء,15,0),0)</f>
        <v>0</v>
      </c>
      <c r="G533" s="593"/>
      <c r="H533" s="594">
        <f>IFERROR(VLOOKUP($B532,اسماء,16,0),0)</f>
        <v>0</v>
      </c>
      <c r="I533" s="595"/>
      <c r="J533" s="592">
        <f>IFERROR(VLOOKUP($B532,اسماء,17,0),0)</f>
        <v>0</v>
      </c>
      <c r="K533" s="593"/>
      <c r="L533" s="594">
        <f>IFERROR(VLOOKUP($B532,اسماء,18,0),0)</f>
        <v>0</v>
      </c>
      <c r="M533" s="596"/>
      <c r="N533" s="594">
        <f>IFERROR(VLOOKUP($B532,اسماء,19,0),0)</f>
        <v>0</v>
      </c>
      <c r="O533" s="596"/>
      <c r="P533" s="592">
        <f>IFERROR(VLOOKUP($B532,اسماء,20,0),0)</f>
        <v>0</v>
      </c>
      <c r="Q533" s="595"/>
      <c r="R533" s="372">
        <f t="shared" si="1386"/>
        <v>0</v>
      </c>
      <c r="S533" s="305" t="str">
        <f>IFERROR(VLOOKUP($B532,اسماء,23,0),"")</f>
        <v/>
      </c>
      <c r="T533" s="306" t="str">
        <f>IFERROR(VLOOKUP($B532,اسماء,24,0),"")</f>
        <v/>
      </c>
      <c r="U533" s="122" t="str">
        <f>IFERROR(VLOOKUP($B532,اسماء,25,0),"")</f>
        <v/>
      </c>
      <c r="V533" s="605"/>
      <c r="W533" s="19" t="str">
        <f t="shared" si="1424"/>
        <v>ضعيف</v>
      </c>
      <c r="X533" s="640"/>
      <c r="Y533" s="8"/>
      <c r="Z533" s="598"/>
      <c r="AK533" s="667"/>
      <c r="AL533" s="667"/>
      <c r="AM533" s="696"/>
      <c r="AN533" s="698"/>
      <c r="AO533" s="699"/>
      <c r="AP533" s="698"/>
    </row>
    <row r="534" spans="1:42" ht="14.85" customHeight="1" x14ac:dyDescent="0.25">
      <c r="A534" s="611"/>
      <c r="B534" s="614"/>
      <c r="C534" s="617"/>
      <c r="D534" s="620"/>
      <c r="E534" s="130" t="s">
        <v>32</v>
      </c>
      <c r="F534" s="592">
        <f>IFERROR(VLOOKUP($B532,اسماء,25,0),0)</f>
        <v>0</v>
      </c>
      <c r="G534" s="593"/>
      <c r="H534" s="594">
        <f>IFERROR(VLOOKUP($B532,اسماء,26,0),0)</f>
        <v>0</v>
      </c>
      <c r="I534" s="595"/>
      <c r="J534" s="592">
        <f>IFERROR(VLOOKUP($B532,اسماء,27,0),0)</f>
        <v>0</v>
      </c>
      <c r="K534" s="593"/>
      <c r="L534" s="594">
        <f>IFERROR(VLOOKUP($B532,اسماء,28,0),0)</f>
        <v>0</v>
      </c>
      <c r="M534" s="596"/>
      <c r="N534" s="594">
        <f>IFERROR(VLOOKUP($B532,اسماء,29,0),0)</f>
        <v>0</v>
      </c>
      <c r="O534" s="596"/>
      <c r="P534" s="592">
        <f>IFERROR(VLOOKUP($B532,اسماء,30,0),0)</f>
        <v>0</v>
      </c>
      <c r="Q534" s="595"/>
      <c r="R534" s="372">
        <f t="shared" si="1386"/>
        <v>0</v>
      </c>
      <c r="S534" s="305" t="str">
        <f>IFERROR(VLOOKUP($B532,اسماء,34,0),"")</f>
        <v/>
      </c>
      <c r="T534" s="306" t="str">
        <f>IFERROR(VLOOKUP($B532,اسماء,35,0),"")</f>
        <v/>
      </c>
      <c r="U534" s="122" t="str">
        <f>IFERROR(VLOOKUP($B532,اسماء,36,0),"")</f>
        <v/>
      </c>
      <c r="V534" s="605"/>
      <c r="W534" s="20" t="str">
        <f t="shared" ref="W534" si="1427">LOOKUP(R534,$AF$6:$AG$10)</f>
        <v>ضعيف</v>
      </c>
      <c r="X534" s="640"/>
      <c r="Y534" s="68"/>
      <c r="Z534" s="598"/>
      <c r="AK534" s="667"/>
      <c r="AL534" s="667"/>
      <c r="AM534" s="696"/>
      <c r="AN534" s="698"/>
      <c r="AO534" s="699"/>
      <c r="AP534" s="698"/>
    </row>
    <row r="535" spans="1:42" ht="14.85" customHeight="1" thickBot="1" x14ac:dyDescent="0.3">
      <c r="A535" s="612"/>
      <c r="B535" s="615"/>
      <c r="C535" s="618"/>
      <c r="D535" s="621"/>
      <c r="E535" s="124" t="s">
        <v>33</v>
      </c>
      <c r="F535" s="623">
        <f t="shared" ref="F535" si="1428">SUM(F532:G534)</f>
        <v>0</v>
      </c>
      <c r="G535" s="624"/>
      <c r="H535" s="625">
        <f t="shared" ref="H535" si="1429">SUM(H532:I534)</f>
        <v>0</v>
      </c>
      <c r="I535" s="626"/>
      <c r="J535" s="623">
        <f t="shared" ref="J535" si="1430">SUM(J532:K534)</f>
        <v>0</v>
      </c>
      <c r="K535" s="624"/>
      <c r="L535" s="625">
        <f t="shared" ref="L535" si="1431">SUM(L532:M534)</f>
        <v>0</v>
      </c>
      <c r="M535" s="642"/>
      <c r="N535" s="625">
        <f t="shared" ref="N535" si="1432">SUM(N532:O534)</f>
        <v>0</v>
      </c>
      <c r="O535" s="642"/>
      <c r="P535" s="623">
        <f t="shared" ref="P535" si="1433">SUM(P532:Q534)</f>
        <v>0</v>
      </c>
      <c r="Q535" s="626"/>
      <c r="R535" s="88">
        <f t="shared" ref="R535" si="1434">IF(AND(F535&gt;=$G$8,H535&gt;=$I$8,J535&gt;=$K$8,L535&gt;=$M$8,N535&gt;=$O$8,P535&gt;=$Q$8),SUM(F535:Q535),0)</f>
        <v>0</v>
      </c>
      <c r="S535" s="251"/>
      <c r="T535" s="97"/>
      <c r="U535" s="94"/>
      <c r="V535" s="606"/>
      <c r="W535" s="88" t="str">
        <f t="shared" ref="W535" si="1435">LOOKUP(R535,$AI$6:$AJ$10)</f>
        <v>ضعيف</v>
      </c>
      <c r="X535" s="641"/>
      <c r="Y535" s="68"/>
      <c r="Z535" s="599"/>
      <c r="AK535" s="667"/>
      <c r="AL535" s="667"/>
      <c r="AM535" s="696"/>
      <c r="AN535" s="698"/>
      <c r="AO535" s="699"/>
      <c r="AP535" s="698"/>
    </row>
    <row r="536" spans="1:42" ht="14.85" customHeight="1" thickBot="1" x14ac:dyDescent="0.3">
      <c r="A536" s="610">
        <v>116</v>
      </c>
      <c r="B536" s="613">
        <f>VLOOKUP(A536,مسلسل,2,0)</f>
        <v>0</v>
      </c>
      <c r="C536" s="616" t="str">
        <f>IFERROR(VLOOKUP(B536,اسماء,2,0),"")</f>
        <v/>
      </c>
      <c r="D536" s="619" t="str">
        <f>IFERROR(VLOOKUP($B536,اسماء,3,0),"")</f>
        <v/>
      </c>
      <c r="E536" s="129" t="s">
        <v>30</v>
      </c>
      <c r="F536" s="600">
        <f>IFERROR(VLOOKUP($B536,اسماء,5,0),0)</f>
        <v>0</v>
      </c>
      <c r="G536" s="601"/>
      <c r="H536" s="602">
        <f>IFERROR(VLOOKUP($B536,اسماء,6,0),0)</f>
        <v>0</v>
      </c>
      <c r="I536" s="622"/>
      <c r="J536" s="600">
        <f>IFERROR(VLOOKUP($B536,اسماء,7,0),0)</f>
        <v>0</v>
      </c>
      <c r="K536" s="601"/>
      <c r="L536" s="602">
        <f>IFERROR(VLOOKUP($B536,اسماء,8,0),0)</f>
        <v>0</v>
      </c>
      <c r="M536" s="603"/>
      <c r="N536" s="602">
        <f>IFERROR(VLOOKUP($B536,اسماء,9,0),0)</f>
        <v>0</v>
      </c>
      <c r="O536" s="603"/>
      <c r="P536" s="600">
        <f>IFERROR(VLOOKUP($B536,اسماء,10,0),0)</f>
        <v>0</v>
      </c>
      <c r="Q536" s="622"/>
      <c r="R536" s="371">
        <f t="shared" ref="R536" si="1436">SUM(F536:Q536)</f>
        <v>0</v>
      </c>
      <c r="S536" s="213" t="str">
        <f>IFERROR(VLOOKUP($B536,اسماء,12,0),"")</f>
        <v/>
      </c>
      <c r="T536" s="214" t="str">
        <f>IFERROR(VLOOKUP($B536,اسماء,13,0),"")</f>
        <v/>
      </c>
      <c r="U536" s="364" t="str">
        <f>IFERROR(VLOOKUP($B536,اسماء,14,0),"")</f>
        <v/>
      </c>
      <c r="V536" s="604" t="str">
        <f t="shared" ref="V536" si="1437">IF(Z536="غائب","راسب",IF(R539&gt;0,"ناجح","مرحل"))</f>
        <v>مرحل</v>
      </c>
      <c r="W536" s="19" t="str">
        <f t="shared" ref="W536:W537" si="1438">LOOKUP(R536,$AC$6:$AD$10)</f>
        <v>ضعيف</v>
      </c>
      <c r="X536" s="639">
        <f t="shared" ref="X536" si="1439">R539/$AC$3</f>
        <v>0</v>
      </c>
      <c r="Y536" s="8"/>
      <c r="Z536" s="597" t="str">
        <f>IFERROR(VLOOKUP($B536,اسماء,48,0),"")</f>
        <v/>
      </c>
      <c r="AK536" s="667" t="str">
        <f t="shared" ref="AK536" si="1440">IF(R539=0,"",R539/1+ROW()*0.00001)</f>
        <v/>
      </c>
      <c r="AL536" s="667">
        <f>B536</f>
        <v>0</v>
      </c>
      <c r="AM536" s="696"/>
      <c r="AN536" s="698">
        <v>116</v>
      </c>
      <c r="AO536" s="699" t="str">
        <f>IFERROR(LARGE($AK$10:$AK$1420,AN536),"")</f>
        <v/>
      </c>
      <c r="AP536" s="698" t="str">
        <f>VLOOKUP(AO536,$AK$10:$AL$1530,2,0)</f>
        <v>امجد عمر عبداللطيف سلطان</v>
      </c>
    </row>
    <row r="537" spans="1:42" ht="14.85" customHeight="1" x14ac:dyDescent="0.25">
      <c r="A537" s="611"/>
      <c r="B537" s="614"/>
      <c r="C537" s="617"/>
      <c r="D537" s="620"/>
      <c r="E537" s="130" t="s">
        <v>31</v>
      </c>
      <c r="F537" s="592">
        <f>IFERROR(VLOOKUP($B536,اسماء,15,0),0)</f>
        <v>0</v>
      </c>
      <c r="G537" s="593"/>
      <c r="H537" s="594">
        <f>IFERROR(VLOOKUP($B536,اسماء,16,0),0)</f>
        <v>0</v>
      </c>
      <c r="I537" s="595"/>
      <c r="J537" s="592">
        <f>IFERROR(VLOOKUP($B536,اسماء,17,0),0)</f>
        <v>0</v>
      </c>
      <c r="K537" s="593"/>
      <c r="L537" s="594">
        <f>IFERROR(VLOOKUP($B536,اسماء,18,0),0)</f>
        <v>0</v>
      </c>
      <c r="M537" s="596"/>
      <c r="N537" s="594">
        <f>IFERROR(VLOOKUP($B536,اسماء,19,0),0)</f>
        <v>0</v>
      </c>
      <c r="O537" s="596"/>
      <c r="P537" s="592">
        <f>IFERROR(VLOOKUP($B536,اسماء,20,0),0)</f>
        <v>0</v>
      </c>
      <c r="Q537" s="595"/>
      <c r="R537" s="372">
        <f t="shared" si="1386"/>
        <v>0</v>
      </c>
      <c r="S537" s="305" t="str">
        <f>IFERROR(VLOOKUP($B536,اسماء,23,0),"")</f>
        <v/>
      </c>
      <c r="T537" s="306" t="str">
        <f>IFERROR(VLOOKUP($B536,اسماء,24,0),"")</f>
        <v/>
      </c>
      <c r="U537" s="122" t="str">
        <f>IFERROR(VLOOKUP($B536,اسماء,25,0),"")</f>
        <v/>
      </c>
      <c r="V537" s="605"/>
      <c r="W537" s="19" t="str">
        <f t="shared" si="1438"/>
        <v>ضعيف</v>
      </c>
      <c r="X537" s="640"/>
      <c r="Y537" s="68"/>
      <c r="Z537" s="598"/>
      <c r="AK537" s="667"/>
      <c r="AL537" s="667"/>
      <c r="AM537" s="696"/>
      <c r="AN537" s="698"/>
      <c r="AO537" s="699"/>
      <c r="AP537" s="698"/>
    </row>
    <row r="538" spans="1:42" ht="14.85" customHeight="1" x14ac:dyDescent="0.25">
      <c r="A538" s="611"/>
      <c r="B538" s="614"/>
      <c r="C538" s="617"/>
      <c r="D538" s="620"/>
      <c r="E538" s="130" t="s">
        <v>32</v>
      </c>
      <c r="F538" s="592">
        <f>IFERROR(VLOOKUP($B536,اسماء,25,0),0)</f>
        <v>0</v>
      </c>
      <c r="G538" s="593"/>
      <c r="H538" s="594">
        <f>IFERROR(VLOOKUP($B536,اسماء,26,0),0)</f>
        <v>0</v>
      </c>
      <c r="I538" s="595"/>
      <c r="J538" s="592">
        <f>IFERROR(VLOOKUP($B536,اسماء,27,0),0)</f>
        <v>0</v>
      </c>
      <c r="K538" s="593"/>
      <c r="L538" s="594">
        <f>IFERROR(VLOOKUP($B536,اسماء,28,0),0)</f>
        <v>0</v>
      </c>
      <c r="M538" s="596"/>
      <c r="N538" s="594">
        <f>IFERROR(VLOOKUP($B536,اسماء,29,0),0)</f>
        <v>0</v>
      </c>
      <c r="O538" s="596"/>
      <c r="P538" s="592">
        <f>IFERROR(VLOOKUP($B536,اسماء,30,0),0)</f>
        <v>0</v>
      </c>
      <c r="Q538" s="595"/>
      <c r="R538" s="372">
        <f t="shared" si="1386"/>
        <v>0</v>
      </c>
      <c r="S538" s="305" t="str">
        <f>IFERROR(VLOOKUP($B536,اسماء,34,0),"")</f>
        <v/>
      </c>
      <c r="T538" s="306" t="str">
        <f>IFERROR(VLOOKUP($B536,اسماء,35,0),"")</f>
        <v/>
      </c>
      <c r="U538" s="122" t="str">
        <f>IFERROR(VLOOKUP($B536,اسماء,36,0),"")</f>
        <v/>
      </c>
      <c r="V538" s="605"/>
      <c r="W538" s="20" t="str">
        <f t="shared" ref="W538" si="1441">LOOKUP(R538,$AF$6:$AG$10)</f>
        <v>ضعيف</v>
      </c>
      <c r="X538" s="640"/>
      <c r="Y538" s="68"/>
      <c r="Z538" s="598"/>
      <c r="AK538" s="667"/>
      <c r="AL538" s="667"/>
      <c r="AM538" s="696"/>
      <c r="AN538" s="698"/>
      <c r="AO538" s="699"/>
      <c r="AP538" s="698"/>
    </row>
    <row r="539" spans="1:42" ht="14.85" customHeight="1" thickBot="1" x14ac:dyDescent="0.3">
      <c r="A539" s="612"/>
      <c r="B539" s="615"/>
      <c r="C539" s="618"/>
      <c r="D539" s="621"/>
      <c r="E539" s="124" t="s">
        <v>33</v>
      </c>
      <c r="F539" s="623">
        <f t="shared" ref="F539" si="1442">SUM(F536:G538)</f>
        <v>0</v>
      </c>
      <c r="G539" s="624"/>
      <c r="H539" s="625">
        <f t="shared" ref="H539" si="1443">SUM(H536:I538)</f>
        <v>0</v>
      </c>
      <c r="I539" s="626"/>
      <c r="J539" s="623">
        <f t="shared" ref="J539" si="1444">SUM(J536:K538)</f>
        <v>0</v>
      </c>
      <c r="K539" s="624"/>
      <c r="L539" s="625">
        <f t="shared" ref="L539" si="1445">SUM(L536:M538)</f>
        <v>0</v>
      </c>
      <c r="M539" s="642"/>
      <c r="N539" s="625">
        <f t="shared" ref="N539" si="1446">SUM(N536:O538)</f>
        <v>0</v>
      </c>
      <c r="O539" s="642"/>
      <c r="P539" s="623">
        <f t="shared" ref="P539" si="1447">SUM(P536:Q538)</f>
        <v>0</v>
      </c>
      <c r="Q539" s="626"/>
      <c r="R539" s="88">
        <f t="shared" ref="R539" si="1448">IF(AND(F539&gt;=$G$8,H539&gt;=$I$8,J539&gt;=$K$8,L539&gt;=$M$8,N539&gt;=$O$8,P539&gt;=$Q$8),SUM(F539:Q539),0)</f>
        <v>0</v>
      </c>
      <c r="S539" s="251"/>
      <c r="T539" s="97"/>
      <c r="U539" s="94"/>
      <c r="V539" s="606"/>
      <c r="W539" s="88" t="str">
        <f t="shared" ref="W539" si="1449">LOOKUP(R539,$AI$6:$AJ$10)</f>
        <v>ضعيف</v>
      </c>
      <c r="X539" s="641"/>
      <c r="Y539" s="8"/>
      <c r="Z539" s="599"/>
      <c r="AK539" s="667"/>
      <c r="AL539" s="667"/>
      <c r="AM539" s="696"/>
      <c r="AN539" s="698"/>
      <c r="AO539" s="699"/>
      <c r="AP539" s="698"/>
    </row>
    <row r="540" spans="1:42" ht="14.85" customHeight="1" thickBot="1" x14ac:dyDescent="0.3">
      <c r="A540" s="610">
        <v>117</v>
      </c>
      <c r="B540" s="613">
        <f>VLOOKUP(A540,مسلسل,2,0)</f>
        <v>0</v>
      </c>
      <c r="C540" s="616" t="str">
        <f>IFERROR(VLOOKUP(B540,اسماء,2,0),"")</f>
        <v/>
      </c>
      <c r="D540" s="619" t="str">
        <f>IFERROR(VLOOKUP($B540,اسماء,3,0),"")</f>
        <v/>
      </c>
      <c r="E540" s="129" t="s">
        <v>30</v>
      </c>
      <c r="F540" s="600">
        <f>IFERROR(VLOOKUP($B540,اسماء,5,0),0)</f>
        <v>0</v>
      </c>
      <c r="G540" s="601"/>
      <c r="H540" s="602">
        <f>IFERROR(VLOOKUP($B540,اسماء,6,0),0)</f>
        <v>0</v>
      </c>
      <c r="I540" s="622"/>
      <c r="J540" s="600">
        <f>IFERROR(VLOOKUP($B540,اسماء,7,0),0)</f>
        <v>0</v>
      </c>
      <c r="K540" s="601"/>
      <c r="L540" s="602">
        <f>IFERROR(VLOOKUP($B540,اسماء,8,0),0)</f>
        <v>0</v>
      </c>
      <c r="M540" s="603"/>
      <c r="N540" s="602">
        <f>IFERROR(VLOOKUP($B540,اسماء,9,0),0)</f>
        <v>0</v>
      </c>
      <c r="O540" s="603"/>
      <c r="P540" s="600">
        <f>IFERROR(VLOOKUP($B540,اسماء,10,0),0)</f>
        <v>0</v>
      </c>
      <c r="Q540" s="622"/>
      <c r="R540" s="371">
        <f t="shared" ref="R540" si="1450">SUM(F540:Q540)</f>
        <v>0</v>
      </c>
      <c r="S540" s="213" t="str">
        <f>IFERROR(VLOOKUP($B540,اسماء,12,0),"")</f>
        <v/>
      </c>
      <c r="T540" s="214" t="str">
        <f>IFERROR(VLOOKUP($B540,اسماء,13,0),"")</f>
        <v/>
      </c>
      <c r="U540" s="364" t="str">
        <f>IFERROR(VLOOKUP($B540,اسماء,14,0),"")</f>
        <v/>
      </c>
      <c r="V540" s="604" t="str">
        <f t="shared" ref="V540" si="1451">IF(Z540="غائب","راسب",IF(R543&gt;0,"ناجح","مرحل"))</f>
        <v>مرحل</v>
      </c>
      <c r="W540" s="19" t="str">
        <f t="shared" ref="W540:W541" si="1452">LOOKUP(R540,$AC$6:$AD$10)</f>
        <v>ضعيف</v>
      </c>
      <c r="X540" s="639">
        <f t="shared" ref="X540" si="1453">R543/$AC$3</f>
        <v>0</v>
      </c>
      <c r="Y540" s="68"/>
      <c r="Z540" s="597" t="str">
        <f>IFERROR(VLOOKUP($B540,اسماء,48,0),"")</f>
        <v/>
      </c>
      <c r="AK540" s="667" t="str">
        <f t="shared" ref="AK540" si="1454">IF(R543=0,"",R543/1+ROW()*0.00001)</f>
        <v/>
      </c>
      <c r="AL540" s="667">
        <f>B540</f>
        <v>0</v>
      </c>
      <c r="AM540" s="696"/>
      <c r="AN540" s="698">
        <v>117</v>
      </c>
      <c r="AO540" s="699" t="str">
        <f>IFERROR(LARGE($AK$10:$AK$1420,AN540),"")</f>
        <v/>
      </c>
      <c r="AP540" s="698" t="str">
        <f>VLOOKUP(AO540,$AK$10:$AL$1530,2,0)</f>
        <v>امجد عمر عبداللطيف سلطان</v>
      </c>
    </row>
    <row r="541" spans="1:42" ht="14.85" customHeight="1" x14ac:dyDescent="0.25">
      <c r="A541" s="611"/>
      <c r="B541" s="614"/>
      <c r="C541" s="617"/>
      <c r="D541" s="620"/>
      <c r="E541" s="130" t="s">
        <v>31</v>
      </c>
      <c r="F541" s="592">
        <f>IFERROR(VLOOKUP($B540,اسماء,15,0),0)</f>
        <v>0</v>
      </c>
      <c r="G541" s="593"/>
      <c r="H541" s="594">
        <f>IFERROR(VLOOKUP($B540,اسماء,16,0),0)</f>
        <v>0</v>
      </c>
      <c r="I541" s="595"/>
      <c r="J541" s="592">
        <f>IFERROR(VLOOKUP($B540,اسماء,17,0),0)</f>
        <v>0</v>
      </c>
      <c r="K541" s="593"/>
      <c r="L541" s="594">
        <f>IFERROR(VLOOKUP($B540,اسماء,18,0),0)</f>
        <v>0</v>
      </c>
      <c r="M541" s="596"/>
      <c r="N541" s="594">
        <f>IFERROR(VLOOKUP($B540,اسماء,19,0),0)</f>
        <v>0</v>
      </c>
      <c r="O541" s="596"/>
      <c r="P541" s="592">
        <f>IFERROR(VLOOKUP($B540,اسماء,20,0),0)</f>
        <v>0</v>
      </c>
      <c r="Q541" s="595"/>
      <c r="R541" s="372">
        <f t="shared" si="1386"/>
        <v>0</v>
      </c>
      <c r="S541" s="305" t="str">
        <f>IFERROR(VLOOKUP($B540,اسماء,23,0),"")</f>
        <v/>
      </c>
      <c r="T541" s="306" t="str">
        <f>IFERROR(VLOOKUP($B540,اسماء,24,0),"")</f>
        <v/>
      </c>
      <c r="U541" s="122" t="str">
        <f>IFERROR(VLOOKUP($B540,اسماء,25,0),"")</f>
        <v/>
      </c>
      <c r="V541" s="605"/>
      <c r="W541" s="19" t="str">
        <f t="shared" si="1452"/>
        <v>ضعيف</v>
      </c>
      <c r="X541" s="640"/>
      <c r="Y541" s="68"/>
      <c r="Z541" s="598"/>
      <c r="AK541" s="667"/>
      <c r="AL541" s="667"/>
      <c r="AM541" s="696"/>
      <c r="AN541" s="698"/>
      <c r="AO541" s="699"/>
      <c r="AP541" s="698"/>
    </row>
    <row r="542" spans="1:42" ht="14.85" customHeight="1" x14ac:dyDescent="0.25">
      <c r="A542" s="611"/>
      <c r="B542" s="614"/>
      <c r="C542" s="617"/>
      <c r="D542" s="620"/>
      <c r="E542" s="130" t="s">
        <v>32</v>
      </c>
      <c r="F542" s="592">
        <f>IFERROR(VLOOKUP($B540,اسماء,25,0),0)</f>
        <v>0</v>
      </c>
      <c r="G542" s="593"/>
      <c r="H542" s="594">
        <f>IFERROR(VLOOKUP($B540,اسماء,26,0),0)</f>
        <v>0</v>
      </c>
      <c r="I542" s="595"/>
      <c r="J542" s="592">
        <f>IFERROR(VLOOKUP($B540,اسماء,27,0),0)</f>
        <v>0</v>
      </c>
      <c r="K542" s="593"/>
      <c r="L542" s="594">
        <f>IFERROR(VLOOKUP($B540,اسماء,28,0),0)</f>
        <v>0</v>
      </c>
      <c r="M542" s="596"/>
      <c r="N542" s="594">
        <f>IFERROR(VLOOKUP($B540,اسماء,29,0),0)</f>
        <v>0</v>
      </c>
      <c r="O542" s="596"/>
      <c r="P542" s="592">
        <f>IFERROR(VLOOKUP($B540,اسماء,30,0),0)</f>
        <v>0</v>
      </c>
      <c r="Q542" s="595"/>
      <c r="R542" s="372">
        <f t="shared" si="1386"/>
        <v>0</v>
      </c>
      <c r="S542" s="305" t="str">
        <f>IFERROR(VLOOKUP($B540,اسماء,34,0),"")</f>
        <v/>
      </c>
      <c r="T542" s="306" t="str">
        <f>IFERROR(VLOOKUP($B540,اسماء,35,0),"")</f>
        <v/>
      </c>
      <c r="U542" s="122" t="str">
        <f>IFERROR(VLOOKUP($B540,اسماء,36,0),"")</f>
        <v/>
      </c>
      <c r="V542" s="605"/>
      <c r="W542" s="20" t="str">
        <f t="shared" ref="W542" si="1455">LOOKUP(R542,$AF$6:$AG$10)</f>
        <v>ضعيف</v>
      </c>
      <c r="X542" s="640"/>
      <c r="Y542" s="8"/>
      <c r="Z542" s="598"/>
      <c r="AK542" s="667"/>
      <c r="AL542" s="667"/>
      <c r="AM542" s="696"/>
      <c r="AN542" s="698"/>
      <c r="AO542" s="699"/>
      <c r="AP542" s="698"/>
    </row>
    <row r="543" spans="1:42" ht="14.85" customHeight="1" thickBot="1" x14ac:dyDescent="0.3">
      <c r="A543" s="612"/>
      <c r="B543" s="615"/>
      <c r="C543" s="618"/>
      <c r="D543" s="621"/>
      <c r="E543" s="124" t="s">
        <v>33</v>
      </c>
      <c r="F543" s="623">
        <f t="shared" ref="F543" si="1456">SUM(F540:G542)</f>
        <v>0</v>
      </c>
      <c r="G543" s="624"/>
      <c r="H543" s="625">
        <f t="shared" ref="H543" si="1457">SUM(H540:I542)</f>
        <v>0</v>
      </c>
      <c r="I543" s="626"/>
      <c r="J543" s="623">
        <f t="shared" ref="J543" si="1458">SUM(J540:K542)</f>
        <v>0</v>
      </c>
      <c r="K543" s="624"/>
      <c r="L543" s="625">
        <f t="shared" ref="L543" si="1459">SUM(L540:M542)</f>
        <v>0</v>
      </c>
      <c r="M543" s="642"/>
      <c r="N543" s="625">
        <f t="shared" ref="N543" si="1460">SUM(N540:O542)</f>
        <v>0</v>
      </c>
      <c r="O543" s="642"/>
      <c r="P543" s="623">
        <f t="shared" ref="P543" si="1461">SUM(P540:Q542)</f>
        <v>0</v>
      </c>
      <c r="Q543" s="626"/>
      <c r="R543" s="88">
        <f t="shared" ref="R543" si="1462">IF(AND(F543&gt;=$G$8,H543&gt;=$I$8,J543&gt;=$K$8,L543&gt;=$M$8,N543&gt;=$O$8,P543&gt;=$Q$8),SUM(F543:Q543),0)</f>
        <v>0</v>
      </c>
      <c r="S543" s="251"/>
      <c r="T543" s="97"/>
      <c r="U543" s="94"/>
      <c r="V543" s="606"/>
      <c r="W543" s="88" t="str">
        <f t="shared" ref="W543" si="1463">LOOKUP(R543,$AI$6:$AJ$10)</f>
        <v>ضعيف</v>
      </c>
      <c r="X543" s="641"/>
      <c r="Y543" s="68"/>
      <c r="Z543" s="599"/>
      <c r="AK543" s="667"/>
      <c r="AL543" s="667"/>
      <c r="AM543" s="696"/>
      <c r="AN543" s="698"/>
      <c r="AO543" s="699"/>
      <c r="AP543" s="698"/>
    </row>
    <row r="544" spans="1:42" ht="14.85" customHeight="1" thickBot="1" x14ac:dyDescent="0.3">
      <c r="A544" s="610">
        <v>118</v>
      </c>
      <c r="B544" s="613">
        <f>VLOOKUP(A544,مسلسل,2,0)</f>
        <v>0</v>
      </c>
      <c r="C544" s="616" t="str">
        <f>IFERROR(VLOOKUP(B544,اسماء,2,0),"")</f>
        <v/>
      </c>
      <c r="D544" s="619" t="str">
        <f>IFERROR(VLOOKUP($B544,اسماء,3,0),"")</f>
        <v/>
      </c>
      <c r="E544" s="129" t="s">
        <v>30</v>
      </c>
      <c r="F544" s="600">
        <f>IFERROR(VLOOKUP($B544,اسماء,5,0),0)</f>
        <v>0</v>
      </c>
      <c r="G544" s="601"/>
      <c r="H544" s="602">
        <f>IFERROR(VLOOKUP($B544,اسماء,6,0),0)</f>
        <v>0</v>
      </c>
      <c r="I544" s="622"/>
      <c r="J544" s="600">
        <f>IFERROR(VLOOKUP($B544,اسماء,7,0),0)</f>
        <v>0</v>
      </c>
      <c r="K544" s="601"/>
      <c r="L544" s="602">
        <f>IFERROR(VLOOKUP($B544,اسماء,8,0),0)</f>
        <v>0</v>
      </c>
      <c r="M544" s="603"/>
      <c r="N544" s="602">
        <f>IFERROR(VLOOKUP($B544,اسماء,9,0),0)</f>
        <v>0</v>
      </c>
      <c r="O544" s="603"/>
      <c r="P544" s="600">
        <f>IFERROR(VLOOKUP($B544,اسماء,10,0),0)</f>
        <v>0</v>
      </c>
      <c r="Q544" s="622"/>
      <c r="R544" s="371">
        <f t="shared" ref="R544" si="1464">SUM(F544:Q544)</f>
        <v>0</v>
      </c>
      <c r="S544" s="213" t="str">
        <f>IFERROR(VLOOKUP($B544,اسماء,12,0),"")</f>
        <v/>
      </c>
      <c r="T544" s="214" t="str">
        <f>IFERROR(VLOOKUP($B544,اسماء,13,0),"")</f>
        <v/>
      </c>
      <c r="U544" s="364" t="str">
        <f>IFERROR(VLOOKUP($B544,اسماء,14,0),"")</f>
        <v/>
      </c>
      <c r="V544" s="604" t="str">
        <f t="shared" ref="V544" si="1465">IF(Z544="غائب","راسب",IF(R547&gt;0,"ناجح","مرحل"))</f>
        <v>مرحل</v>
      </c>
      <c r="W544" s="19" t="str">
        <f t="shared" ref="W544:W545" si="1466">LOOKUP(R544,$AC$6:$AD$10)</f>
        <v>ضعيف</v>
      </c>
      <c r="X544" s="639">
        <f t="shared" ref="X544" si="1467">R547/$AC$3</f>
        <v>0</v>
      </c>
      <c r="Y544" s="68"/>
      <c r="Z544" s="597" t="str">
        <f>IFERROR(VLOOKUP($B544,اسماء,48,0),"")</f>
        <v/>
      </c>
      <c r="AK544" s="667" t="str">
        <f t="shared" ref="AK544" si="1468">IF(R547=0,"",R547/1+ROW()*0.00001)</f>
        <v/>
      </c>
      <c r="AL544" s="667">
        <f>B544</f>
        <v>0</v>
      </c>
      <c r="AM544" s="696"/>
      <c r="AN544" s="698">
        <v>118</v>
      </c>
      <c r="AO544" s="699" t="str">
        <f>IFERROR(LARGE($AK$10:$AK$1420,AN544),"")</f>
        <v/>
      </c>
      <c r="AP544" s="698" t="str">
        <f>VLOOKUP(AO544,$AK$10:$AL$1530,2,0)</f>
        <v>امجد عمر عبداللطيف سلطان</v>
      </c>
    </row>
    <row r="545" spans="1:42" ht="14.85" customHeight="1" x14ac:dyDescent="0.25">
      <c r="A545" s="611"/>
      <c r="B545" s="614"/>
      <c r="C545" s="617"/>
      <c r="D545" s="620"/>
      <c r="E545" s="130" t="s">
        <v>31</v>
      </c>
      <c r="F545" s="592">
        <f>IFERROR(VLOOKUP($B544,اسماء,15,0),0)</f>
        <v>0</v>
      </c>
      <c r="G545" s="593"/>
      <c r="H545" s="594">
        <f>IFERROR(VLOOKUP($B544,اسماء,16,0),0)</f>
        <v>0</v>
      </c>
      <c r="I545" s="595"/>
      <c r="J545" s="592">
        <f>IFERROR(VLOOKUP($B544,اسماء,17,0),0)</f>
        <v>0</v>
      </c>
      <c r="K545" s="593"/>
      <c r="L545" s="594">
        <f>IFERROR(VLOOKUP($B544,اسماء,18,0),0)</f>
        <v>0</v>
      </c>
      <c r="M545" s="596"/>
      <c r="N545" s="594">
        <f>IFERROR(VLOOKUP($B544,اسماء,19,0),0)</f>
        <v>0</v>
      </c>
      <c r="O545" s="596"/>
      <c r="P545" s="592">
        <f>IFERROR(VLOOKUP($B544,اسماء,20,0),0)</f>
        <v>0</v>
      </c>
      <c r="Q545" s="595"/>
      <c r="R545" s="372">
        <f t="shared" si="1386"/>
        <v>0</v>
      </c>
      <c r="S545" s="305" t="str">
        <f>IFERROR(VLOOKUP($B544,اسماء,23,0),"")</f>
        <v/>
      </c>
      <c r="T545" s="306" t="str">
        <f>IFERROR(VLOOKUP($B544,اسماء,24,0),"")</f>
        <v/>
      </c>
      <c r="U545" s="122" t="str">
        <f>IFERROR(VLOOKUP($B544,اسماء,25,0),"")</f>
        <v/>
      </c>
      <c r="V545" s="605"/>
      <c r="W545" s="19" t="str">
        <f t="shared" si="1466"/>
        <v>ضعيف</v>
      </c>
      <c r="X545" s="640"/>
      <c r="Y545" s="8"/>
      <c r="Z545" s="598"/>
      <c r="AK545" s="667"/>
      <c r="AL545" s="667"/>
      <c r="AM545" s="696"/>
      <c r="AN545" s="698"/>
      <c r="AO545" s="699"/>
      <c r="AP545" s="698"/>
    </row>
    <row r="546" spans="1:42" ht="14.85" customHeight="1" x14ac:dyDescent="0.25">
      <c r="A546" s="611"/>
      <c r="B546" s="614"/>
      <c r="C546" s="617"/>
      <c r="D546" s="620"/>
      <c r="E546" s="130" t="s">
        <v>32</v>
      </c>
      <c r="F546" s="592">
        <f>IFERROR(VLOOKUP($B544,اسماء,25,0),0)</f>
        <v>0</v>
      </c>
      <c r="G546" s="593"/>
      <c r="H546" s="594">
        <f>IFERROR(VLOOKUP($B544,اسماء,26,0),0)</f>
        <v>0</v>
      </c>
      <c r="I546" s="595"/>
      <c r="J546" s="592">
        <f>IFERROR(VLOOKUP($B544,اسماء,27,0),0)</f>
        <v>0</v>
      </c>
      <c r="K546" s="593"/>
      <c r="L546" s="594">
        <f>IFERROR(VLOOKUP($B544,اسماء,28,0),0)</f>
        <v>0</v>
      </c>
      <c r="M546" s="596"/>
      <c r="N546" s="594">
        <f>IFERROR(VLOOKUP($B544,اسماء,29,0),0)</f>
        <v>0</v>
      </c>
      <c r="O546" s="596"/>
      <c r="P546" s="592">
        <f>IFERROR(VLOOKUP($B544,اسماء,30,0),0)</f>
        <v>0</v>
      </c>
      <c r="Q546" s="595"/>
      <c r="R546" s="372">
        <f t="shared" si="1386"/>
        <v>0</v>
      </c>
      <c r="S546" s="305" t="str">
        <f>IFERROR(VLOOKUP($B544,اسماء,34,0),"")</f>
        <v/>
      </c>
      <c r="T546" s="306" t="str">
        <f>IFERROR(VLOOKUP($B544,اسماء,35,0),"")</f>
        <v/>
      </c>
      <c r="U546" s="122" t="str">
        <f>IFERROR(VLOOKUP($B544,اسماء,36,0),"")</f>
        <v/>
      </c>
      <c r="V546" s="605"/>
      <c r="W546" s="20" t="str">
        <f t="shared" ref="W546" si="1469">LOOKUP(R546,$AF$6:$AG$10)</f>
        <v>ضعيف</v>
      </c>
      <c r="X546" s="640"/>
      <c r="Y546" s="68"/>
      <c r="Z546" s="598"/>
      <c r="AK546" s="667"/>
      <c r="AL546" s="667"/>
      <c r="AM546" s="696"/>
      <c r="AN546" s="698"/>
      <c r="AO546" s="699"/>
      <c r="AP546" s="698"/>
    </row>
    <row r="547" spans="1:42" ht="14.85" customHeight="1" thickBot="1" x14ac:dyDescent="0.3">
      <c r="A547" s="612"/>
      <c r="B547" s="615"/>
      <c r="C547" s="618"/>
      <c r="D547" s="621"/>
      <c r="E547" s="124" t="s">
        <v>33</v>
      </c>
      <c r="F547" s="623">
        <f t="shared" ref="F547" si="1470">SUM(F544:G546)</f>
        <v>0</v>
      </c>
      <c r="G547" s="624"/>
      <c r="H547" s="625">
        <f t="shared" ref="H547" si="1471">SUM(H544:I546)</f>
        <v>0</v>
      </c>
      <c r="I547" s="626"/>
      <c r="J547" s="623">
        <f t="shared" ref="J547" si="1472">SUM(J544:K546)</f>
        <v>0</v>
      </c>
      <c r="K547" s="624"/>
      <c r="L547" s="625">
        <f t="shared" ref="L547" si="1473">SUM(L544:M546)</f>
        <v>0</v>
      </c>
      <c r="M547" s="642"/>
      <c r="N547" s="625">
        <f t="shared" ref="N547" si="1474">SUM(N544:O546)</f>
        <v>0</v>
      </c>
      <c r="O547" s="642"/>
      <c r="P547" s="623">
        <f t="shared" ref="P547" si="1475">SUM(P544:Q546)</f>
        <v>0</v>
      </c>
      <c r="Q547" s="626"/>
      <c r="R547" s="88">
        <f t="shared" ref="R547" si="1476">IF(AND(F547&gt;=$G$8,H547&gt;=$I$8,J547&gt;=$K$8,L547&gt;=$M$8,N547&gt;=$O$8,P547&gt;=$Q$8),SUM(F547:Q547),0)</f>
        <v>0</v>
      </c>
      <c r="S547" s="251"/>
      <c r="T547" s="97"/>
      <c r="U547" s="94"/>
      <c r="V547" s="606"/>
      <c r="W547" s="88" t="str">
        <f t="shared" ref="W547" si="1477">LOOKUP(R547,$AI$6:$AJ$10)</f>
        <v>ضعيف</v>
      </c>
      <c r="X547" s="641"/>
      <c r="Y547" s="68"/>
      <c r="Z547" s="599"/>
      <c r="AK547" s="667"/>
      <c r="AL547" s="667"/>
      <c r="AM547" s="696"/>
      <c r="AN547" s="698"/>
      <c r="AO547" s="699"/>
      <c r="AP547" s="698"/>
    </row>
    <row r="548" spans="1:42" ht="14.85" customHeight="1" thickBot="1" x14ac:dyDescent="0.3">
      <c r="A548" s="610">
        <v>119</v>
      </c>
      <c r="B548" s="613">
        <f>VLOOKUP(A548,مسلسل,2,0)</f>
        <v>0</v>
      </c>
      <c r="C548" s="616" t="str">
        <f>IFERROR(VLOOKUP(B548,اسماء,2,0),"")</f>
        <v/>
      </c>
      <c r="D548" s="619" t="str">
        <f>IFERROR(VLOOKUP($B548,اسماء,3,0),"")</f>
        <v/>
      </c>
      <c r="E548" s="129" t="s">
        <v>30</v>
      </c>
      <c r="F548" s="600">
        <f>IFERROR(VLOOKUP($B548,اسماء,5,0),0)</f>
        <v>0</v>
      </c>
      <c r="G548" s="601"/>
      <c r="H548" s="602">
        <f>IFERROR(VLOOKUP($B548,اسماء,6,0),0)</f>
        <v>0</v>
      </c>
      <c r="I548" s="622"/>
      <c r="J548" s="600">
        <f>IFERROR(VLOOKUP($B548,اسماء,7,0),0)</f>
        <v>0</v>
      </c>
      <c r="K548" s="601"/>
      <c r="L548" s="602">
        <f>IFERROR(VLOOKUP($B548,اسماء,8,0),0)</f>
        <v>0</v>
      </c>
      <c r="M548" s="603"/>
      <c r="N548" s="602">
        <f>IFERROR(VLOOKUP($B548,اسماء,9,0),0)</f>
        <v>0</v>
      </c>
      <c r="O548" s="603"/>
      <c r="P548" s="600">
        <f>IFERROR(VLOOKUP($B548,اسماء,10,0),0)</f>
        <v>0</v>
      </c>
      <c r="Q548" s="622"/>
      <c r="R548" s="371">
        <f t="shared" ref="R548" si="1478">SUM(F548:Q548)</f>
        <v>0</v>
      </c>
      <c r="S548" s="213" t="str">
        <f>IFERROR(VLOOKUP($B548,اسماء,12,0),"")</f>
        <v/>
      </c>
      <c r="T548" s="214" t="str">
        <f>IFERROR(VLOOKUP($B548,اسماء,13,0),"")</f>
        <v/>
      </c>
      <c r="U548" s="364" t="str">
        <f>IFERROR(VLOOKUP($B548,اسماء,14,0),"")</f>
        <v/>
      </c>
      <c r="V548" s="604" t="str">
        <f t="shared" ref="V548" si="1479">IF(Z548="غائب","راسب",IF(R551&gt;0,"ناجح","مرحل"))</f>
        <v>مرحل</v>
      </c>
      <c r="W548" s="19" t="str">
        <f t="shared" ref="W548:W549" si="1480">LOOKUP(R548,$AC$6:$AD$10)</f>
        <v>ضعيف</v>
      </c>
      <c r="X548" s="639">
        <f t="shared" ref="X548" si="1481">R551/$AC$3</f>
        <v>0</v>
      </c>
      <c r="Y548" s="8"/>
      <c r="Z548" s="597" t="str">
        <f>IFERROR(VLOOKUP($B548,اسماء,48,0),"")</f>
        <v/>
      </c>
      <c r="AK548" s="667" t="str">
        <f t="shared" ref="AK548" si="1482">IF(R551=0,"",R551/1+ROW()*0.00001)</f>
        <v/>
      </c>
      <c r="AL548" s="667">
        <f>B548</f>
        <v>0</v>
      </c>
      <c r="AM548" s="696"/>
      <c r="AN548" s="698">
        <v>119</v>
      </c>
      <c r="AO548" s="699" t="str">
        <f>IFERROR(LARGE($AK$10:$AK$1420,AN548),"")</f>
        <v/>
      </c>
      <c r="AP548" s="698" t="str">
        <f>VLOOKUP(AO548,$AK$10:$AL$1530,2,0)</f>
        <v>امجد عمر عبداللطيف سلطان</v>
      </c>
    </row>
    <row r="549" spans="1:42" ht="14.85" customHeight="1" x14ac:dyDescent="0.25">
      <c r="A549" s="611"/>
      <c r="B549" s="614"/>
      <c r="C549" s="617"/>
      <c r="D549" s="620"/>
      <c r="E549" s="130" t="s">
        <v>31</v>
      </c>
      <c r="F549" s="592">
        <f>IFERROR(VLOOKUP($B548,اسماء,15,0),0)</f>
        <v>0</v>
      </c>
      <c r="G549" s="593"/>
      <c r="H549" s="594">
        <f>IFERROR(VLOOKUP($B548,اسماء,16,0),0)</f>
        <v>0</v>
      </c>
      <c r="I549" s="595"/>
      <c r="J549" s="592">
        <f>IFERROR(VLOOKUP($B548,اسماء,17,0),0)</f>
        <v>0</v>
      </c>
      <c r="K549" s="593"/>
      <c r="L549" s="594">
        <f>IFERROR(VLOOKUP($B548,اسماء,18,0),0)</f>
        <v>0</v>
      </c>
      <c r="M549" s="596"/>
      <c r="N549" s="594">
        <f>IFERROR(VLOOKUP($B548,اسماء,19,0),0)</f>
        <v>0</v>
      </c>
      <c r="O549" s="596"/>
      <c r="P549" s="592">
        <f>IFERROR(VLOOKUP($B548,اسماء,20,0),0)</f>
        <v>0</v>
      </c>
      <c r="Q549" s="595"/>
      <c r="R549" s="372">
        <f t="shared" si="1386"/>
        <v>0</v>
      </c>
      <c r="S549" s="305" t="str">
        <f>IFERROR(VLOOKUP($B548,اسماء,23,0),"")</f>
        <v/>
      </c>
      <c r="T549" s="306" t="str">
        <f>IFERROR(VLOOKUP($B548,اسماء,24,0),"")</f>
        <v/>
      </c>
      <c r="U549" s="122" t="str">
        <f>IFERROR(VLOOKUP($B548,اسماء,25,0),"")</f>
        <v/>
      </c>
      <c r="V549" s="605"/>
      <c r="W549" s="19" t="str">
        <f t="shared" si="1480"/>
        <v>ضعيف</v>
      </c>
      <c r="X549" s="640"/>
      <c r="Y549" s="68"/>
      <c r="Z549" s="598"/>
      <c r="AK549" s="667"/>
      <c r="AL549" s="667"/>
      <c r="AM549" s="696"/>
      <c r="AN549" s="698"/>
      <c r="AO549" s="699"/>
      <c r="AP549" s="698"/>
    </row>
    <row r="550" spans="1:42" ht="14.85" customHeight="1" x14ac:dyDescent="0.25">
      <c r="A550" s="611"/>
      <c r="B550" s="614"/>
      <c r="C550" s="617"/>
      <c r="D550" s="620"/>
      <c r="E550" s="130" t="s">
        <v>32</v>
      </c>
      <c r="F550" s="592">
        <f>IFERROR(VLOOKUP($B548,اسماء,25,0),0)</f>
        <v>0</v>
      </c>
      <c r="G550" s="593"/>
      <c r="H550" s="594">
        <f>IFERROR(VLOOKUP($B548,اسماء,26,0),0)</f>
        <v>0</v>
      </c>
      <c r="I550" s="595"/>
      <c r="J550" s="592">
        <f>IFERROR(VLOOKUP($B548,اسماء,27,0),0)</f>
        <v>0</v>
      </c>
      <c r="K550" s="593"/>
      <c r="L550" s="594">
        <f>IFERROR(VLOOKUP($B548,اسماء,28,0),0)</f>
        <v>0</v>
      </c>
      <c r="M550" s="596"/>
      <c r="N550" s="594">
        <f>IFERROR(VLOOKUP($B548,اسماء,29,0),0)</f>
        <v>0</v>
      </c>
      <c r="O550" s="596"/>
      <c r="P550" s="592">
        <f>IFERROR(VLOOKUP($B548,اسماء,30,0),0)</f>
        <v>0</v>
      </c>
      <c r="Q550" s="595"/>
      <c r="R550" s="372">
        <f t="shared" si="1386"/>
        <v>0</v>
      </c>
      <c r="S550" s="305" t="str">
        <f>IFERROR(VLOOKUP($B548,اسماء,34,0),"")</f>
        <v/>
      </c>
      <c r="T550" s="306" t="str">
        <f>IFERROR(VLOOKUP($B548,اسماء,35,0),"")</f>
        <v/>
      </c>
      <c r="U550" s="122" t="str">
        <f>IFERROR(VLOOKUP($B548,اسماء,36,0),"")</f>
        <v/>
      </c>
      <c r="V550" s="605"/>
      <c r="W550" s="20" t="str">
        <f t="shared" ref="W550" si="1483">LOOKUP(R550,$AF$6:$AG$10)</f>
        <v>ضعيف</v>
      </c>
      <c r="X550" s="640"/>
      <c r="Y550" s="68"/>
      <c r="Z550" s="598"/>
      <c r="AK550" s="667"/>
      <c r="AL550" s="667"/>
      <c r="AM550" s="696"/>
      <c r="AN550" s="698"/>
      <c r="AO550" s="699"/>
      <c r="AP550" s="698"/>
    </row>
    <row r="551" spans="1:42" ht="14.85" customHeight="1" thickBot="1" x14ac:dyDescent="0.3">
      <c r="A551" s="612"/>
      <c r="B551" s="615"/>
      <c r="C551" s="618"/>
      <c r="D551" s="621"/>
      <c r="E551" s="124" t="s">
        <v>33</v>
      </c>
      <c r="F551" s="623">
        <f t="shared" ref="F551" si="1484">SUM(F548:G550)</f>
        <v>0</v>
      </c>
      <c r="G551" s="624"/>
      <c r="H551" s="625">
        <f t="shared" ref="H551" si="1485">SUM(H548:I550)</f>
        <v>0</v>
      </c>
      <c r="I551" s="626"/>
      <c r="J551" s="623">
        <f t="shared" ref="J551" si="1486">SUM(J548:K550)</f>
        <v>0</v>
      </c>
      <c r="K551" s="624"/>
      <c r="L551" s="625">
        <f t="shared" ref="L551" si="1487">SUM(L548:M550)</f>
        <v>0</v>
      </c>
      <c r="M551" s="642"/>
      <c r="N551" s="625">
        <f t="shared" ref="N551" si="1488">SUM(N548:O550)</f>
        <v>0</v>
      </c>
      <c r="O551" s="642"/>
      <c r="P551" s="623">
        <f t="shared" ref="P551" si="1489">SUM(P548:Q550)</f>
        <v>0</v>
      </c>
      <c r="Q551" s="626"/>
      <c r="R551" s="88">
        <f t="shared" ref="R551" si="1490">IF(AND(F551&gt;=$G$8,H551&gt;=$I$8,J551&gt;=$K$8,L551&gt;=$M$8,N551&gt;=$O$8,P551&gt;=$Q$8),SUM(F551:Q551),0)</f>
        <v>0</v>
      </c>
      <c r="S551" s="251"/>
      <c r="T551" s="97"/>
      <c r="U551" s="94"/>
      <c r="V551" s="606"/>
      <c r="W551" s="88" t="str">
        <f t="shared" ref="W551" si="1491">LOOKUP(R551,$AI$6:$AJ$10)</f>
        <v>ضعيف</v>
      </c>
      <c r="X551" s="641"/>
      <c r="Y551" s="8"/>
      <c r="Z551" s="599"/>
      <c r="AK551" s="667"/>
      <c r="AL551" s="667"/>
      <c r="AM551" s="696"/>
      <c r="AN551" s="698"/>
      <c r="AO551" s="699"/>
      <c r="AP551" s="698"/>
    </row>
    <row r="552" spans="1:42" ht="14.85" customHeight="1" thickBot="1" x14ac:dyDescent="0.3">
      <c r="A552" s="610">
        <v>120</v>
      </c>
      <c r="B552" s="613">
        <f>VLOOKUP(A552,مسلسل,2,0)</f>
        <v>0</v>
      </c>
      <c r="C552" s="616" t="str">
        <f>IFERROR(VLOOKUP(B552,اسماء,2,0),"")</f>
        <v/>
      </c>
      <c r="D552" s="619" t="str">
        <f>IFERROR(VLOOKUP($B552,اسماء,3,0),"")</f>
        <v/>
      </c>
      <c r="E552" s="129" t="s">
        <v>30</v>
      </c>
      <c r="F552" s="600">
        <f>IFERROR(VLOOKUP($B552,اسماء,5,0),0)</f>
        <v>0</v>
      </c>
      <c r="G552" s="601"/>
      <c r="H552" s="602">
        <f>IFERROR(VLOOKUP($B552,اسماء,6,0),0)</f>
        <v>0</v>
      </c>
      <c r="I552" s="622"/>
      <c r="J552" s="600">
        <f>IFERROR(VLOOKUP($B552,اسماء,7,0),0)</f>
        <v>0</v>
      </c>
      <c r="K552" s="601"/>
      <c r="L552" s="602">
        <f>IFERROR(VLOOKUP($B552,اسماء,8,0),0)</f>
        <v>0</v>
      </c>
      <c r="M552" s="603"/>
      <c r="N552" s="602">
        <f>IFERROR(VLOOKUP($B552,اسماء,9,0),0)</f>
        <v>0</v>
      </c>
      <c r="O552" s="603"/>
      <c r="P552" s="600">
        <f>IFERROR(VLOOKUP($B552,اسماء,10,0),0)</f>
        <v>0</v>
      </c>
      <c r="Q552" s="622"/>
      <c r="R552" s="371">
        <f t="shared" ref="R552" si="1492">SUM(F552:Q552)</f>
        <v>0</v>
      </c>
      <c r="S552" s="213" t="str">
        <f>IFERROR(VLOOKUP($B552,اسماء,12,0),"")</f>
        <v/>
      </c>
      <c r="T552" s="214" t="str">
        <f>IFERROR(VLOOKUP($B552,اسماء,13,0),"")</f>
        <v/>
      </c>
      <c r="U552" s="364" t="str">
        <f>IFERROR(VLOOKUP($B552,اسماء,14,0),"")</f>
        <v/>
      </c>
      <c r="V552" s="604" t="str">
        <f t="shared" ref="V552" si="1493">IF(Z552="غائب","راسب",IF(R555&gt;0,"ناجح","مرحل"))</f>
        <v>مرحل</v>
      </c>
      <c r="W552" s="19" t="str">
        <f t="shared" ref="W552:W553" si="1494">LOOKUP(R552,$AC$6:$AD$10)</f>
        <v>ضعيف</v>
      </c>
      <c r="X552" s="639">
        <f t="shared" ref="X552" si="1495">R555/$AC$3</f>
        <v>0</v>
      </c>
      <c r="Y552" s="68"/>
      <c r="Z552" s="597" t="str">
        <f>IFERROR(VLOOKUP($B552,اسماء,48,0),"")</f>
        <v/>
      </c>
      <c r="AK552" s="667" t="str">
        <f t="shared" ref="AK552" si="1496">IF(R555=0,"",R555/1+ROW()*0.00001)</f>
        <v/>
      </c>
      <c r="AL552" s="667">
        <f>B552</f>
        <v>0</v>
      </c>
      <c r="AM552" s="696"/>
      <c r="AN552" s="698">
        <v>120</v>
      </c>
      <c r="AO552" s="699" t="str">
        <f>IFERROR(LARGE($AK$10:$AK$1420,AN552),"")</f>
        <v/>
      </c>
      <c r="AP552" s="698" t="str">
        <f>VLOOKUP(AO552,$AK$10:$AL$1530,2,0)</f>
        <v>امجد عمر عبداللطيف سلطان</v>
      </c>
    </row>
    <row r="553" spans="1:42" ht="14.85" customHeight="1" x14ac:dyDescent="0.25">
      <c r="A553" s="611"/>
      <c r="B553" s="614"/>
      <c r="C553" s="617"/>
      <c r="D553" s="620"/>
      <c r="E553" s="130" t="s">
        <v>31</v>
      </c>
      <c r="F553" s="592">
        <f>IFERROR(VLOOKUP($B552,اسماء,15,0),0)</f>
        <v>0</v>
      </c>
      <c r="G553" s="593"/>
      <c r="H553" s="594">
        <f>IFERROR(VLOOKUP($B552,اسماء,16,0),0)</f>
        <v>0</v>
      </c>
      <c r="I553" s="595"/>
      <c r="J553" s="592">
        <f>IFERROR(VLOOKUP($B552,اسماء,17,0),0)</f>
        <v>0</v>
      </c>
      <c r="K553" s="593"/>
      <c r="L553" s="594">
        <f>IFERROR(VLOOKUP($B552,اسماء,18,0),0)</f>
        <v>0</v>
      </c>
      <c r="M553" s="596"/>
      <c r="N553" s="594">
        <f>IFERROR(VLOOKUP($B552,اسماء,19,0),0)</f>
        <v>0</v>
      </c>
      <c r="O553" s="596"/>
      <c r="P553" s="592">
        <f>IFERROR(VLOOKUP($B552,اسماء,20,0),0)</f>
        <v>0</v>
      </c>
      <c r="Q553" s="595"/>
      <c r="R553" s="372">
        <f t="shared" si="1386"/>
        <v>0</v>
      </c>
      <c r="S553" s="305" t="str">
        <f>IFERROR(VLOOKUP($B552,اسماء,23,0),"")</f>
        <v/>
      </c>
      <c r="T553" s="306" t="str">
        <f>IFERROR(VLOOKUP($B552,اسماء,24,0),"")</f>
        <v/>
      </c>
      <c r="U553" s="122" t="str">
        <f>IFERROR(VLOOKUP($B552,اسماء,25,0),"")</f>
        <v/>
      </c>
      <c r="V553" s="605"/>
      <c r="W553" s="19" t="str">
        <f t="shared" si="1494"/>
        <v>ضعيف</v>
      </c>
      <c r="X553" s="640"/>
      <c r="Y553" s="68"/>
      <c r="Z553" s="598"/>
      <c r="AK553" s="667"/>
      <c r="AL553" s="667"/>
      <c r="AM553" s="696"/>
      <c r="AN553" s="698"/>
      <c r="AO553" s="699"/>
      <c r="AP553" s="698"/>
    </row>
    <row r="554" spans="1:42" ht="14.85" customHeight="1" x14ac:dyDescent="0.25">
      <c r="A554" s="611"/>
      <c r="B554" s="614"/>
      <c r="C554" s="617"/>
      <c r="D554" s="620"/>
      <c r="E554" s="130" t="s">
        <v>32</v>
      </c>
      <c r="F554" s="592">
        <f>IFERROR(VLOOKUP($B552,اسماء,25,0),0)</f>
        <v>0</v>
      </c>
      <c r="G554" s="593"/>
      <c r="H554" s="594">
        <f>IFERROR(VLOOKUP($B552,اسماء,26,0),0)</f>
        <v>0</v>
      </c>
      <c r="I554" s="595"/>
      <c r="J554" s="592">
        <f>IFERROR(VLOOKUP($B552,اسماء,27,0),0)</f>
        <v>0</v>
      </c>
      <c r="K554" s="593"/>
      <c r="L554" s="594">
        <f>IFERROR(VLOOKUP($B552,اسماء,28,0),0)</f>
        <v>0</v>
      </c>
      <c r="M554" s="596"/>
      <c r="N554" s="594">
        <f>IFERROR(VLOOKUP($B552,اسماء,29,0),0)</f>
        <v>0</v>
      </c>
      <c r="O554" s="596"/>
      <c r="P554" s="592">
        <f>IFERROR(VLOOKUP($B552,اسماء,30,0),0)</f>
        <v>0</v>
      </c>
      <c r="Q554" s="595"/>
      <c r="R554" s="372">
        <f t="shared" si="1386"/>
        <v>0</v>
      </c>
      <c r="S554" s="305" t="str">
        <f>IFERROR(VLOOKUP($B552,اسماء,34,0),"")</f>
        <v/>
      </c>
      <c r="T554" s="306" t="str">
        <f>IFERROR(VLOOKUP($B552,اسماء,35,0),"")</f>
        <v/>
      </c>
      <c r="U554" s="122" t="str">
        <f>IFERROR(VLOOKUP($B552,اسماء,36,0),"")</f>
        <v/>
      </c>
      <c r="V554" s="605"/>
      <c r="W554" s="20" t="str">
        <f t="shared" ref="W554" si="1497">LOOKUP(R554,$AF$6:$AG$10)</f>
        <v>ضعيف</v>
      </c>
      <c r="X554" s="640"/>
      <c r="Y554" s="8"/>
      <c r="Z554" s="598"/>
      <c r="AK554" s="667"/>
      <c r="AL554" s="667"/>
      <c r="AM554" s="696"/>
      <c r="AN554" s="698"/>
      <c r="AO554" s="699"/>
      <c r="AP554" s="698"/>
    </row>
    <row r="555" spans="1:42" ht="14.85" customHeight="1" thickBot="1" x14ac:dyDescent="0.3">
      <c r="A555" s="612"/>
      <c r="B555" s="615"/>
      <c r="C555" s="618"/>
      <c r="D555" s="621"/>
      <c r="E555" s="124" t="s">
        <v>33</v>
      </c>
      <c r="F555" s="623">
        <f t="shared" ref="F555" si="1498">SUM(F552:G554)</f>
        <v>0</v>
      </c>
      <c r="G555" s="624"/>
      <c r="H555" s="625">
        <f t="shared" ref="H555" si="1499">SUM(H552:I554)</f>
        <v>0</v>
      </c>
      <c r="I555" s="626"/>
      <c r="J555" s="623">
        <f t="shared" ref="J555" si="1500">SUM(J552:K554)</f>
        <v>0</v>
      </c>
      <c r="K555" s="624"/>
      <c r="L555" s="625">
        <f t="shared" ref="L555" si="1501">SUM(L552:M554)</f>
        <v>0</v>
      </c>
      <c r="M555" s="642"/>
      <c r="N555" s="625">
        <f t="shared" ref="N555" si="1502">SUM(N552:O554)</f>
        <v>0</v>
      </c>
      <c r="O555" s="642"/>
      <c r="P555" s="623">
        <f t="shared" ref="P555" si="1503">SUM(P552:Q554)</f>
        <v>0</v>
      </c>
      <c r="Q555" s="626"/>
      <c r="R555" s="88">
        <f t="shared" ref="R555" si="1504">IF(AND(F555&gt;=$G$8,H555&gt;=$I$8,J555&gt;=$K$8,L555&gt;=$M$8,N555&gt;=$O$8,P555&gt;=$Q$8),SUM(F555:Q555),0)</f>
        <v>0</v>
      </c>
      <c r="S555" s="251"/>
      <c r="T555" s="97"/>
      <c r="U555" s="94"/>
      <c r="V555" s="606"/>
      <c r="W555" s="88" t="str">
        <f t="shared" ref="W555" si="1505">LOOKUP(R555,$AI$6:$AJ$10)</f>
        <v>ضعيف</v>
      </c>
      <c r="X555" s="641"/>
      <c r="Y555" s="68"/>
      <c r="Z555" s="599"/>
      <c r="AK555" s="667"/>
      <c r="AL555" s="667"/>
      <c r="AM555" s="696"/>
      <c r="AN555" s="698"/>
      <c r="AO555" s="699"/>
      <c r="AP555" s="698"/>
    </row>
    <row r="556" spans="1:42" ht="14.85" customHeight="1" thickBot="1" x14ac:dyDescent="0.3">
      <c r="F556" s="71"/>
      <c r="G556" s="72"/>
      <c r="H556" s="71"/>
      <c r="I556" s="72"/>
      <c r="J556" s="71"/>
      <c r="K556" s="72"/>
      <c r="L556" s="71"/>
      <c r="M556" s="72"/>
      <c r="N556" s="71"/>
      <c r="O556" s="72"/>
      <c r="P556" s="71"/>
      <c r="Q556" s="72"/>
      <c r="R556" s="70"/>
      <c r="S556" s="73"/>
      <c r="T556" s="70"/>
      <c r="U556" s="70"/>
      <c r="V556" s="70"/>
      <c r="W556" s="70"/>
      <c r="X556" s="254"/>
      <c r="Y556" s="68"/>
      <c r="AH556" s="74"/>
    </row>
    <row r="557" spans="1:42" customFormat="1" ht="14.85" customHeight="1" x14ac:dyDescent="0.3">
      <c r="A557" s="668" t="s">
        <v>9</v>
      </c>
      <c r="B557" s="669"/>
      <c r="C557" s="670"/>
      <c r="D557" s="277" t="s">
        <v>11</v>
      </c>
      <c r="E557" s="674" t="s">
        <v>96</v>
      </c>
      <c r="F557" s="663"/>
      <c r="G557" s="663"/>
      <c r="H557" s="663"/>
      <c r="I557" s="663"/>
      <c r="J557" s="7"/>
      <c r="K557" s="7"/>
      <c r="L557" s="7"/>
      <c r="M557" s="7"/>
      <c r="N557" s="7"/>
      <c r="O557" s="7"/>
      <c r="P557" s="7"/>
      <c r="Q557" s="663" t="s">
        <v>156</v>
      </c>
      <c r="R557" s="663"/>
      <c r="S557" s="663"/>
      <c r="T557" s="663"/>
      <c r="U557" s="663"/>
      <c r="V557" s="663"/>
      <c r="W557" s="1"/>
      <c r="X557" s="255"/>
      <c r="Z557" s="75"/>
      <c r="AA557" s="76"/>
      <c r="AB557" s="76"/>
      <c r="AC557" s="76"/>
      <c r="AD557" s="76"/>
    </row>
    <row r="558" spans="1:42" customFormat="1" ht="14.85" customHeight="1" x14ac:dyDescent="0.25">
      <c r="A558" s="77" t="s">
        <v>8</v>
      </c>
      <c r="B558" s="671">
        <f>ادخال1!$BJ$3</f>
        <v>0</v>
      </c>
      <c r="C558" s="672"/>
      <c r="D558" s="278"/>
      <c r="E558" s="7" t="s">
        <v>9</v>
      </c>
      <c r="F558" s="673" t="str">
        <f>ادخال1!$BJ$5</f>
        <v>د. عبدالرحمن خليفة العريبي</v>
      </c>
      <c r="G558" s="673"/>
      <c r="H558" s="673"/>
      <c r="I558" s="673"/>
      <c r="J558" s="673"/>
      <c r="K558" s="673"/>
      <c r="L558" s="673"/>
      <c r="M558" s="673"/>
      <c r="N558" s="673"/>
      <c r="O558" s="673"/>
      <c r="P558" s="7"/>
      <c r="Q558" s="673" t="str">
        <f>ادخال1!$BJ$6</f>
        <v>تاجوراء</v>
      </c>
      <c r="R558" s="673"/>
      <c r="S558" s="673"/>
      <c r="T558" s="673"/>
      <c r="U558" s="673"/>
      <c r="V558" s="673"/>
      <c r="W558" s="673"/>
      <c r="X558" s="63"/>
      <c r="Y558" s="63"/>
      <c r="Z558" s="75"/>
      <c r="AA558" s="75"/>
      <c r="AB558" s="75"/>
      <c r="AC558" s="75"/>
    </row>
    <row r="559" spans="1:42" customFormat="1" ht="14.85" customHeight="1" thickBot="1" x14ac:dyDescent="0.3">
      <c r="A559" s="78" t="s">
        <v>97</v>
      </c>
      <c r="B559" s="665">
        <f>ادخال1!$BJ$4</f>
        <v>0</v>
      </c>
      <c r="C559" s="666"/>
      <c r="D559" s="279"/>
      <c r="E559" s="7" t="s">
        <v>11</v>
      </c>
      <c r="F559" s="667"/>
      <c r="G559" s="667"/>
      <c r="H559" s="667"/>
      <c r="I559" s="667"/>
      <c r="J559" s="667"/>
      <c r="K559" s="667"/>
      <c r="L559" s="667"/>
      <c r="M559" s="667"/>
      <c r="N559" s="667"/>
      <c r="O559" s="667"/>
      <c r="P559" s="7"/>
      <c r="Q559" s="7" t="s">
        <v>11</v>
      </c>
      <c r="R559" s="1"/>
      <c r="S559" s="1"/>
      <c r="T559" s="1"/>
      <c r="U559" s="1"/>
      <c r="V559" s="1"/>
      <c r="W559" s="1"/>
      <c r="X559" s="255"/>
      <c r="Z559" s="75"/>
      <c r="AA559" s="75"/>
      <c r="AB559" s="75"/>
      <c r="AC559" s="75"/>
    </row>
    <row r="560" spans="1:42" customFormat="1" ht="14.85" customHeight="1" x14ac:dyDescent="0.25">
      <c r="A560" s="663" t="s">
        <v>98</v>
      </c>
      <c r="B560" s="663"/>
      <c r="C560" s="663"/>
      <c r="D560" s="663"/>
      <c r="E560" s="663" t="s">
        <v>99</v>
      </c>
      <c r="F560" s="663"/>
      <c r="G560" s="663"/>
      <c r="H560" s="663"/>
      <c r="I560" s="663"/>
      <c r="J560" s="663"/>
      <c r="K560" s="663"/>
      <c r="L560" s="663"/>
      <c r="M560" s="663"/>
      <c r="N560" s="663"/>
      <c r="O560" s="663"/>
      <c r="P560" s="663"/>
      <c r="Q560" s="663"/>
      <c r="R560" s="7"/>
      <c r="S560" s="664">
        <f ca="1">TODAY()</f>
        <v>46009</v>
      </c>
      <c r="T560" s="664"/>
      <c r="U560" s="664"/>
      <c r="V560" s="664"/>
      <c r="W560" s="664"/>
      <c r="X560" s="255"/>
    </row>
    <row r="561" spans="1:42" customFormat="1" ht="14.85" customHeight="1" thickBot="1" x14ac:dyDescent="0.3">
      <c r="A561" s="7"/>
      <c r="B561" s="663" t="s">
        <v>100</v>
      </c>
      <c r="C561" s="663"/>
      <c r="D561" s="663"/>
      <c r="E561" s="663" t="s">
        <v>101</v>
      </c>
      <c r="F561" s="663"/>
      <c r="G561" s="663"/>
      <c r="H561" s="663"/>
      <c r="I561" s="663"/>
      <c r="J561" s="663"/>
      <c r="K561" s="663"/>
      <c r="L561" s="663"/>
      <c r="M561" s="663"/>
      <c r="N561" s="663"/>
      <c r="O561" s="663"/>
      <c r="P561" s="663"/>
      <c r="Q561" s="663"/>
      <c r="R561" s="1"/>
      <c r="S561" s="1"/>
      <c r="T561" s="1"/>
      <c r="U561" s="1"/>
      <c r="V561" s="1"/>
      <c r="W561" s="1"/>
      <c r="X561" s="255"/>
    </row>
    <row r="562" spans="1:42" ht="14.85" customHeight="1" thickBot="1" x14ac:dyDescent="0.3">
      <c r="A562" s="610">
        <v>121</v>
      </c>
      <c r="B562" s="613">
        <f>VLOOKUP(A562,مسلسل,2,0)</f>
        <v>0</v>
      </c>
      <c r="C562" s="616" t="str">
        <f>IFERROR(VLOOKUP(B562,اسماء,2,0),"")</f>
        <v/>
      </c>
      <c r="D562" s="619" t="str">
        <f>IFERROR(VLOOKUP($B562,اسماء,3,0),"")</f>
        <v/>
      </c>
      <c r="E562" s="129" t="s">
        <v>30</v>
      </c>
      <c r="F562" s="600">
        <f>IFERROR(VLOOKUP($B562,اسماء,5,0),0)</f>
        <v>0</v>
      </c>
      <c r="G562" s="601"/>
      <c r="H562" s="602">
        <f>IFERROR(VLOOKUP($B562,اسماء,6,0),0)</f>
        <v>0</v>
      </c>
      <c r="I562" s="622"/>
      <c r="J562" s="600">
        <f>IFERROR(VLOOKUP($B562,اسماء,7,0),0)</f>
        <v>0</v>
      </c>
      <c r="K562" s="601"/>
      <c r="L562" s="602">
        <f>IFERROR(VLOOKUP($B562,اسماء,8,0),0)</f>
        <v>0</v>
      </c>
      <c r="M562" s="603"/>
      <c r="N562" s="602">
        <f>IFERROR(VLOOKUP($B562,اسماء,9,0),0)</f>
        <v>0</v>
      </c>
      <c r="O562" s="603"/>
      <c r="P562" s="600">
        <f>IFERROR(VLOOKUP($B562,اسماء,10,0),0)</f>
        <v>0</v>
      </c>
      <c r="Q562" s="622"/>
      <c r="R562" s="371">
        <f>SUM(F562:Q562)</f>
        <v>0</v>
      </c>
      <c r="S562" s="325" t="str">
        <f>IFERROR(VLOOKUP($B562,اسماء,12,0),"")</f>
        <v/>
      </c>
      <c r="T562" s="326" t="str">
        <f>IFERROR(VLOOKUP($B562,اسماء,13,0),"")</f>
        <v/>
      </c>
      <c r="U562" s="92" t="str">
        <f>IFERROR(VLOOKUP($B562,اسماء,14,0),"")</f>
        <v/>
      </c>
      <c r="V562" s="604" t="str">
        <f t="shared" ref="V562" si="1506">IF(Z562="غائب","راسب",IF(R565&gt;0,"ناجح","مرحل"))</f>
        <v>مرحل</v>
      </c>
      <c r="W562" s="19" t="str">
        <f t="shared" ref="W562:W563" si="1507">LOOKUP(R562,$AC$6:$AD$10)</f>
        <v>ضعيف</v>
      </c>
      <c r="X562" s="639">
        <f t="shared" ref="X562" si="1508">R565/$AC$3</f>
        <v>0</v>
      </c>
      <c r="Y562" s="68"/>
      <c r="Z562" s="597" t="str">
        <f>IFERROR(VLOOKUP($B562,اسماء,48,0),"")</f>
        <v/>
      </c>
      <c r="AK562" s="671" t="str">
        <f>IF(R565=0,"",R565/1+ROW()*0.00001)</f>
        <v/>
      </c>
      <c r="AL562" s="671">
        <f>B562</f>
        <v>0</v>
      </c>
      <c r="AM562" s="696"/>
      <c r="AN562" s="698">
        <v>121</v>
      </c>
      <c r="AO562" s="699" t="str">
        <f>IFERROR(LARGE($AK$10:$AK$1420,AN562),"")</f>
        <v/>
      </c>
      <c r="AP562" s="698" t="str">
        <f>VLOOKUP(AO562,$AK$10:$AL$1530,2,0)</f>
        <v>امجد عمر عبداللطيف سلطان</v>
      </c>
    </row>
    <row r="563" spans="1:42" ht="14.85" customHeight="1" x14ac:dyDescent="0.25">
      <c r="A563" s="611"/>
      <c r="B563" s="614"/>
      <c r="C563" s="617"/>
      <c r="D563" s="620"/>
      <c r="E563" s="130" t="s">
        <v>31</v>
      </c>
      <c r="F563" s="592">
        <f>IFERROR(VLOOKUP($B562,اسماء,16,0),0)</f>
        <v>0</v>
      </c>
      <c r="G563" s="593"/>
      <c r="H563" s="594">
        <f>IFERROR(VLOOKUP($B562,اسماء,17,0),0)</f>
        <v>0</v>
      </c>
      <c r="I563" s="595"/>
      <c r="J563" s="592">
        <f>IFERROR(VLOOKUP($B562,اسماء,18,0),0)</f>
        <v>0</v>
      </c>
      <c r="K563" s="593"/>
      <c r="L563" s="594">
        <f>IFERROR(VLOOKUP($B562,اسماء,19,0),0)</f>
        <v>0</v>
      </c>
      <c r="M563" s="596"/>
      <c r="N563" s="594">
        <f>IFERROR(VLOOKUP($B562,اسماء,20,0),0)</f>
        <v>0</v>
      </c>
      <c r="O563" s="596"/>
      <c r="P563" s="592">
        <f>IFERROR(VLOOKUP($B562,اسماء,21,0),0)</f>
        <v>0</v>
      </c>
      <c r="Q563" s="595"/>
      <c r="R563" s="372">
        <f t="shared" ref="R563:R564" si="1509">SUM(F563:Q563)</f>
        <v>0</v>
      </c>
      <c r="S563" s="305" t="str">
        <f>IFERROR(VLOOKUP($B562,اسماء,23,0),"")</f>
        <v/>
      </c>
      <c r="T563" s="306" t="str">
        <f>IFERROR(VLOOKUP($B562,اسماء,24,0),"")</f>
        <v/>
      </c>
      <c r="U563" s="122" t="str">
        <f>IFERROR(VLOOKUP($B562,اسماء,25,0),"")</f>
        <v/>
      </c>
      <c r="V563" s="605"/>
      <c r="W563" s="19" t="str">
        <f t="shared" si="1507"/>
        <v>ضعيف</v>
      </c>
      <c r="X563" s="640"/>
      <c r="Y563" s="8"/>
      <c r="Z563" s="598"/>
      <c r="AK563" s="671"/>
      <c r="AL563" s="671"/>
      <c r="AM563" s="696"/>
      <c r="AN563" s="698"/>
      <c r="AO563" s="699"/>
      <c r="AP563" s="698"/>
    </row>
    <row r="564" spans="1:42" ht="14.85" customHeight="1" x14ac:dyDescent="0.25">
      <c r="A564" s="611"/>
      <c r="B564" s="614"/>
      <c r="C564" s="617"/>
      <c r="D564" s="620"/>
      <c r="E564" s="130" t="s">
        <v>32</v>
      </c>
      <c r="F564" s="592">
        <f>IFERROR(VLOOKUP($B562,اسماء,27,0),0)</f>
        <v>0</v>
      </c>
      <c r="G564" s="593"/>
      <c r="H564" s="594">
        <f>IFERROR(VLOOKUP($B562,اسماء,28,0),0)</f>
        <v>0</v>
      </c>
      <c r="I564" s="595"/>
      <c r="J564" s="592">
        <f>IFERROR(VLOOKUP($B562,اسماء,29,0),0)</f>
        <v>0</v>
      </c>
      <c r="K564" s="593"/>
      <c r="L564" s="594">
        <f>IFERROR(VLOOKUP($B562,اسماء,30,0),0)</f>
        <v>0</v>
      </c>
      <c r="M564" s="596"/>
      <c r="N564" s="594">
        <f>IFERROR(VLOOKUP($B562,اسماء,31,0),0)</f>
        <v>0</v>
      </c>
      <c r="O564" s="596"/>
      <c r="P564" s="592">
        <f>IFERROR(VLOOKUP($B562,اسماء,32,0),0)</f>
        <v>0</v>
      </c>
      <c r="Q564" s="595"/>
      <c r="R564" s="372">
        <f t="shared" si="1509"/>
        <v>0</v>
      </c>
      <c r="S564" s="305" t="str">
        <f>IFERROR(VLOOKUP($B562,اسماء,34,0),"")</f>
        <v/>
      </c>
      <c r="T564" s="306" t="str">
        <f>IFERROR(VLOOKUP($B562,اسماء,35,0),"")</f>
        <v/>
      </c>
      <c r="U564" s="122" t="str">
        <f>IFERROR(VLOOKUP($B562,اسماء,36,0),"")</f>
        <v/>
      </c>
      <c r="V564" s="605"/>
      <c r="W564" s="20" t="str">
        <f t="shared" ref="W564" si="1510">LOOKUP(R564,$AF$6:$AG$10)</f>
        <v>ضعيف</v>
      </c>
      <c r="X564" s="640"/>
      <c r="Y564" s="68"/>
      <c r="Z564" s="598"/>
      <c r="AK564" s="671"/>
      <c r="AL564" s="671"/>
      <c r="AM564" s="696"/>
      <c r="AN564" s="698"/>
      <c r="AO564" s="699"/>
      <c r="AP564" s="698"/>
    </row>
    <row r="565" spans="1:42" ht="14.85" customHeight="1" thickBot="1" x14ac:dyDescent="0.3">
      <c r="A565" s="612"/>
      <c r="B565" s="615"/>
      <c r="C565" s="618"/>
      <c r="D565" s="621"/>
      <c r="E565" s="124" t="s">
        <v>33</v>
      </c>
      <c r="F565" s="623">
        <f>SUM(F562:G564)</f>
        <v>0</v>
      </c>
      <c r="G565" s="624"/>
      <c r="H565" s="625">
        <f>SUM(H562:I564)</f>
        <v>0</v>
      </c>
      <c r="I565" s="626"/>
      <c r="J565" s="623">
        <f>SUM(J562:K564)</f>
        <v>0</v>
      </c>
      <c r="K565" s="624"/>
      <c r="L565" s="625">
        <f>SUM(L562:M564)</f>
        <v>0</v>
      </c>
      <c r="M565" s="642"/>
      <c r="N565" s="625">
        <f>SUM(N562:O564)</f>
        <v>0</v>
      </c>
      <c r="O565" s="642"/>
      <c r="P565" s="623">
        <f>SUM(P562:Q564)</f>
        <v>0</v>
      </c>
      <c r="Q565" s="626"/>
      <c r="R565" s="88">
        <f>IF(AND(F565&gt;=$G$8,H565&gt;=$I$8,J565&gt;=$K$8,L565&gt;=$M$8,N565&gt;=$O$8,P565&gt;=$Q$8),SUM(F565:Q565),0)</f>
        <v>0</v>
      </c>
      <c r="S565" s="251"/>
      <c r="T565" s="97"/>
      <c r="U565" s="94"/>
      <c r="V565" s="606"/>
      <c r="W565" s="88" t="str">
        <f t="shared" ref="W565" si="1511">LOOKUP(R565,$AI$6:$AJ$10)</f>
        <v>ضعيف</v>
      </c>
      <c r="X565" s="641"/>
      <c r="Y565" s="68"/>
      <c r="Z565" s="599"/>
      <c r="AK565" s="671"/>
      <c r="AL565" s="671"/>
      <c r="AM565" s="696"/>
      <c r="AN565" s="698"/>
      <c r="AO565" s="699"/>
      <c r="AP565" s="698"/>
    </row>
    <row r="566" spans="1:42" ht="14.85" customHeight="1" thickBot="1" x14ac:dyDescent="0.3">
      <c r="A566" s="610">
        <v>122</v>
      </c>
      <c r="B566" s="613">
        <f>VLOOKUP(A566,مسلسل,2,0)</f>
        <v>0</v>
      </c>
      <c r="C566" s="616" t="str">
        <f>IFERROR(VLOOKUP(B566,اسماء,2,0),"")</f>
        <v/>
      </c>
      <c r="D566" s="619" t="str">
        <f>IFERROR(VLOOKUP($B566,اسماء,3,0),"")</f>
        <v/>
      </c>
      <c r="E566" s="129" t="s">
        <v>30</v>
      </c>
      <c r="F566" s="600">
        <f>IFERROR(VLOOKUP($B566,اسماء,5,0),0)</f>
        <v>0</v>
      </c>
      <c r="G566" s="601"/>
      <c r="H566" s="602">
        <f>IFERROR(VLOOKUP($B566,اسماء,6,0),0)</f>
        <v>0</v>
      </c>
      <c r="I566" s="622"/>
      <c r="J566" s="600">
        <f>IFERROR(VLOOKUP($B566,اسماء,7,0),0)</f>
        <v>0</v>
      </c>
      <c r="K566" s="601"/>
      <c r="L566" s="602">
        <f>IFERROR(VLOOKUP($B566,اسماء,8,0),0)</f>
        <v>0</v>
      </c>
      <c r="M566" s="603"/>
      <c r="N566" s="602">
        <f>IFERROR(VLOOKUP($B566,اسماء,9,0),0)</f>
        <v>0</v>
      </c>
      <c r="O566" s="603"/>
      <c r="P566" s="600">
        <f>IFERROR(VLOOKUP($B566,اسماء,10,0),0)</f>
        <v>0</v>
      </c>
      <c r="Q566" s="622"/>
      <c r="R566" s="371">
        <f t="shared" ref="R566:R600" si="1512">SUM(F566:Q566)</f>
        <v>0</v>
      </c>
      <c r="S566" s="213" t="str">
        <f>IFERROR(VLOOKUP($B566,اسماء,12,0),"")</f>
        <v/>
      </c>
      <c r="T566" s="214" t="str">
        <f>IFERROR(VLOOKUP($B566,اسماء,13,0),"")</f>
        <v/>
      </c>
      <c r="U566" s="364" t="str">
        <f>IFERROR(VLOOKUP($B566,اسماء,14,0),"")</f>
        <v/>
      </c>
      <c r="V566" s="604" t="str">
        <f t="shared" ref="V566" si="1513">IF(Z566="غائب","راسب",IF(R569&gt;0,"ناجح","مرحل"))</f>
        <v>مرحل</v>
      </c>
      <c r="W566" s="19" t="str">
        <f t="shared" ref="W566:W567" si="1514">LOOKUP(R566,$AC$6:$AD$10)</f>
        <v>ضعيف</v>
      </c>
      <c r="X566" s="639">
        <f t="shared" ref="X566" si="1515">R569/$AC$3</f>
        <v>0</v>
      </c>
      <c r="Y566" s="8"/>
      <c r="Z566" s="597" t="str">
        <f>IFERROR(VLOOKUP($B566,اسماء,48,0),"")</f>
        <v/>
      </c>
      <c r="AK566" s="667" t="str">
        <f t="shared" ref="AK566" si="1516">IF(R569=0,"",R569/1+ROW()*0.00001)</f>
        <v/>
      </c>
      <c r="AL566" s="667">
        <f>B566</f>
        <v>0</v>
      </c>
      <c r="AM566" s="696"/>
      <c r="AN566" s="698">
        <v>122</v>
      </c>
      <c r="AO566" s="699" t="str">
        <f>IFERROR(LARGE($AK$10:$AK$1420,AN566),"")</f>
        <v/>
      </c>
      <c r="AP566" s="698" t="str">
        <f>VLOOKUP(AO566,$AK$10:$AL$1530,2,0)</f>
        <v>امجد عمر عبداللطيف سلطان</v>
      </c>
    </row>
    <row r="567" spans="1:42" ht="14.85" customHeight="1" x14ac:dyDescent="0.25">
      <c r="A567" s="611"/>
      <c r="B567" s="614"/>
      <c r="C567" s="617"/>
      <c r="D567" s="620"/>
      <c r="E567" s="130" t="s">
        <v>31</v>
      </c>
      <c r="F567" s="592">
        <f>IFERROR(VLOOKUP($B566,اسماء,15,0),0)</f>
        <v>0</v>
      </c>
      <c r="G567" s="593"/>
      <c r="H567" s="594">
        <f>IFERROR(VLOOKUP($B566,اسماء,16,0),0)</f>
        <v>0</v>
      </c>
      <c r="I567" s="595"/>
      <c r="J567" s="592">
        <f>IFERROR(VLOOKUP($B566,اسماء,17,0),0)</f>
        <v>0</v>
      </c>
      <c r="K567" s="593"/>
      <c r="L567" s="594">
        <f>IFERROR(VLOOKUP($B566,اسماء,18,0),0)</f>
        <v>0</v>
      </c>
      <c r="M567" s="596"/>
      <c r="N567" s="594">
        <f>IFERROR(VLOOKUP($B566,اسماء,19,0),0)</f>
        <v>0</v>
      </c>
      <c r="O567" s="596"/>
      <c r="P567" s="592">
        <f>IFERROR(VLOOKUP($B566,اسماء,20,0),0)</f>
        <v>0</v>
      </c>
      <c r="Q567" s="595"/>
      <c r="R567" s="372">
        <f t="shared" si="1512"/>
        <v>0</v>
      </c>
      <c r="S567" s="305" t="str">
        <f>IFERROR(VLOOKUP($B566,اسماء,23,0),"")</f>
        <v/>
      </c>
      <c r="T567" s="306" t="str">
        <f>IFERROR(VLOOKUP($B566,اسماء,24,0),"")</f>
        <v/>
      </c>
      <c r="U567" s="122" t="str">
        <f>IFERROR(VLOOKUP($B566,اسماء,25,0),"")</f>
        <v/>
      </c>
      <c r="V567" s="605"/>
      <c r="W567" s="19" t="str">
        <f t="shared" si="1514"/>
        <v>ضعيف</v>
      </c>
      <c r="X567" s="640"/>
      <c r="Y567" s="68"/>
      <c r="Z567" s="598"/>
      <c r="AK567" s="667"/>
      <c r="AL567" s="667"/>
      <c r="AM567" s="696"/>
      <c r="AN567" s="698"/>
      <c r="AO567" s="699"/>
      <c r="AP567" s="698"/>
    </row>
    <row r="568" spans="1:42" ht="14.85" customHeight="1" x14ac:dyDescent="0.25">
      <c r="A568" s="611"/>
      <c r="B568" s="614"/>
      <c r="C568" s="617"/>
      <c r="D568" s="620"/>
      <c r="E568" s="130" t="s">
        <v>32</v>
      </c>
      <c r="F568" s="592">
        <f>IFERROR(VLOOKUP($B566,اسماء,25,0),0)</f>
        <v>0</v>
      </c>
      <c r="G568" s="593"/>
      <c r="H568" s="594">
        <f>IFERROR(VLOOKUP($B566,اسماء,26,0),0)</f>
        <v>0</v>
      </c>
      <c r="I568" s="595"/>
      <c r="J568" s="592">
        <f>IFERROR(VLOOKUP($B566,اسماء,27,0),0)</f>
        <v>0</v>
      </c>
      <c r="K568" s="593"/>
      <c r="L568" s="594">
        <f>IFERROR(VLOOKUP($B566,اسماء,28,0),0)</f>
        <v>0</v>
      </c>
      <c r="M568" s="596"/>
      <c r="N568" s="594">
        <f>IFERROR(VLOOKUP($B566,اسماء,29,0),0)</f>
        <v>0</v>
      </c>
      <c r="O568" s="596"/>
      <c r="P568" s="592">
        <f>IFERROR(VLOOKUP($B566,اسماء,30,0),0)</f>
        <v>0</v>
      </c>
      <c r="Q568" s="595"/>
      <c r="R568" s="372">
        <f t="shared" si="1512"/>
        <v>0</v>
      </c>
      <c r="S568" s="305" t="str">
        <f>IFERROR(VLOOKUP($B566,اسماء,34,0),"")</f>
        <v/>
      </c>
      <c r="T568" s="306" t="str">
        <f>IFERROR(VLOOKUP($B566,اسماء,35,0),"")</f>
        <v/>
      </c>
      <c r="U568" s="122" t="str">
        <f>IFERROR(VLOOKUP($B566,اسماء,36,0),"")</f>
        <v/>
      </c>
      <c r="V568" s="605"/>
      <c r="W568" s="20" t="str">
        <f t="shared" ref="W568" si="1517">LOOKUP(R568,$AF$6:$AG$10)</f>
        <v>ضعيف</v>
      </c>
      <c r="X568" s="640"/>
      <c r="Y568" s="68"/>
      <c r="Z568" s="598"/>
      <c r="AK568" s="667"/>
      <c r="AL568" s="667"/>
      <c r="AM568" s="696"/>
      <c r="AN568" s="698"/>
      <c r="AO568" s="699"/>
      <c r="AP568" s="698"/>
    </row>
    <row r="569" spans="1:42" ht="14.85" customHeight="1" thickBot="1" x14ac:dyDescent="0.3">
      <c r="A569" s="612"/>
      <c r="B569" s="615"/>
      <c r="C569" s="618"/>
      <c r="D569" s="621"/>
      <c r="E569" s="124" t="s">
        <v>33</v>
      </c>
      <c r="F569" s="623">
        <f>SUM(F566:G568)</f>
        <v>0</v>
      </c>
      <c r="G569" s="624"/>
      <c r="H569" s="625">
        <f>SUM(H566:I568)</f>
        <v>0</v>
      </c>
      <c r="I569" s="626"/>
      <c r="J569" s="623">
        <f>SUM(J566:K568)</f>
        <v>0</v>
      </c>
      <c r="K569" s="624"/>
      <c r="L569" s="625">
        <f>SUM(L566:M568)</f>
        <v>0</v>
      </c>
      <c r="M569" s="642"/>
      <c r="N569" s="625">
        <f>SUM(N566:O568)</f>
        <v>0</v>
      </c>
      <c r="O569" s="642"/>
      <c r="P569" s="623">
        <f>SUM(P566:Q568)</f>
        <v>0</v>
      </c>
      <c r="Q569" s="626"/>
      <c r="R569" s="88">
        <f t="shared" ref="R569" si="1518">IF(AND(F569&gt;=$G$8,H569&gt;=$I$8,J569&gt;=$K$8,L569&gt;=$M$8,N569&gt;=$O$8,P569&gt;=$Q$8),SUM(F569:Q569),0)</f>
        <v>0</v>
      </c>
      <c r="S569" s="251"/>
      <c r="T569" s="97"/>
      <c r="U569" s="94"/>
      <c r="V569" s="606"/>
      <c r="W569" s="88" t="str">
        <f t="shared" ref="W569" si="1519">LOOKUP(R569,$AI$6:$AJ$10)</f>
        <v>ضعيف</v>
      </c>
      <c r="X569" s="641"/>
      <c r="Y569" s="8"/>
      <c r="Z569" s="599"/>
      <c r="AK569" s="667"/>
      <c r="AL569" s="667"/>
      <c r="AM569" s="696"/>
      <c r="AN569" s="698"/>
      <c r="AO569" s="699"/>
      <c r="AP569" s="698"/>
    </row>
    <row r="570" spans="1:42" ht="14.85" customHeight="1" thickBot="1" x14ac:dyDescent="0.3">
      <c r="A570" s="610">
        <v>123</v>
      </c>
      <c r="B570" s="613">
        <f>VLOOKUP(A570,مسلسل,2,0)</f>
        <v>0</v>
      </c>
      <c r="C570" s="616" t="str">
        <f>IFERROR(VLOOKUP(B570,اسماء,2,0),"")</f>
        <v/>
      </c>
      <c r="D570" s="619" t="str">
        <f>IFERROR(VLOOKUP($B570,اسماء,3,0),"")</f>
        <v/>
      </c>
      <c r="E570" s="129" t="s">
        <v>30</v>
      </c>
      <c r="F570" s="600">
        <f>IFERROR(VLOOKUP($B570,اسماء,5,0),0)</f>
        <v>0</v>
      </c>
      <c r="G570" s="601"/>
      <c r="H570" s="602">
        <f>IFERROR(VLOOKUP($B570,اسماء,6,0),0)</f>
        <v>0</v>
      </c>
      <c r="I570" s="622"/>
      <c r="J570" s="600">
        <f>IFERROR(VLOOKUP($B570,اسماء,7,0),0)</f>
        <v>0</v>
      </c>
      <c r="K570" s="601"/>
      <c r="L570" s="602">
        <f>IFERROR(VLOOKUP($B570,اسماء,8,0),0)</f>
        <v>0</v>
      </c>
      <c r="M570" s="603"/>
      <c r="N570" s="602">
        <f>IFERROR(VLOOKUP($B570,اسماء,9,0),0)</f>
        <v>0</v>
      </c>
      <c r="O570" s="603"/>
      <c r="P570" s="600">
        <f>IFERROR(VLOOKUP($B570,اسماء,10,0),0)</f>
        <v>0</v>
      </c>
      <c r="Q570" s="622"/>
      <c r="R570" s="371">
        <f t="shared" ref="R570" si="1520">SUM(F570:Q570)</f>
        <v>0</v>
      </c>
      <c r="S570" s="213" t="str">
        <f>IFERROR(VLOOKUP($B570,اسماء,12,0),"")</f>
        <v/>
      </c>
      <c r="T570" s="214" t="str">
        <f>IFERROR(VLOOKUP($B570,اسماء,13,0),"")</f>
        <v/>
      </c>
      <c r="U570" s="364" t="str">
        <f>IFERROR(VLOOKUP($B570,اسماء,14,0),"")</f>
        <v/>
      </c>
      <c r="V570" s="604" t="str">
        <f t="shared" ref="V570" si="1521">IF(Z570="غائب","راسب",IF(R573&gt;0,"ناجح","مرحل"))</f>
        <v>مرحل</v>
      </c>
      <c r="W570" s="19" t="str">
        <f t="shared" ref="W570:W571" si="1522">LOOKUP(R570,$AC$6:$AD$10)</f>
        <v>ضعيف</v>
      </c>
      <c r="X570" s="639">
        <f t="shared" ref="X570" si="1523">R573/$AC$3</f>
        <v>0</v>
      </c>
      <c r="Y570" s="68"/>
      <c r="Z570" s="597" t="str">
        <f>IFERROR(VLOOKUP($B570,اسماء,48,0),"")</f>
        <v/>
      </c>
      <c r="AK570" s="667" t="str">
        <f t="shared" ref="AK570" si="1524">IF(R573=0,"",R573/1+ROW()*0.00001)</f>
        <v/>
      </c>
      <c r="AL570" s="667">
        <f>B570</f>
        <v>0</v>
      </c>
      <c r="AM570" s="696"/>
      <c r="AN570" s="698">
        <v>123</v>
      </c>
      <c r="AO570" s="699" t="str">
        <f>IFERROR(LARGE($AK$10:$AK$1420,AN570),"")</f>
        <v/>
      </c>
      <c r="AP570" s="698" t="str">
        <f>VLOOKUP(AO570,$AK$10:$AL$1530,2,0)</f>
        <v>امجد عمر عبداللطيف سلطان</v>
      </c>
    </row>
    <row r="571" spans="1:42" ht="14.85" customHeight="1" x14ac:dyDescent="0.25">
      <c r="A571" s="611"/>
      <c r="B571" s="614"/>
      <c r="C571" s="617"/>
      <c r="D571" s="620"/>
      <c r="E571" s="130" t="s">
        <v>31</v>
      </c>
      <c r="F571" s="592">
        <f>IFERROR(VLOOKUP($B570,اسماء,15,0),0)</f>
        <v>0</v>
      </c>
      <c r="G571" s="593"/>
      <c r="H571" s="594">
        <f>IFERROR(VLOOKUP($B570,اسماء,16,0),0)</f>
        <v>0</v>
      </c>
      <c r="I571" s="595"/>
      <c r="J571" s="592">
        <f>IFERROR(VLOOKUP($B570,اسماء,17,0),0)</f>
        <v>0</v>
      </c>
      <c r="K571" s="593"/>
      <c r="L571" s="594">
        <f>IFERROR(VLOOKUP($B570,اسماء,18,0),0)</f>
        <v>0</v>
      </c>
      <c r="M571" s="596"/>
      <c r="N571" s="594">
        <f>IFERROR(VLOOKUP($B570,اسماء,19,0),0)</f>
        <v>0</v>
      </c>
      <c r="O571" s="596"/>
      <c r="P571" s="592">
        <f>IFERROR(VLOOKUP($B570,اسماء,20,0),0)</f>
        <v>0</v>
      </c>
      <c r="Q571" s="595"/>
      <c r="R571" s="372">
        <f t="shared" si="1512"/>
        <v>0</v>
      </c>
      <c r="S571" s="305" t="str">
        <f>IFERROR(VLOOKUP($B570,اسماء,23,0),"")</f>
        <v/>
      </c>
      <c r="T571" s="306" t="str">
        <f>IFERROR(VLOOKUP($B570,اسماء,24,0),"")</f>
        <v/>
      </c>
      <c r="U571" s="122" t="str">
        <f>IFERROR(VLOOKUP($B570,اسماء,25,0),"")</f>
        <v/>
      </c>
      <c r="V571" s="605"/>
      <c r="W571" s="19" t="str">
        <f t="shared" si="1522"/>
        <v>ضعيف</v>
      </c>
      <c r="X571" s="640"/>
      <c r="Y571" s="68"/>
      <c r="Z571" s="598"/>
      <c r="AK571" s="667"/>
      <c r="AL571" s="667"/>
      <c r="AM571" s="696"/>
      <c r="AN571" s="698"/>
      <c r="AO571" s="699"/>
      <c r="AP571" s="698"/>
    </row>
    <row r="572" spans="1:42" ht="14.85" customHeight="1" x14ac:dyDescent="0.25">
      <c r="A572" s="611"/>
      <c r="B572" s="614"/>
      <c r="C572" s="617"/>
      <c r="D572" s="620"/>
      <c r="E572" s="130" t="s">
        <v>32</v>
      </c>
      <c r="F572" s="592">
        <f>IFERROR(VLOOKUP($B570,اسماء,25,0),0)</f>
        <v>0</v>
      </c>
      <c r="G572" s="593"/>
      <c r="H572" s="594">
        <f>IFERROR(VLOOKUP($B570,اسماء,26,0),0)</f>
        <v>0</v>
      </c>
      <c r="I572" s="595"/>
      <c r="J572" s="592">
        <f>IFERROR(VLOOKUP($B570,اسماء,27,0),0)</f>
        <v>0</v>
      </c>
      <c r="K572" s="593"/>
      <c r="L572" s="594">
        <f>IFERROR(VLOOKUP($B570,اسماء,28,0),0)</f>
        <v>0</v>
      </c>
      <c r="M572" s="596"/>
      <c r="N572" s="594">
        <f>IFERROR(VLOOKUP($B570,اسماء,29,0),0)</f>
        <v>0</v>
      </c>
      <c r="O572" s="596"/>
      <c r="P572" s="592">
        <f>IFERROR(VLOOKUP($B570,اسماء,30,0),0)</f>
        <v>0</v>
      </c>
      <c r="Q572" s="595"/>
      <c r="R572" s="372">
        <f t="shared" si="1512"/>
        <v>0</v>
      </c>
      <c r="S572" s="305" t="str">
        <f>IFERROR(VLOOKUP($B570,اسماء,34,0),"")</f>
        <v/>
      </c>
      <c r="T572" s="306" t="str">
        <f>IFERROR(VLOOKUP($B570,اسماء,35,0),"")</f>
        <v/>
      </c>
      <c r="U572" s="122" t="str">
        <f>IFERROR(VLOOKUP($B570,اسماء,36,0),"")</f>
        <v/>
      </c>
      <c r="V572" s="605"/>
      <c r="W572" s="20" t="str">
        <f t="shared" ref="W572" si="1525">LOOKUP(R572,$AF$6:$AG$10)</f>
        <v>ضعيف</v>
      </c>
      <c r="X572" s="640"/>
      <c r="Y572" s="8"/>
      <c r="Z572" s="598"/>
      <c r="AK572" s="667"/>
      <c r="AL572" s="667"/>
      <c r="AM572" s="696"/>
      <c r="AN572" s="698"/>
      <c r="AO572" s="699"/>
      <c r="AP572" s="698"/>
    </row>
    <row r="573" spans="1:42" ht="14.85" customHeight="1" thickBot="1" x14ac:dyDescent="0.3">
      <c r="A573" s="612"/>
      <c r="B573" s="615"/>
      <c r="C573" s="618"/>
      <c r="D573" s="621"/>
      <c r="E573" s="124" t="s">
        <v>33</v>
      </c>
      <c r="F573" s="623">
        <f t="shared" ref="F573" si="1526">SUM(F570:G572)</f>
        <v>0</v>
      </c>
      <c r="G573" s="624"/>
      <c r="H573" s="625">
        <f t="shared" ref="H573" si="1527">SUM(H570:I572)</f>
        <v>0</v>
      </c>
      <c r="I573" s="626"/>
      <c r="J573" s="623">
        <f t="shared" ref="J573" si="1528">SUM(J570:K572)</f>
        <v>0</v>
      </c>
      <c r="K573" s="624"/>
      <c r="L573" s="625">
        <f t="shared" ref="L573" si="1529">SUM(L570:M572)</f>
        <v>0</v>
      </c>
      <c r="M573" s="642"/>
      <c r="N573" s="625">
        <f t="shared" ref="N573" si="1530">SUM(N570:O572)</f>
        <v>0</v>
      </c>
      <c r="O573" s="642"/>
      <c r="P573" s="623">
        <f t="shared" ref="P573" si="1531">SUM(P570:Q572)</f>
        <v>0</v>
      </c>
      <c r="Q573" s="626"/>
      <c r="R573" s="88">
        <f t="shared" ref="R573" si="1532">IF(AND(F573&gt;=$G$8,H573&gt;=$I$8,J573&gt;=$K$8,L573&gt;=$M$8,N573&gt;=$O$8,P573&gt;=$Q$8),SUM(F573:Q573),0)</f>
        <v>0</v>
      </c>
      <c r="S573" s="251"/>
      <c r="T573" s="97"/>
      <c r="U573" s="94"/>
      <c r="V573" s="606"/>
      <c r="W573" s="88" t="str">
        <f t="shared" ref="W573" si="1533">LOOKUP(R573,$AI$6:$AJ$10)</f>
        <v>ضعيف</v>
      </c>
      <c r="X573" s="641"/>
      <c r="Y573" s="68"/>
      <c r="Z573" s="599"/>
      <c r="AK573" s="667"/>
      <c r="AL573" s="667"/>
      <c r="AM573" s="696"/>
      <c r="AN573" s="698"/>
      <c r="AO573" s="699"/>
      <c r="AP573" s="698"/>
    </row>
    <row r="574" spans="1:42" ht="14.85" customHeight="1" thickBot="1" x14ac:dyDescent="0.3">
      <c r="A574" s="610">
        <v>124</v>
      </c>
      <c r="B574" s="613">
        <f>VLOOKUP(A574,مسلسل,2,0)</f>
        <v>0</v>
      </c>
      <c r="C574" s="616" t="str">
        <f>IFERROR(VLOOKUP(B574,اسماء,2,0),"")</f>
        <v/>
      </c>
      <c r="D574" s="619" t="str">
        <f>IFERROR(VLOOKUP($B574,اسماء,3,0),"")</f>
        <v/>
      </c>
      <c r="E574" s="129" t="s">
        <v>30</v>
      </c>
      <c r="F574" s="600">
        <f>IFERROR(VLOOKUP($B574,اسماء,5,0),0)</f>
        <v>0</v>
      </c>
      <c r="G574" s="601"/>
      <c r="H574" s="602">
        <f>IFERROR(VLOOKUP($B574,اسماء,6,0),0)</f>
        <v>0</v>
      </c>
      <c r="I574" s="622"/>
      <c r="J574" s="600">
        <f>IFERROR(VLOOKUP($B574,اسماء,7,0),0)</f>
        <v>0</v>
      </c>
      <c r="K574" s="601"/>
      <c r="L574" s="602">
        <f>IFERROR(VLOOKUP($B574,اسماء,8,0),0)</f>
        <v>0</v>
      </c>
      <c r="M574" s="603"/>
      <c r="N574" s="602">
        <f>IFERROR(VLOOKUP($B574,اسماء,9,0),0)</f>
        <v>0</v>
      </c>
      <c r="O574" s="603"/>
      <c r="P574" s="600">
        <f>IFERROR(VLOOKUP($B574,اسماء,10,0),0)</f>
        <v>0</v>
      </c>
      <c r="Q574" s="622"/>
      <c r="R574" s="371">
        <f t="shared" ref="R574" si="1534">SUM(F574:Q574)</f>
        <v>0</v>
      </c>
      <c r="S574" s="213" t="str">
        <f>IFERROR(VLOOKUP($B574,اسماء,12,0),"")</f>
        <v/>
      </c>
      <c r="T574" s="214" t="str">
        <f>IFERROR(VLOOKUP($B574,اسماء,13,0),"")</f>
        <v/>
      </c>
      <c r="U574" s="364" t="str">
        <f>IFERROR(VLOOKUP($B574,اسماء,14,0),"")</f>
        <v/>
      </c>
      <c r="V574" s="604" t="str">
        <f t="shared" ref="V574" si="1535">IF(Z574="غائب","راسب",IF(R577&gt;0,"ناجح","مرحل"))</f>
        <v>مرحل</v>
      </c>
      <c r="W574" s="19" t="str">
        <f t="shared" ref="W574:W575" si="1536">LOOKUP(R574,$AC$6:$AD$10)</f>
        <v>ضعيف</v>
      </c>
      <c r="X574" s="639">
        <f t="shared" ref="X574" si="1537">R577/$AC$3</f>
        <v>0</v>
      </c>
      <c r="Y574" s="68"/>
      <c r="Z574" s="597" t="str">
        <f>IFERROR(VLOOKUP($B574,اسماء,48,0),"")</f>
        <v/>
      </c>
      <c r="AK574" s="667" t="str">
        <f t="shared" ref="AK574" si="1538">IF(R577=0,"",R577/1+ROW()*0.00001)</f>
        <v/>
      </c>
      <c r="AL574" s="667">
        <f>B574</f>
        <v>0</v>
      </c>
      <c r="AM574" s="696"/>
      <c r="AN574" s="698">
        <v>124</v>
      </c>
      <c r="AO574" s="699" t="str">
        <f>IFERROR(LARGE($AK$10:$AK$1420,AN574),"")</f>
        <v/>
      </c>
      <c r="AP574" s="698" t="str">
        <f>VLOOKUP(AO574,$AK$10:$AL$1530,2,0)</f>
        <v>امجد عمر عبداللطيف سلطان</v>
      </c>
    </row>
    <row r="575" spans="1:42" ht="14.85" customHeight="1" x14ac:dyDescent="0.25">
      <c r="A575" s="611"/>
      <c r="B575" s="614"/>
      <c r="C575" s="617"/>
      <c r="D575" s="620"/>
      <c r="E575" s="130" t="s">
        <v>31</v>
      </c>
      <c r="F575" s="592">
        <f>IFERROR(VLOOKUP($B574,اسماء,15,0),0)</f>
        <v>0</v>
      </c>
      <c r="G575" s="593"/>
      <c r="H575" s="594">
        <f>IFERROR(VLOOKUP($B574,اسماء,16,0),0)</f>
        <v>0</v>
      </c>
      <c r="I575" s="595"/>
      <c r="J575" s="592">
        <f>IFERROR(VLOOKUP($B574,اسماء,17,0),0)</f>
        <v>0</v>
      </c>
      <c r="K575" s="593"/>
      <c r="L575" s="594">
        <f>IFERROR(VLOOKUP($B574,اسماء,18,0),0)</f>
        <v>0</v>
      </c>
      <c r="M575" s="596"/>
      <c r="N575" s="594">
        <f>IFERROR(VLOOKUP($B574,اسماء,19,0),0)</f>
        <v>0</v>
      </c>
      <c r="O575" s="596"/>
      <c r="P575" s="592">
        <f>IFERROR(VLOOKUP($B574,اسماء,20,0),0)</f>
        <v>0</v>
      </c>
      <c r="Q575" s="595"/>
      <c r="R575" s="372">
        <f t="shared" si="1512"/>
        <v>0</v>
      </c>
      <c r="S575" s="305" t="str">
        <f>IFERROR(VLOOKUP($B574,اسماء,23,0),"")</f>
        <v/>
      </c>
      <c r="T575" s="306" t="str">
        <f>IFERROR(VLOOKUP($B574,اسماء,24,0),"")</f>
        <v/>
      </c>
      <c r="U575" s="122" t="str">
        <f>IFERROR(VLOOKUP($B574,اسماء,25,0),"")</f>
        <v/>
      </c>
      <c r="V575" s="605"/>
      <c r="W575" s="19" t="str">
        <f t="shared" si="1536"/>
        <v>ضعيف</v>
      </c>
      <c r="X575" s="640"/>
      <c r="Y575" s="8"/>
      <c r="Z575" s="598"/>
      <c r="AK575" s="667"/>
      <c r="AL575" s="667"/>
      <c r="AM575" s="696"/>
      <c r="AN575" s="698"/>
      <c r="AO575" s="699"/>
      <c r="AP575" s="698"/>
    </row>
    <row r="576" spans="1:42" ht="14.85" customHeight="1" x14ac:dyDescent="0.25">
      <c r="A576" s="611"/>
      <c r="B576" s="614"/>
      <c r="C576" s="617"/>
      <c r="D576" s="620"/>
      <c r="E576" s="130" t="s">
        <v>32</v>
      </c>
      <c r="F576" s="592">
        <f>IFERROR(VLOOKUP($B574,اسماء,25,0),0)</f>
        <v>0</v>
      </c>
      <c r="G576" s="593"/>
      <c r="H576" s="594">
        <f>IFERROR(VLOOKUP($B574,اسماء,26,0),0)</f>
        <v>0</v>
      </c>
      <c r="I576" s="595"/>
      <c r="J576" s="592">
        <f>IFERROR(VLOOKUP($B574,اسماء,27,0),0)</f>
        <v>0</v>
      </c>
      <c r="K576" s="593"/>
      <c r="L576" s="594">
        <f>IFERROR(VLOOKUP($B574,اسماء,28,0),0)</f>
        <v>0</v>
      </c>
      <c r="M576" s="596"/>
      <c r="N576" s="594">
        <f>IFERROR(VLOOKUP($B574,اسماء,29,0),0)</f>
        <v>0</v>
      </c>
      <c r="O576" s="596"/>
      <c r="P576" s="592">
        <f>IFERROR(VLOOKUP($B574,اسماء,30,0),0)</f>
        <v>0</v>
      </c>
      <c r="Q576" s="595"/>
      <c r="R576" s="372">
        <f t="shared" si="1512"/>
        <v>0</v>
      </c>
      <c r="S576" s="305" t="str">
        <f>IFERROR(VLOOKUP($B574,اسماء,34,0),"")</f>
        <v/>
      </c>
      <c r="T576" s="306" t="str">
        <f>IFERROR(VLOOKUP($B574,اسماء,35,0),"")</f>
        <v/>
      </c>
      <c r="U576" s="122" t="str">
        <f>IFERROR(VLOOKUP($B574,اسماء,36,0),"")</f>
        <v/>
      </c>
      <c r="V576" s="605"/>
      <c r="W576" s="20" t="str">
        <f t="shared" ref="W576" si="1539">LOOKUP(R576,$AF$6:$AG$10)</f>
        <v>ضعيف</v>
      </c>
      <c r="X576" s="640"/>
      <c r="Y576" s="68"/>
      <c r="Z576" s="598"/>
      <c r="AK576" s="667"/>
      <c r="AL576" s="667"/>
      <c r="AM576" s="696"/>
      <c r="AN576" s="698"/>
      <c r="AO576" s="699"/>
      <c r="AP576" s="698"/>
    </row>
    <row r="577" spans="1:42" ht="14.85" customHeight="1" thickBot="1" x14ac:dyDescent="0.3">
      <c r="A577" s="612"/>
      <c r="B577" s="615"/>
      <c r="C577" s="618"/>
      <c r="D577" s="621"/>
      <c r="E577" s="124" t="s">
        <v>33</v>
      </c>
      <c r="F577" s="623">
        <f t="shared" ref="F577" si="1540">SUM(F574:G576)</f>
        <v>0</v>
      </c>
      <c r="G577" s="624"/>
      <c r="H577" s="625">
        <f t="shared" ref="H577" si="1541">SUM(H574:I576)</f>
        <v>0</v>
      </c>
      <c r="I577" s="626"/>
      <c r="J577" s="623">
        <f t="shared" ref="J577" si="1542">SUM(J574:K576)</f>
        <v>0</v>
      </c>
      <c r="K577" s="624"/>
      <c r="L577" s="625">
        <f t="shared" ref="L577" si="1543">SUM(L574:M576)</f>
        <v>0</v>
      </c>
      <c r="M577" s="642"/>
      <c r="N577" s="625">
        <f t="shared" ref="N577" si="1544">SUM(N574:O576)</f>
        <v>0</v>
      </c>
      <c r="O577" s="642"/>
      <c r="P577" s="623">
        <f t="shared" ref="P577" si="1545">SUM(P574:Q576)</f>
        <v>0</v>
      </c>
      <c r="Q577" s="626"/>
      <c r="R577" s="88">
        <f t="shared" ref="R577" si="1546">IF(AND(F577&gt;=$G$8,H577&gt;=$I$8,J577&gt;=$K$8,L577&gt;=$M$8,N577&gt;=$O$8,P577&gt;=$Q$8),SUM(F577:Q577),0)</f>
        <v>0</v>
      </c>
      <c r="S577" s="251"/>
      <c r="T577" s="97"/>
      <c r="U577" s="94"/>
      <c r="V577" s="606"/>
      <c r="W577" s="88" t="str">
        <f t="shared" ref="W577" si="1547">LOOKUP(R577,$AI$6:$AJ$10)</f>
        <v>ضعيف</v>
      </c>
      <c r="X577" s="641"/>
      <c r="Y577" s="68"/>
      <c r="Z577" s="599"/>
      <c r="AK577" s="667"/>
      <c r="AL577" s="667"/>
      <c r="AM577" s="696"/>
      <c r="AN577" s="698"/>
      <c r="AO577" s="699"/>
      <c r="AP577" s="698"/>
    </row>
    <row r="578" spans="1:42" ht="14.85" customHeight="1" thickBot="1" x14ac:dyDescent="0.3">
      <c r="A578" s="610">
        <v>125</v>
      </c>
      <c r="B578" s="613">
        <f>VLOOKUP(A578,مسلسل,2,0)</f>
        <v>0</v>
      </c>
      <c r="C578" s="616" t="str">
        <f>IFERROR(VLOOKUP(B578,اسماء,2,0),"")</f>
        <v/>
      </c>
      <c r="D578" s="619" t="str">
        <f>IFERROR(VLOOKUP($B578,اسماء,3,0),"")</f>
        <v/>
      </c>
      <c r="E578" s="129" t="s">
        <v>30</v>
      </c>
      <c r="F578" s="600">
        <f>IFERROR(VLOOKUP($B578,اسماء,5,0),0)</f>
        <v>0</v>
      </c>
      <c r="G578" s="601"/>
      <c r="H578" s="602">
        <f>IFERROR(VLOOKUP($B578,اسماء,6,0),0)</f>
        <v>0</v>
      </c>
      <c r="I578" s="622"/>
      <c r="J578" s="600">
        <f>IFERROR(VLOOKUP($B578,اسماء,7,0),0)</f>
        <v>0</v>
      </c>
      <c r="K578" s="601"/>
      <c r="L578" s="602">
        <f>IFERROR(VLOOKUP($B578,اسماء,8,0),0)</f>
        <v>0</v>
      </c>
      <c r="M578" s="603"/>
      <c r="N578" s="602">
        <f>IFERROR(VLOOKUP($B578,اسماء,9,0),0)</f>
        <v>0</v>
      </c>
      <c r="O578" s="603"/>
      <c r="P578" s="600">
        <f>IFERROR(VLOOKUP($B578,اسماء,10,0),0)</f>
        <v>0</v>
      </c>
      <c r="Q578" s="622"/>
      <c r="R578" s="371">
        <f t="shared" ref="R578" si="1548">SUM(F578:Q578)</f>
        <v>0</v>
      </c>
      <c r="S578" s="213" t="str">
        <f>IFERROR(VLOOKUP($B578,اسماء,12,0),"")</f>
        <v/>
      </c>
      <c r="T578" s="214" t="str">
        <f>IFERROR(VLOOKUP($B578,اسماء,13,0),"")</f>
        <v/>
      </c>
      <c r="U578" s="364" t="str">
        <f>IFERROR(VLOOKUP($B578,اسماء,14,0),"")</f>
        <v/>
      </c>
      <c r="V578" s="604" t="str">
        <f t="shared" ref="V578" si="1549">IF(Z578="غائب","راسب",IF(R581&gt;0,"ناجح","مرحل"))</f>
        <v>مرحل</v>
      </c>
      <c r="W578" s="19" t="str">
        <f t="shared" ref="W578:W579" si="1550">LOOKUP(R578,$AC$6:$AD$10)</f>
        <v>ضعيف</v>
      </c>
      <c r="X578" s="639">
        <f t="shared" ref="X578" si="1551">R581/$AC$3</f>
        <v>0</v>
      </c>
      <c r="Y578" s="8"/>
      <c r="Z578" s="597" t="str">
        <f>IFERROR(VLOOKUP($B578,اسماء,48,0),"")</f>
        <v/>
      </c>
      <c r="AK578" s="667" t="str">
        <f t="shared" ref="AK578" si="1552">IF(R581=0,"",R581/1+ROW()*0.00001)</f>
        <v/>
      </c>
      <c r="AL578" s="667">
        <f>B578</f>
        <v>0</v>
      </c>
      <c r="AM578" s="696"/>
      <c r="AN578" s="698">
        <v>125</v>
      </c>
      <c r="AO578" s="699" t="str">
        <f>IFERROR(LARGE($AK$10:$AK$1420,AN578),"")</f>
        <v/>
      </c>
      <c r="AP578" s="698" t="str">
        <f>VLOOKUP(AO578,$AK$10:$AL$1530,2,0)</f>
        <v>امجد عمر عبداللطيف سلطان</v>
      </c>
    </row>
    <row r="579" spans="1:42" ht="14.85" customHeight="1" x14ac:dyDescent="0.25">
      <c r="A579" s="611"/>
      <c r="B579" s="614"/>
      <c r="C579" s="617"/>
      <c r="D579" s="620"/>
      <c r="E579" s="130" t="s">
        <v>31</v>
      </c>
      <c r="F579" s="592">
        <f>IFERROR(VLOOKUP($B578,اسماء,15,0),0)</f>
        <v>0</v>
      </c>
      <c r="G579" s="593"/>
      <c r="H579" s="594">
        <f>IFERROR(VLOOKUP($B578,اسماء,16,0),0)</f>
        <v>0</v>
      </c>
      <c r="I579" s="595"/>
      <c r="J579" s="592">
        <f>IFERROR(VLOOKUP($B578,اسماء,17,0),0)</f>
        <v>0</v>
      </c>
      <c r="K579" s="593"/>
      <c r="L579" s="594">
        <f>IFERROR(VLOOKUP($B578,اسماء,18,0),0)</f>
        <v>0</v>
      </c>
      <c r="M579" s="596"/>
      <c r="N579" s="594">
        <f>IFERROR(VLOOKUP($B578,اسماء,19,0),0)</f>
        <v>0</v>
      </c>
      <c r="O579" s="596"/>
      <c r="P579" s="592">
        <f>IFERROR(VLOOKUP($B578,اسماء,20,0),0)</f>
        <v>0</v>
      </c>
      <c r="Q579" s="595"/>
      <c r="R579" s="372">
        <f t="shared" si="1512"/>
        <v>0</v>
      </c>
      <c r="S579" s="305" t="str">
        <f>IFERROR(VLOOKUP($B578,اسماء,23,0),"")</f>
        <v/>
      </c>
      <c r="T579" s="306" t="str">
        <f>IFERROR(VLOOKUP($B578,اسماء,24,0),"")</f>
        <v/>
      </c>
      <c r="U579" s="122" t="str">
        <f>IFERROR(VLOOKUP($B578,اسماء,25,0),"")</f>
        <v/>
      </c>
      <c r="V579" s="605"/>
      <c r="W579" s="19" t="str">
        <f t="shared" si="1550"/>
        <v>ضعيف</v>
      </c>
      <c r="X579" s="640"/>
      <c r="Y579" s="68"/>
      <c r="Z579" s="598"/>
      <c r="AK579" s="667"/>
      <c r="AL579" s="667"/>
      <c r="AM579" s="696"/>
      <c r="AN579" s="698"/>
      <c r="AO579" s="699"/>
      <c r="AP579" s="698"/>
    </row>
    <row r="580" spans="1:42" ht="14.85" customHeight="1" x14ac:dyDescent="0.25">
      <c r="A580" s="611"/>
      <c r="B580" s="614"/>
      <c r="C580" s="617"/>
      <c r="D580" s="620"/>
      <c r="E580" s="130" t="s">
        <v>32</v>
      </c>
      <c r="F580" s="592">
        <f>IFERROR(VLOOKUP($B578,اسماء,25,0),0)</f>
        <v>0</v>
      </c>
      <c r="G580" s="593"/>
      <c r="H580" s="594">
        <f>IFERROR(VLOOKUP($B578,اسماء,26,0),0)</f>
        <v>0</v>
      </c>
      <c r="I580" s="595"/>
      <c r="J580" s="592">
        <f>IFERROR(VLOOKUP($B578,اسماء,27,0),0)</f>
        <v>0</v>
      </c>
      <c r="K580" s="593"/>
      <c r="L580" s="594">
        <f>IFERROR(VLOOKUP($B578,اسماء,28,0),0)</f>
        <v>0</v>
      </c>
      <c r="M580" s="596"/>
      <c r="N580" s="594">
        <f>IFERROR(VLOOKUP($B578,اسماء,29,0),0)</f>
        <v>0</v>
      </c>
      <c r="O580" s="596"/>
      <c r="P580" s="592">
        <f>IFERROR(VLOOKUP($B578,اسماء,30,0),0)</f>
        <v>0</v>
      </c>
      <c r="Q580" s="595"/>
      <c r="R580" s="372">
        <f t="shared" si="1512"/>
        <v>0</v>
      </c>
      <c r="S580" s="305" t="str">
        <f>IFERROR(VLOOKUP($B578,اسماء,34,0),"")</f>
        <v/>
      </c>
      <c r="T580" s="306" t="str">
        <f>IFERROR(VLOOKUP($B578,اسماء,35,0),"")</f>
        <v/>
      </c>
      <c r="U580" s="122" t="str">
        <f>IFERROR(VLOOKUP($B578,اسماء,36,0),"")</f>
        <v/>
      </c>
      <c r="V580" s="605"/>
      <c r="W580" s="20" t="str">
        <f t="shared" ref="W580" si="1553">LOOKUP(R580,$AF$6:$AG$10)</f>
        <v>ضعيف</v>
      </c>
      <c r="X580" s="640"/>
      <c r="Y580" s="68"/>
      <c r="Z580" s="598"/>
      <c r="AK580" s="667"/>
      <c r="AL580" s="667"/>
      <c r="AM580" s="696"/>
      <c r="AN580" s="698"/>
      <c r="AO580" s="699"/>
      <c r="AP580" s="698"/>
    </row>
    <row r="581" spans="1:42" ht="14.85" customHeight="1" thickBot="1" x14ac:dyDescent="0.3">
      <c r="A581" s="612"/>
      <c r="B581" s="615"/>
      <c r="C581" s="618"/>
      <c r="D581" s="621"/>
      <c r="E581" s="124" t="s">
        <v>33</v>
      </c>
      <c r="F581" s="623">
        <f t="shared" ref="F581" si="1554">SUM(F578:G580)</f>
        <v>0</v>
      </c>
      <c r="G581" s="624"/>
      <c r="H581" s="625">
        <f t="shared" ref="H581" si="1555">SUM(H578:I580)</f>
        <v>0</v>
      </c>
      <c r="I581" s="626"/>
      <c r="J581" s="623">
        <f t="shared" ref="J581" si="1556">SUM(J578:K580)</f>
        <v>0</v>
      </c>
      <c r="K581" s="624"/>
      <c r="L581" s="625">
        <f t="shared" ref="L581" si="1557">SUM(L578:M580)</f>
        <v>0</v>
      </c>
      <c r="M581" s="642"/>
      <c r="N581" s="625">
        <f t="shared" ref="N581" si="1558">SUM(N578:O580)</f>
        <v>0</v>
      </c>
      <c r="O581" s="642"/>
      <c r="P581" s="623">
        <f t="shared" ref="P581" si="1559">SUM(P578:Q580)</f>
        <v>0</v>
      </c>
      <c r="Q581" s="626"/>
      <c r="R581" s="88">
        <f t="shared" ref="R581" si="1560">IF(AND(F581&gt;=$G$8,H581&gt;=$I$8,J581&gt;=$K$8,L581&gt;=$M$8,N581&gt;=$O$8,P581&gt;=$Q$8),SUM(F581:Q581),0)</f>
        <v>0</v>
      </c>
      <c r="S581" s="251"/>
      <c r="T581" s="97"/>
      <c r="U581" s="94"/>
      <c r="V581" s="606"/>
      <c r="W581" s="88" t="str">
        <f t="shared" ref="W581" si="1561">LOOKUP(R581,$AI$6:$AJ$10)</f>
        <v>ضعيف</v>
      </c>
      <c r="X581" s="641"/>
      <c r="Y581" s="8"/>
      <c r="Z581" s="599"/>
      <c r="AK581" s="667"/>
      <c r="AL581" s="667"/>
      <c r="AM581" s="696"/>
      <c r="AN581" s="698"/>
      <c r="AO581" s="699"/>
      <c r="AP581" s="698"/>
    </row>
    <row r="582" spans="1:42" ht="14.85" customHeight="1" thickBot="1" x14ac:dyDescent="0.3">
      <c r="A582" s="610">
        <v>126</v>
      </c>
      <c r="B582" s="613">
        <f>VLOOKUP(A582,مسلسل,2,0)</f>
        <v>0</v>
      </c>
      <c r="C582" s="616" t="str">
        <f>IFERROR(VLOOKUP(B582,اسماء,2,0),"")</f>
        <v/>
      </c>
      <c r="D582" s="619" t="str">
        <f>IFERROR(VLOOKUP($B582,اسماء,3,0),"")</f>
        <v/>
      </c>
      <c r="E582" s="129" t="s">
        <v>30</v>
      </c>
      <c r="F582" s="600">
        <f>IFERROR(VLOOKUP($B582,اسماء,5,0),0)</f>
        <v>0</v>
      </c>
      <c r="G582" s="601"/>
      <c r="H582" s="602">
        <f>IFERROR(VLOOKUP($B582,اسماء,6,0),0)</f>
        <v>0</v>
      </c>
      <c r="I582" s="622"/>
      <c r="J582" s="600">
        <f>IFERROR(VLOOKUP($B582,اسماء,7,0),0)</f>
        <v>0</v>
      </c>
      <c r="K582" s="601"/>
      <c r="L582" s="602">
        <f>IFERROR(VLOOKUP($B582,اسماء,8,0),0)</f>
        <v>0</v>
      </c>
      <c r="M582" s="603"/>
      <c r="N582" s="602">
        <f>IFERROR(VLOOKUP($B582,اسماء,9,0),0)</f>
        <v>0</v>
      </c>
      <c r="O582" s="603"/>
      <c r="P582" s="600">
        <f>IFERROR(VLOOKUP($B582,اسماء,10,0),0)</f>
        <v>0</v>
      </c>
      <c r="Q582" s="622"/>
      <c r="R582" s="371">
        <f t="shared" ref="R582" si="1562">SUM(F582:Q582)</f>
        <v>0</v>
      </c>
      <c r="S582" s="213" t="str">
        <f>IFERROR(VLOOKUP($B582,اسماء,12,0),"")</f>
        <v/>
      </c>
      <c r="T582" s="214" t="str">
        <f>IFERROR(VLOOKUP($B582,اسماء,13,0),"")</f>
        <v/>
      </c>
      <c r="U582" s="364" t="str">
        <f>IFERROR(VLOOKUP($B582,اسماء,14,0),"")</f>
        <v/>
      </c>
      <c r="V582" s="604" t="str">
        <f t="shared" ref="V582" si="1563">IF(Z582="غائب","راسب",IF(R585&gt;0,"ناجح","مرحل"))</f>
        <v>مرحل</v>
      </c>
      <c r="W582" s="19" t="str">
        <f t="shared" ref="W582:W583" si="1564">LOOKUP(R582,$AC$6:$AD$10)</f>
        <v>ضعيف</v>
      </c>
      <c r="X582" s="639">
        <f t="shared" ref="X582" si="1565">R585/$AC$3</f>
        <v>0</v>
      </c>
      <c r="Y582" s="68"/>
      <c r="Z582" s="597" t="str">
        <f>IFERROR(VLOOKUP($B582,اسماء,48,0),"")</f>
        <v/>
      </c>
      <c r="AK582" s="667" t="str">
        <f t="shared" ref="AK582" si="1566">IF(R585=0,"",R585/1+ROW()*0.00001)</f>
        <v/>
      </c>
      <c r="AL582" s="667">
        <f>B582</f>
        <v>0</v>
      </c>
      <c r="AM582" s="696"/>
      <c r="AN582" s="698">
        <v>126</v>
      </c>
      <c r="AO582" s="699" t="str">
        <f>IFERROR(LARGE($AK$10:$AK$1420,AN582),"")</f>
        <v/>
      </c>
      <c r="AP582" s="698" t="str">
        <f>VLOOKUP(AO582,$AK$10:$AL$1530,2,0)</f>
        <v>امجد عمر عبداللطيف سلطان</v>
      </c>
    </row>
    <row r="583" spans="1:42" ht="14.85" customHeight="1" x14ac:dyDescent="0.25">
      <c r="A583" s="611"/>
      <c r="B583" s="614"/>
      <c r="C583" s="617"/>
      <c r="D583" s="620"/>
      <c r="E583" s="130" t="s">
        <v>31</v>
      </c>
      <c r="F583" s="592">
        <f>IFERROR(VLOOKUP($B582,اسماء,15,0),0)</f>
        <v>0</v>
      </c>
      <c r="G583" s="593"/>
      <c r="H583" s="594">
        <f>IFERROR(VLOOKUP($B582,اسماء,16,0),0)</f>
        <v>0</v>
      </c>
      <c r="I583" s="595"/>
      <c r="J583" s="592">
        <f>IFERROR(VLOOKUP($B582,اسماء,17,0),0)</f>
        <v>0</v>
      </c>
      <c r="K583" s="593"/>
      <c r="L583" s="594">
        <f>IFERROR(VLOOKUP($B582,اسماء,18,0),0)</f>
        <v>0</v>
      </c>
      <c r="M583" s="596"/>
      <c r="N583" s="594">
        <f>IFERROR(VLOOKUP($B582,اسماء,19,0),0)</f>
        <v>0</v>
      </c>
      <c r="O583" s="596"/>
      <c r="P583" s="592">
        <f>IFERROR(VLOOKUP($B582,اسماء,20,0),0)</f>
        <v>0</v>
      </c>
      <c r="Q583" s="595"/>
      <c r="R583" s="372">
        <f t="shared" si="1512"/>
        <v>0</v>
      </c>
      <c r="S583" s="305" t="str">
        <f>IFERROR(VLOOKUP($B582,اسماء,23,0),"")</f>
        <v/>
      </c>
      <c r="T583" s="306" t="str">
        <f>IFERROR(VLOOKUP($B582,اسماء,24,0),"")</f>
        <v/>
      </c>
      <c r="U583" s="122" t="str">
        <f>IFERROR(VLOOKUP($B582,اسماء,25,0),"")</f>
        <v/>
      </c>
      <c r="V583" s="605"/>
      <c r="W583" s="19" t="str">
        <f t="shared" si="1564"/>
        <v>ضعيف</v>
      </c>
      <c r="X583" s="640"/>
      <c r="Y583" s="68"/>
      <c r="Z583" s="598"/>
      <c r="AK583" s="667"/>
      <c r="AL583" s="667"/>
      <c r="AM583" s="696"/>
      <c r="AN583" s="698"/>
      <c r="AO583" s="699"/>
      <c r="AP583" s="698"/>
    </row>
    <row r="584" spans="1:42" ht="14.85" customHeight="1" x14ac:dyDescent="0.25">
      <c r="A584" s="611"/>
      <c r="B584" s="614"/>
      <c r="C584" s="617"/>
      <c r="D584" s="620"/>
      <c r="E584" s="130" t="s">
        <v>32</v>
      </c>
      <c r="F584" s="592">
        <f>IFERROR(VLOOKUP($B582,اسماء,25,0),0)</f>
        <v>0</v>
      </c>
      <c r="G584" s="593"/>
      <c r="H584" s="594">
        <f>IFERROR(VLOOKUP($B582,اسماء,26,0),0)</f>
        <v>0</v>
      </c>
      <c r="I584" s="595"/>
      <c r="J584" s="592">
        <f>IFERROR(VLOOKUP($B582,اسماء,27,0),0)</f>
        <v>0</v>
      </c>
      <c r="K584" s="593"/>
      <c r="L584" s="594">
        <f>IFERROR(VLOOKUP($B582,اسماء,28,0),0)</f>
        <v>0</v>
      </c>
      <c r="M584" s="596"/>
      <c r="N584" s="594">
        <f>IFERROR(VLOOKUP($B582,اسماء,29,0),0)</f>
        <v>0</v>
      </c>
      <c r="O584" s="596"/>
      <c r="P584" s="592">
        <f>IFERROR(VLOOKUP($B582,اسماء,30,0),0)</f>
        <v>0</v>
      </c>
      <c r="Q584" s="595"/>
      <c r="R584" s="372">
        <f t="shared" si="1512"/>
        <v>0</v>
      </c>
      <c r="S584" s="305" t="str">
        <f>IFERROR(VLOOKUP($B582,اسماء,34,0),"")</f>
        <v/>
      </c>
      <c r="T584" s="306" t="str">
        <f>IFERROR(VLOOKUP($B582,اسماء,35,0),"")</f>
        <v/>
      </c>
      <c r="U584" s="122" t="str">
        <f>IFERROR(VLOOKUP($B582,اسماء,36,0),"")</f>
        <v/>
      </c>
      <c r="V584" s="605"/>
      <c r="W584" s="20" t="str">
        <f t="shared" ref="W584" si="1567">LOOKUP(R584,$AF$6:$AG$10)</f>
        <v>ضعيف</v>
      </c>
      <c r="X584" s="640"/>
      <c r="Y584" s="8"/>
      <c r="Z584" s="598"/>
      <c r="AK584" s="667"/>
      <c r="AL584" s="667"/>
      <c r="AM584" s="696"/>
      <c r="AN584" s="698"/>
      <c r="AO584" s="699"/>
      <c r="AP584" s="698"/>
    </row>
    <row r="585" spans="1:42" ht="14.85" customHeight="1" thickBot="1" x14ac:dyDescent="0.3">
      <c r="A585" s="612"/>
      <c r="B585" s="615"/>
      <c r="C585" s="618"/>
      <c r="D585" s="621"/>
      <c r="E585" s="124" t="s">
        <v>33</v>
      </c>
      <c r="F585" s="623">
        <f t="shared" ref="F585" si="1568">SUM(F582:G584)</f>
        <v>0</v>
      </c>
      <c r="G585" s="624"/>
      <c r="H585" s="625">
        <f t="shared" ref="H585" si="1569">SUM(H582:I584)</f>
        <v>0</v>
      </c>
      <c r="I585" s="626"/>
      <c r="J585" s="623">
        <f t="shared" ref="J585" si="1570">SUM(J582:K584)</f>
        <v>0</v>
      </c>
      <c r="K585" s="624"/>
      <c r="L585" s="625">
        <f t="shared" ref="L585" si="1571">SUM(L582:M584)</f>
        <v>0</v>
      </c>
      <c r="M585" s="642"/>
      <c r="N585" s="625">
        <f t="shared" ref="N585" si="1572">SUM(N582:O584)</f>
        <v>0</v>
      </c>
      <c r="O585" s="642"/>
      <c r="P585" s="623">
        <f t="shared" ref="P585" si="1573">SUM(P582:Q584)</f>
        <v>0</v>
      </c>
      <c r="Q585" s="626"/>
      <c r="R585" s="88">
        <f t="shared" ref="R585" si="1574">IF(AND(F585&gt;=$G$8,H585&gt;=$I$8,J585&gt;=$K$8,L585&gt;=$M$8,N585&gt;=$O$8,P585&gt;=$Q$8),SUM(F585:Q585),0)</f>
        <v>0</v>
      </c>
      <c r="S585" s="251"/>
      <c r="T585" s="97"/>
      <c r="U585" s="94"/>
      <c r="V585" s="606"/>
      <c r="W585" s="88" t="str">
        <f t="shared" ref="W585" si="1575">LOOKUP(R585,$AI$6:$AJ$10)</f>
        <v>ضعيف</v>
      </c>
      <c r="X585" s="641"/>
      <c r="Y585" s="68"/>
      <c r="Z585" s="599"/>
      <c r="AK585" s="667"/>
      <c r="AL585" s="667"/>
      <c r="AM585" s="696"/>
      <c r="AN585" s="698"/>
      <c r="AO585" s="699"/>
      <c r="AP585" s="698"/>
    </row>
    <row r="586" spans="1:42" ht="14.85" customHeight="1" thickBot="1" x14ac:dyDescent="0.3">
      <c r="A586" s="610">
        <v>127</v>
      </c>
      <c r="B586" s="613">
        <f>VLOOKUP(A586,مسلسل,2,0)</f>
        <v>0</v>
      </c>
      <c r="C586" s="616" t="str">
        <f>IFERROR(VLOOKUP(B586,اسماء,2,0),"")</f>
        <v/>
      </c>
      <c r="D586" s="619" t="str">
        <f>IFERROR(VLOOKUP($B586,اسماء,3,0),"")</f>
        <v/>
      </c>
      <c r="E586" s="129" t="s">
        <v>30</v>
      </c>
      <c r="F586" s="600">
        <f>IFERROR(VLOOKUP($B586,اسماء,5,0),0)</f>
        <v>0</v>
      </c>
      <c r="G586" s="601"/>
      <c r="H586" s="602">
        <f>IFERROR(VLOOKUP($B586,اسماء,6,0),0)</f>
        <v>0</v>
      </c>
      <c r="I586" s="622"/>
      <c r="J586" s="600">
        <f>IFERROR(VLOOKUP($B586,اسماء,7,0),0)</f>
        <v>0</v>
      </c>
      <c r="K586" s="601"/>
      <c r="L586" s="602">
        <f>IFERROR(VLOOKUP($B586,اسماء,8,0),0)</f>
        <v>0</v>
      </c>
      <c r="M586" s="603"/>
      <c r="N586" s="602">
        <f>IFERROR(VLOOKUP($B586,اسماء,9,0),0)</f>
        <v>0</v>
      </c>
      <c r="O586" s="603"/>
      <c r="P586" s="600">
        <f>IFERROR(VLOOKUP($B586,اسماء,10,0),0)</f>
        <v>0</v>
      </c>
      <c r="Q586" s="622"/>
      <c r="R586" s="371">
        <f t="shared" ref="R586" si="1576">SUM(F586:Q586)</f>
        <v>0</v>
      </c>
      <c r="S586" s="213" t="str">
        <f>IFERROR(VLOOKUP($B586,اسماء,12,0),"")</f>
        <v/>
      </c>
      <c r="T586" s="214" t="str">
        <f>IFERROR(VLOOKUP($B586,اسماء,13,0),"")</f>
        <v/>
      </c>
      <c r="U586" s="364" t="str">
        <f>IFERROR(VLOOKUP($B586,اسماء,14,0),"")</f>
        <v/>
      </c>
      <c r="V586" s="604" t="str">
        <f t="shared" ref="V586" si="1577">IF(Z586="غائب","راسب",IF(R589&gt;0,"ناجح","مرحل"))</f>
        <v>مرحل</v>
      </c>
      <c r="W586" s="19" t="str">
        <f t="shared" ref="W586:W587" si="1578">LOOKUP(R586,$AC$6:$AD$10)</f>
        <v>ضعيف</v>
      </c>
      <c r="X586" s="639">
        <f t="shared" ref="X586" si="1579">R589/$AC$3</f>
        <v>0</v>
      </c>
      <c r="Y586" s="68"/>
      <c r="Z586" s="597" t="str">
        <f>IFERROR(VLOOKUP($B586,اسماء,48,0),"")</f>
        <v/>
      </c>
      <c r="AK586" s="667" t="str">
        <f t="shared" ref="AK586" si="1580">IF(R589=0,"",R589/1+ROW()*0.00001)</f>
        <v/>
      </c>
      <c r="AL586" s="667">
        <f>B586</f>
        <v>0</v>
      </c>
      <c r="AM586" s="696"/>
      <c r="AN586" s="698">
        <v>127</v>
      </c>
      <c r="AO586" s="699" t="str">
        <f>IFERROR(LARGE($AK$10:$AK$1420,AN586),"")</f>
        <v/>
      </c>
      <c r="AP586" s="698" t="str">
        <f>VLOOKUP(AO586,$AK$10:$AL$1530,2,0)</f>
        <v>امجد عمر عبداللطيف سلطان</v>
      </c>
    </row>
    <row r="587" spans="1:42" ht="14.85" customHeight="1" x14ac:dyDescent="0.25">
      <c r="A587" s="611"/>
      <c r="B587" s="614"/>
      <c r="C587" s="617"/>
      <c r="D587" s="620"/>
      <c r="E587" s="130" t="s">
        <v>31</v>
      </c>
      <c r="F587" s="592">
        <f>IFERROR(VLOOKUP($B586,اسماء,15,0),0)</f>
        <v>0</v>
      </c>
      <c r="G587" s="593"/>
      <c r="H587" s="594">
        <f>IFERROR(VLOOKUP($B586,اسماء,16,0),0)</f>
        <v>0</v>
      </c>
      <c r="I587" s="595"/>
      <c r="J587" s="592">
        <f>IFERROR(VLOOKUP($B586,اسماء,17,0),0)</f>
        <v>0</v>
      </c>
      <c r="K587" s="593"/>
      <c r="L587" s="594">
        <f>IFERROR(VLOOKUP($B586,اسماء,18,0),0)</f>
        <v>0</v>
      </c>
      <c r="M587" s="596"/>
      <c r="N587" s="594">
        <f>IFERROR(VLOOKUP($B586,اسماء,19,0),0)</f>
        <v>0</v>
      </c>
      <c r="O587" s="596"/>
      <c r="P587" s="592">
        <f>IFERROR(VLOOKUP($B586,اسماء,20,0),0)</f>
        <v>0</v>
      </c>
      <c r="Q587" s="595"/>
      <c r="R587" s="372">
        <f t="shared" si="1512"/>
        <v>0</v>
      </c>
      <c r="S587" s="305" t="str">
        <f>IFERROR(VLOOKUP($B586,اسماء,23,0),"")</f>
        <v/>
      </c>
      <c r="T587" s="306" t="str">
        <f>IFERROR(VLOOKUP($B586,اسماء,24,0),"")</f>
        <v/>
      </c>
      <c r="U587" s="122" t="str">
        <f>IFERROR(VLOOKUP($B586,اسماء,25,0),"")</f>
        <v/>
      </c>
      <c r="V587" s="605"/>
      <c r="W587" s="19" t="str">
        <f t="shared" si="1578"/>
        <v>ضعيف</v>
      </c>
      <c r="X587" s="640"/>
      <c r="Y587" s="8"/>
      <c r="Z587" s="598"/>
      <c r="AK587" s="667"/>
      <c r="AL587" s="667"/>
      <c r="AM587" s="696"/>
      <c r="AN587" s="698"/>
      <c r="AO587" s="699"/>
      <c r="AP587" s="698"/>
    </row>
    <row r="588" spans="1:42" ht="14.85" customHeight="1" x14ac:dyDescent="0.25">
      <c r="A588" s="611"/>
      <c r="B588" s="614"/>
      <c r="C588" s="617"/>
      <c r="D588" s="620"/>
      <c r="E588" s="130" t="s">
        <v>32</v>
      </c>
      <c r="F588" s="592">
        <f>IFERROR(VLOOKUP($B586,اسماء,25,0),0)</f>
        <v>0</v>
      </c>
      <c r="G588" s="593"/>
      <c r="H588" s="594">
        <f>IFERROR(VLOOKUP($B586,اسماء,26,0),0)</f>
        <v>0</v>
      </c>
      <c r="I588" s="595"/>
      <c r="J588" s="592">
        <f>IFERROR(VLOOKUP($B586,اسماء,27,0),0)</f>
        <v>0</v>
      </c>
      <c r="K588" s="593"/>
      <c r="L588" s="594">
        <f>IFERROR(VLOOKUP($B586,اسماء,28,0),0)</f>
        <v>0</v>
      </c>
      <c r="M588" s="596"/>
      <c r="N588" s="594">
        <f>IFERROR(VLOOKUP($B586,اسماء,29,0),0)</f>
        <v>0</v>
      </c>
      <c r="O588" s="596"/>
      <c r="P588" s="592">
        <f>IFERROR(VLOOKUP($B586,اسماء,30,0),0)</f>
        <v>0</v>
      </c>
      <c r="Q588" s="595"/>
      <c r="R588" s="372">
        <f t="shared" si="1512"/>
        <v>0</v>
      </c>
      <c r="S588" s="305" t="str">
        <f>IFERROR(VLOOKUP($B586,اسماء,34,0),"")</f>
        <v/>
      </c>
      <c r="T588" s="306" t="str">
        <f>IFERROR(VLOOKUP($B586,اسماء,35,0),"")</f>
        <v/>
      </c>
      <c r="U588" s="122" t="str">
        <f>IFERROR(VLOOKUP($B586,اسماء,36,0),"")</f>
        <v/>
      </c>
      <c r="V588" s="605"/>
      <c r="W588" s="20" t="str">
        <f t="shared" ref="W588" si="1581">LOOKUP(R588,$AF$6:$AG$10)</f>
        <v>ضعيف</v>
      </c>
      <c r="X588" s="640"/>
      <c r="Y588" s="68"/>
      <c r="Z588" s="598"/>
      <c r="AK588" s="667"/>
      <c r="AL588" s="667"/>
      <c r="AM588" s="696"/>
      <c r="AN588" s="698"/>
      <c r="AO588" s="699"/>
      <c r="AP588" s="698"/>
    </row>
    <row r="589" spans="1:42" ht="14.85" customHeight="1" thickBot="1" x14ac:dyDescent="0.3">
      <c r="A589" s="612"/>
      <c r="B589" s="615"/>
      <c r="C589" s="618"/>
      <c r="D589" s="621"/>
      <c r="E589" s="124" t="s">
        <v>33</v>
      </c>
      <c r="F589" s="623">
        <f t="shared" ref="F589" si="1582">SUM(F586:G588)</f>
        <v>0</v>
      </c>
      <c r="G589" s="624"/>
      <c r="H589" s="625">
        <f t="shared" ref="H589" si="1583">SUM(H586:I588)</f>
        <v>0</v>
      </c>
      <c r="I589" s="626"/>
      <c r="J589" s="623">
        <f t="shared" ref="J589" si="1584">SUM(J586:K588)</f>
        <v>0</v>
      </c>
      <c r="K589" s="624"/>
      <c r="L589" s="625">
        <f t="shared" ref="L589" si="1585">SUM(L586:M588)</f>
        <v>0</v>
      </c>
      <c r="M589" s="642"/>
      <c r="N589" s="625">
        <f t="shared" ref="N589" si="1586">SUM(N586:O588)</f>
        <v>0</v>
      </c>
      <c r="O589" s="642"/>
      <c r="P589" s="623">
        <f t="shared" ref="P589" si="1587">SUM(P586:Q588)</f>
        <v>0</v>
      </c>
      <c r="Q589" s="626"/>
      <c r="R589" s="88">
        <f t="shared" ref="R589" si="1588">IF(AND(F589&gt;=$G$8,H589&gt;=$I$8,J589&gt;=$K$8,L589&gt;=$M$8,N589&gt;=$O$8,P589&gt;=$Q$8),SUM(F589:Q589),0)</f>
        <v>0</v>
      </c>
      <c r="S589" s="251"/>
      <c r="T589" s="97"/>
      <c r="U589" s="94"/>
      <c r="V589" s="606"/>
      <c r="W589" s="88" t="str">
        <f t="shared" ref="W589" si="1589">LOOKUP(R589,$AI$6:$AJ$10)</f>
        <v>ضعيف</v>
      </c>
      <c r="X589" s="641"/>
      <c r="Y589" s="68"/>
      <c r="Z589" s="599"/>
      <c r="AK589" s="667"/>
      <c r="AL589" s="667"/>
      <c r="AM589" s="696"/>
      <c r="AN589" s="698"/>
      <c r="AO589" s="699"/>
      <c r="AP589" s="698"/>
    </row>
    <row r="590" spans="1:42" ht="14.85" customHeight="1" thickBot="1" x14ac:dyDescent="0.3">
      <c r="A590" s="610">
        <v>128</v>
      </c>
      <c r="B590" s="613">
        <f>VLOOKUP(A590,مسلسل,2,0)</f>
        <v>0</v>
      </c>
      <c r="C590" s="616" t="str">
        <f>IFERROR(VLOOKUP(B590,اسماء,2,0),"")</f>
        <v/>
      </c>
      <c r="D590" s="619" t="str">
        <f>IFERROR(VLOOKUP($B590,اسماء,3,0),"")</f>
        <v/>
      </c>
      <c r="E590" s="129" t="s">
        <v>30</v>
      </c>
      <c r="F590" s="600">
        <f>IFERROR(VLOOKUP($B590,اسماء,5,0),0)</f>
        <v>0</v>
      </c>
      <c r="G590" s="601"/>
      <c r="H590" s="602">
        <f>IFERROR(VLOOKUP($B590,اسماء,6,0),0)</f>
        <v>0</v>
      </c>
      <c r="I590" s="622"/>
      <c r="J590" s="600">
        <f>IFERROR(VLOOKUP($B590,اسماء,7,0),0)</f>
        <v>0</v>
      </c>
      <c r="K590" s="601"/>
      <c r="L590" s="602">
        <f>IFERROR(VLOOKUP($B590,اسماء,8,0),0)</f>
        <v>0</v>
      </c>
      <c r="M590" s="603"/>
      <c r="N590" s="602">
        <f>IFERROR(VLOOKUP($B590,اسماء,9,0),0)</f>
        <v>0</v>
      </c>
      <c r="O590" s="603"/>
      <c r="P590" s="600">
        <f>IFERROR(VLOOKUP($B590,اسماء,10,0),0)</f>
        <v>0</v>
      </c>
      <c r="Q590" s="622"/>
      <c r="R590" s="371">
        <f t="shared" ref="R590" si="1590">SUM(F590:Q590)</f>
        <v>0</v>
      </c>
      <c r="S590" s="213" t="str">
        <f>IFERROR(VLOOKUP($B590,اسماء,12,0),"")</f>
        <v/>
      </c>
      <c r="T590" s="214" t="str">
        <f>IFERROR(VLOOKUP($B590,اسماء,13,0),"")</f>
        <v/>
      </c>
      <c r="U590" s="364" t="str">
        <f>IFERROR(VLOOKUP($B590,اسماء,14,0),"")</f>
        <v/>
      </c>
      <c r="V590" s="604" t="str">
        <f t="shared" ref="V590" si="1591">IF(Z590="غائب","راسب",IF(R593&gt;0,"ناجح","مرحل"))</f>
        <v>مرحل</v>
      </c>
      <c r="W590" s="19" t="str">
        <f t="shared" ref="W590:W591" si="1592">LOOKUP(R590,$AC$6:$AD$10)</f>
        <v>ضعيف</v>
      </c>
      <c r="X590" s="639">
        <f t="shared" ref="X590" si="1593">R593/$AC$3</f>
        <v>0</v>
      </c>
      <c r="Y590" s="8"/>
      <c r="Z590" s="597" t="str">
        <f>IFERROR(VLOOKUP($B590,اسماء,48,0),"")</f>
        <v/>
      </c>
      <c r="AK590" s="667" t="str">
        <f t="shared" ref="AK590" si="1594">IF(R593=0,"",R593/1+ROW()*0.00001)</f>
        <v/>
      </c>
      <c r="AL590" s="667">
        <f>B590</f>
        <v>0</v>
      </c>
      <c r="AM590" s="696"/>
      <c r="AN590" s="698">
        <v>128</v>
      </c>
      <c r="AO590" s="699" t="str">
        <f>IFERROR(LARGE($AK$10:$AK$1420,AN590),"")</f>
        <v/>
      </c>
      <c r="AP590" s="698" t="str">
        <f>VLOOKUP(AO590,$AK$10:$AL$1530,2,0)</f>
        <v>امجد عمر عبداللطيف سلطان</v>
      </c>
    </row>
    <row r="591" spans="1:42" ht="14.85" customHeight="1" x14ac:dyDescent="0.25">
      <c r="A591" s="611"/>
      <c r="B591" s="614"/>
      <c r="C591" s="617"/>
      <c r="D591" s="620"/>
      <c r="E591" s="130" t="s">
        <v>31</v>
      </c>
      <c r="F591" s="592">
        <f>IFERROR(VLOOKUP($B590,اسماء,15,0),0)</f>
        <v>0</v>
      </c>
      <c r="G591" s="593"/>
      <c r="H591" s="594">
        <f>IFERROR(VLOOKUP($B590,اسماء,16,0),0)</f>
        <v>0</v>
      </c>
      <c r="I591" s="595"/>
      <c r="J591" s="592">
        <f>IFERROR(VLOOKUP($B590,اسماء,17,0),0)</f>
        <v>0</v>
      </c>
      <c r="K591" s="593"/>
      <c r="L591" s="594">
        <f>IFERROR(VLOOKUP($B590,اسماء,18,0),0)</f>
        <v>0</v>
      </c>
      <c r="M591" s="596"/>
      <c r="N591" s="594">
        <f>IFERROR(VLOOKUP($B590,اسماء,19,0),0)</f>
        <v>0</v>
      </c>
      <c r="O591" s="596"/>
      <c r="P591" s="592">
        <f>IFERROR(VLOOKUP($B590,اسماء,20,0),0)</f>
        <v>0</v>
      </c>
      <c r="Q591" s="595"/>
      <c r="R591" s="372">
        <f t="shared" si="1512"/>
        <v>0</v>
      </c>
      <c r="S591" s="305" t="str">
        <f>IFERROR(VLOOKUP($B590,اسماء,23,0),"")</f>
        <v/>
      </c>
      <c r="T591" s="306" t="str">
        <f>IFERROR(VLOOKUP($B590,اسماء,24,0),"")</f>
        <v/>
      </c>
      <c r="U591" s="122" t="str">
        <f>IFERROR(VLOOKUP($B590,اسماء,25,0),"")</f>
        <v/>
      </c>
      <c r="V591" s="605"/>
      <c r="W591" s="19" t="str">
        <f t="shared" si="1592"/>
        <v>ضعيف</v>
      </c>
      <c r="X591" s="640"/>
      <c r="Y591" s="68"/>
      <c r="Z591" s="598"/>
      <c r="AK591" s="667"/>
      <c r="AL591" s="667"/>
      <c r="AM591" s="696"/>
      <c r="AN591" s="698"/>
      <c r="AO591" s="699"/>
      <c r="AP591" s="698"/>
    </row>
    <row r="592" spans="1:42" ht="14.85" customHeight="1" x14ac:dyDescent="0.25">
      <c r="A592" s="611"/>
      <c r="B592" s="614"/>
      <c r="C592" s="617"/>
      <c r="D592" s="620"/>
      <c r="E592" s="130" t="s">
        <v>32</v>
      </c>
      <c r="F592" s="592">
        <f>IFERROR(VLOOKUP($B590,اسماء,25,0),0)</f>
        <v>0</v>
      </c>
      <c r="G592" s="593"/>
      <c r="H592" s="594">
        <f>IFERROR(VLOOKUP($B590,اسماء,26,0),0)</f>
        <v>0</v>
      </c>
      <c r="I592" s="595"/>
      <c r="J592" s="592">
        <f>IFERROR(VLOOKUP($B590,اسماء,27,0),0)</f>
        <v>0</v>
      </c>
      <c r="K592" s="593"/>
      <c r="L592" s="594">
        <f>IFERROR(VLOOKUP($B590,اسماء,28,0),0)</f>
        <v>0</v>
      </c>
      <c r="M592" s="596"/>
      <c r="N592" s="594">
        <f>IFERROR(VLOOKUP($B590,اسماء,29,0),0)</f>
        <v>0</v>
      </c>
      <c r="O592" s="596"/>
      <c r="P592" s="592">
        <f>IFERROR(VLOOKUP($B590,اسماء,30,0),0)</f>
        <v>0</v>
      </c>
      <c r="Q592" s="595"/>
      <c r="R592" s="372">
        <f t="shared" si="1512"/>
        <v>0</v>
      </c>
      <c r="S592" s="305" t="str">
        <f>IFERROR(VLOOKUP($B590,اسماء,34,0),"")</f>
        <v/>
      </c>
      <c r="T592" s="306" t="str">
        <f>IFERROR(VLOOKUP($B590,اسماء,35,0),"")</f>
        <v/>
      </c>
      <c r="U592" s="122" t="str">
        <f>IFERROR(VLOOKUP($B590,اسماء,36,0),"")</f>
        <v/>
      </c>
      <c r="V592" s="605"/>
      <c r="W592" s="20" t="str">
        <f t="shared" ref="W592" si="1595">LOOKUP(R592,$AF$6:$AG$10)</f>
        <v>ضعيف</v>
      </c>
      <c r="X592" s="640"/>
      <c r="Y592" s="68"/>
      <c r="Z592" s="598"/>
      <c r="AK592" s="667"/>
      <c r="AL592" s="667"/>
      <c r="AM592" s="696"/>
      <c r="AN592" s="698"/>
      <c r="AO592" s="699"/>
      <c r="AP592" s="698"/>
    </row>
    <row r="593" spans="1:42" ht="14.85" customHeight="1" thickBot="1" x14ac:dyDescent="0.3">
      <c r="A593" s="612"/>
      <c r="B593" s="615"/>
      <c r="C593" s="618"/>
      <c r="D593" s="621"/>
      <c r="E593" s="124" t="s">
        <v>33</v>
      </c>
      <c r="F593" s="623">
        <f t="shared" ref="F593" si="1596">SUM(F590:G592)</f>
        <v>0</v>
      </c>
      <c r="G593" s="624"/>
      <c r="H593" s="625">
        <f t="shared" ref="H593" si="1597">SUM(H590:I592)</f>
        <v>0</v>
      </c>
      <c r="I593" s="626"/>
      <c r="J593" s="623">
        <f t="shared" ref="J593" si="1598">SUM(J590:K592)</f>
        <v>0</v>
      </c>
      <c r="K593" s="624"/>
      <c r="L593" s="625">
        <f t="shared" ref="L593" si="1599">SUM(L590:M592)</f>
        <v>0</v>
      </c>
      <c r="M593" s="642"/>
      <c r="N593" s="625">
        <f t="shared" ref="N593" si="1600">SUM(N590:O592)</f>
        <v>0</v>
      </c>
      <c r="O593" s="642"/>
      <c r="P593" s="623">
        <f t="shared" ref="P593" si="1601">SUM(P590:Q592)</f>
        <v>0</v>
      </c>
      <c r="Q593" s="626"/>
      <c r="R593" s="88">
        <f t="shared" ref="R593" si="1602">IF(AND(F593&gt;=$G$8,H593&gt;=$I$8,J593&gt;=$K$8,L593&gt;=$M$8,N593&gt;=$O$8,P593&gt;=$Q$8),SUM(F593:Q593),0)</f>
        <v>0</v>
      </c>
      <c r="S593" s="251"/>
      <c r="T593" s="97"/>
      <c r="U593" s="94"/>
      <c r="V593" s="606"/>
      <c r="W593" s="88" t="str">
        <f t="shared" ref="W593" si="1603">LOOKUP(R593,$AI$6:$AJ$10)</f>
        <v>ضعيف</v>
      </c>
      <c r="X593" s="641"/>
      <c r="Y593" s="8"/>
      <c r="Z593" s="599"/>
      <c r="AK593" s="667"/>
      <c r="AL593" s="667"/>
      <c r="AM593" s="696"/>
      <c r="AN593" s="698"/>
      <c r="AO593" s="699"/>
      <c r="AP593" s="698"/>
    </row>
    <row r="594" spans="1:42" ht="14.85" customHeight="1" thickBot="1" x14ac:dyDescent="0.3">
      <c r="A594" s="610">
        <v>129</v>
      </c>
      <c r="B594" s="613">
        <f>VLOOKUP(A594,مسلسل,2,0)</f>
        <v>0</v>
      </c>
      <c r="C594" s="616" t="str">
        <f>IFERROR(VLOOKUP(B594,اسماء,2,0),"")</f>
        <v/>
      </c>
      <c r="D594" s="619" t="str">
        <f>IFERROR(VLOOKUP($B594,اسماء,3,0),"")</f>
        <v/>
      </c>
      <c r="E594" s="129" t="s">
        <v>30</v>
      </c>
      <c r="F594" s="600">
        <f>IFERROR(VLOOKUP($B594,اسماء,5,0),0)</f>
        <v>0</v>
      </c>
      <c r="G594" s="601"/>
      <c r="H594" s="602">
        <f>IFERROR(VLOOKUP($B594,اسماء,6,0),0)</f>
        <v>0</v>
      </c>
      <c r="I594" s="622"/>
      <c r="J594" s="600">
        <f>IFERROR(VLOOKUP($B594,اسماء,7,0),0)</f>
        <v>0</v>
      </c>
      <c r="K594" s="601"/>
      <c r="L594" s="602">
        <f>IFERROR(VLOOKUP($B594,اسماء,8,0),0)</f>
        <v>0</v>
      </c>
      <c r="M594" s="603"/>
      <c r="N594" s="602">
        <f>IFERROR(VLOOKUP($B594,اسماء,9,0),0)</f>
        <v>0</v>
      </c>
      <c r="O594" s="603"/>
      <c r="P594" s="600">
        <f>IFERROR(VLOOKUP($B594,اسماء,10,0),0)</f>
        <v>0</v>
      </c>
      <c r="Q594" s="622"/>
      <c r="R594" s="371">
        <f t="shared" ref="R594" si="1604">SUM(F594:Q594)</f>
        <v>0</v>
      </c>
      <c r="S594" s="213" t="str">
        <f>IFERROR(VLOOKUP($B594,اسماء,12,0),"")</f>
        <v/>
      </c>
      <c r="T594" s="214" t="str">
        <f>IFERROR(VLOOKUP($B594,اسماء,13,0),"")</f>
        <v/>
      </c>
      <c r="U594" s="364" t="str">
        <f>IFERROR(VLOOKUP($B594,اسماء,14,0),"")</f>
        <v/>
      </c>
      <c r="V594" s="604" t="str">
        <f t="shared" ref="V594" si="1605">IF(Z594="غائب","راسب",IF(R597&gt;0,"ناجح","مرحل"))</f>
        <v>مرحل</v>
      </c>
      <c r="W594" s="19" t="str">
        <f t="shared" ref="W594:W595" si="1606">LOOKUP(R594,$AC$6:$AD$10)</f>
        <v>ضعيف</v>
      </c>
      <c r="X594" s="639">
        <f t="shared" ref="X594" si="1607">R597/$AC$3</f>
        <v>0</v>
      </c>
      <c r="Y594" s="68"/>
      <c r="Z594" s="597" t="str">
        <f>IFERROR(VLOOKUP($B594,اسماء,48,0),"")</f>
        <v/>
      </c>
      <c r="AK594" s="667" t="str">
        <f t="shared" ref="AK594" si="1608">IF(R597=0,"",R597/1+ROW()*0.00001)</f>
        <v/>
      </c>
      <c r="AL594" s="667">
        <f>B594</f>
        <v>0</v>
      </c>
      <c r="AM594" s="696"/>
      <c r="AN594" s="698">
        <v>129</v>
      </c>
      <c r="AO594" s="699" t="str">
        <f>IFERROR(LARGE($AK$10:$AK$1420,AN594),"")</f>
        <v/>
      </c>
      <c r="AP594" s="698" t="str">
        <f>VLOOKUP(AO594,$AK$10:$AL$1530,2,0)</f>
        <v>امجد عمر عبداللطيف سلطان</v>
      </c>
    </row>
    <row r="595" spans="1:42" ht="14.85" customHeight="1" x14ac:dyDescent="0.25">
      <c r="A595" s="611"/>
      <c r="B595" s="614"/>
      <c r="C595" s="617"/>
      <c r="D595" s="620"/>
      <c r="E595" s="130" t="s">
        <v>31</v>
      </c>
      <c r="F595" s="592">
        <f>IFERROR(VLOOKUP($B594,اسماء,15,0),0)</f>
        <v>0</v>
      </c>
      <c r="G595" s="593"/>
      <c r="H595" s="594">
        <f>IFERROR(VLOOKUP($B594,اسماء,16,0),0)</f>
        <v>0</v>
      </c>
      <c r="I595" s="595"/>
      <c r="J595" s="592">
        <f>IFERROR(VLOOKUP($B594,اسماء,17,0),0)</f>
        <v>0</v>
      </c>
      <c r="K595" s="593"/>
      <c r="L595" s="594">
        <f>IFERROR(VLOOKUP($B594,اسماء,18,0),0)</f>
        <v>0</v>
      </c>
      <c r="M595" s="596"/>
      <c r="N595" s="594">
        <f>IFERROR(VLOOKUP($B594,اسماء,19,0),0)</f>
        <v>0</v>
      </c>
      <c r="O595" s="596"/>
      <c r="P595" s="592">
        <f>IFERROR(VLOOKUP($B594,اسماء,20,0),0)</f>
        <v>0</v>
      </c>
      <c r="Q595" s="595"/>
      <c r="R595" s="372">
        <f t="shared" si="1512"/>
        <v>0</v>
      </c>
      <c r="S595" s="305" t="str">
        <f>IFERROR(VLOOKUP($B594,اسماء,23,0),"")</f>
        <v/>
      </c>
      <c r="T595" s="306" t="str">
        <f>IFERROR(VLOOKUP($B594,اسماء,24,0),"")</f>
        <v/>
      </c>
      <c r="U595" s="122" t="str">
        <f>IFERROR(VLOOKUP($B594,اسماء,25,0),"")</f>
        <v/>
      </c>
      <c r="V595" s="605"/>
      <c r="W595" s="19" t="str">
        <f t="shared" si="1606"/>
        <v>ضعيف</v>
      </c>
      <c r="X595" s="640"/>
      <c r="Y595" s="68"/>
      <c r="Z595" s="598"/>
      <c r="AK595" s="667"/>
      <c r="AL595" s="667"/>
      <c r="AM595" s="696"/>
      <c r="AN595" s="698"/>
      <c r="AO595" s="699"/>
      <c r="AP595" s="698"/>
    </row>
    <row r="596" spans="1:42" ht="14.85" customHeight="1" x14ac:dyDescent="0.25">
      <c r="A596" s="611"/>
      <c r="B596" s="614"/>
      <c r="C596" s="617"/>
      <c r="D596" s="620"/>
      <c r="E596" s="130" t="s">
        <v>32</v>
      </c>
      <c r="F596" s="592">
        <f>IFERROR(VLOOKUP($B594,اسماء,25,0),0)</f>
        <v>0</v>
      </c>
      <c r="G596" s="593"/>
      <c r="H596" s="594">
        <f>IFERROR(VLOOKUP($B594,اسماء,26,0),0)</f>
        <v>0</v>
      </c>
      <c r="I596" s="595"/>
      <c r="J596" s="592">
        <f>IFERROR(VLOOKUP($B594,اسماء,27,0),0)</f>
        <v>0</v>
      </c>
      <c r="K596" s="593"/>
      <c r="L596" s="594">
        <f>IFERROR(VLOOKUP($B594,اسماء,28,0),0)</f>
        <v>0</v>
      </c>
      <c r="M596" s="596"/>
      <c r="N596" s="594">
        <f>IFERROR(VLOOKUP($B594,اسماء,29,0),0)</f>
        <v>0</v>
      </c>
      <c r="O596" s="596"/>
      <c r="P596" s="592">
        <f>IFERROR(VLOOKUP($B594,اسماء,30,0),0)</f>
        <v>0</v>
      </c>
      <c r="Q596" s="595"/>
      <c r="R596" s="372">
        <f t="shared" si="1512"/>
        <v>0</v>
      </c>
      <c r="S596" s="305" t="str">
        <f>IFERROR(VLOOKUP($B594,اسماء,34,0),"")</f>
        <v/>
      </c>
      <c r="T596" s="306" t="str">
        <f>IFERROR(VLOOKUP($B594,اسماء,35,0),"")</f>
        <v/>
      </c>
      <c r="U596" s="122" t="str">
        <f>IFERROR(VLOOKUP($B594,اسماء,36,0),"")</f>
        <v/>
      </c>
      <c r="V596" s="605"/>
      <c r="W596" s="20" t="str">
        <f t="shared" ref="W596" si="1609">LOOKUP(R596,$AF$6:$AG$10)</f>
        <v>ضعيف</v>
      </c>
      <c r="X596" s="640"/>
      <c r="Y596" s="8"/>
      <c r="Z596" s="598"/>
      <c r="AK596" s="667"/>
      <c r="AL596" s="667"/>
      <c r="AM596" s="696"/>
      <c r="AN596" s="698"/>
      <c r="AO596" s="699"/>
      <c r="AP596" s="698"/>
    </row>
    <row r="597" spans="1:42" ht="14.85" customHeight="1" thickBot="1" x14ac:dyDescent="0.3">
      <c r="A597" s="612"/>
      <c r="B597" s="615"/>
      <c r="C597" s="618"/>
      <c r="D597" s="621"/>
      <c r="E597" s="124" t="s">
        <v>33</v>
      </c>
      <c r="F597" s="623">
        <f t="shared" ref="F597" si="1610">SUM(F594:G596)</f>
        <v>0</v>
      </c>
      <c r="G597" s="624"/>
      <c r="H597" s="625">
        <f t="shared" ref="H597" si="1611">SUM(H594:I596)</f>
        <v>0</v>
      </c>
      <c r="I597" s="626"/>
      <c r="J597" s="623">
        <f t="shared" ref="J597" si="1612">SUM(J594:K596)</f>
        <v>0</v>
      </c>
      <c r="K597" s="624"/>
      <c r="L597" s="625">
        <f t="shared" ref="L597" si="1613">SUM(L594:M596)</f>
        <v>0</v>
      </c>
      <c r="M597" s="642"/>
      <c r="N597" s="625">
        <f t="shared" ref="N597" si="1614">SUM(N594:O596)</f>
        <v>0</v>
      </c>
      <c r="O597" s="642"/>
      <c r="P597" s="623">
        <f t="shared" ref="P597" si="1615">SUM(P594:Q596)</f>
        <v>0</v>
      </c>
      <c r="Q597" s="626"/>
      <c r="R597" s="88">
        <f t="shared" ref="R597" si="1616">IF(AND(F597&gt;=$G$8,H597&gt;=$I$8,J597&gt;=$K$8,L597&gt;=$M$8,N597&gt;=$O$8,P597&gt;=$Q$8),SUM(F597:Q597),0)</f>
        <v>0</v>
      </c>
      <c r="S597" s="251"/>
      <c r="T597" s="97"/>
      <c r="U597" s="94"/>
      <c r="V597" s="606"/>
      <c r="W597" s="88" t="str">
        <f t="shared" ref="W597" si="1617">LOOKUP(R597,$AI$6:$AJ$10)</f>
        <v>ضعيف</v>
      </c>
      <c r="X597" s="641"/>
      <c r="Y597" s="68"/>
      <c r="Z597" s="599"/>
      <c r="AK597" s="667"/>
      <c r="AL597" s="667"/>
      <c r="AM597" s="696"/>
      <c r="AN597" s="698"/>
      <c r="AO597" s="699"/>
      <c r="AP597" s="698"/>
    </row>
    <row r="598" spans="1:42" ht="14.85" customHeight="1" thickBot="1" x14ac:dyDescent="0.3">
      <c r="A598" s="610">
        <v>130</v>
      </c>
      <c r="B598" s="613">
        <f>VLOOKUP(A598,مسلسل,2,0)</f>
        <v>0</v>
      </c>
      <c r="C598" s="616" t="str">
        <f>IFERROR(VLOOKUP(B598,اسماء,2,0),"")</f>
        <v/>
      </c>
      <c r="D598" s="619" t="str">
        <f>IFERROR(VLOOKUP($B598,اسماء,3,0),"")</f>
        <v/>
      </c>
      <c r="E598" s="129" t="s">
        <v>30</v>
      </c>
      <c r="F598" s="600">
        <f>IFERROR(VLOOKUP($B598,اسماء,5,0),0)</f>
        <v>0</v>
      </c>
      <c r="G598" s="601"/>
      <c r="H598" s="602">
        <f>IFERROR(VLOOKUP($B598,اسماء,6,0),0)</f>
        <v>0</v>
      </c>
      <c r="I598" s="622"/>
      <c r="J598" s="600">
        <f>IFERROR(VLOOKUP($B598,اسماء,7,0),0)</f>
        <v>0</v>
      </c>
      <c r="K598" s="601"/>
      <c r="L598" s="602">
        <f>IFERROR(VLOOKUP($B598,اسماء,8,0),0)</f>
        <v>0</v>
      </c>
      <c r="M598" s="603"/>
      <c r="N598" s="602">
        <f>IFERROR(VLOOKUP($B598,اسماء,9,0),0)</f>
        <v>0</v>
      </c>
      <c r="O598" s="603"/>
      <c r="P598" s="600">
        <f>IFERROR(VLOOKUP($B598,اسماء,10,0),0)</f>
        <v>0</v>
      </c>
      <c r="Q598" s="622"/>
      <c r="R598" s="371">
        <f t="shared" ref="R598" si="1618">SUM(F598:Q598)</f>
        <v>0</v>
      </c>
      <c r="S598" s="213" t="str">
        <f>IFERROR(VLOOKUP($B598,اسماء,12,0),"")</f>
        <v/>
      </c>
      <c r="T598" s="214" t="str">
        <f>IFERROR(VLOOKUP($B598,اسماء,13,0),"")</f>
        <v/>
      </c>
      <c r="U598" s="364" t="str">
        <f>IFERROR(VLOOKUP($B598,اسماء,14,0),"")</f>
        <v/>
      </c>
      <c r="V598" s="604" t="str">
        <f t="shared" ref="V598" si="1619">IF(Z598="غائب","راسب",IF(R601&gt;0,"ناجح","مرحل"))</f>
        <v>مرحل</v>
      </c>
      <c r="W598" s="19" t="str">
        <f t="shared" ref="W598:W599" si="1620">LOOKUP(R598,$AC$6:$AD$10)</f>
        <v>ضعيف</v>
      </c>
      <c r="X598" s="639">
        <f t="shared" ref="X598" si="1621">R601/$AC$3</f>
        <v>0</v>
      </c>
      <c r="Y598" s="68"/>
      <c r="Z598" s="597" t="str">
        <f>IFERROR(VLOOKUP($B598,اسماء,48,0),"")</f>
        <v/>
      </c>
      <c r="AK598" s="667" t="str">
        <f t="shared" ref="AK598" si="1622">IF(R601=0,"",R601/1+ROW()*0.00001)</f>
        <v/>
      </c>
      <c r="AL598" s="667">
        <f>B598</f>
        <v>0</v>
      </c>
      <c r="AM598" s="696"/>
      <c r="AN598" s="698">
        <v>130</v>
      </c>
      <c r="AO598" s="699" t="str">
        <f>IFERROR(LARGE($AK$10:$AK$1420,AN598),"")</f>
        <v/>
      </c>
      <c r="AP598" s="698" t="str">
        <f>VLOOKUP(AO598,$AK$10:$AL$1530,2,0)</f>
        <v>امجد عمر عبداللطيف سلطان</v>
      </c>
    </row>
    <row r="599" spans="1:42" ht="14.85" customHeight="1" x14ac:dyDescent="0.25">
      <c r="A599" s="611"/>
      <c r="B599" s="614"/>
      <c r="C599" s="617"/>
      <c r="D599" s="620"/>
      <c r="E599" s="130" t="s">
        <v>31</v>
      </c>
      <c r="F599" s="592">
        <f>IFERROR(VLOOKUP($B598,اسماء,15,0),0)</f>
        <v>0</v>
      </c>
      <c r="G599" s="593"/>
      <c r="H599" s="594">
        <f>IFERROR(VLOOKUP($B598,اسماء,16,0),0)</f>
        <v>0</v>
      </c>
      <c r="I599" s="595"/>
      <c r="J599" s="592">
        <f>IFERROR(VLOOKUP($B598,اسماء,17,0),0)</f>
        <v>0</v>
      </c>
      <c r="K599" s="593"/>
      <c r="L599" s="594">
        <f>IFERROR(VLOOKUP($B598,اسماء,18,0),0)</f>
        <v>0</v>
      </c>
      <c r="M599" s="596"/>
      <c r="N599" s="594">
        <f>IFERROR(VLOOKUP($B598,اسماء,19,0),0)</f>
        <v>0</v>
      </c>
      <c r="O599" s="596"/>
      <c r="P599" s="592">
        <f>IFERROR(VLOOKUP($B598,اسماء,20,0),0)</f>
        <v>0</v>
      </c>
      <c r="Q599" s="595"/>
      <c r="R599" s="372">
        <f t="shared" si="1512"/>
        <v>0</v>
      </c>
      <c r="S599" s="305" t="str">
        <f>IFERROR(VLOOKUP($B598,اسماء,23,0),"")</f>
        <v/>
      </c>
      <c r="T599" s="306" t="str">
        <f>IFERROR(VLOOKUP($B598,اسماء,24,0),"")</f>
        <v/>
      </c>
      <c r="U599" s="122" t="str">
        <f>IFERROR(VLOOKUP($B598,اسماء,25,0),"")</f>
        <v/>
      </c>
      <c r="V599" s="605"/>
      <c r="W599" s="19" t="str">
        <f t="shared" si="1620"/>
        <v>ضعيف</v>
      </c>
      <c r="X599" s="640"/>
      <c r="Y599" s="8"/>
      <c r="Z599" s="598"/>
      <c r="AK599" s="667"/>
      <c r="AL599" s="667"/>
      <c r="AM599" s="696"/>
      <c r="AN599" s="698"/>
      <c r="AO599" s="699"/>
      <c r="AP599" s="698"/>
    </row>
    <row r="600" spans="1:42" ht="14.85" customHeight="1" x14ac:dyDescent="0.25">
      <c r="A600" s="611"/>
      <c r="B600" s="614"/>
      <c r="C600" s="617"/>
      <c r="D600" s="620"/>
      <c r="E600" s="130" t="s">
        <v>32</v>
      </c>
      <c r="F600" s="592">
        <f>IFERROR(VLOOKUP($B598,اسماء,25,0),0)</f>
        <v>0</v>
      </c>
      <c r="G600" s="593"/>
      <c r="H600" s="594">
        <f>IFERROR(VLOOKUP($B598,اسماء,26,0),0)</f>
        <v>0</v>
      </c>
      <c r="I600" s="595"/>
      <c r="J600" s="592">
        <f>IFERROR(VLOOKUP($B598,اسماء,27,0),0)</f>
        <v>0</v>
      </c>
      <c r="K600" s="593"/>
      <c r="L600" s="594">
        <f>IFERROR(VLOOKUP($B598,اسماء,28,0),0)</f>
        <v>0</v>
      </c>
      <c r="M600" s="596"/>
      <c r="N600" s="594">
        <f>IFERROR(VLOOKUP($B598,اسماء,29,0),0)</f>
        <v>0</v>
      </c>
      <c r="O600" s="596"/>
      <c r="P600" s="592">
        <f>IFERROR(VLOOKUP($B598,اسماء,30,0),0)</f>
        <v>0</v>
      </c>
      <c r="Q600" s="595"/>
      <c r="R600" s="372">
        <f t="shared" si="1512"/>
        <v>0</v>
      </c>
      <c r="S600" s="305" t="str">
        <f>IFERROR(VLOOKUP($B598,اسماء,34,0),"")</f>
        <v/>
      </c>
      <c r="T600" s="306" t="str">
        <f>IFERROR(VLOOKUP($B598,اسماء,35,0),"")</f>
        <v/>
      </c>
      <c r="U600" s="122" t="str">
        <f>IFERROR(VLOOKUP($B598,اسماء,36,0),"")</f>
        <v/>
      </c>
      <c r="V600" s="605"/>
      <c r="W600" s="20" t="str">
        <f t="shared" ref="W600" si="1623">LOOKUP(R600,$AF$6:$AG$10)</f>
        <v>ضعيف</v>
      </c>
      <c r="X600" s="640"/>
      <c r="Y600" s="68"/>
      <c r="Z600" s="598"/>
      <c r="AK600" s="667"/>
      <c r="AL600" s="667"/>
      <c r="AM600" s="696"/>
      <c r="AN600" s="698"/>
      <c r="AO600" s="699"/>
      <c r="AP600" s="698"/>
    </row>
    <row r="601" spans="1:42" ht="14.85" customHeight="1" thickBot="1" x14ac:dyDescent="0.3">
      <c r="A601" s="612"/>
      <c r="B601" s="615"/>
      <c r="C601" s="618"/>
      <c r="D601" s="621"/>
      <c r="E601" s="124" t="s">
        <v>33</v>
      </c>
      <c r="F601" s="623">
        <f t="shared" ref="F601" si="1624">SUM(F598:G600)</f>
        <v>0</v>
      </c>
      <c r="G601" s="624"/>
      <c r="H601" s="625">
        <f t="shared" ref="H601" si="1625">SUM(H598:I600)</f>
        <v>0</v>
      </c>
      <c r="I601" s="626"/>
      <c r="J601" s="623">
        <f t="shared" ref="J601" si="1626">SUM(J598:K600)</f>
        <v>0</v>
      </c>
      <c r="K601" s="624"/>
      <c r="L601" s="625">
        <f t="shared" ref="L601" si="1627">SUM(L598:M600)</f>
        <v>0</v>
      </c>
      <c r="M601" s="642"/>
      <c r="N601" s="625">
        <f t="shared" ref="N601" si="1628">SUM(N598:O600)</f>
        <v>0</v>
      </c>
      <c r="O601" s="642"/>
      <c r="P601" s="623">
        <f t="shared" ref="P601" si="1629">SUM(P598:Q600)</f>
        <v>0</v>
      </c>
      <c r="Q601" s="626"/>
      <c r="R601" s="88">
        <f t="shared" ref="R601" si="1630">IF(AND(F601&gt;=$G$8,H601&gt;=$I$8,J601&gt;=$K$8,L601&gt;=$M$8,N601&gt;=$O$8,P601&gt;=$Q$8),SUM(F601:Q601),0)</f>
        <v>0</v>
      </c>
      <c r="S601" s="251"/>
      <c r="T601" s="97"/>
      <c r="U601" s="94"/>
      <c r="V601" s="606"/>
      <c r="W601" s="88" t="str">
        <f t="shared" ref="W601" si="1631">LOOKUP(R601,$AI$6:$AJ$10)</f>
        <v>ضعيف</v>
      </c>
      <c r="X601" s="641"/>
      <c r="Y601" s="68"/>
      <c r="Z601" s="599"/>
      <c r="AK601" s="667"/>
      <c r="AL601" s="667"/>
      <c r="AM601" s="696"/>
      <c r="AN601" s="698"/>
      <c r="AO601" s="699"/>
      <c r="AP601" s="698"/>
    </row>
    <row r="602" spans="1:42" ht="14.85" customHeight="1" thickBot="1" x14ac:dyDescent="0.3">
      <c r="F602" s="71"/>
      <c r="G602" s="72"/>
      <c r="H602" s="71"/>
      <c r="I602" s="72"/>
      <c r="J602" s="71"/>
      <c r="K602" s="72"/>
      <c r="L602" s="71"/>
      <c r="M602" s="72"/>
      <c r="N602" s="71"/>
      <c r="O602" s="72"/>
      <c r="P602" s="71"/>
      <c r="Q602" s="72"/>
      <c r="R602" s="70"/>
      <c r="S602" s="73"/>
      <c r="T602" s="70"/>
      <c r="U602" s="70"/>
      <c r="V602" s="70"/>
      <c r="W602" s="70"/>
      <c r="X602" s="254"/>
      <c r="Y602" s="68"/>
      <c r="AH602" s="74"/>
    </row>
    <row r="603" spans="1:42" customFormat="1" ht="14.85" customHeight="1" x14ac:dyDescent="0.3">
      <c r="A603" s="668" t="s">
        <v>9</v>
      </c>
      <c r="B603" s="669"/>
      <c r="C603" s="670"/>
      <c r="D603" s="277" t="s">
        <v>11</v>
      </c>
      <c r="E603" s="674" t="s">
        <v>96</v>
      </c>
      <c r="F603" s="663"/>
      <c r="G603" s="663"/>
      <c r="H603" s="663"/>
      <c r="I603" s="663"/>
      <c r="J603" s="7"/>
      <c r="K603" s="7"/>
      <c r="L603" s="7"/>
      <c r="M603" s="7"/>
      <c r="N603" s="7"/>
      <c r="O603" s="7"/>
      <c r="P603" s="7"/>
      <c r="Q603" s="663" t="s">
        <v>156</v>
      </c>
      <c r="R603" s="663"/>
      <c r="S603" s="663"/>
      <c r="T603" s="663"/>
      <c r="U603" s="663"/>
      <c r="V603" s="663"/>
      <c r="W603" s="1"/>
      <c r="X603" s="255"/>
      <c r="Z603" s="75"/>
      <c r="AA603" s="76"/>
      <c r="AB603" s="76"/>
      <c r="AC603" s="76"/>
      <c r="AD603" s="76"/>
    </row>
    <row r="604" spans="1:42" customFormat="1" ht="14.85" customHeight="1" x14ac:dyDescent="0.25">
      <c r="A604" s="77" t="s">
        <v>8</v>
      </c>
      <c r="B604" s="671">
        <f>ادخال1!$BJ$3</f>
        <v>0</v>
      </c>
      <c r="C604" s="672"/>
      <c r="D604" s="278"/>
      <c r="E604" s="7" t="s">
        <v>9</v>
      </c>
      <c r="F604" s="673" t="str">
        <f>ادخال1!$BJ$5</f>
        <v>د. عبدالرحمن خليفة العريبي</v>
      </c>
      <c r="G604" s="673"/>
      <c r="H604" s="673"/>
      <c r="I604" s="673"/>
      <c r="J604" s="673"/>
      <c r="K604" s="673"/>
      <c r="L604" s="673"/>
      <c r="M604" s="673"/>
      <c r="N604" s="673"/>
      <c r="O604" s="673"/>
      <c r="P604" s="7"/>
      <c r="Q604" s="673" t="str">
        <f>ادخال1!$BJ$6</f>
        <v>تاجوراء</v>
      </c>
      <c r="R604" s="673"/>
      <c r="S604" s="673"/>
      <c r="T604" s="673"/>
      <c r="U604" s="673"/>
      <c r="V604" s="673"/>
      <c r="W604" s="673"/>
      <c r="X604" s="63"/>
      <c r="Y604" s="63"/>
      <c r="Z604" s="75"/>
      <c r="AA604" s="75"/>
      <c r="AB604" s="75"/>
      <c r="AC604" s="75"/>
    </row>
    <row r="605" spans="1:42" customFormat="1" ht="14.85" customHeight="1" thickBot="1" x14ac:dyDescent="0.3">
      <c r="A605" s="78" t="s">
        <v>97</v>
      </c>
      <c r="B605" s="665">
        <f>ادخال1!$BJ$4</f>
        <v>0</v>
      </c>
      <c r="C605" s="666"/>
      <c r="D605" s="279"/>
      <c r="E605" s="7" t="s">
        <v>11</v>
      </c>
      <c r="F605" s="667"/>
      <c r="G605" s="667"/>
      <c r="H605" s="667"/>
      <c r="I605" s="667"/>
      <c r="J605" s="667"/>
      <c r="K605" s="667"/>
      <c r="L605" s="667"/>
      <c r="M605" s="667"/>
      <c r="N605" s="667"/>
      <c r="O605" s="667"/>
      <c r="P605" s="7"/>
      <c r="Q605" s="7" t="s">
        <v>11</v>
      </c>
      <c r="R605" s="1"/>
      <c r="S605" s="1"/>
      <c r="T605" s="1"/>
      <c r="U605" s="1"/>
      <c r="V605" s="1"/>
      <c r="W605" s="1"/>
      <c r="X605" s="255"/>
      <c r="Z605" s="75"/>
      <c r="AA605" s="75"/>
      <c r="AB605" s="75"/>
      <c r="AC605" s="75"/>
    </row>
    <row r="606" spans="1:42" customFormat="1" ht="14.85" customHeight="1" x14ac:dyDescent="0.25">
      <c r="A606" s="663" t="s">
        <v>98</v>
      </c>
      <c r="B606" s="663"/>
      <c r="C606" s="663"/>
      <c r="D606" s="663"/>
      <c r="E606" s="663" t="s">
        <v>99</v>
      </c>
      <c r="F606" s="663"/>
      <c r="G606" s="663"/>
      <c r="H606" s="663"/>
      <c r="I606" s="663"/>
      <c r="J606" s="663"/>
      <c r="K606" s="663"/>
      <c r="L606" s="663"/>
      <c r="M606" s="663"/>
      <c r="N606" s="663"/>
      <c r="O606" s="663"/>
      <c r="P606" s="663"/>
      <c r="Q606" s="663"/>
      <c r="R606" s="7"/>
      <c r="S606" s="664">
        <f ca="1">TODAY()</f>
        <v>46009</v>
      </c>
      <c r="T606" s="664"/>
      <c r="U606" s="664"/>
      <c r="V606" s="664"/>
      <c r="W606" s="664"/>
      <c r="X606" s="255"/>
    </row>
    <row r="607" spans="1:42" customFormat="1" ht="14.85" customHeight="1" thickBot="1" x14ac:dyDescent="0.3">
      <c r="A607" s="7"/>
      <c r="B607" s="663" t="s">
        <v>100</v>
      </c>
      <c r="C607" s="663"/>
      <c r="D607" s="663"/>
      <c r="E607" s="663" t="s">
        <v>101</v>
      </c>
      <c r="F607" s="663"/>
      <c r="G607" s="663"/>
      <c r="H607" s="663"/>
      <c r="I607" s="663"/>
      <c r="J607" s="663"/>
      <c r="K607" s="663"/>
      <c r="L607" s="663"/>
      <c r="M607" s="663"/>
      <c r="N607" s="663"/>
      <c r="O607" s="663"/>
      <c r="P607" s="663"/>
      <c r="Q607" s="663"/>
      <c r="R607" s="1"/>
      <c r="S607" s="1"/>
      <c r="T607" s="1"/>
      <c r="U607" s="1"/>
      <c r="V607" s="1"/>
      <c r="W607" s="1"/>
      <c r="X607" s="255"/>
    </row>
    <row r="608" spans="1:42" ht="14.85" customHeight="1" thickBot="1" x14ac:dyDescent="0.3">
      <c r="A608" s="610">
        <v>131</v>
      </c>
      <c r="B608" s="613">
        <f>VLOOKUP(A608,مسلسل,2,0)</f>
        <v>0</v>
      </c>
      <c r="C608" s="616" t="str">
        <f>IFERROR(VLOOKUP(B608,اسماء,2,0),"")</f>
        <v/>
      </c>
      <c r="D608" s="619" t="str">
        <f>IFERROR(VLOOKUP($B608,اسماء,3,0),"")</f>
        <v/>
      </c>
      <c r="E608" s="129" t="s">
        <v>30</v>
      </c>
      <c r="F608" s="600">
        <f>IFERROR(VLOOKUP($B608,اسماء,5,0),0)</f>
        <v>0</v>
      </c>
      <c r="G608" s="601"/>
      <c r="H608" s="602">
        <f>IFERROR(VLOOKUP($B608,اسماء,6,0),0)</f>
        <v>0</v>
      </c>
      <c r="I608" s="622"/>
      <c r="J608" s="600">
        <f>IFERROR(VLOOKUP($B608,اسماء,7,0),0)</f>
        <v>0</v>
      </c>
      <c r="K608" s="601"/>
      <c r="L608" s="602">
        <f>IFERROR(VLOOKUP($B608,اسماء,8,0),0)</f>
        <v>0</v>
      </c>
      <c r="M608" s="603"/>
      <c r="N608" s="602">
        <f>IFERROR(VLOOKUP($B608,اسماء,9,0),0)</f>
        <v>0</v>
      </c>
      <c r="O608" s="603"/>
      <c r="P608" s="600">
        <f>IFERROR(VLOOKUP($B608,اسماء,10,0),0)</f>
        <v>0</v>
      </c>
      <c r="Q608" s="622"/>
      <c r="R608" s="371">
        <f>SUM(F608:Q608)</f>
        <v>0</v>
      </c>
      <c r="S608" s="325" t="str">
        <f>IFERROR(VLOOKUP($B608,اسماء,12,0),"")</f>
        <v/>
      </c>
      <c r="T608" s="326" t="str">
        <f>IFERROR(VLOOKUP($B608,اسماء,13,0),"")</f>
        <v/>
      </c>
      <c r="U608" s="92" t="str">
        <f>IFERROR(VLOOKUP($B608,اسماء,14,0),"")</f>
        <v/>
      </c>
      <c r="V608" s="604" t="str">
        <f t="shared" ref="V608" si="1632">IF(Z608="غائب","راسب",IF(R611&gt;0,"ناجح","مرحل"))</f>
        <v>مرحل</v>
      </c>
      <c r="W608" s="19" t="str">
        <f t="shared" ref="W608:W609" si="1633">LOOKUP(R608,$AC$6:$AD$10)</f>
        <v>ضعيف</v>
      </c>
      <c r="X608" s="639">
        <f t="shared" ref="X608" si="1634">R611/$AC$3</f>
        <v>0</v>
      </c>
      <c r="Y608" s="8"/>
      <c r="Z608" s="597" t="str">
        <f>IFERROR(VLOOKUP($B608,اسماء,48,0),"")</f>
        <v/>
      </c>
      <c r="AK608" s="671" t="str">
        <f>IF(R611=0,"",R611/1+ROW()*0.00001)</f>
        <v/>
      </c>
      <c r="AL608" s="671">
        <f>B608</f>
        <v>0</v>
      </c>
      <c r="AM608" s="696"/>
      <c r="AN608" s="698">
        <v>131</v>
      </c>
      <c r="AO608" s="699" t="str">
        <f>IFERROR(LARGE($AK$10:$AK$1420,AN608),"")</f>
        <v/>
      </c>
      <c r="AP608" s="698" t="str">
        <f>VLOOKUP(AO608,$AK$10:$AL$1530,2,0)</f>
        <v>امجد عمر عبداللطيف سلطان</v>
      </c>
    </row>
    <row r="609" spans="1:42" ht="14.85" customHeight="1" x14ac:dyDescent="0.25">
      <c r="A609" s="611"/>
      <c r="B609" s="614"/>
      <c r="C609" s="617"/>
      <c r="D609" s="620"/>
      <c r="E609" s="130" t="s">
        <v>31</v>
      </c>
      <c r="F609" s="592">
        <f>IFERROR(VLOOKUP($B608,اسماء,16,0),0)</f>
        <v>0</v>
      </c>
      <c r="G609" s="593"/>
      <c r="H609" s="594">
        <f>IFERROR(VLOOKUP($B608,اسماء,17,0),0)</f>
        <v>0</v>
      </c>
      <c r="I609" s="595"/>
      <c r="J609" s="592">
        <f>IFERROR(VLOOKUP($B608,اسماء,18,0),0)</f>
        <v>0</v>
      </c>
      <c r="K609" s="593"/>
      <c r="L609" s="594">
        <f>IFERROR(VLOOKUP($B608,اسماء,19,0),0)</f>
        <v>0</v>
      </c>
      <c r="M609" s="596"/>
      <c r="N609" s="594">
        <f>IFERROR(VLOOKUP($B608,اسماء,20,0),0)</f>
        <v>0</v>
      </c>
      <c r="O609" s="596"/>
      <c r="P609" s="592">
        <f>IFERROR(VLOOKUP($B608,اسماء,21,0),0)</f>
        <v>0</v>
      </c>
      <c r="Q609" s="595"/>
      <c r="R609" s="372">
        <f t="shared" ref="R609:R610" si="1635">SUM(F609:Q609)</f>
        <v>0</v>
      </c>
      <c r="S609" s="305" t="str">
        <f>IFERROR(VLOOKUP($B608,اسماء,23,0),"")</f>
        <v/>
      </c>
      <c r="T609" s="306" t="str">
        <f>IFERROR(VLOOKUP($B608,اسماء,24,0),"")</f>
        <v/>
      </c>
      <c r="U609" s="122" t="str">
        <f>IFERROR(VLOOKUP($B608,اسماء,25,0),"")</f>
        <v/>
      </c>
      <c r="V609" s="605"/>
      <c r="W609" s="19" t="str">
        <f t="shared" si="1633"/>
        <v>ضعيف</v>
      </c>
      <c r="X609" s="640"/>
      <c r="Y609" s="68"/>
      <c r="Z609" s="598"/>
      <c r="AK609" s="671"/>
      <c r="AL609" s="671"/>
      <c r="AM609" s="696"/>
      <c r="AN609" s="698"/>
      <c r="AO609" s="699"/>
      <c r="AP609" s="698"/>
    </row>
    <row r="610" spans="1:42" ht="14.85" customHeight="1" x14ac:dyDescent="0.25">
      <c r="A610" s="611"/>
      <c r="B610" s="614"/>
      <c r="C610" s="617"/>
      <c r="D610" s="620"/>
      <c r="E610" s="130" t="s">
        <v>32</v>
      </c>
      <c r="F610" s="592">
        <f>IFERROR(VLOOKUP($B608,اسماء,27,0),0)</f>
        <v>0</v>
      </c>
      <c r="G610" s="593"/>
      <c r="H610" s="594">
        <f>IFERROR(VLOOKUP($B608,اسماء,28,0),0)</f>
        <v>0</v>
      </c>
      <c r="I610" s="595"/>
      <c r="J610" s="592">
        <f>IFERROR(VLOOKUP($B608,اسماء,29,0),0)</f>
        <v>0</v>
      </c>
      <c r="K610" s="593"/>
      <c r="L610" s="594">
        <f>IFERROR(VLOOKUP($B608,اسماء,30,0),0)</f>
        <v>0</v>
      </c>
      <c r="M610" s="596"/>
      <c r="N610" s="594">
        <f>IFERROR(VLOOKUP($B608,اسماء,31,0),0)</f>
        <v>0</v>
      </c>
      <c r="O610" s="596"/>
      <c r="P610" s="592">
        <f>IFERROR(VLOOKUP($B608,اسماء,32,0),0)</f>
        <v>0</v>
      </c>
      <c r="Q610" s="595"/>
      <c r="R610" s="372">
        <f t="shared" si="1635"/>
        <v>0</v>
      </c>
      <c r="S610" s="305" t="str">
        <f>IFERROR(VLOOKUP($B608,اسماء,34,0),"")</f>
        <v/>
      </c>
      <c r="T610" s="306" t="str">
        <f>IFERROR(VLOOKUP($B608,اسماء,35,0),"")</f>
        <v/>
      </c>
      <c r="U610" s="122" t="str">
        <f>IFERROR(VLOOKUP($B608,اسماء,36,0),"")</f>
        <v/>
      </c>
      <c r="V610" s="605"/>
      <c r="W610" s="20" t="str">
        <f t="shared" ref="W610" si="1636">LOOKUP(R610,$AF$6:$AG$10)</f>
        <v>ضعيف</v>
      </c>
      <c r="X610" s="640"/>
      <c r="Y610" s="68"/>
      <c r="Z610" s="598"/>
      <c r="AK610" s="671"/>
      <c r="AL610" s="671"/>
      <c r="AM610" s="696"/>
      <c r="AN610" s="698"/>
      <c r="AO610" s="699"/>
      <c r="AP610" s="698"/>
    </row>
    <row r="611" spans="1:42" ht="14.85" customHeight="1" thickBot="1" x14ac:dyDescent="0.3">
      <c r="A611" s="612"/>
      <c r="B611" s="615"/>
      <c r="C611" s="618"/>
      <c r="D611" s="621"/>
      <c r="E611" s="124" t="s">
        <v>33</v>
      </c>
      <c r="F611" s="623">
        <f>SUM(F608:G610)</f>
        <v>0</v>
      </c>
      <c r="G611" s="624"/>
      <c r="H611" s="625">
        <f>SUM(H608:I610)</f>
        <v>0</v>
      </c>
      <c r="I611" s="626"/>
      <c r="J611" s="623">
        <f>SUM(J608:K610)</f>
        <v>0</v>
      </c>
      <c r="K611" s="624"/>
      <c r="L611" s="625">
        <f>SUM(L608:M610)</f>
        <v>0</v>
      </c>
      <c r="M611" s="642"/>
      <c r="N611" s="625">
        <f>SUM(N608:O610)</f>
        <v>0</v>
      </c>
      <c r="O611" s="642"/>
      <c r="P611" s="623">
        <f>SUM(P608:Q610)</f>
        <v>0</v>
      </c>
      <c r="Q611" s="626"/>
      <c r="R611" s="88">
        <f>IF(AND(F611&gt;=$G$8,H611&gt;=$I$8,J611&gt;=$K$8,L611&gt;=$M$8,N611&gt;=$O$8,P611&gt;=$Q$8),SUM(F611:Q611),0)</f>
        <v>0</v>
      </c>
      <c r="S611" s="251"/>
      <c r="T611" s="97"/>
      <c r="U611" s="94"/>
      <c r="V611" s="606"/>
      <c r="W611" s="88" t="str">
        <f t="shared" ref="W611" si="1637">LOOKUP(R611,$AI$6:$AJ$10)</f>
        <v>ضعيف</v>
      </c>
      <c r="X611" s="641"/>
      <c r="Y611" s="8"/>
      <c r="Z611" s="599"/>
      <c r="AK611" s="671"/>
      <c r="AL611" s="671"/>
      <c r="AM611" s="696"/>
      <c r="AN611" s="698"/>
      <c r="AO611" s="699"/>
      <c r="AP611" s="698"/>
    </row>
    <row r="612" spans="1:42" ht="14.85" customHeight="1" thickBot="1" x14ac:dyDescent="0.3">
      <c r="A612" s="610">
        <v>132</v>
      </c>
      <c r="B612" s="613">
        <f>VLOOKUP(A612,مسلسل,2,0)</f>
        <v>0</v>
      </c>
      <c r="C612" s="616" t="str">
        <f>IFERROR(VLOOKUP(B612,اسماء,2,0),"")</f>
        <v/>
      </c>
      <c r="D612" s="619" t="str">
        <f>IFERROR(VLOOKUP($B612,اسماء,3,0),"")</f>
        <v/>
      </c>
      <c r="E612" s="129" t="s">
        <v>30</v>
      </c>
      <c r="F612" s="600">
        <f>IFERROR(VLOOKUP($B612,اسماء,5,0),0)</f>
        <v>0</v>
      </c>
      <c r="G612" s="601"/>
      <c r="H612" s="602">
        <f>IFERROR(VLOOKUP($B612,اسماء,6,0),0)</f>
        <v>0</v>
      </c>
      <c r="I612" s="622"/>
      <c r="J612" s="600">
        <f>IFERROR(VLOOKUP($B612,اسماء,7,0),0)</f>
        <v>0</v>
      </c>
      <c r="K612" s="601"/>
      <c r="L612" s="602">
        <f>IFERROR(VLOOKUP($B612,اسماء,8,0),0)</f>
        <v>0</v>
      </c>
      <c r="M612" s="603"/>
      <c r="N612" s="602">
        <f>IFERROR(VLOOKUP($B612,اسماء,9,0),0)</f>
        <v>0</v>
      </c>
      <c r="O612" s="603"/>
      <c r="P612" s="600">
        <f>IFERROR(VLOOKUP($B612,اسماء,10,0),0)</f>
        <v>0</v>
      </c>
      <c r="Q612" s="622"/>
      <c r="R612" s="371">
        <f t="shared" ref="R612:R646" si="1638">SUM(F612:Q612)</f>
        <v>0</v>
      </c>
      <c r="S612" s="213" t="str">
        <f>IFERROR(VLOOKUP($B612,اسماء,12,0),"")</f>
        <v/>
      </c>
      <c r="T612" s="214" t="str">
        <f>IFERROR(VLOOKUP($B612,اسماء,13,0),"")</f>
        <v/>
      </c>
      <c r="U612" s="364" t="str">
        <f>IFERROR(VLOOKUP($B612,اسماء,14,0),"")</f>
        <v/>
      </c>
      <c r="V612" s="604" t="str">
        <f t="shared" ref="V612" si="1639">IF(Z612="غائب","راسب",IF(R615&gt;0,"ناجح","مرحل"))</f>
        <v>مرحل</v>
      </c>
      <c r="W612" s="19" t="str">
        <f t="shared" ref="W612:W613" si="1640">LOOKUP(R612,$AC$6:$AD$10)</f>
        <v>ضعيف</v>
      </c>
      <c r="X612" s="639">
        <f t="shared" ref="X612" si="1641">R615/$AC$3</f>
        <v>0</v>
      </c>
      <c r="Y612" s="68"/>
      <c r="Z612" s="597" t="str">
        <f>IFERROR(VLOOKUP($B612,اسماء,48,0),"")</f>
        <v/>
      </c>
      <c r="AK612" s="667" t="str">
        <f t="shared" ref="AK612" si="1642">IF(R615=0,"",R615/1+ROW()*0.00001)</f>
        <v/>
      </c>
      <c r="AL612" s="667">
        <f>B612</f>
        <v>0</v>
      </c>
      <c r="AM612" s="696"/>
      <c r="AN612" s="698">
        <v>132</v>
      </c>
      <c r="AO612" s="699" t="str">
        <f>IFERROR(LARGE($AK$10:$AK$1420,AN612),"")</f>
        <v/>
      </c>
      <c r="AP612" s="698" t="str">
        <f>VLOOKUP(AO612,$AK$10:$AL$1530,2,0)</f>
        <v>امجد عمر عبداللطيف سلطان</v>
      </c>
    </row>
    <row r="613" spans="1:42" ht="14.85" customHeight="1" x14ac:dyDescent="0.25">
      <c r="A613" s="611"/>
      <c r="B613" s="614"/>
      <c r="C613" s="617"/>
      <c r="D613" s="620"/>
      <c r="E613" s="130" t="s">
        <v>31</v>
      </c>
      <c r="F613" s="592">
        <f>IFERROR(VLOOKUP($B612,اسماء,15,0),0)</f>
        <v>0</v>
      </c>
      <c r="G613" s="593"/>
      <c r="H613" s="594">
        <f>IFERROR(VLOOKUP($B612,اسماء,16,0),0)</f>
        <v>0</v>
      </c>
      <c r="I613" s="595"/>
      <c r="J613" s="592">
        <f>IFERROR(VLOOKUP($B612,اسماء,17,0),0)</f>
        <v>0</v>
      </c>
      <c r="K613" s="593"/>
      <c r="L613" s="594">
        <f>IFERROR(VLOOKUP($B612,اسماء,18,0),0)</f>
        <v>0</v>
      </c>
      <c r="M613" s="596"/>
      <c r="N613" s="594">
        <f>IFERROR(VLOOKUP($B612,اسماء,19,0),0)</f>
        <v>0</v>
      </c>
      <c r="O613" s="596"/>
      <c r="P613" s="592">
        <f>IFERROR(VLOOKUP($B612,اسماء,20,0),0)</f>
        <v>0</v>
      </c>
      <c r="Q613" s="595"/>
      <c r="R613" s="372">
        <f t="shared" si="1638"/>
        <v>0</v>
      </c>
      <c r="S613" s="305" t="str">
        <f>IFERROR(VLOOKUP($B612,اسماء,23,0),"")</f>
        <v/>
      </c>
      <c r="T613" s="306" t="str">
        <f>IFERROR(VLOOKUP($B612,اسماء,24,0),"")</f>
        <v/>
      </c>
      <c r="U613" s="122" t="str">
        <f>IFERROR(VLOOKUP($B612,اسماء,25,0),"")</f>
        <v/>
      </c>
      <c r="V613" s="605"/>
      <c r="W613" s="19" t="str">
        <f t="shared" si="1640"/>
        <v>ضعيف</v>
      </c>
      <c r="X613" s="640"/>
      <c r="Y613" s="68"/>
      <c r="Z613" s="598"/>
      <c r="AK613" s="667"/>
      <c r="AL613" s="667"/>
      <c r="AM613" s="696"/>
      <c r="AN613" s="698"/>
      <c r="AO613" s="699"/>
      <c r="AP613" s="698"/>
    </row>
    <row r="614" spans="1:42" ht="14.85" customHeight="1" x14ac:dyDescent="0.25">
      <c r="A614" s="611"/>
      <c r="B614" s="614"/>
      <c r="C614" s="617"/>
      <c r="D614" s="620"/>
      <c r="E614" s="130" t="s">
        <v>32</v>
      </c>
      <c r="F614" s="592">
        <f>IFERROR(VLOOKUP($B612,اسماء,25,0),0)</f>
        <v>0</v>
      </c>
      <c r="G614" s="593"/>
      <c r="H614" s="594">
        <f>IFERROR(VLOOKUP($B612,اسماء,26,0),0)</f>
        <v>0</v>
      </c>
      <c r="I614" s="595"/>
      <c r="J614" s="592">
        <f>IFERROR(VLOOKUP($B612,اسماء,27,0),0)</f>
        <v>0</v>
      </c>
      <c r="K614" s="593"/>
      <c r="L614" s="594">
        <f>IFERROR(VLOOKUP($B612,اسماء,28,0),0)</f>
        <v>0</v>
      </c>
      <c r="M614" s="596"/>
      <c r="N614" s="594">
        <f>IFERROR(VLOOKUP($B612,اسماء,29,0),0)</f>
        <v>0</v>
      </c>
      <c r="O614" s="596"/>
      <c r="P614" s="592">
        <f>IFERROR(VLOOKUP($B612,اسماء,30,0),0)</f>
        <v>0</v>
      </c>
      <c r="Q614" s="595"/>
      <c r="R614" s="372">
        <f t="shared" si="1638"/>
        <v>0</v>
      </c>
      <c r="S614" s="305" t="str">
        <f>IFERROR(VLOOKUP($B612,اسماء,34,0),"")</f>
        <v/>
      </c>
      <c r="T614" s="306" t="str">
        <f>IFERROR(VLOOKUP($B612,اسماء,35,0),"")</f>
        <v/>
      </c>
      <c r="U614" s="122" t="str">
        <f>IFERROR(VLOOKUP($B612,اسماء,36,0),"")</f>
        <v/>
      </c>
      <c r="V614" s="605"/>
      <c r="W614" s="20" t="str">
        <f t="shared" ref="W614" si="1643">LOOKUP(R614,$AF$6:$AG$10)</f>
        <v>ضعيف</v>
      </c>
      <c r="X614" s="640"/>
      <c r="Y614" s="8"/>
      <c r="Z614" s="598"/>
      <c r="AK614" s="667"/>
      <c r="AL614" s="667"/>
      <c r="AM614" s="696"/>
      <c r="AN614" s="698"/>
      <c r="AO614" s="699"/>
      <c r="AP614" s="698"/>
    </row>
    <row r="615" spans="1:42" ht="14.85" customHeight="1" thickBot="1" x14ac:dyDescent="0.3">
      <c r="A615" s="612"/>
      <c r="B615" s="615"/>
      <c r="C615" s="618"/>
      <c r="D615" s="621"/>
      <c r="E615" s="124" t="s">
        <v>33</v>
      </c>
      <c r="F615" s="623">
        <f>SUM(F612:G614)</f>
        <v>0</v>
      </c>
      <c r="G615" s="624"/>
      <c r="H615" s="625">
        <f>SUM(H612:I614)</f>
        <v>0</v>
      </c>
      <c r="I615" s="626"/>
      <c r="J615" s="623">
        <f>SUM(J612:K614)</f>
        <v>0</v>
      </c>
      <c r="K615" s="624"/>
      <c r="L615" s="625">
        <f>SUM(L612:M614)</f>
        <v>0</v>
      </c>
      <c r="M615" s="642"/>
      <c r="N615" s="625">
        <f>SUM(N612:O614)</f>
        <v>0</v>
      </c>
      <c r="O615" s="642"/>
      <c r="P615" s="623">
        <f>SUM(P612:Q614)</f>
        <v>0</v>
      </c>
      <c r="Q615" s="626"/>
      <c r="R615" s="88">
        <f t="shared" ref="R615" si="1644">IF(AND(F615&gt;=$G$8,H615&gt;=$I$8,J615&gt;=$K$8,L615&gt;=$M$8,N615&gt;=$O$8,P615&gt;=$Q$8),SUM(F615:Q615),0)</f>
        <v>0</v>
      </c>
      <c r="S615" s="251"/>
      <c r="T615" s="97"/>
      <c r="U615" s="94"/>
      <c r="V615" s="606"/>
      <c r="W615" s="88" t="str">
        <f t="shared" ref="W615" si="1645">LOOKUP(R615,$AI$6:$AJ$10)</f>
        <v>ضعيف</v>
      </c>
      <c r="X615" s="641"/>
      <c r="Y615" s="68"/>
      <c r="Z615" s="599"/>
      <c r="AK615" s="667"/>
      <c r="AL615" s="667"/>
      <c r="AM615" s="696"/>
      <c r="AN615" s="698"/>
      <c r="AO615" s="699"/>
      <c r="AP615" s="698"/>
    </row>
    <row r="616" spans="1:42" ht="14.85" customHeight="1" thickBot="1" x14ac:dyDescent="0.3">
      <c r="A616" s="610">
        <v>133</v>
      </c>
      <c r="B616" s="613">
        <f>VLOOKUP(A616,مسلسل,2,0)</f>
        <v>0</v>
      </c>
      <c r="C616" s="616" t="str">
        <f>IFERROR(VLOOKUP(B616,اسماء,2,0),"")</f>
        <v/>
      </c>
      <c r="D616" s="619" t="str">
        <f>IFERROR(VLOOKUP($B616,اسماء,3,0),"")</f>
        <v/>
      </c>
      <c r="E616" s="129" t="s">
        <v>30</v>
      </c>
      <c r="F616" s="600">
        <f>IFERROR(VLOOKUP($B616,اسماء,5,0),0)</f>
        <v>0</v>
      </c>
      <c r="G616" s="601"/>
      <c r="H616" s="602">
        <f>IFERROR(VLOOKUP($B616,اسماء,6,0),0)</f>
        <v>0</v>
      </c>
      <c r="I616" s="622"/>
      <c r="J616" s="600">
        <f>IFERROR(VLOOKUP($B616,اسماء,7,0),0)</f>
        <v>0</v>
      </c>
      <c r="K616" s="601"/>
      <c r="L616" s="602">
        <f>IFERROR(VLOOKUP($B616,اسماء,8,0),0)</f>
        <v>0</v>
      </c>
      <c r="M616" s="603"/>
      <c r="N616" s="602">
        <f>IFERROR(VLOOKUP($B616,اسماء,9,0),0)</f>
        <v>0</v>
      </c>
      <c r="O616" s="603"/>
      <c r="P616" s="600">
        <f>IFERROR(VLOOKUP($B616,اسماء,10,0),0)</f>
        <v>0</v>
      </c>
      <c r="Q616" s="622"/>
      <c r="R616" s="371">
        <f t="shared" ref="R616" si="1646">SUM(F616:Q616)</f>
        <v>0</v>
      </c>
      <c r="S616" s="213" t="str">
        <f>IFERROR(VLOOKUP($B616,اسماء,12,0),"")</f>
        <v/>
      </c>
      <c r="T616" s="214" t="str">
        <f>IFERROR(VLOOKUP($B616,اسماء,13,0),"")</f>
        <v/>
      </c>
      <c r="U616" s="364" t="str">
        <f>IFERROR(VLOOKUP($B616,اسماء,14,0),"")</f>
        <v/>
      </c>
      <c r="V616" s="604" t="str">
        <f t="shared" ref="V616" si="1647">IF(Z616="غائب","راسب",IF(R619&gt;0,"ناجح","مرحل"))</f>
        <v>مرحل</v>
      </c>
      <c r="W616" s="19" t="str">
        <f t="shared" ref="W616:W617" si="1648">LOOKUP(R616,$AC$6:$AD$10)</f>
        <v>ضعيف</v>
      </c>
      <c r="X616" s="639">
        <f t="shared" ref="X616" si="1649">R619/$AC$3</f>
        <v>0</v>
      </c>
      <c r="Y616" s="68"/>
      <c r="Z616" s="597" t="str">
        <f>IFERROR(VLOOKUP($B616,اسماء,48,0),"")</f>
        <v/>
      </c>
      <c r="AK616" s="667" t="str">
        <f t="shared" ref="AK616" si="1650">IF(R619=0,"",R619/1+ROW()*0.00001)</f>
        <v/>
      </c>
      <c r="AL616" s="667">
        <f>B616</f>
        <v>0</v>
      </c>
      <c r="AM616" s="696"/>
      <c r="AN616" s="698">
        <v>133</v>
      </c>
      <c r="AO616" s="699" t="str">
        <f>IFERROR(LARGE($AK$10:$AK$1420,AN616),"")</f>
        <v/>
      </c>
      <c r="AP616" s="698" t="str">
        <f>VLOOKUP(AO616,$AK$10:$AL$1530,2,0)</f>
        <v>امجد عمر عبداللطيف سلطان</v>
      </c>
    </row>
    <row r="617" spans="1:42" ht="14.85" customHeight="1" x14ac:dyDescent="0.25">
      <c r="A617" s="611"/>
      <c r="B617" s="614"/>
      <c r="C617" s="617"/>
      <c r="D617" s="620"/>
      <c r="E617" s="130" t="s">
        <v>31</v>
      </c>
      <c r="F617" s="592">
        <f>IFERROR(VLOOKUP($B616,اسماء,15,0),0)</f>
        <v>0</v>
      </c>
      <c r="G617" s="593"/>
      <c r="H617" s="594">
        <f>IFERROR(VLOOKUP($B616,اسماء,16,0),0)</f>
        <v>0</v>
      </c>
      <c r="I617" s="595"/>
      <c r="J617" s="592">
        <f>IFERROR(VLOOKUP($B616,اسماء,17,0),0)</f>
        <v>0</v>
      </c>
      <c r="K617" s="593"/>
      <c r="L617" s="594">
        <f>IFERROR(VLOOKUP($B616,اسماء,18,0),0)</f>
        <v>0</v>
      </c>
      <c r="M617" s="596"/>
      <c r="N617" s="594">
        <f>IFERROR(VLOOKUP($B616,اسماء,19,0),0)</f>
        <v>0</v>
      </c>
      <c r="O617" s="596"/>
      <c r="P617" s="592">
        <f>IFERROR(VLOOKUP($B616,اسماء,20,0),0)</f>
        <v>0</v>
      </c>
      <c r="Q617" s="595"/>
      <c r="R617" s="372">
        <f t="shared" si="1638"/>
        <v>0</v>
      </c>
      <c r="S617" s="305" t="str">
        <f>IFERROR(VLOOKUP($B616,اسماء,23,0),"")</f>
        <v/>
      </c>
      <c r="T617" s="306" t="str">
        <f>IFERROR(VLOOKUP($B616,اسماء,24,0),"")</f>
        <v/>
      </c>
      <c r="U617" s="122" t="str">
        <f>IFERROR(VLOOKUP($B616,اسماء,25,0),"")</f>
        <v/>
      </c>
      <c r="V617" s="605"/>
      <c r="W617" s="19" t="str">
        <f t="shared" si="1648"/>
        <v>ضعيف</v>
      </c>
      <c r="X617" s="640"/>
      <c r="Y617" s="8"/>
      <c r="Z617" s="598"/>
      <c r="AK617" s="667"/>
      <c r="AL617" s="667"/>
      <c r="AM617" s="696"/>
      <c r="AN617" s="698"/>
      <c r="AO617" s="699"/>
      <c r="AP617" s="698"/>
    </row>
    <row r="618" spans="1:42" ht="14.85" customHeight="1" x14ac:dyDescent="0.25">
      <c r="A618" s="611"/>
      <c r="B618" s="614"/>
      <c r="C618" s="617"/>
      <c r="D618" s="620"/>
      <c r="E618" s="130" t="s">
        <v>32</v>
      </c>
      <c r="F618" s="592">
        <f>IFERROR(VLOOKUP($B616,اسماء,25,0),0)</f>
        <v>0</v>
      </c>
      <c r="G618" s="593"/>
      <c r="H618" s="594">
        <f>IFERROR(VLOOKUP($B616,اسماء,26,0),0)</f>
        <v>0</v>
      </c>
      <c r="I618" s="595"/>
      <c r="J618" s="592">
        <f>IFERROR(VLOOKUP($B616,اسماء,27,0),0)</f>
        <v>0</v>
      </c>
      <c r="K618" s="593"/>
      <c r="L618" s="594">
        <f>IFERROR(VLOOKUP($B616,اسماء,28,0),0)</f>
        <v>0</v>
      </c>
      <c r="M618" s="596"/>
      <c r="N618" s="594">
        <f>IFERROR(VLOOKUP($B616,اسماء,29,0),0)</f>
        <v>0</v>
      </c>
      <c r="O618" s="596"/>
      <c r="P618" s="592">
        <f>IFERROR(VLOOKUP($B616,اسماء,30,0),0)</f>
        <v>0</v>
      </c>
      <c r="Q618" s="595"/>
      <c r="R618" s="372">
        <f t="shared" si="1638"/>
        <v>0</v>
      </c>
      <c r="S618" s="305" t="str">
        <f>IFERROR(VLOOKUP($B616,اسماء,34,0),"")</f>
        <v/>
      </c>
      <c r="T618" s="306" t="str">
        <f>IFERROR(VLOOKUP($B616,اسماء,35,0),"")</f>
        <v/>
      </c>
      <c r="U618" s="122" t="str">
        <f>IFERROR(VLOOKUP($B616,اسماء,36,0),"")</f>
        <v/>
      </c>
      <c r="V618" s="605"/>
      <c r="W618" s="20" t="str">
        <f t="shared" ref="W618" si="1651">LOOKUP(R618,$AF$6:$AG$10)</f>
        <v>ضعيف</v>
      </c>
      <c r="X618" s="640"/>
      <c r="Y618" s="68"/>
      <c r="Z618" s="598"/>
      <c r="AK618" s="667"/>
      <c r="AL618" s="667"/>
      <c r="AM618" s="696"/>
      <c r="AN618" s="698"/>
      <c r="AO618" s="699"/>
      <c r="AP618" s="698"/>
    </row>
    <row r="619" spans="1:42" ht="14.85" customHeight="1" thickBot="1" x14ac:dyDescent="0.3">
      <c r="A619" s="612"/>
      <c r="B619" s="615"/>
      <c r="C619" s="618"/>
      <c r="D619" s="621"/>
      <c r="E619" s="124" t="s">
        <v>33</v>
      </c>
      <c r="F619" s="623">
        <f t="shared" ref="F619" si="1652">SUM(F616:G618)</f>
        <v>0</v>
      </c>
      <c r="G619" s="624"/>
      <c r="H619" s="625">
        <f t="shared" ref="H619" si="1653">SUM(H616:I618)</f>
        <v>0</v>
      </c>
      <c r="I619" s="626"/>
      <c r="J619" s="623">
        <f t="shared" ref="J619" si="1654">SUM(J616:K618)</f>
        <v>0</v>
      </c>
      <c r="K619" s="624"/>
      <c r="L619" s="625">
        <f t="shared" ref="L619" si="1655">SUM(L616:M618)</f>
        <v>0</v>
      </c>
      <c r="M619" s="642"/>
      <c r="N619" s="625">
        <f t="shared" ref="N619" si="1656">SUM(N616:O618)</f>
        <v>0</v>
      </c>
      <c r="O619" s="642"/>
      <c r="P619" s="623">
        <f t="shared" ref="P619" si="1657">SUM(P616:Q618)</f>
        <v>0</v>
      </c>
      <c r="Q619" s="626"/>
      <c r="R619" s="88">
        <f t="shared" ref="R619" si="1658">IF(AND(F619&gt;=$G$8,H619&gt;=$I$8,J619&gt;=$K$8,L619&gt;=$M$8,N619&gt;=$O$8,P619&gt;=$Q$8),SUM(F619:Q619),0)</f>
        <v>0</v>
      </c>
      <c r="S619" s="251"/>
      <c r="T619" s="97"/>
      <c r="U619" s="94"/>
      <c r="V619" s="606"/>
      <c r="W619" s="88" t="str">
        <f t="shared" ref="W619" si="1659">LOOKUP(R619,$AI$6:$AJ$10)</f>
        <v>ضعيف</v>
      </c>
      <c r="X619" s="641"/>
      <c r="Y619" s="68"/>
      <c r="Z619" s="599"/>
      <c r="AK619" s="667"/>
      <c r="AL619" s="667"/>
      <c r="AM619" s="696"/>
      <c r="AN619" s="698"/>
      <c r="AO619" s="699"/>
      <c r="AP619" s="698"/>
    </row>
    <row r="620" spans="1:42" ht="14.85" customHeight="1" thickBot="1" x14ac:dyDescent="0.3">
      <c r="A620" s="610">
        <v>134</v>
      </c>
      <c r="B620" s="613">
        <f>VLOOKUP(A620,مسلسل,2,0)</f>
        <v>0</v>
      </c>
      <c r="C620" s="616" t="str">
        <f>IFERROR(VLOOKUP(B620,اسماء,2,0),"")</f>
        <v/>
      </c>
      <c r="D620" s="619" t="str">
        <f>IFERROR(VLOOKUP($B620,اسماء,3,0),"")</f>
        <v/>
      </c>
      <c r="E620" s="129" t="s">
        <v>30</v>
      </c>
      <c r="F620" s="600">
        <f>IFERROR(VLOOKUP($B620,اسماء,5,0),0)</f>
        <v>0</v>
      </c>
      <c r="G620" s="601"/>
      <c r="H620" s="602">
        <f>IFERROR(VLOOKUP($B620,اسماء,6,0),0)</f>
        <v>0</v>
      </c>
      <c r="I620" s="622"/>
      <c r="J620" s="600">
        <f>IFERROR(VLOOKUP($B620,اسماء,7,0),0)</f>
        <v>0</v>
      </c>
      <c r="K620" s="601"/>
      <c r="L620" s="602">
        <f>IFERROR(VLOOKUP($B620,اسماء,8,0),0)</f>
        <v>0</v>
      </c>
      <c r="M620" s="603"/>
      <c r="N620" s="602">
        <f>IFERROR(VLOOKUP($B620,اسماء,9,0),0)</f>
        <v>0</v>
      </c>
      <c r="O620" s="603"/>
      <c r="P620" s="600">
        <f>IFERROR(VLOOKUP($B620,اسماء,10,0),0)</f>
        <v>0</v>
      </c>
      <c r="Q620" s="622"/>
      <c r="R620" s="371">
        <f t="shared" ref="R620" si="1660">SUM(F620:Q620)</f>
        <v>0</v>
      </c>
      <c r="S620" s="213" t="str">
        <f>IFERROR(VLOOKUP($B620,اسماء,12,0),"")</f>
        <v/>
      </c>
      <c r="T620" s="214" t="str">
        <f>IFERROR(VLOOKUP($B620,اسماء,13,0),"")</f>
        <v/>
      </c>
      <c r="U620" s="364" t="str">
        <f>IFERROR(VLOOKUP($B620,اسماء,14,0),"")</f>
        <v/>
      </c>
      <c r="V620" s="604" t="str">
        <f t="shared" ref="V620" si="1661">IF(Z620="غائب","راسب",IF(R623&gt;0,"ناجح","مرحل"))</f>
        <v>مرحل</v>
      </c>
      <c r="W620" s="19" t="str">
        <f t="shared" ref="W620:W621" si="1662">LOOKUP(R620,$AC$6:$AD$10)</f>
        <v>ضعيف</v>
      </c>
      <c r="X620" s="639">
        <f t="shared" ref="X620" si="1663">R623/$AC$3</f>
        <v>0</v>
      </c>
      <c r="Y620" s="8"/>
      <c r="Z620" s="597" t="str">
        <f>IFERROR(VLOOKUP($B620,اسماء,48,0),"")</f>
        <v/>
      </c>
      <c r="AK620" s="667" t="str">
        <f t="shared" ref="AK620" si="1664">IF(R623=0,"",R623/1+ROW()*0.00001)</f>
        <v/>
      </c>
      <c r="AL620" s="667">
        <f>B620</f>
        <v>0</v>
      </c>
      <c r="AM620" s="696"/>
      <c r="AN620" s="698">
        <v>134</v>
      </c>
      <c r="AO620" s="699" t="str">
        <f>IFERROR(LARGE($AK$10:$AK$1420,AN620),"")</f>
        <v/>
      </c>
      <c r="AP620" s="698" t="str">
        <f>VLOOKUP(AO620,$AK$10:$AL$1530,2,0)</f>
        <v>امجد عمر عبداللطيف سلطان</v>
      </c>
    </row>
    <row r="621" spans="1:42" ht="14.85" customHeight="1" x14ac:dyDescent="0.25">
      <c r="A621" s="611"/>
      <c r="B621" s="614"/>
      <c r="C621" s="617"/>
      <c r="D621" s="620"/>
      <c r="E621" s="130" t="s">
        <v>31</v>
      </c>
      <c r="F621" s="592">
        <f>IFERROR(VLOOKUP($B620,اسماء,15,0),0)</f>
        <v>0</v>
      </c>
      <c r="G621" s="593"/>
      <c r="H621" s="594">
        <f>IFERROR(VLOOKUP($B620,اسماء,16,0),0)</f>
        <v>0</v>
      </c>
      <c r="I621" s="595"/>
      <c r="J621" s="592">
        <f>IFERROR(VLOOKUP($B620,اسماء,17,0),0)</f>
        <v>0</v>
      </c>
      <c r="K621" s="593"/>
      <c r="L621" s="594">
        <f>IFERROR(VLOOKUP($B620,اسماء,18,0),0)</f>
        <v>0</v>
      </c>
      <c r="M621" s="596"/>
      <c r="N621" s="594">
        <f>IFERROR(VLOOKUP($B620,اسماء,19,0),0)</f>
        <v>0</v>
      </c>
      <c r="O621" s="596"/>
      <c r="P621" s="592">
        <f>IFERROR(VLOOKUP($B620,اسماء,20,0),0)</f>
        <v>0</v>
      </c>
      <c r="Q621" s="595"/>
      <c r="R621" s="372">
        <f t="shared" si="1638"/>
        <v>0</v>
      </c>
      <c r="S621" s="305" t="str">
        <f>IFERROR(VLOOKUP($B620,اسماء,23,0),"")</f>
        <v/>
      </c>
      <c r="T621" s="306" t="str">
        <f>IFERROR(VLOOKUP($B620,اسماء,24,0),"")</f>
        <v/>
      </c>
      <c r="U621" s="122" t="str">
        <f>IFERROR(VLOOKUP($B620,اسماء,25,0),"")</f>
        <v/>
      </c>
      <c r="V621" s="605"/>
      <c r="W621" s="19" t="str">
        <f t="shared" si="1662"/>
        <v>ضعيف</v>
      </c>
      <c r="X621" s="640"/>
      <c r="Y621" s="68"/>
      <c r="Z621" s="598"/>
      <c r="AK621" s="667"/>
      <c r="AL621" s="667"/>
      <c r="AM621" s="696"/>
      <c r="AN621" s="698"/>
      <c r="AO621" s="699"/>
      <c r="AP621" s="698"/>
    </row>
    <row r="622" spans="1:42" ht="14.85" customHeight="1" x14ac:dyDescent="0.25">
      <c r="A622" s="611"/>
      <c r="B622" s="614"/>
      <c r="C622" s="617"/>
      <c r="D622" s="620"/>
      <c r="E622" s="130" t="s">
        <v>32</v>
      </c>
      <c r="F622" s="592">
        <f>IFERROR(VLOOKUP($B620,اسماء,25,0),0)</f>
        <v>0</v>
      </c>
      <c r="G622" s="593"/>
      <c r="H622" s="594">
        <f>IFERROR(VLOOKUP($B620,اسماء,26,0),0)</f>
        <v>0</v>
      </c>
      <c r="I622" s="595"/>
      <c r="J622" s="592">
        <f>IFERROR(VLOOKUP($B620,اسماء,27,0),0)</f>
        <v>0</v>
      </c>
      <c r="K622" s="593"/>
      <c r="L622" s="594">
        <f>IFERROR(VLOOKUP($B620,اسماء,28,0),0)</f>
        <v>0</v>
      </c>
      <c r="M622" s="596"/>
      <c r="N622" s="594">
        <f>IFERROR(VLOOKUP($B620,اسماء,29,0),0)</f>
        <v>0</v>
      </c>
      <c r="O622" s="596"/>
      <c r="P622" s="592">
        <f>IFERROR(VLOOKUP($B620,اسماء,30,0),0)</f>
        <v>0</v>
      </c>
      <c r="Q622" s="595"/>
      <c r="R622" s="372">
        <f t="shared" si="1638"/>
        <v>0</v>
      </c>
      <c r="S622" s="305" t="str">
        <f>IFERROR(VLOOKUP($B620,اسماء,34,0),"")</f>
        <v/>
      </c>
      <c r="T622" s="306" t="str">
        <f>IFERROR(VLOOKUP($B620,اسماء,35,0),"")</f>
        <v/>
      </c>
      <c r="U622" s="122" t="str">
        <f>IFERROR(VLOOKUP($B620,اسماء,36,0),"")</f>
        <v/>
      </c>
      <c r="V622" s="605"/>
      <c r="W622" s="20" t="str">
        <f t="shared" ref="W622" si="1665">LOOKUP(R622,$AF$6:$AG$10)</f>
        <v>ضعيف</v>
      </c>
      <c r="X622" s="640"/>
      <c r="Y622" s="68"/>
      <c r="Z622" s="598"/>
      <c r="AK622" s="667"/>
      <c r="AL622" s="667"/>
      <c r="AM622" s="696"/>
      <c r="AN622" s="698"/>
      <c r="AO622" s="699"/>
      <c r="AP622" s="698"/>
    </row>
    <row r="623" spans="1:42" ht="14.85" customHeight="1" thickBot="1" x14ac:dyDescent="0.3">
      <c r="A623" s="612"/>
      <c r="B623" s="615"/>
      <c r="C623" s="618"/>
      <c r="D623" s="621"/>
      <c r="E623" s="124" t="s">
        <v>33</v>
      </c>
      <c r="F623" s="623">
        <f t="shared" ref="F623" si="1666">SUM(F620:G622)</f>
        <v>0</v>
      </c>
      <c r="G623" s="624"/>
      <c r="H623" s="625">
        <f t="shared" ref="H623" si="1667">SUM(H620:I622)</f>
        <v>0</v>
      </c>
      <c r="I623" s="626"/>
      <c r="J623" s="623">
        <f t="shared" ref="J623" si="1668">SUM(J620:K622)</f>
        <v>0</v>
      </c>
      <c r="K623" s="624"/>
      <c r="L623" s="625">
        <f t="shared" ref="L623" si="1669">SUM(L620:M622)</f>
        <v>0</v>
      </c>
      <c r="M623" s="642"/>
      <c r="N623" s="625">
        <f t="shared" ref="N623" si="1670">SUM(N620:O622)</f>
        <v>0</v>
      </c>
      <c r="O623" s="642"/>
      <c r="P623" s="623">
        <f t="shared" ref="P623" si="1671">SUM(P620:Q622)</f>
        <v>0</v>
      </c>
      <c r="Q623" s="626"/>
      <c r="R623" s="88">
        <f t="shared" ref="R623" si="1672">IF(AND(F623&gt;=$G$8,H623&gt;=$I$8,J623&gt;=$K$8,L623&gt;=$M$8,N623&gt;=$O$8,P623&gt;=$Q$8),SUM(F623:Q623),0)</f>
        <v>0</v>
      </c>
      <c r="S623" s="251"/>
      <c r="T623" s="97"/>
      <c r="U623" s="94"/>
      <c r="V623" s="606"/>
      <c r="W623" s="88" t="str">
        <f t="shared" ref="W623" si="1673">LOOKUP(R623,$AI$6:$AJ$10)</f>
        <v>ضعيف</v>
      </c>
      <c r="X623" s="641"/>
      <c r="Y623" s="8"/>
      <c r="Z623" s="599"/>
      <c r="AK623" s="667"/>
      <c r="AL623" s="667"/>
      <c r="AM623" s="696"/>
      <c r="AN623" s="698"/>
      <c r="AO623" s="699"/>
      <c r="AP623" s="698"/>
    </row>
    <row r="624" spans="1:42" ht="14.85" customHeight="1" thickBot="1" x14ac:dyDescent="0.3">
      <c r="A624" s="610">
        <v>135</v>
      </c>
      <c r="B624" s="613">
        <f>VLOOKUP(A624,مسلسل,2,0)</f>
        <v>0</v>
      </c>
      <c r="C624" s="616" t="str">
        <f>IFERROR(VLOOKUP(B624,اسماء,2,0),"")</f>
        <v/>
      </c>
      <c r="D624" s="619" t="str">
        <f>IFERROR(VLOOKUP($B624,اسماء,3,0),"")</f>
        <v/>
      </c>
      <c r="E624" s="129" t="s">
        <v>30</v>
      </c>
      <c r="F624" s="600">
        <f>IFERROR(VLOOKUP($B624,اسماء,5,0),0)</f>
        <v>0</v>
      </c>
      <c r="G624" s="601"/>
      <c r="H624" s="602">
        <f>IFERROR(VLOOKUP($B624,اسماء,6,0),0)</f>
        <v>0</v>
      </c>
      <c r="I624" s="622"/>
      <c r="J624" s="600">
        <f>IFERROR(VLOOKUP($B624,اسماء,7,0),0)</f>
        <v>0</v>
      </c>
      <c r="K624" s="601"/>
      <c r="L624" s="602">
        <f>IFERROR(VLOOKUP($B624,اسماء,8,0),0)</f>
        <v>0</v>
      </c>
      <c r="M624" s="603"/>
      <c r="N624" s="602">
        <f>IFERROR(VLOOKUP($B624,اسماء,9,0),0)</f>
        <v>0</v>
      </c>
      <c r="O624" s="603"/>
      <c r="P624" s="600">
        <f>IFERROR(VLOOKUP($B624,اسماء,10,0),0)</f>
        <v>0</v>
      </c>
      <c r="Q624" s="622"/>
      <c r="R624" s="371">
        <f t="shared" ref="R624" si="1674">SUM(F624:Q624)</f>
        <v>0</v>
      </c>
      <c r="S624" s="213" t="str">
        <f>IFERROR(VLOOKUP($B624,اسماء,12,0),"")</f>
        <v/>
      </c>
      <c r="T624" s="214" t="str">
        <f>IFERROR(VLOOKUP($B624,اسماء,13,0),"")</f>
        <v/>
      </c>
      <c r="U624" s="364" t="str">
        <f>IFERROR(VLOOKUP($B624,اسماء,14,0),"")</f>
        <v/>
      </c>
      <c r="V624" s="604" t="str">
        <f t="shared" ref="V624" si="1675">IF(Z624="غائب","راسب",IF(R627&gt;0,"ناجح","مرحل"))</f>
        <v>مرحل</v>
      </c>
      <c r="W624" s="19" t="str">
        <f t="shared" ref="W624:W625" si="1676">LOOKUP(R624,$AC$6:$AD$10)</f>
        <v>ضعيف</v>
      </c>
      <c r="X624" s="639">
        <f t="shared" ref="X624" si="1677">R627/$AC$3</f>
        <v>0</v>
      </c>
      <c r="Y624" s="68"/>
      <c r="Z624" s="597" t="str">
        <f>IFERROR(VLOOKUP($B624,اسماء,48,0),"")</f>
        <v/>
      </c>
      <c r="AK624" s="667" t="str">
        <f t="shared" ref="AK624" si="1678">IF(R627=0,"",R627/1+ROW()*0.00001)</f>
        <v/>
      </c>
      <c r="AL624" s="667">
        <f>B624</f>
        <v>0</v>
      </c>
      <c r="AM624" s="696"/>
      <c r="AN624" s="698">
        <v>135</v>
      </c>
      <c r="AO624" s="699" t="str">
        <f>IFERROR(LARGE($AK$10:$AK$1420,AN624),"")</f>
        <v/>
      </c>
      <c r="AP624" s="698" t="str">
        <f>VLOOKUP(AO624,$AK$10:$AL$1530,2,0)</f>
        <v>امجد عمر عبداللطيف سلطان</v>
      </c>
    </row>
    <row r="625" spans="1:42" ht="14.85" customHeight="1" x14ac:dyDescent="0.25">
      <c r="A625" s="611"/>
      <c r="B625" s="614"/>
      <c r="C625" s="617"/>
      <c r="D625" s="620"/>
      <c r="E625" s="130" t="s">
        <v>31</v>
      </c>
      <c r="F625" s="592">
        <f>IFERROR(VLOOKUP($B624,اسماء,15,0),0)</f>
        <v>0</v>
      </c>
      <c r="G625" s="593"/>
      <c r="H625" s="594">
        <f>IFERROR(VLOOKUP($B624,اسماء,16,0),0)</f>
        <v>0</v>
      </c>
      <c r="I625" s="595"/>
      <c r="J625" s="592">
        <f>IFERROR(VLOOKUP($B624,اسماء,17,0),0)</f>
        <v>0</v>
      </c>
      <c r="K625" s="593"/>
      <c r="L625" s="594">
        <f>IFERROR(VLOOKUP($B624,اسماء,18,0),0)</f>
        <v>0</v>
      </c>
      <c r="M625" s="596"/>
      <c r="N625" s="594">
        <f>IFERROR(VLOOKUP($B624,اسماء,19,0),0)</f>
        <v>0</v>
      </c>
      <c r="O625" s="596"/>
      <c r="P625" s="592">
        <f>IFERROR(VLOOKUP($B624,اسماء,20,0),0)</f>
        <v>0</v>
      </c>
      <c r="Q625" s="595"/>
      <c r="R625" s="372">
        <f t="shared" si="1638"/>
        <v>0</v>
      </c>
      <c r="S625" s="305" t="str">
        <f>IFERROR(VLOOKUP($B624,اسماء,23,0),"")</f>
        <v/>
      </c>
      <c r="T625" s="306" t="str">
        <f>IFERROR(VLOOKUP($B624,اسماء,24,0),"")</f>
        <v/>
      </c>
      <c r="U625" s="122" t="str">
        <f>IFERROR(VLOOKUP($B624,اسماء,25,0),"")</f>
        <v/>
      </c>
      <c r="V625" s="605"/>
      <c r="W625" s="19" t="str">
        <f t="shared" si="1676"/>
        <v>ضعيف</v>
      </c>
      <c r="X625" s="640"/>
      <c r="Y625" s="68"/>
      <c r="Z625" s="598"/>
      <c r="AK625" s="667"/>
      <c r="AL625" s="667"/>
      <c r="AM625" s="696"/>
      <c r="AN625" s="698"/>
      <c r="AO625" s="699"/>
      <c r="AP625" s="698"/>
    </row>
    <row r="626" spans="1:42" ht="14.85" customHeight="1" x14ac:dyDescent="0.25">
      <c r="A626" s="611"/>
      <c r="B626" s="614"/>
      <c r="C626" s="617"/>
      <c r="D626" s="620"/>
      <c r="E626" s="130" t="s">
        <v>32</v>
      </c>
      <c r="F626" s="592">
        <f>IFERROR(VLOOKUP($B624,اسماء,25,0),0)</f>
        <v>0</v>
      </c>
      <c r="G626" s="593"/>
      <c r="H626" s="594">
        <f>IFERROR(VLOOKUP($B624,اسماء,26,0),0)</f>
        <v>0</v>
      </c>
      <c r="I626" s="595"/>
      <c r="J626" s="592">
        <f>IFERROR(VLOOKUP($B624,اسماء,27,0),0)</f>
        <v>0</v>
      </c>
      <c r="K626" s="593"/>
      <c r="L626" s="594">
        <f>IFERROR(VLOOKUP($B624,اسماء,28,0),0)</f>
        <v>0</v>
      </c>
      <c r="M626" s="596"/>
      <c r="N626" s="594">
        <f>IFERROR(VLOOKUP($B624,اسماء,29,0),0)</f>
        <v>0</v>
      </c>
      <c r="O626" s="596"/>
      <c r="P626" s="592">
        <f>IFERROR(VLOOKUP($B624,اسماء,30,0),0)</f>
        <v>0</v>
      </c>
      <c r="Q626" s="595"/>
      <c r="R626" s="372">
        <f t="shared" si="1638"/>
        <v>0</v>
      </c>
      <c r="S626" s="305" t="str">
        <f>IFERROR(VLOOKUP($B624,اسماء,34,0),"")</f>
        <v/>
      </c>
      <c r="T626" s="306" t="str">
        <f>IFERROR(VLOOKUP($B624,اسماء,35,0),"")</f>
        <v/>
      </c>
      <c r="U626" s="122" t="str">
        <f>IFERROR(VLOOKUP($B624,اسماء,36,0),"")</f>
        <v/>
      </c>
      <c r="V626" s="605"/>
      <c r="W626" s="20" t="str">
        <f t="shared" ref="W626" si="1679">LOOKUP(R626,$AF$6:$AG$10)</f>
        <v>ضعيف</v>
      </c>
      <c r="X626" s="640"/>
      <c r="Y626" s="8"/>
      <c r="Z626" s="598"/>
      <c r="AK626" s="667"/>
      <c r="AL626" s="667"/>
      <c r="AM626" s="696"/>
      <c r="AN626" s="698"/>
      <c r="AO626" s="699"/>
      <c r="AP626" s="698"/>
    </row>
    <row r="627" spans="1:42" ht="14.85" customHeight="1" thickBot="1" x14ac:dyDescent="0.3">
      <c r="A627" s="612"/>
      <c r="B627" s="615"/>
      <c r="C627" s="618"/>
      <c r="D627" s="621"/>
      <c r="E627" s="124" t="s">
        <v>33</v>
      </c>
      <c r="F627" s="623">
        <f t="shared" ref="F627" si="1680">SUM(F624:G626)</f>
        <v>0</v>
      </c>
      <c r="G627" s="624"/>
      <c r="H627" s="625">
        <f t="shared" ref="H627" si="1681">SUM(H624:I626)</f>
        <v>0</v>
      </c>
      <c r="I627" s="626"/>
      <c r="J627" s="623">
        <f t="shared" ref="J627" si="1682">SUM(J624:K626)</f>
        <v>0</v>
      </c>
      <c r="K627" s="624"/>
      <c r="L627" s="625">
        <f t="shared" ref="L627" si="1683">SUM(L624:M626)</f>
        <v>0</v>
      </c>
      <c r="M627" s="642"/>
      <c r="N627" s="625">
        <f t="shared" ref="N627" si="1684">SUM(N624:O626)</f>
        <v>0</v>
      </c>
      <c r="O627" s="642"/>
      <c r="P627" s="623">
        <f t="shared" ref="P627" si="1685">SUM(P624:Q626)</f>
        <v>0</v>
      </c>
      <c r="Q627" s="626"/>
      <c r="R627" s="88">
        <f t="shared" ref="R627" si="1686">IF(AND(F627&gt;=$G$8,H627&gt;=$I$8,J627&gt;=$K$8,L627&gt;=$M$8,N627&gt;=$O$8,P627&gt;=$Q$8),SUM(F627:Q627),0)</f>
        <v>0</v>
      </c>
      <c r="S627" s="251"/>
      <c r="T627" s="97"/>
      <c r="U627" s="94"/>
      <c r="V627" s="606"/>
      <c r="W627" s="88" t="str">
        <f t="shared" ref="W627" si="1687">LOOKUP(R627,$AI$6:$AJ$10)</f>
        <v>ضعيف</v>
      </c>
      <c r="X627" s="641"/>
      <c r="Y627" s="68"/>
      <c r="Z627" s="599"/>
      <c r="AK627" s="667"/>
      <c r="AL627" s="667"/>
      <c r="AM627" s="696"/>
      <c r="AN627" s="698"/>
      <c r="AO627" s="699"/>
      <c r="AP627" s="698"/>
    </row>
    <row r="628" spans="1:42" ht="14.85" customHeight="1" thickBot="1" x14ac:dyDescent="0.3">
      <c r="A628" s="610">
        <v>136</v>
      </c>
      <c r="B628" s="613">
        <f>VLOOKUP(A628,مسلسل,2,0)</f>
        <v>0</v>
      </c>
      <c r="C628" s="616" t="str">
        <f>IFERROR(VLOOKUP(B628,اسماء,2,0),"")</f>
        <v/>
      </c>
      <c r="D628" s="619" t="str">
        <f>IFERROR(VLOOKUP($B628,اسماء,3,0),"")</f>
        <v/>
      </c>
      <c r="E628" s="129" t="s">
        <v>30</v>
      </c>
      <c r="F628" s="600">
        <f>IFERROR(VLOOKUP($B628,اسماء,5,0),0)</f>
        <v>0</v>
      </c>
      <c r="G628" s="601"/>
      <c r="H628" s="602">
        <f>IFERROR(VLOOKUP($B628,اسماء,6,0),0)</f>
        <v>0</v>
      </c>
      <c r="I628" s="622"/>
      <c r="J628" s="600">
        <f>IFERROR(VLOOKUP($B628,اسماء,7,0),0)</f>
        <v>0</v>
      </c>
      <c r="K628" s="601"/>
      <c r="L628" s="602">
        <f>IFERROR(VLOOKUP($B628,اسماء,8,0),0)</f>
        <v>0</v>
      </c>
      <c r="M628" s="603"/>
      <c r="N628" s="602">
        <f>IFERROR(VLOOKUP($B628,اسماء,9,0),0)</f>
        <v>0</v>
      </c>
      <c r="O628" s="603"/>
      <c r="P628" s="600">
        <f>IFERROR(VLOOKUP($B628,اسماء,10,0),0)</f>
        <v>0</v>
      </c>
      <c r="Q628" s="622"/>
      <c r="R628" s="371">
        <f t="shared" ref="R628" si="1688">SUM(F628:Q628)</f>
        <v>0</v>
      </c>
      <c r="S628" s="213" t="str">
        <f>IFERROR(VLOOKUP($B628,اسماء,12,0),"")</f>
        <v/>
      </c>
      <c r="T628" s="214" t="str">
        <f>IFERROR(VLOOKUP($B628,اسماء,13,0),"")</f>
        <v/>
      </c>
      <c r="U628" s="364" t="str">
        <f>IFERROR(VLOOKUP($B628,اسماء,14,0),"")</f>
        <v/>
      </c>
      <c r="V628" s="604" t="str">
        <f t="shared" ref="V628" si="1689">IF(Z628="غائب","راسب",IF(R631&gt;0,"ناجح","مرحل"))</f>
        <v>مرحل</v>
      </c>
      <c r="W628" s="19" t="str">
        <f t="shared" ref="W628:W629" si="1690">LOOKUP(R628,$AC$6:$AD$10)</f>
        <v>ضعيف</v>
      </c>
      <c r="X628" s="639">
        <f t="shared" ref="X628" si="1691">R631/$AC$3</f>
        <v>0</v>
      </c>
      <c r="Y628" s="68"/>
      <c r="Z628" s="597" t="str">
        <f>IFERROR(VLOOKUP($B628,اسماء,48,0),"")</f>
        <v/>
      </c>
      <c r="AK628" s="667" t="str">
        <f t="shared" ref="AK628" si="1692">IF(R631=0,"",R631/1+ROW()*0.00001)</f>
        <v/>
      </c>
      <c r="AL628" s="667">
        <f>B628</f>
        <v>0</v>
      </c>
      <c r="AM628" s="696"/>
      <c r="AN628" s="698">
        <v>136</v>
      </c>
      <c r="AO628" s="699" t="str">
        <f>IFERROR(LARGE($AK$10:$AK$1420,AN628),"")</f>
        <v/>
      </c>
      <c r="AP628" s="698" t="str">
        <f>VLOOKUP(AO628,$AK$10:$AL$1530,2,0)</f>
        <v>امجد عمر عبداللطيف سلطان</v>
      </c>
    </row>
    <row r="629" spans="1:42" ht="14.85" customHeight="1" x14ac:dyDescent="0.25">
      <c r="A629" s="611"/>
      <c r="B629" s="614"/>
      <c r="C629" s="617"/>
      <c r="D629" s="620"/>
      <c r="E629" s="130" t="s">
        <v>31</v>
      </c>
      <c r="F629" s="592">
        <f>IFERROR(VLOOKUP($B628,اسماء,15,0),0)</f>
        <v>0</v>
      </c>
      <c r="G629" s="593"/>
      <c r="H629" s="594">
        <f>IFERROR(VLOOKUP($B628,اسماء,16,0),0)</f>
        <v>0</v>
      </c>
      <c r="I629" s="595"/>
      <c r="J629" s="592">
        <f>IFERROR(VLOOKUP($B628,اسماء,17,0),0)</f>
        <v>0</v>
      </c>
      <c r="K629" s="593"/>
      <c r="L629" s="594">
        <f>IFERROR(VLOOKUP($B628,اسماء,18,0),0)</f>
        <v>0</v>
      </c>
      <c r="M629" s="596"/>
      <c r="N629" s="594">
        <f>IFERROR(VLOOKUP($B628,اسماء,19,0),0)</f>
        <v>0</v>
      </c>
      <c r="O629" s="596"/>
      <c r="P629" s="592">
        <f>IFERROR(VLOOKUP($B628,اسماء,20,0),0)</f>
        <v>0</v>
      </c>
      <c r="Q629" s="595"/>
      <c r="R629" s="372">
        <f t="shared" si="1638"/>
        <v>0</v>
      </c>
      <c r="S629" s="305" t="str">
        <f>IFERROR(VLOOKUP($B628,اسماء,23,0),"")</f>
        <v/>
      </c>
      <c r="T629" s="306" t="str">
        <f>IFERROR(VLOOKUP($B628,اسماء,24,0),"")</f>
        <v/>
      </c>
      <c r="U629" s="122" t="str">
        <f>IFERROR(VLOOKUP($B628,اسماء,25,0),"")</f>
        <v/>
      </c>
      <c r="V629" s="605"/>
      <c r="W629" s="19" t="str">
        <f t="shared" si="1690"/>
        <v>ضعيف</v>
      </c>
      <c r="X629" s="640"/>
      <c r="Y629" s="8"/>
      <c r="Z629" s="598"/>
      <c r="AK629" s="667"/>
      <c r="AL629" s="667"/>
      <c r="AM629" s="696"/>
      <c r="AN629" s="698"/>
      <c r="AO629" s="699"/>
      <c r="AP629" s="698"/>
    </row>
    <row r="630" spans="1:42" ht="14.85" customHeight="1" x14ac:dyDescent="0.25">
      <c r="A630" s="611"/>
      <c r="B630" s="614"/>
      <c r="C630" s="617"/>
      <c r="D630" s="620"/>
      <c r="E630" s="130" t="s">
        <v>32</v>
      </c>
      <c r="F630" s="592">
        <f>IFERROR(VLOOKUP($B628,اسماء,25,0),0)</f>
        <v>0</v>
      </c>
      <c r="G630" s="593"/>
      <c r="H630" s="594">
        <f>IFERROR(VLOOKUP($B628,اسماء,26,0),0)</f>
        <v>0</v>
      </c>
      <c r="I630" s="595"/>
      <c r="J630" s="592">
        <f>IFERROR(VLOOKUP($B628,اسماء,27,0),0)</f>
        <v>0</v>
      </c>
      <c r="K630" s="593"/>
      <c r="L630" s="594">
        <f>IFERROR(VLOOKUP($B628,اسماء,28,0),0)</f>
        <v>0</v>
      </c>
      <c r="M630" s="596"/>
      <c r="N630" s="594">
        <f>IFERROR(VLOOKUP($B628,اسماء,29,0),0)</f>
        <v>0</v>
      </c>
      <c r="O630" s="596"/>
      <c r="P630" s="592">
        <f>IFERROR(VLOOKUP($B628,اسماء,30,0),0)</f>
        <v>0</v>
      </c>
      <c r="Q630" s="595"/>
      <c r="R630" s="372">
        <f t="shared" si="1638"/>
        <v>0</v>
      </c>
      <c r="S630" s="305" t="str">
        <f>IFERROR(VLOOKUP($B628,اسماء,34,0),"")</f>
        <v/>
      </c>
      <c r="T630" s="306" t="str">
        <f>IFERROR(VLOOKUP($B628,اسماء,35,0),"")</f>
        <v/>
      </c>
      <c r="U630" s="122" t="str">
        <f>IFERROR(VLOOKUP($B628,اسماء,36,0),"")</f>
        <v/>
      </c>
      <c r="V630" s="605"/>
      <c r="W630" s="20" t="str">
        <f t="shared" ref="W630" si="1693">LOOKUP(R630,$AF$6:$AG$10)</f>
        <v>ضعيف</v>
      </c>
      <c r="X630" s="640"/>
      <c r="Y630" s="68"/>
      <c r="Z630" s="598"/>
      <c r="AK630" s="667"/>
      <c r="AL630" s="667"/>
      <c r="AM630" s="696"/>
      <c r="AN630" s="698"/>
      <c r="AO630" s="699"/>
      <c r="AP630" s="698"/>
    </row>
    <row r="631" spans="1:42" ht="14.85" customHeight="1" thickBot="1" x14ac:dyDescent="0.3">
      <c r="A631" s="612"/>
      <c r="B631" s="615"/>
      <c r="C631" s="618"/>
      <c r="D631" s="621"/>
      <c r="E631" s="124" t="s">
        <v>33</v>
      </c>
      <c r="F631" s="623">
        <f t="shared" ref="F631" si="1694">SUM(F628:G630)</f>
        <v>0</v>
      </c>
      <c r="G631" s="624"/>
      <c r="H631" s="625">
        <f t="shared" ref="H631" si="1695">SUM(H628:I630)</f>
        <v>0</v>
      </c>
      <c r="I631" s="626"/>
      <c r="J631" s="623">
        <f t="shared" ref="J631" si="1696">SUM(J628:K630)</f>
        <v>0</v>
      </c>
      <c r="K631" s="624"/>
      <c r="L631" s="625">
        <f t="shared" ref="L631" si="1697">SUM(L628:M630)</f>
        <v>0</v>
      </c>
      <c r="M631" s="642"/>
      <c r="N631" s="625">
        <f t="shared" ref="N631" si="1698">SUM(N628:O630)</f>
        <v>0</v>
      </c>
      <c r="O631" s="642"/>
      <c r="P631" s="623">
        <f t="shared" ref="P631" si="1699">SUM(P628:Q630)</f>
        <v>0</v>
      </c>
      <c r="Q631" s="626"/>
      <c r="R631" s="88">
        <f t="shared" ref="R631" si="1700">IF(AND(F631&gt;=$G$8,H631&gt;=$I$8,J631&gt;=$K$8,L631&gt;=$M$8,N631&gt;=$O$8,P631&gt;=$Q$8),SUM(F631:Q631),0)</f>
        <v>0</v>
      </c>
      <c r="S631" s="251"/>
      <c r="T631" s="97"/>
      <c r="U631" s="94"/>
      <c r="V631" s="606"/>
      <c r="W631" s="88" t="str">
        <f t="shared" ref="W631" si="1701">LOOKUP(R631,$AI$6:$AJ$10)</f>
        <v>ضعيف</v>
      </c>
      <c r="X631" s="641"/>
      <c r="Y631" s="68"/>
      <c r="Z631" s="599"/>
      <c r="AK631" s="667"/>
      <c r="AL631" s="667"/>
      <c r="AM631" s="696"/>
      <c r="AN631" s="698"/>
      <c r="AO631" s="699"/>
      <c r="AP631" s="698"/>
    </row>
    <row r="632" spans="1:42" ht="14.85" customHeight="1" thickBot="1" x14ac:dyDescent="0.3">
      <c r="A632" s="610">
        <v>137</v>
      </c>
      <c r="B632" s="613">
        <f>VLOOKUP(A632,مسلسل,2,0)</f>
        <v>0</v>
      </c>
      <c r="C632" s="616" t="str">
        <f>IFERROR(VLOOKUP(B632,اسماء,2,0),"")</f>
        <v/>
      </c>
      <c r="D632" s="619" t="str">
        <f>IFERROR(VLOOKUP($B632,اسماء,3,0),"")</f>
        <v/>
      </c>
      <c r="E632" s="129" t="s">
        <v>30</v>
      </c>
      <c r="F632" s="600">
        <f>IFERROR(VLOOKUP($B632,اسماء,5,0),0)</f>
        <v>0</v>
      </c>
      <c r="G632" s="601"/>
      <c r="H632" s="602">
        <f>IFERROR(VLOOKUP($B632,اسماء,6,0),0)</f>
        <v>0</v>
      </c>
      <c r="I632" s="622"/>
      <c r="J632" s="600">
        <f>IFERROR(VLOOKUP($B632,اسماء,7,0),0)</f>
        <v>0</v>
      </c>
      <c r="K632" s="601"/>
      <c r="L632" s="602">
        <f>IFERROR(VLOOKUP($B632,اسماء,8,0),0)</f>
        <v>0</v>
      </c>
      <c r="M632" s="603"/>
      <c r="N632" s="602">
        <f>IFERROR(VLOOKUP($B632,اسماء,9,0),0)</f>
        <v>0</v>
      </c>
      <c r="O632" s="603"/>
      <c r="P632" s="600">
        <f>IFERROR(VLOOKUP($B632,اسماء,10,0),0)</f>
        <v>0</v>
      </c>
      <c r="Q632" s="622"/>
      <c r="R632" s="371">
        <f t="shared" ref="R632" si="1702">SUM(F632:Q632)</f>
        <v>0</v>
      </c>
      <c r="S632" s="213" t="str">
        <f>IFERROR(VLOOKUP($B632,اسماء,12,0),"")</f>
        <v/>
      </c>
      <c r="T632" s="214" t="str">
        <f>IFERROR(VLOOKUP($B632,اسماء,13,0),"")</f>
        <v/>
      </c>
      <c r="U632" s="364" t="str">
        <f>IFERROR(VLOOKUP($B632,اسماء,14,0),"")</f>
        <v/>
      </c>
      <c r="V632" s="604" t="str">
        <f t="shared" ref="V632" si="1703">IF(Z632="غائب","راسب",IF(R635&gt;0,"ناجح","مرحل"))</f>
        <v>مرحل</v>
      </c>
      <c r="W632" s="19" t="str">
        <f t="shared" ref="W632:W633" si="1704">LOOKUP(R632,$AC$6:$AD$10)</f>
        <v>ضعيف</v>
      </c>
      <c r="X632" s="639">
        <f t="shared" ref="X632" si="1705">R635/$AC$3</f>
        <v>0</v>
      </c>
      <c r="Y632" s="8"/>
      <c r="Z632" s="597" t="str">
        <f>IFERROR(VLOOKUP($B632,اسماء,48,0),"")</f>
        <v/>
      </c>
      <c r="AK632" s="667" t="str">
        <f t="shared" ref="AK632" si="1706">IF(R635=0,"",R635/1+ROW()*0.00001)</f>
        <v/>
      </c>
      <c r="AL632" s="667">
        <f>B632</f>
        <v>0</v>
      </c>
      <c r="AM632" s="696"/>
      <c r="AN632" s="698">
        <v>137</v>
      </c>
      <c r="AO632" s="699" t="str">
        <f>IFERROR(LARGE($AK$10:$AK$1420,AN632),"")</f>
        <v/>
      </c>
      <c r="AP632" s="698" t="str">
        <f>VLOOKUP(AO632,$AK$10:$AL$1530,2,0)</f>
        <v>امجد عمر عبداللطيف سلطان</v>
      </c>
    </row>
    <row r="633" spans="1:42" ht="14.85" customHeight="1" x14ac:dyDescent="0.25">
      <c r="A633" s="611"/>
      <c r="B633" s="614"/>
      <c r="C633" s="617"/>
      <c r="D633" s="620"/>
      <c r="E633" s="130" t="s">
        <v>31</v>
      </c>
      <c r="F633" s="592">
        <f>IFERROR(VLOOKUP($B632,اسماء,15,0),0)</f>
        <v>0</v>
      </c>
      <c r="G633" s="593"/>
      <c r="H633" s="594">
        <f>IFERROR(VLOOKUP($B632,اسماء,16,0),0)</f>
        <v>0</v>
      </c>
      <c r="I633" s="595"/>
      <c r="J633" s="592">
        <f>IFERROR(VLOOKUP($B632,اسماء,17,0),0)</f>
        <v>0</v>
      </c>
      <c r="K633" s="593"/>
      <c r="L633" s="594">
        <f>IFERROR(VLOOKUP($B632,اسماء,18,0),0)</f>
        <v>0</v>
      </c>
      <c r="M633" s="596"/>
      <c r="N633" s="594">
        <f>IFERROR(VLOOKUP($B632,اسماء,19,0),0)</f>
        <v>0</v>
      </c>
      <c r="O633" s="596"/>
      <c r="P633" s="592">
        <f>IFERROR(VLOOKUP($B632,اسماء,20,0),0)</f>
        <v>0</v>
      </c>
      <c r="Q633" s="595"/>
      <c r="R633" s="372">
        <f t="shared" si="1638"/>
        <v>0</v>
      </c>
      <c r="S633" s="305" t="str">
        <f>IFERROR(VLOOKUP($B632,اسماء,23,0),"")</f>
        <v/>
      </c>
      <c r="T633" s="306" t="str">
        <f>IFERROR(VLOOKUP($B632,اسماء,24,0),"")</f>
        <v/>
      </c>
      <c r="U633" s="122" t="str">
        <f>IFERROR(VLOOKUP($B632,اسماء,25,0),"")</f>
        <v/>
      </c>
      <c r="V633" s="605"/>
      <c r="W633" s="19" t="str">
        <f t="shared" si="1704"/>
        <v>ضعيف</v>
      </c>
      <c r="X633" s="640"/>
      <c r="Y633" s="68"/>
      <c r="Z633" s="598"/>
      <c r="AK633" s="667"/>
      <c r="AL633" s="667"/>
      <c r="AM633" s="696"/>
      <c r="AN633" s="698"/>
      <c r="AO633" s="699"/>
      <c r="AP633" s="698"/>
    </row>
    <row r="634" spans="1:42" ht="14.85" customHeight="1" x14ac:dyDescent="0.25">
      <c r="A634" s="611"/>
      <c r="B634" s="614"/>
      <c r="C634" s="617"/>
      <c r="D634" s="620"/>
      <c r="E634" s="130" t="s">
        <v>32</v>
      </c>
      <c r="F634" s="592">
        <f>IFERROR(VLOOKUP($B632,اسماء,25,0),0)</f>
        <v>0</v>
      </c>
      <c r="G634" s="593"/>
      <c r="H634" s="594">
        <f>IFERROR(VLOOKUP($B632,اسماء,26,0),0)</f>
        <v>0</v>
      </c>
      <c r="I634" s="595"/>
      <c r="J634" s="592">
        <f>IFERROR(VLOOKUP($B632,اسماء,27,0),0)</f>
        <v>0</v>
      </c>
      <c r="K634" s="593"/>
      <c r="L634" s="594">
        <f>IFERROR(VLOOKUP($B632,اسماء,28,0),0)</f>
        <v>0</v>
      </c>
      <c r="M634" s="596"/>
      <c r="N634" s="594">
        <f>IFERROR(VLOOKUP($B632,اسماء,29,0),0)</f>
        <v>0</v>
      </c>
      <c r="O634" s="596"/>
      <c r="P634" s="592">
        <f>IFERROR(VLOOKUP($B632,اسماء,30,0),0)</f>
        <v>0</v>
      </c>
      <c r="Q634" s="595"/>
      <c r="R634" s="372">
        <f t="shared" si="1638"/>
        <v>0</v>
      </c>
      <c r="S634" s="305" t="str">
        <f>IFERROR(VLOOKUP($B632,اسماء,34,0),"")</f>
        <v/>
      </c>
      <c r="T634" s="306" t="str">
        <f>IFERROR(VLOOKUP($B632,اسماء,35,0),"")</f>
        <v/>
      </c>
      <c r="U634" s="122" t="str">
        <f>IFERROR(VLOOKUP($B632,اسماء,36,0),"")</f>
        <v/>
      </c>
      <c r="V634" s="605"/>
      <c r="W634" s="20" t="str">
        <f t="shared" ref="W634" si="1707">LOOKUP(R634,$AF$6:$AG$10)</f>
        <v>ضعيف</v>
      </c>
      <c r="X634" s="640"/>
      <c r="Y634" s="68"/>
      <c r="Z634" s="598"/>
      <c r="AK634" s="667"/>
      <c r="AL634" s="667"/>
      <c r="AM634" s="696"/>
      <c r="AN634" s="698"/>
      <c r="AO634" s="699"/>
      <c r="AP634" s="698"/>
    </row>
    <row r="635" spans="1:42" ht="14.85" customHeight="1" thickBot="1" x14ac:dyDescent="0.3">
      <c r="A635" s="612"/>
      <c r="B635" s="615"/>
      <c r="C635" s="618"/>
      <c r="D635" s="621"/>
      <c r="E635" s="124" t="s">
        <v>33</v>
      </c>
      <c r="F635" s="623">
        <f t="shared" ref="F635" si="1708">SUM(F632:G634)</f>
        <v>0</v>
      </c>
      <c r="G635" s="624"/>
      <c r="H635" s="625">
        <f t="shared" ref="H635" si="1709">SUM(H632:I634)</f>
        <v>0</v>
      </c>
      <c r="I635" s="626"/>
      <c r="J635" s="623">
        <f t="shared" ref="J635" si="1710">SUM(J632:K634)</f>
        <v>0</v>
      </c>
      <c r="K635" s="624"/>
      <c r="L635" s="625">
        <f t="shared" ref="L635" si="1711">SUM(L632:M634)</f>
        <v>0</v>
      </c>
      <c r="M635" s="642"/>
      <c r="N635" s="625">
        <f t="shared" ref="N635" si="1712">SUM(N632:O634)</f>
        <v>0</v>
      </c>
      <c r="O635" s="642"/>
      <c r="P635" s="623">
        <f t="shared" ref="P635" si="1713">SUM(P632:Q634)</f>
        <v>0</v>
      </c>
      <c r="Q635" s="626"/>
      <c r="R635" s="88">
        <f t="shared" ref="R635" si="1714">IF(AND(F635&gt;=$G$8,H635&gt;=$I$8,J635&gt;=$K$8,L635&gt;=$M$8,N635&gt;=$O$8,P635&gt;=$Q$8),SUM(F635:Q635),0)</f>
        <v>0</v>
      </c>
      <c r="S635" s="251"/>
      <c r="T635" s="97"/>
      <c r="U635" s="94"/>
      <c r="V635" s="606"/>
      <c r="W635" s="88" t="str">
        <f t="shared" ref="W635" si="1715">LOOKUP(R635,$AI$6:$AJ$10)</f>
        <v>ضعيف</v>
      </c>
      <c r="X635" s="641"/>
      <c r="Y635" s="8"/>
      <c r="Z635" s="599"/>
      <c r="AK635" s="667"/>
      <c r="AL635" s="667"/>
      <c r="AM635" s="696"/>
      <c r="AN635" s="698"/>
      <c r="AO635" s="699"/>
      <c r="AP635" s="698"/>
    </row>
    <row r="636" spans="1:42" ht="14.85" customHeight="1" thickBot="1" x14ac:dyDescent="0.3">
      <c r="A636" s="610">
        <v>138</v>
      </c>
      <c r="B636" s="613">
        <f>VLOOKUP(A636,مسلسل,2,0)</f>
        <v>0</v>
      </c>
      <c r="C636" s="616" t="str">
        <f>IFERROR(VLOOKUP(B636,اسماء,2,0),"")</f>
        <v/>
      </c>
      <c r="D636" s="619" t="str">
        <f>IFERROR(VLOOKUP($B636,اسماء,3,0),"")</f>
        <v/>
      </c>
      <c r="E636" s="129" t="s">
        <v>30</v>
      </c>
      <c r="F636" s="600">
        <f>IFERROR(VLOOKUP($B636,اسماء,5,0),0)</f>
        <v>0</v>
      </c>
      <c r="G636" s="601"/>
      <c r="H636" s="602">
        <f>IFERROR(VLOOKUP($B636,اسماء,6,0),0)</f>
        <v>0</v>
      </c>
      <c r="I636" s="622"/>
      <c r="J636" s="600">
        <f>IFERROR(VLOOKUP($B636,اسماء,7,0),0)</f>
        <v>0</v>
      </c>
      <c r="K636" s="601"/>
      <c r="L636" s="602">
        <f>IFERROR(VLOOKUP($B636,اسماء,8,0),0)</f>
        <v>0</v>
      </c>
      <c r="M636" s="603"/>
      <c r="N636" s="602">
        <f>IFERROR(VLOOKUP($B636,اسماء,9,0),0)</f>
        <v>0</v>
      </c>
      <c r="O636" s="603"/>
      <c r="P636" s="600">
        <f>IFERROR(VLOOKUP($B636,اسماء,10,0),0)</f>
        <v>0</v>
      </c>
      <c r="Q636" s="622"/>
      <c r="R636" s="371">
        <f t="shared" ref="R636" si="1716">SUM(F636:Q636)</f>
        <v>0</v>
      </c>
      <c r="S636" s="213" t="str">
        <f>IFERROR(VLOOKUP($B636,اسماء,12,0),"")</f>
        <v/>
      </c>
      <c r="T636" s="214" t="str">
        <f>IFERROR(VLOOKUP($B636,اسماء,13,0),"")</f>
        <v/>
      </c>
      <c r="U636" s="364" t="str">
        <f>IFERROR(VLOOKUP($B636,اسماء,14,0),"")</f>
        <v/>
      </c>
      <c r="V636" s="604" t="str">
        <f t="shared" ref="V636" si="1717">IF(Z636="غائب","راسب",IF(R639&gt;0,"ناجح","مرحل"))</f>
        <v>مرحل</v>
      </c>
      <c r="W636" s="19" t="str">
        <f t="shared" ref="W636:W637" si="1718">LOOKUP(R636,$AC$6:$AD$10)</f>
        <v>ضعيف</v>
      </c>
      <c r="X636" s="639">
        <f t="shared" ref="X636" si="1719">R639/$AC$3</f>
        <v>0</v>
      </c>
      <c r="Y636" s="68"/>
      <c r="Z636" s="597" t="str">
        <f>IFERROR(VLOOKUP($B636,اسماء,48,0),"")</f>
        <v/>
      </c>
      <c r="AK636" s="667" t="str">
        <f t="shared" ref="AK636" si="1720">IF(R639=0,"",R639/1+ROW()*0.00001)</f>
        <v/>
      </c>
      <c r="AL636" s="667">
        <f>B636</f>
        <v>0</v>
      </c>
      <c r="AM636" s="696"/>
      <c r="AN636" s="698">
        <v>138</v>
      </c>
      <c r="AO636" s="699" t="str">
        <f>IFERROR(LARGE($AK$10:$AK$1420,AN636),"")</f>
        <v/>
      </c>
      <c r="AP636" s="698" t="str">
        <f>VLOOKUP(AO636,$AK$10:$AL$1530,2,0)</f>
        <v>امجد عمر عبداللطيف سلطان</v>
      </c>
    </row>
    <row r="637" spans="1:42" ht="14.85" customHeight="1" x14ac:dyDescent="0.25">
      <c r="A637" s="611"/>
      <c r="B637" s="614"/>
      <c r="C637" s="617"/>
      <c r="D637" s="620"/>
      <c r="E637" s="130" t="s">
        <v>31</v>
      </c>
      <c r="F637" s="592">
        <f>IFERROR(VLOOKUP($B636,اسماء,15,0),0)</f>
        <v>0</v>
      </c>
      <c r="G637" s="593"/>
      <c r="H637" s="594">
        <f>IFERROR(VLOOKUP($B636,اسماء,16,0),0)</f>
        <v>0</v>
      </c>
      <c r="I637" s="595"/>
      <c r="J637" s="592">
        <f>IFERROR(VLOOKUP($B636,اسماء,17,0),0)</f>
        <v>0</v>
      </c>
      <c r="K637" s="593"/>
      <c r="L637" s="594">
        <f>IFERROR(VLOOKUP($B636,اسماء,18,0),0)</f>
        <v>0</v>
      </c>
      <c r="M637" s="596"/>
      <c r="N637" s="594">
        <f>IFERROR(VLOOKUP($B636,اسماء,19,0),0)</f>
        <v>0</v>
      </c>
      <c r="O637" s="596"/>
      <c r="P637" s="592">
        <f>IFERROR(VLOOKUP($B636,اسماء,20,0),0)</f>
        <v>0</v>
      </c>
      <c r="Q637" s="595"/>
      <c r="R637" s="372">
        <f t="shared" si="1638"/>
        <v>0</v>
      </c>
      <c r="S637" s="305" t="str">
        <f>IFERROR(VLOOKUP($B636,اسماء,23,0),"")</f>
        <v/>
      </c>
      <c r="T637" s="306" t="str">
        <f>IFERROR(VLOOKUP($B636,اسماء,24,0),"")</f>
        <v/>
      </c>
      <c r="U637" s="122" t="str">
        <f>IFERROR(VLOOKUP($B636,اسماء,25,0),"")</f>
        <v/>
      </c>
      <c r="V637" s="605"/>
      <c r="W637" s="19" t="str">
        <f t="shared" si="1718"/>
        <v>ضعيف</v>
      </c>
      <c r="X637" s="640"/>
      <c r="Y637" s="68"/>
      <c r="Z637" s="598"/>
      <c r="AK637" s="667"/>
      <c r="AL637" s="667"/>
      <c r="AM637" s="696"/>
      <c r="AN637" s="698"/>
      <c r="AO637" s="699"/>
      <c r="AP637" s="698"/>
    </row>
    <row r="638" spans="1:42" ht="14.85" customHeight="1" x14ac:dyDescent="0.25">
      <c r="A638" s="611"/>
      <c r="B638" s="614"/>
      <c r="C638" s="617"/>
      <c r="D638" s="620"/>
      <c r="E638" s="130" t="s">
        <v>32</v>
      </c>
      <c r="F638" s="592">
        <f>IFERROR(VLOOKUP($B636,اسماء,25,0),0)</f>
        <v>0</v>
      </c>
      <c r="G638" s="593"/>
      <c r="H638" s="594">
        <f>IFERROR(VLOOKUP($B636,اسماء,26,0),0)</f>
        <v>0</v>
      </c>
      <c r="I638" s="595"/>
      <c r="J638" s="592">
        <f>IFERROR(VLOOKUP($B636,اسماء,27,0),0)</f>
        <v>0</v>
      </c>
      <c r="K638" s="593"/>
      <c r="L638" s="594">
        <f>IFERROR(VLOOKUP($B636,اسماء,28,0),0)</f>
        <v>0</v>
      </c>
      <c r="M638" s="596"/>
      <c r="N638" s="594">
        <f>IFERROR(VLOOKUP($B636,اسماء,29,0),0)</f>
        <v>0</v>
      </c>
      <c r="O638" s="596"/>
      <c r="P638" s="592">
        <f>IFERROR(VLOOKUP($B636,اسماء,30,0),0)</f>
        <v>0</v>
      </c>
      <c r="Q638" s="595"/>
      <c r="R638" s="372">
        <f t="shared" si="1638"/>
        <v>0</v>
      </c>
      <c r="S638" s="305" t="str">
        <f>IFERROR(VLOOKUP($B636,اسماء,34,0),"")</f>
        <v/>
      </c>
      <c r="T638" s="306" t="str">
        <f>IFERROR(VLOOKUP($B636,اسماء,35,0),"")</f>
        <v/>
      </c>
      <c r="U638" s="122" t="str">
        <f>IFERROR(VLOOKUP($B636,اسماء,36,0),"")</f>
        <v/>
      </c>
      <c r="V638" s="605"/>
      <c r="W638" s="20" t="str">
        <f t="shared" ref="W638" si="1721">LOOKUP(R638,$AF$6:$AG$10)</f>
        <v>ضعيف</v>
      </c>
      <c r="X638" s="640"/>
      <c r="Y638" s="8"/>
      <c r="Z638" s="598"/>
      <c r="AK638" s="667"/>
      <c r="AL638" s="667"/>
      <c r="AM638" s="696"/>
      <c r="AN638" s="698"/>
      <c r="AO638" s="699"/>
      <c r="AP638" s="698"/>
    </row>
    <row r="639" spans="1:42" ht="14.85" customHeight="1" thickBot="1" x14ac:dyDescent="0.3">
      <c r="A639" s="612"/>
      <c r="B639" s="615"/>
      <c r="C639" s="618"/>
      <c r="D639" s="621"/>
      <c r="E639" s="124" t="s">
        <v>33</v>
      </c>
      <c r="F639" s="623">
        <f t="shared" ref="F639" si="1722">SUM(F636:G638)</f>
        <v>0</v>
      </c>
      <c r="G639" s="624"/>
      <c r="H639" s="625">
        <f t="shared" ref="H639" si="1723">SUM(H636:I638)</f>
        <v>0</v>
      </c>
      <c r="I639" s="626"/>
      <c r="J639" s="623">
        <f t="shared" ref="J639" si="1724">SUM(J636:K638)</f>
        <v>0</v>
      </c>
      <c r="K639" s="624"/>
      <c r="L639" s="625">
        <f t="shared" ref="L639" si="1725">SUM(L636:M638)</f>
        <v>0</v>
      </c>
      <c r="M639" s="642"/>
      <c r="N639" s="625">
        <f t="shared" ref="N639" si="1726">SUM(N636:O638)</f>
        <v>0</v>
      </c>
      <c r="O639" s="642"/>
      <c r="P639" s="623">
        <f t="shared" ref="P639" si="1727">SUM(P636:Q638)</f>
        <v>0</v>
      </c>
      <c r="Q639" s="626"/>
      <c r="R639" s="88">
        <f t="shared" ref="R639" si="1728">IF(AND(F639&gt;=$G$8,H639&gt;=$I$8,J639&gt;=$K$8,L639&gt;=$M$8,N639&gt;=$O$8,P639&gt;=$Q$8),SUM(F639:Q639),0)</f>
        <v>0</v>
      </c>
      <c r="S639" s="251"/>
      <c r="T639" s="97"/>
      <c r="U639" s="94"/>
      <c r="V639" s="606"/>
      <c r="W639" s="88" t="str">
        <f t="shared" ref="W639" si="1729">LOOKUP(R639,$AI$6:$AJ$10)</f>
        <v>ضعيف</v>
      </c>
      <c r="X639" s="641"/>
      <c r="Y639" s="68"/>
      <c r="Z639" s="599"/>
      <c r="AK639" s="667"/>
      <c r="AL639" s="667"/>
      <c r="AM639" s="696"/>
      <c r="AN639" s="698"/>
      <c r="AO639" s="699"/>
      <c r="AP639" s="698"/>
    </row>
    <row r="640" spans="1:42" ht="14.85" customHeight="1" thickBot="1" x14ac:dyDescent="0.3">
      <c r="A640" s="610">
        <v>139</v>
      </c>
      <c r="B640" s="613">
        <f>VLOOKUP(A640,مسلسل,2,0)</f>
        <v>0</v>
      </c>
      <c r="C640" s="616" t="str">
        <f>IFERROR(VLOOKUP(B640,اسماء,2,0),"")</f>
        <v/>
      </c>
      <c r="D640" s="619" t="str">
        <f>IFERROR(VLOOKUP($B640,اسماء,3,0),"")</f>
        <v/>
      </c>
      <c r="E640" s="129" t="s">
        <v>30</v>
      </c>
      <c r="F640" s="600">
        <f>IFERROR(VLOOKUP($B640,اسماء,5,0),0)</f>
        <v>0</v>
      </c>
      <c r="G640" s="601"/>
      <c r="H640" s="602">
        <f>IFERROR(VLOOKUP($B640,اسماء,6,0),0)</f>
        <v>0</v>
      </c>
      <c r="I640" s="622"/>
      <c r="J640" s="600">
        <f>IFERROR(VLOOKUP($B640,اسماء,7,0),0)</f>
        <v>0</v>
      </c>
      <c r="K640" s="601"/>
      <c r="L640" s="602">
        <f>IFERROR(VLOOKUP($B640,اسماء,8,0),0)</f>
        <v>0</v>
      </c>
      <c r="M640" s="603"/>
      <c r="N640" s="602">
        <f>IFERROR(VLOOKUP($B640,اسماء,9,0),0)</f>
        <v>0</v>
      </c>
      <c r="O640" s="603"/>
      <c r="P640" s="600">
        <f>IFERROR(VLOOKUP($B640,اسماء,10,0),0)</f>
        <v>0</v>
      </c>
      <c r="Q640" s="622"/>
      <c r="R640" s="371">
        <f t="shared" ref="R640" si="1730">SUM(F640:Q640)</f>
        <v>0</v>
      </c>
      <c r="S640" s="213" t="str">
        <f>IFERROR(VLOOKUP($B640,اسماء,12,0),"")</f>
        <v/>
      </c>
      <c r="T640" s="214" t="str">
        <f>IFERROR(VLOOKUP($B640,اسماء,13,0),"")</f>
        <v/>
      </c>
      <c r="U640" s="364" t="str">
        <f>IFERROR(VLOOKUP($B640,اسماء,14,0),"")</f>
        <v/>
      </c>
      <c r="V640" s="604" t="str">
        <f t="shared" ref="V640" si="1731">IF(Z640="غائب","راسب",IF(R643&gt;0,"ناجح","مرحل"))</f>
        <v>مرحل</v>
      </c>
      <c r="W640" s="19" t="str">
        <f t="shared" ref="W640:W641" si="1732">LOOKUP(R640,$AC$6:$AD$10)</f>
        <v>ضعيف</v>
      </c>
      <c r="X640" s="639">
        <f t="shared" ref="X640" si="1733">R643/$AC$3</f>
        <v>0</v>
      </c>
      <c r="Y640" s="68"/>
      <c r="Z640" s="597" t="str">
        <f>IFERROR(VLOOKUP($B640,اسماء,48,0),"")</f>
        <v/>
      </c>
      <c r="AK640" s="667" t="str">
        <f t="shared" ref="AK640" si="1734">IF(R643=0,"",R643/1+ROW()*0.00001)</f>
        <v/>
      </c>
      <c r="AL640" s="667">
        <f>B640</f>
        <v>0</v>
      </c>
      <c r="AM640" s="696"/>
      <c r="AN640" s="698">
        <v>139</v>
      </c>
      <c r="AO640" s="699" t="str">
        <f>IFERROR(LARGE($AK$10:$AK$1420,AN640),"")</f>
        <v/>
      </c>
      <c r="AP640" s="698" t="str">
        <f>VLOOKUP(AO640,$AK$10:$AL$1530,2,0)</f>
        <v>امجد عمر عبداللطيف سلطان</v>
      </c>
    </row>
    <row r="641" spans="1:42" ht="14.85" customHeight="1" x14ac:dyDescent="0.25">
      <c r="A641" s="611"/>
      <c r="B641" s="614"/>
      <c r="C641" s="617"/>
      <c r="D641" s="620"/>
      <c r="E641" s="130" t="s">
        <v>31</v>
      </c>
      <c r="F641" s="592">
        <f>IFERROR(VLOOKUP($B640,اسماء,15,0),0)</f>
        <v>0</v>
      </c>
      <c r="G641" s="593"/>
      <c r="H641" s="594">
        <f>IFERROR(VLOOKUP($B640,اسماء,16,0),0)</f>
        <v>0</v>
      </c>
      <c r="I641" s="595"/>
      <c r="J641" s="592">
        <f>IFERROR(VLOOKUP($B640,اسماء,17,0),0)</f>
        <v>0</v>
      </c>
      <c r="K641" s="593"/>
      <c r="L641" s="594">
        <f>IFERROR(VLOOKUP($B640,اسماء,18,0),0)</f>
        <v>0</v>
      </c>
      <c r="M641" s="596"/>
      <c r="N641" s="594">
        <f>IFERROR(VLOOKUP($B640,اسماء,19,0),0)</f>
        <v>0</v>
      </c>
      <c r="O641" s="596"/>
      <c r="P641" s="592">
        <f>IFERROR(VLOOKUP($B640,اسماء,20,0),0)</f>
        <v>0</v>
      </c>
      <c r="Q641" s="595"/>
      <c r="R641" s="372">
        <f t="shared" si="1638"/>
        <v>0</v>
      </c>
      <c r="S641" s="305" t="str">
        <f>IFERROR(VLOOKUP($B640,اسماء,23,0),"")</f>
        <v/>
      </c>
      <c r="T641" s="306" t="str">
        <f>IFERROR(VLOOKUP($B640,اسماء,24,0),"")</f>
        <v/>
      </c>
      <c r="U641" s="122" t="str">
        <f>IFERROR(VLOOKUP($B640,اسماء,25,0),"")</f>
        <v/>
      </c>
      <c r="V641" s="605"/>
      <c r="W641" s="19" t="str">
        <f t="shared" si="1732"/>
        <v>ضعيف</v>
      </c>
      <c r="X641" s="640"/>
      <c r="Y641" s="8"/>
      <c r="Z641" s="598"/>
      <c r="AK641" s="667"/>
      <c r="AL641" s="667"/>
      <c r="AM641" s="696"/>
      <c r="AN641" s="698"/>
      <c r="AO641" s="699"/>
      <c r="AP641" s="698"/>
    </row>
    <row r="642" spans="1:42" ht="14.85" customHeight="1" x14ac:dyDescent="0.25">
      <c r="A642" s="611"/>
      <c r="B642" s="614"/>
      <c r="C642" s="617"/>
      <c r="D642" s="620"/>
      <c r="E642" s="130" t="s">
        <v>32</v>
      </c>
      <c r="F642" s="592">
        <f>IFERROR(VLOOKUP($B640,اسماء,25,0),0)</f>
        <v>0</v>
      </c>
      <c r="G642" s="593"/>
      <c r="H642" s="594">
        <f>IFERROR(VLOOKUP($B640,اسماء,26,0),0)</f>
        <v>0</v>
      </c>
      <c r="I642" s="595"/>
      <c r="J642" s="592">
        <f>IFERROR(VLOOKUP($B640,اسماء,27,0),0)</f>
        <v>0</v>
      </c>
      <c r="K642" s="593"/>
      <c r="L642" s="594">
        <f>IFERROR(VLOOKUP($B640,اسماء,28,0),0)</f>
        <v>0</v>
      </c>
      <c r="M642" s="596"/>
      <c r="N642" s="594">
        <f>IFERROR(VLOOKUP($B640,اسماء,29,0),0)</f>
        <v>0</v>
      </c>
      <c r="O642" s="596"/>
      <c r="P642" s="592">
        <f>IFERROR(VLOOKUP($B640,اسماء,30,0),0)</f>
        <v>0</v>
      </c>
      <c r="Q642" s="595"/>
      <c r="R642" s="372">
        <f t="shared" si="1638"/>
        <v>0</v>
      </c>
      <c r="S642" s="305" t="str">
        <f>IFERROR(VLOOKUP($B640,اسماء,34,0),"")</f>
        <v/>
      </c>
      <c r="T642" s="306" t="str">
        <f>IFERROR(VLOOKUP($B640,اسماء,35,0),"")</f>
        <v/>
      </c>
      <c r="U642" s="122" t="str">
        <f>IFERROR(VLOOKUP($B640,اسماء,36,0),"")</f>
        <v/>
      </c>
      <c r="V642" s="605"/>
      <c r="W642" s="20" t="str">
        <f t="shared" ref="W642" si="1735">LOOKUP(R642,$AF$6:$AG$10)</f>
        <v>ضعيف</v>
      </c>
      <c r="X642" s="640"/>
      <c r="Y642" s="68"/>
      <c r="Z642" s="598"/>
      <c r="AK642" s="667"/>
      <c r="AL642" s="667"/>
      <c r="AM642" s="696"/>
      <c r="AN642" s="698"/>
      <c r="AO642" s="699"/>
      <c r="AP642" s="698"/>
    </row>
    <row r="643" spans="1:42" ht="14.85" customHeight="1" thickBot="1" x14ac:dyDescent="0.3">
      <c r="A643" s="612"/>
      <c r="B643" s="615"/>
      <c r="C643" s="618"/>
      <c r="D643" s="621"/>
      <c r="E643" s="124" t="s">
        <v>33</v>
      </c>
      <c r="F643" s="623">
        <f t="shared" ref="F643" si="1736">SUM(F640:G642)</f>
        <v>0</v>
      </c>
      <c r="G643" s="624"/>
      <c r="H643" s="625">
        <f t="shared" ref="H643" si="1737">SUM(H640:I642)</f>
        <v>0</v>
      </c>
      <c r="I643" s="626"/>
      <c r="J643" s="623">
        <f t="shared" ref="J643" si="1738">SUM(J640:K642)</f>
        <v>0</v>
      </c>
      <c r="K643" s="624"/>
      <c r="L643" s="625">
        <f t="shared" ref="L643" si="1739">SUM(L640:M642)</f>
        <v>0</v>
      </c>
      <c r="M643" s="642"/>
      <c r="N643" s="625">
        <f t="shared" ref="N643" si="1740">SUM(N640:O642)</f>
        <v>0</v>
      </c>
      <c r="O643" s="642"/>
      <c r="P643" s="623">
        <f t="shared" ref="P643" si="1741">SUM(P640:Q642)</f>
        <v>0</v>
      </c>
      <c r="Q643" s="626"/>
      <c r="R643" s="88">
        <f t="shared" ref="R643" si="1742">IF(AND(F643&gt;=$G$8,H643&gt;=$I$8,J643&gt;=$K$8,L643&gt;=$M$8,N643&gt;=$O$8,P643&gt;=$Q$8),SUM(F643:Q643),0)</f>
        <v>0</v>
      </c>
      <c r="S643" s="251"/>
      <c r="T643" s="97"/>
      <c r="U643" s="94"/>
      <c r="V643" s="606"/>
      <c r="W643" s="88" t="str">
        <f t="shared" ref="W643" si="1743">LOOKUP(R643,$AI$6:$AJ$10)</f>
        <v>ضعيف</v>
      </c>
      <c r="X643" s="641"/>
      <c r="Y643" s="68"/>
      <c r="Z643" s="599"/>
      <c r="AK643" s="667"/>
      <c r="AL643" s="667"/>
      <c r="AM643" s="696"/>
      <c r="AN643" s="698"/>
      <c r="AO643" s="699"/>
      <c r="AP643" s="698"/>
    </row>
    <row r="644" spans="1:42" ht="14.85" customHeight="1" thickBot="1" x14ac:dyDescent="0.3">
      <c r="A644" s="610">
        <v>140</v>
      </c>
      <c r="B644" s="613">
        <f>VLOOKUP(A644,مسلسل,2,0)</f>
        <v>0</v>
      </c>
      <c r="C644" s="616" t="str">
        <f>IFERROR(VLOOKUP(B644,اسماء,2,0),"")</f>
        <v/>
      </c>
      <c r="D644" s="619" t="str">
        <f>IFERROR(VLOOKUP($B644,اسماء,3,0),"")</f>
        <v/>
      </c>
      <c r="E644" s="129" t="s">
        <v>30</v>
      </c>
      <c r="F644" s="600">
        <f>IFERROR(VLOOKUP($B644,اسماء,5,0),0)</f>
        <v>0</v>
      </c>
      <c r="G644" s="601"/>
      <c r="H644" s="602">
        <f>IFERROR(VLOOKUP($B644,اسماء,6,0),0)</f>
        <v>0</v>
      </c>
      <c r="I644" s="622"/>
      <c r="J644" s="600">
        <f>IFERROR(VLOOKUP($B644,اسماء,7,0),0)</f>
        <v>0</v>
      </c>
      <c r="K644" s="601"/>
      <c r="L644" s="602">
        <f>IFERROR(VLOOKUP($B644,اسماء,8,0),0)</f>
        <v>0</v>
      </c>
      <c r="M644" s="603"/>
      <c r="N644" s="602">
        <f>IFERROR(VLOOKUP($B644,اسماء,9,0),0)</f>
        <v>0</v>
      </c>
      <c r="O644" s="603"/>
      <c r="P644" s="600">
        <f>IFERROR(VLOOKUP($B644,اسماء,10,0),0)</f>
        <v>0</v>
      </c>
      <c r="Q644" s="622"/>
      <c r="R644" s="371">
        <f t="shared" ref="R644" si="1744">SUM(F644:Q644)</f>
        <v>0</v>
      </c>
      <c r="S644" s="213" t="str">
        <f>IFERROR(VLOOKUP($B644,اسماء,12,0),"")</f>
        <v/>
      </c>
      <c r="T644" s="214" t="str">
        <f>IFERROR(VLOOKUP($B644,اسماء,13,0),"")</f>
        <v/>
      </c>
      <c r="U644" s="364" t="str">
        <f>IFERROR(VLOOKUP($B644,اسماء,14,0),"")</f>
        <v/>
      </c>
      <c r="V644" s="604" t="str">
        <f t="shared" ref="V644" si="1745">IF(Z644="غائب","راسب",IF(R647&gt;0,"ناجح","مرحل"))</f>
        <v>مرحل</v>
      </c>
      <c r="W644" s="19" t="str">
        <f t="shared" ref="W644:W645" si="1746">LOOKUP(R644,$AC$6:$AD$10)</f>
        <v>ضعيف</v>
      </c>
      <c r="X644" s="639">
        <f t="shared" ref="X644" si="1747">R647/$AC$3</f>
        <v>0</v>
      </c>
      <c r="Y644" s="8"/>
      <c r="Z644" s="597" t="str">
        <f>IFERROR(VLOOKUP($B644,اسماء,48,0),"")</f>
        <v/>
      </c>
      <c r="AK644" s="667" t="str">
        <f t="shared" ref="AK644" si="1748">IF(R647=0,"",R647/1+ROW()*0.00001)</f>
        <v/>
      </c>
      <c r="AL644" s="667">
        <f>B644</f>
        <v>0</v>
      </c>
      <c r="AM644" s="696"/>
      <c r="AN644" s="698">
        <v>140</v>
      </c>
      <c r="AO644" s="699" t="str">
        <f>IFERROR(LARGE($AK$10:$AK$1420,AN644),"")</f>
        <v/>
      </c>
      <c r="AP644" s="698" t="str">
        <f>VLOOKUP(AO644,$AK$10:$AL$1530,2,0)</f>
        <v>امجد عمر عبداللطيف سلطان</v>
      </c>
    </row>
    <row r="645" spans="1:42" ht="14.85" customHeight="1" x14ac:dyDescent="0.25">
      <c r="A645" s="611"/>
      <c r="B645" s="614"/>
      <c r="C645" s="617"/>
      <c r="D645" s="620"/>
      <c r="E645" s="130" t="s">
        <v>31</v>
      </c>
      <c r="F645" s="592">
        <f>IFERROR(VLOOKUP($B644,اسماء,15,0),0)</f>
        <v>0</v>
      </c>
      <c r="G645" s="593"/>
      <c r="H645" s="594">
        <f>IFERROR(VLOOKUP($B644,اسماء,16,0),0)</f>
        <v>0</v>
      </c>
      <c r="I645" s="595"/>
      <c r="J645" s="592">
        <f>IFERROR(VLOOKUP($B644,اسماء,17,0),0)</f>
        <v>0</v>
      </c>
      <c r="K645" s="593"/>
      <c r="L645" s="594">
        <f>IFERROR(VLOOKUP($B644,اسماء,18,0),0)</f>
        <v>0</v>
      </c>
      <c r="M645" s="596"/>
      <c r="N645" s="594">
        <f>IFERROR(VLOOKUP($B644,اسماء,19,0),0)</f>
        <v>0</v>
      </c>
      <c r="O645" s="596"/>
      <c r="P645" s="592">
        <f>IFERROR(VLOOKUP($B644,اسماء,20,0),0)</f>
        <v>0</v>
      </c>
      <c r="Q645" s="595"/>
      <c r="R645" s="372">
        <f t="shared" si="1638"/>
        <v>0</v>
      </c>
      <c r="S645" s="305" t="str">
        <f>IFERROR(VLOOKUP($B644,اسماء,23,0),"")</f>
        <v/>
      </c>
      <c r="T645" s="306" t="str">
        <f>IFERROR(VLOOKUP($B644,اسماء,24,0),"")</f>
        <v/>
      </c>
      <c r="U645" s="122" t="str">
        <f>IFERROR(VLOOKUP($B644,اسماء,25,0),"")</f>
        <v/>
      </c>
      <c r="V645" s="605"/>
      <c r="W645" s="19" t="str">
        <f t="shared" si="1746"/>
        <v>ضعيف</v>
      </c>
      <c r="X645" s="640"/>
      <c r="Y645" s="68"/>
      <c r="Z645" s="598"/>
      <c r="AK645" s="667"/>
      <c r="AL645" s="667"/>
      <c r="AM645" s="696"/>
      <c r="AN645" s="698"/>
      <c r="AO645" s="699"/>
      <c r="AP645" s="698"/>
    </row>
    <row r="646" spans="1:42" ht="14.85" customHeight="1" x14ac:dyDescent="0.25">
      <c r="A646" s="611"/>
      <c r="B646" s="614"/>
      <c r="C646" s="617"/>
      <c r="D646" s="620"/>
      <c r="E646" s="130" t="s">
        <v>32</v>
      </c>
      <c r="F646" s="592">
        <f>IFERROR(VLOOKUP($B644,اسماء,25,0),0)</f>
        <v>0</v>
      </c>
      <c r="G646" s="593"/>
      <c r="H646" s="594">
        <f>IFERROR(VLOOKUP($B644,اسماء,26,0),0)</f>
        <v>0</v>
      </c>
      <c r="I646" s="595"/>
      <c r="J646" s="592">
        <f>IFERROR(VLOOKUP($B644,اسماء,27,0),0)</f>
        <v>0</v>
      </c>
      <c r="K646" s="593"/>
      <c r="L646" s="594">
        <f>IFERROR(VLOOKUP($B644,اسماء,28,0),0)</f>
        <v>0</v>
      </c>
      <c r="M646" s="596"/>
      <c r="N646" s="594">
        <f>IFERROR(VLOOKUP($B644,اسماء,29,0),0)</f>
        <v>0</v>
      </c>
      <c r="O646" s="596"/>
      <c r="P646" s="592">
        <f>IFERROR(VLOOKUP($B644,اسماء,30,0),0)</f>
        <v>0</v>
      </c>
      <c r="Q646" s="595"/>
      <c r="R646" s="372">
        <f t="shared" si="1638"/>
        <v>0</v>
      </c>
      <c r="S646" s="305" t="str">
        <f>IFERROR(VLOOKUP($B644,اسماء,34,0),"")</f>
        <v/>
      </c>
      <c r="T646" s="306" t="str">
        <f>IFERROR(VLOOKUP($B644,اسماء,35,0),"")</f>
        <v/>
      </c>
      <c r="U646" s="122" t="str">
        <f>IFERROR(VLOOKUP($B644,اسماء,36,0),"")</f>
        <v/>
      </c>
      <c r="V646" s="605"/>
      <c r="W646" s="20" t="str">
        <f t="shared" ref="W646" si="1749">LOOKUP(R646,$AF$6:$AG$10)</f>
        <v>ضعيف</v>
      </c>
      <c r="X646" s="640"/>
      <c r="Y646" s="68"/>
      <c r="Z646" s="598"/>
      <c r="AK646" s="667"/>
      <c r="AL646" s="667"/>
      <c r="AM646" s="696"/>
      <c r="AN646" s="698"/>
      <c r="AO646" s="699"/>
      <c r="AP646" s="698"/>
    </row>
    <row r="647" spans="1:42" ht="14.85" customHeight="1" thickBot="1" x14ac:dyDescent="0.3">
      <c r="A647" s="612"/>
      <c r="B647" s="615"/>
      <c r="C647" s="618"/>
      <c r="D647" s="621"/>
      <c r="E647" s="124" t="s">
        <v>33</v>
      </c>
      <c r="F647" s="623">
        <f t="shared" ref="F647" si="1750">SUM(F644:G646)</f>
        <v>0</v>
      </c>
      <c r="G647" s="624"/>
      <c r="H647" s="625">
        <f t="shared" ref="H647" si="1751">SUM(H644:I646)</f>
        <v>0</v>
      </c>
      <c r="I647" s="626"/>
      <c r="J647" s="623">
        <f t="shared" ref="J647" si="1752">SUM(J644:K646)</f>
        <v>0</v>
      </c>
      <c r="K647" s="624"/>
      <c r="L647" s="625">
        <f t="shared" ref="L647" si="1753">SUM(L644:M646)</f>
        <v>0</v>
      </c>
      <c r="M647" s="642"/>
      <c r="N647" s="625">
        <f t="shared" ref="N647" si="1754">SUM(N644:O646)</f>
        <v>0</v>
      </c>
      <c r="O647" s="642"/>
      <c r="P647" s="623">
        <f t="shared" ref="P647" si="1755">SUM(P644:Q646)</f>
        <v>0</v>
      </c>
      <c r="Q647" s="626"/>
      <c r="R647" s="88">
        <f t="shared" ref="R647" si="1756">IF(AND(F647&gt;=$G$8,H647&gt;=$I$8,J647&gt;=$K$8,L647&gt;=$M$8,N647&gt;=$O$8,P647&gt;=$Q$8),SUM(F647:Q647),0)</f>
        <v>0</v>
      </c>
      <c r="S647" s="251"/>
      <c r="T647" s="97"/>
      <c r="U647" s="94"/>
      <c r="V647" s="606"/>
      <c r="W647" s="88" t="str">
        <f t="shared" ref="W647" si="1757">LOOKUP(R647,$AI$6:$AJ$10)</f>
        <v>ضعيف</v>
      </c>
      <c r="X647" s="641"/>
      <c r="Y647" s="8"/>
      <c r="Z647" s="599"/>
      <c r="AK647" s="667"/>
      <c r="AL647" s="667"/>
      <c r="AM647" s="696"/>
      <c r="AN647" s="698"/>
      <c r="AO647" s="699"/>
      <c r="AP647" s="698"/>
    </row>
    <row r="648" spans="1:42" ht="14.85" customHeight="1" thickBot="1" x14ac:dyDescent="0.3">
      <c r="F648" s="71"/>
      <c r="G648" s="72"/>
      <c r="H648" s="71"/>
      <c r="I648" s="72"/>
      <c r="J648" s="71"/>
      <c r="K648" s="72"/>
      <c r="L648" s="71"/>
      <c r="M648" s="72"/>
      <c r="N648" s="71"/>
      <c r="O648" s="72"/>
      <c r="P648" s="71"/>
      <c r="Q648" s="72"/>
      <c r="R648" s="70"/>
      <c r="S648" s="73"/>
      <c r="T648" s="70"/>
      <c r="U648" s="70"/>
      <c r="V648" s="70"/>
      <c r="W648" s="70"/>
      <c r="X648" s="254"/>
      <c r="Y648" s="68"/>
      <c r="AH648" s="74"/>
    </row>
    <row r="649" spans="1:42" customFormat="1" ht="14.85" customHeight="1" x14ac:dyDescent="0.3">
      <c r="A649" s="668" t="s">
        <v>9</v>
      </c>
      <c r="B649" s="669"/>
      <c r="C649" s="670"/>
      <c r="D649" s="277" t="s">
        <v>11</v>
      </c>
      <c r="E649" s="674" t="s">
        <v>96</v>
      </c>
      <c r="F649" s="663"/>
      <c r="G649" s="663"/>
      <c r="H649" s="663"/>
      <c r="I649" s="663"/>
      <c r="J649" s="7"/>
      <c r="K649" s="7"/>
      <c r="L649" s="7"/>
      <c r="M649" s="7"/>
      <c r="N649" s="7"/>
      <c r="O649" s="7"/>
      <c r="P649" s="7"/>
      <c r="Q649" s="663" t="s">
        <v>156</v>
      </c>
      <c r="R649" s="663"/>
      <c r="S649" s="663"/>
      <c r="T649" s="663"/>
      <c r="U649" s="663"/>
      <c r="V649" s="663"/>
      <c r="W649" s="1"/>
      <c r="X649" s="255"/>
      <c r="Z649" s="75"/>
      <c r="AA649" s="76"/>
      <c r="AB649" s="76"/>
      <c r="AC649" s="76"/>
      <c r="AD649" s="76"/>
    </row>
    <row r="650" spans="1:42" customFormat="1" ht="14.85" customHeight="1" x14ac:dyDescent="0.25">
      <c r="A650" s="77" t="s">
        <v>8</v>
      </c>
      <c r="B650" s="671">
        <f>ادخال1!$BJ$3</f>
        <v>0</v>
      </c>
      <c r="C650" s="672"/>
      <c r="D650" s="278"/>
      <c r="E650" s="7" t="s">
        <v>9</v>
      </c>
      <c r="F650" s="673" t="str">
        <f>ادخال1!$BJ$5</f>
        <v>د. عبدالرحمن خليفة العريبي</v>
      </c>
      <c r="G650" s="673"/>
      <c r="H650" s="673"/>
      <c r="I650" s="673"/>
      <c r="J650" s="673"/>
      <c r="K650" s="673"/>
      <c r="L650" s="673"/>
      <c r="M650" s="673"/>
      <c r="N650" s="673"/>
      <c r="O650" s="673"/>
      <c r="P650" s="7"/>
      <c r="Q650" s="673" t="str">
        <f>ادخال1!$BJ$6</f>
        <v>تاجوراء</v>
      </c>
      <c r="R650" s="673"/>
      <c r="S650" s="673"/>
      <c r="T650" s="673"/>
      <c r="U650" s="673"/>
      <c r="V650" s="673"/>
      <c r="W650" s="673"/>
      <c r="X650" s="63"/>
      <c r="Y650" s="63"/>
      <c r="Z650" s="75"/>
      <c r="AA650" s="75"/>
      <c r="AB650" s="75"/>
      <c r="AC650" s="75"/>
    </row>
    <row r="651" spans="1:42" customFormat="1" ht="14.85" customHeight="1" thickBot="1" x14ac:dyDescent="0.3">
      <c r="A651" s="78" t="s">
        <v>97</v>
      </c>
      <c r="B651" s="665">
        <f>ادخال1!$BJ$4</f>
        <v>0</v>
      </c>
      <c r="C651" s="666"/>
      <c r="D651" s="279"/>
      <c r="E651" s="7" t="s">
        <v>11</v>
      </c>
      <c r="F651" s="667"/>
      <c r="G651" s="667"/>
      <c r="H651" s="667"/>
      <c r="I651" s="667"/>
      <c r="J651" s="667"/>
      <c r="K651" s="667"/>
      <c r="L651" s="667"/>
      <c r="M651" s="667"/>
      <c r="N651" s="667"/>
      <c r="O651" s="667"/>
      <c r="P651" s="7"/>
      <c r="Q651" s="7" t="s">
        <v>11</v>
      </c>
      <c r="R651" s="1"/>
      <c r="S651" s="1"/>
      <c r="T651" s="1"/>
      <c r="U651" s="1"/>
      <c r="V651" s="1"/>
      <c r="W651" s="1"/>
      <c r="X651" s="255"/>
      <c r="Z651" s="75"/>
      <c r="AA651" s="75"/>
      <c r="AB651" s="75"/>
      <c r="AC651" s="75"/>
    </row>
    <row r="652" spans="1:42" customFormat="1" ht="14.85" customHeight="1" x14ac:dyDescent="0.25">
      <c r="A652" s="663" t="s">
        <v>98</v>
      </c>
      <c r="B652" s="663"/>
      <c r="C652" s="663"/>
      <c r="D652" s="663"/>
      <c r="E652" s="663" t="s">
        <v>99</v>
      </c>
      <c r="F652" s="663"/>
      <c r="G652" s="663"/>
      <c r="H652" s="663"/>
      <c r="I652" s="663"/>
      <c r="J652" s="663"/>
      <c r="K652" s="663"/>
      <c r="L652" s="663"/>
      <c r="M652" s="663"/>
      <c r="N652" s="663"/>
      <c r="O652" s="663"/>
      <c r="P652" s="663"/>
      <c r="Q652" s="663"/>
      <c r="R652" s="7"/>
      <c r="S652" s="664">
        <f ca="1">TODAY()</f>
        <v>46009</v>
      </c>
      <c r="T652" s="664"/>
      <c r="U652" s="664"/>
      <c r="V652" s="664"/>
      <c r="W652" s="664"/>
      <c r="X652" s="255"/>
    </row>
    <row r="653" spans="1:42" customFormat="1" ht="14.85" customHeight="1" thickBot="1" x14ac:dyDescent="0.3">
      <c r="A653" s="7"/>
      <c r="B653" s="663" t="s">
        <v>100</v>
      </c>
      <c r="C653" s="663"/>
      <c r="D653" s="663"/>
      <c r="E653" s="663" t="s">
        <v>101</v>
      </c>
      <c r="F653" s="663"/>
      <c r="G653" s="663"/>
      <c r="H653" s="663"/>
      <c r="I653" s="663"/>
      <c r="J653" s="663"/>
      <c r="K653" s="663"/>
      <c r="L653" s="663"/>
      <c r="M653" s="663"/>
      <c r="N653" s="663"/>
      <c r="O653" s="663"/>
      <c r="P653" s="663"/>
      <c r="Q653" s="663"/>
      <c r="R653" s="1"/>
      <c r="S653" s="1"/>
      <c r="T653" s="1"/>
      <c r="U653" s="1"/>
      <c r="V653" s="1"/>
      <c r="W653" s="1"/>
      <c r="X653" s="255"/>
    </row>
    <row r="654" spans="1:42" ht="14.85" customHeight="1" thickBot="1" x14ac:dyDescent="0.3">
      <c r="A654" s="610">
        <v>141</v>
      </c>
      <c r="B654" s="613">
        <f>VLOOKUP(A654,مسلسل,2,0)</f>
        <v>0</v>
      </c>
      <c r="C654" s="616" t="str">
        <f>IFERROR(VLOOKUP(B654,اسماء,2,0),"")</f>
        <v/>
      </c>
      <c r="D654" s="619" t="str">
        <f>IFERROR(VLOOKUP($B654,اسماء,3,0),"")</f>
        <v/>
      </c>
      <c r="E654" s="129" t="s">
        <v>30</v>
      </c>
      <c r="F654" s="600">
        <f>IFERROR(VLOOKUP($B654,اسماء,5,0),0)</f>
        <v>0</v>
      </c>
      <c r="G654" s="601"/>
      <c r="H654" s="602">
        <f>IFERROR(VLOOKUP($B654,اسماء,6,0),0)</f>
        <v>0</v>
      </c>
      <c r="I654" s="622"/>
      <c r="J654" s="600">
        <f>IFERROR(VLOOKUP($B654,اسماء,7,0),0)</f>
        <v>0</v>
      </c>
      <c r="K654" s="601"/>
      <c r="L654" s="602">
        <f>IFERROR(VLOOKUP($B654,اسماء,8,0),0)</f>
        <v>0</v>
      </c>
      <c r="M654" s="603"/>
      <c r="N654" s="602">
        <f>IFERROR(VLOOKUP($B654,اسماء,9,0),0)</f>
        <v>0</v>
      </c>
      <c r="O654" s="603"/>
      <c r="P654" s="600">
        <f>IFERROR(VLOOKUP($B654,اسماء,10,0),0)</f>
        <v>0</v>
      </c>
      <c r="Q654" s="622"/>
      <c r="R654" s="371">
        <f>SUM(F654:Q654)</f>
        <v>0</v>
      </c>
      <c r="S654" s="325" t="str">
        <f>IFERROR(VLOOKUP($B654,اسماء,12,0),"")</f>
        <v/>
      </c>
      <c r="T654" s="326" t="str">
        <f>IFERROR(VLOOKUP($B654,اسماء,13,0),"")</f>
        <v/>
      </c>
      <c r="U654" s="92" t="str">
        <f>IFERROR(VLOOKUP($B654,اسماء,14,0),"")</f>
        <v/>
      </c>
      <c r="V654" s="604" t="str">
        <f t="shared" ref="V654" si="1758">IF(Z654="غائب","راسب",IF(R657&gt;0,"ناجح","مرحل"))</f>
        <v>مرحل</v>
      </c>
      <c r="W654" s="19" t="str">
        <f t="shared" ref="W654:W655" si="1759">LOOKUP(R654,$AC$6:$AD$10)</f>
        <v>ضعيف</v>
      </c>
      <c r="X654" s="639">
        <f t="shared" ref="X654" si="1760">R657/$AC$3</f>
        <v>0</v>
      </c>
      <c r="Y654" s="68"/>
      <c r="Z654" s="597" t="str">
        <f>IFERROR(VLOOKUP($B654,اسماء,48,0),"")</f>
        <v/>
      </c>
      <c r="AK654" s="671" t="str">
        <f>IF(R657=0,"",R657/1+ROW()*0.00001)</f>
        <v/>
      </c>
      <c r="AL654" s="671">
        <f>B654</f>
        <v>0</v>
      </c>
      <c r="AM654" s="696"/>
      <c r="AN654" s="698">
        <v>141</v>
      </c>
      <c r="AO654" s="699" t="str">
        <f>IFERROR(LARGE($AK$10:$AK$1420,AN654),"")</f>
        <v/>
      </c>
      <c r="AP654" s="698" t="str">
        <f>VLOOKUP(AO654,$AK$10:$AL$1530,2,0)</f>
        <v>امجد عمر عبداللطيف سلطان</v>
      </c>
    </row>
    <row r="655" spans="1:42" ht="14.85" customHeight="1" x14ac:dyDescent="0.25">
      <c r="A655" s="611"/>
      <c r="B655" s="614"/>
      <c r="C655" s="617"/>
      <c r="D655" s="620"/>
      <c r="E655" s="130" t="s">
        <v>31</v>
      </c>
      <c r="F655" s="592">
        <f>IFERROR(VLOOKUP($B654,اسماء,16,0),0)</f>
        <v>0</v>
      </c>
      <c r="G655" s="593"/>
      <c r="H655" s="594">
        <f>IFERROR(VLOOKUP($B654,اسماء,17,0),0)</f>
        <v>0</v>
      </c>
      <c r="I655" s="595"/>
      <c r="J655" s="592">
        <f>IFERROR(VLOOKUP($B654,اسماء,18,0),0)</f>
        <v>0</v>
      </c>
      <c r="K655" s="593"/>
      <c r="L655" s="594">
        <f>IFERROR(VLOOKUP($B654,اسماء,19,0),0)</f>
        <v>0</v>
      </c>
      <c r="M655" s="596"/>
      <c r="N655" s="594">
        <f>IFERROR(VLOOKUP($B654,اسماء,20,0),0)</f>
        <v>0</v>
      </c>
      <c r="O655" s="596"/>
      <c r="P655" s="592">
        <f>IFERROR(VLOOKUP($B654,اسماء,21,0),0)</f>
        <v>0</v>
      </c>
      <c r="Q655" s="595"/>
      <c r="R655" s="372">
        <f t="shared" ref="R655:R656" si="1761">SUM(F655:Q655)</f>
        <v>0</v>
      </c>
      <c r="S655" s="305" t="str">
        <f>IFERROR(VLOOKUP($B654,اسماء,23,0),"")</f>
        <v/>
      </c>
      <c r="T655" s="306" t="str">
        <f>IFERROR(VLOOKUP($B654,اسماء,24,0),"")</f>
        <v/>
      </c>
      <c r="U655" s="122" t="str">
        <f>IFERROR(VLOOKUP($B654,اسماء,25,0),"")</f>
        <v/>
      </c>
      <c r="V655" s="605"/>
      <c r="W655" s="19" t="str">
        <f t="shared" si="1759"/>
        <v>ضعيف</v>
      </c>
      <c r="X655" s="640"/>
      <c r="Y655" s="68"/>
      <c r="Z655" s="598"/>
      <c r="AK655" s="671"/>
      <c r="AL655" s="671"/>
      <c r="AM655" s="696"/>
      <c r="AN655" s="698"/>
      <c r="AO655" s="699"/>
      <c r="AP655" s="698"/>
    </row>
    <row r="656" spans="1:42" ht="14.85" customHeight="1" x14ac:dyDescent="0.25">
      <c r="A656" s="611"/>
      <c r="B656" s="614"/>
      <c r="C656" s="617"/>
      <c r="D656" s="620"/>
      <c r="E656" s="130" t="s">
        <v>32</v>
      </c>
      <c r="F656" s="592">
        <f>IFERROR(VLOOKUP($B654,اسماء,27,0),0)</f>
        <v>0</v>
      </c>
      <c r="G656" s="593"/>
      <c r="H656" s="594">
        <f>IFERROR(VLOOKUP($B654,اسماء,28,0),0)</f>
        <v>0</v>
      </c>
      <c r="I656" s="595"/>
      <c r="J656" s="592">
        <f>IFERROR(VLOOKUP($B654,اسماء,29,0),0)</f>
        <v>0</v>
      </c>
      <c r="K656" s="593"/>
      <c r="L656" s="594">
        <f>IFERROR(VLOOKUP($B654,اسماء,30,0),0)</f>
        <v>0</v>
      </c>
      <c r="M656" s="596"/>
      <c r="N656" s="594">
        <f>IFERROR(VLOOKUP($B654,اسماء,31,0),0)</f>
        <v>0</v>
      </c>
      <c r="O656" s="596"/>
      <c r="P656" s="592">
        <f>IFERROR(VLOOKUP($B654,اسماء,32,0),0)</f>
        <v>0</v>
      </c>
      <c r="Q656" s="595"/>
      <c r="R656" s="372">
        <f t="shared" si="1761"/>
        <v>0</v>
      </c>
      <c r="S656" s="305" t="str">
        <f>IFERROR(VLOOKUP($B654,اسماء,34,0),"")</f>
        <v/>
      </c>
      <c r="T656" s="306" t="str">
        <f>IFERROR(VLOOKUP($B654,اسماء,35,0),"")</f>
        <v/>
      </c>
      <c r="U656" s="122" t="str">
        <f>IFERROR(VLOOKUP($B654,اسماء,36,0),"")</f>
        <v/>
      </c>
      <c r="V656" s="605"/>
      <c r="W656" s="20" t="str">
        <f t="shared" ref="W656" si="1762">LOOKUP(R656,$AF$6:$AG$10)</f>
        <v>ضعيف</v>
      </c>
      <c r="X656" s="640"/>
      <c r="Y656" s="8"/>
      <c r="Z656" s="598"/>
      <c r="AK656" s="671"/>
      <c r="AL656" s="671"/>
      <c r="AM656" s="696"/>
      <c r="AN656" s="698"/>
      <c r="AO656" s="699"/>
      <c r="AP656" s="698"/>
    </row>
    <row r="657" spans="1:42" ht="14.85" customHeight="1" thickBot="1" x14ac:dyDescent="0.3">
      <c r="A657" s="612"/>
      <c r="B657" s="615"/>
      <c r="C657" s="618"/>
      <c r="D657" s="621"/>
      <c r="E657" s="124" t="s">
        <v>33</v>
      </c>
      <c r="F657" s="623">
        <f>SUM(F654:G656)</f>
        <v>0</v>
      </c>
      <c r="G657" s="624"/>
      <c r="H657" s="625">
        <f>SUM(H654:I656)</f>
        <v>0</v>
      </c>
      <c r="I657" s="626"/>
      <c r="J657" s="623">
        <f>SUM(J654:K656)</f>
        <v>0</v>
      </c>
      <c r="K657" s="624"/>
      <c r="L657" s="625">
        <f>SUM(L654:M656)</f>
        <v>0</v>
      </c>
      <c r="M657" s="642"/>
      <c r="N657" s="625">
        <f>SUM(N654:O656)</f>
        <v>0</v>
      </c>
      <c r="O657" s="642"/>
      <c r="P657" s="623">
        <f>SUM(P654:Q656)</f>
        <v>0</v>
      </c>
      <c r="Q657" s="626"/>
      <c r="R657" s="88">
        <f>IF(AND(F657&gt;=$G$8,H657&gt;=$I$8,J657&gt;=$K$8,L657&gt;=$M$8,N657&gt;=$O$8,P657&gt;=$Q$8),SUM(F657:Q657),0)</f>
        <v>0</v>
      </c>
      <c r="S657" s="251"/>
      <c r="T657" s="97"/>
      <c r="U657" s="94"/>
      <c r="V657" s="606"/>
      <c r="W657" s="88" t="str">
        <f t="shared" ref="W657" si="1763">LOOKUP(R657,$AI$6:$AJ$10)</f>
        <v>ضعيف</v>
      </c>
      <c r="X657" s="641"/>
      <c r="Y657" s="68"/>
      <c r="Z657" s="599"/>
      <c r="AK657" s="671"/>
      <c r="AL657" s="671"/>
      <c r="AM657" s="696"/>
      <c r="AN657" s="698"/>
      <c r="AO657" s="699"/>
      <c r="AP657" s="698"/>
    </row>
    <row r="658" spans="1:42" ht="14.85" customHeight="1" thickBot="1" x14ac:dyDescent="0.3">
      <c r="A658" s="610">
        <v>142</v>
      </c>
      <c r="B658" s="613">
        <f>VLOOKUP(A658,مسلسل,2,0)</f>
        <v>0</v>
      </c>
      <c r="C658" s="616" t="str">
        <f>IFERROR(VLOOKUP(B658,اسماء,2,0),"")</f>
        <v/>
      </c>
      <c r="D658" s="619" t="str">
        <f>IFERROR(VLOOKUP($B658,اسماء,3,0),"")</f>
        <v/>
      </c>
      <c r="E658" s="129" t="s">
        <v>30</v>
      </c>
      <c r="F658" s="600">
        <f>IFERROR(VLOOKUP($B658,اسماء,5,0),0)</f>
        <v>0</v>
      </c>
      <c r="G658" s="601"/>
      <c r="H658" s="602">
        <f>IFERROR(VLOOKUP($B658,اسماء,6,0),0)</f>
        <v>0</v>
      </c>
      <c r="I658" s="622"/>
      <c r="J658" s="600">
        <f>IFERROR(VLOOKUP($B658,اسماء,7,0),0)</f>
        <v>0</v>
      </c>
      <c r="K658" s="601"/>
      <c r="L658" s="602">
        <f>IFERROR(VLOOKUP($B658,اسماء,8,0),0)</f>
        <v>0</v>
      </c>
      <c r="M658" s="603"/>
      <c r="N658" s="602">
        <f>IFERROR(VLOOKUP($B658,اسماء,9,0),0)</f>
        <v>0</v>
      </c>
      <c r="O658" s="603"/>
      <c r="P658" s="600">
        <f>IFERROR(VLOOKUP($B658,اسماء,10,0),0)</f>
        <v>0</v>
      </c>
      <c r="Q658" s="622"/>
      <c r="R658" s="371">
        <f t="shared" ref="R658:R692" si="1764">SUM(F658:Q658)</f>
        <v>0</v>
      </c>
      <c r="S658" s="213" t="str">
        <f>IFERROR(VLOOKUP($B658,اسماء,12,0),"")</f>
        <v/>
      </c>
      <c r="T658" s="214" t="str">
        <f>IFERROR(VLOOKUP($B658,اسماء,13,0),"")</f>
        <v/>
      </c>
      <c r="U658" s="364" t="str">
        <f>IFERROR(VLOOKUP($B658,اسماء,14,0),"")</f>
        <v/>
      </c>
      <c r="V658" s="604" t="str">
        <f t="shared" ref="V658" si="1765">IF(Z658="غائب","راسب",IF(R661&gt;0,"ناجح","مرحل"))</f>
        <v>مرحل</v>
      </c>
      <c r="W658" s="19" t="str">
        <f t="shared" ref="W658:W659" si="1766">LOOKUP(R658,$AC$6:$AD$10)</f>
        <v>ضعيف</v>
      </c>
      <c r="X658" s="639">
        <f t="shared" ref="X658" si="1767">R661/$AC$3</f>
        <v>0</v>
      </c>
      <c r="Y658" s="68"/>
      <c r="Z658" s="597" t="str">
        <f>IFERROR(VLOOKUP($B658,اسماء,48,0),"")</f>
        <v/>
      </c>
      <c r="AK658" s="667" t="str">
        <f t="shared" ref="AK658" si="1768">IF(R661=0,"",R661/1+ROW()*0.00001)</f>
        <v/>
      </c>
      <c r="AL658" s="667">
        <f>B658</f>
        <v>0</v>
      </c>
      <c r="AM658" s="696"/>
      <c r="AN658" s="698">
        <v>142</v>
      </c>
      <c r="AO658" s="699" t="str">
        <f>IFERROR(LARGE($AK$10:$AK$1420,AN658),"")</f>
        <v/>
      </c>
      <c r="AP658" s="698" t="str">
        <f>VLOOKUP(AO658,$AK$10:$AL$1530,2,0)</f>
        <v>امجد عمر عبداللطيف سلطان</v>
      </c>
    </row>
    <row r="659" spans="1:42" ht="14.85" customHeight="1" x14ac:dyDescent="0.25">
      <c r="A659" s="611"/>
      <c r="B659" s="614"/>
      <c r="C659" s="617"/>
      <c r="D659" s="620"/>
      <c r="E659" s="130" t="s">
        <v>31</v>
      </c>
      <c r="F659" s="592">
        <f>IFERROR(VLOOKUP($B658,اسماء,15,0),0)</f>
        <v>0</v>
      </c>
      <c r="G659" s="593"/>
      <c r="H659" s="594">
        <f>IFERROR(VLOOKUP($B658,اسماء,16,0),0)</f>
        <v>0</v>
      </c>
      <c r="I659" s="595"/>
      <c r="J659" s="592">
        <f>IFERROR(VLOOKUP($B658,اسماء,17,0),0)</f>
        <v>0</v>
      </c>
      <c r="K659" s="593"/>
      <c r="L659" s="594">
        <f>IFERROR(VLOOKUP($B658,اسماء,18,0),0)</f>
        <v>0</v>
      </c>
      <c r="M659" s="596"/>
      <c r="N659" s="594">
        <f>IFERROR(VLOOKUP($B658,اسماء,19,0),0)</f>
        <v>0</v>
      </c>
      <c r="O659" s="596"/>
      <c r="P659" s="592">
        <f>IFERROR(VLOOKUP($B658,اسماء,20,0),0)</f>
        <v>0</v>
      </c>
      <c r="Q659" s="595"/>
      <c r="R659" s="372">
        <f t="shared" si="1764"/>
        <v>0</v>
      </c>
      <c r="S659" s="305" t="str">
        <f>IFERROR(VLOOKUP($B658,اسماء,23,0),"")</f>
        <v/>
      </c>
      <c r="T659" s="306" t="str">
        <f>IFERROR(VLOOKUP($B658,اسماء,24,0),"")</f>
        <v/>
      </c>
      <c r="U659" s="122" t="str">
        <f>IFERROR(VLOOKUP($B658,اسماء,25,0),"")</f>
        <v/>
      </c>
      <c r="V659" s="605"/>
      <c r="W659" s="19" t="str">
        <f t="shared" si="1766"/>
        <v>ضعيف</v>
      </c>
      <c r="X659" s="640"/>
      <c r="Y659" s="8"/>
      <c r="Z659" s="598"/>
      <c r="AK659" s="667"/>
      <c r="AL659" s="667"/>
      <c r="AM659" s="696"/>
      <c r="AN659" s="698"/>
      <c r="AO659" s="699"/>
      <c r="AP659" s="698"/>
    </row>
    <row r="660" spans="1:42" ht="14.85" customHeight="1" x14ac:dyDescent="0.25">
      <c r="A660" s="611"/>
      <c r="B660" s="614"/>
      <c r="C660" s="617"/>
      <c r="D660" s="620"/>
      <c r="E660" s="130" t="s">
        <v>32</v>
      </c>
      <c r="F660" s="592">
        <f>IFERROR(VLOOKUP($B658,اسماء,25,0),0)</f>
        <v>0</v>
      </c>
      <c r="G660" s="593"/>
      <c r="H660" s="594">
        <f>IFERROR(VLOOKUP($B658,اسماء,26,0),0)</f>
        <v>0</v>
      </c>
      <c r="I660" s="595"/>
      <c r="J660" s="592">
        <f>IFERROR(VLOOKUP($B658,اسماء,27,0),0)</f>
        <v>0</v>
      </c>
      <c r="K660" s="593"/>
      <c r="L660" s="594">
        <f>IFERROR(VLOOKUP($B658,اسماء,28,0),0)</f>
        <v>0</v>
      </c>
      <c r="M660" s="596"/>
      <c r="N660" s="594">
        <f>IFERROR(VLOOKUP($B658,اسماء,29,0),0)</f>
        <v>0</v>
      </c>
      <c r="O660" s="596"/>
      <c r="P660" s="592">
        <f>IFERROR(VLOOKUP($B658,اسماء,30,0),0)</f>
        <v>0</v>
      </c>
      <c r="Q660" s="595"/>
      <c r="R660" s="372">
        <f t="shared" si="1764"/>
        <v>0</v>
      </c>
      <c r="S660" s="305" t="str">
        <f>IFERROR(VLOOKUP($B658,اسماء,34,0),"")</f>
        <v/>
      </c>
      <c r="T660" s="306" t="str">
        <f>IFERROR(VLOOKUP($B658,اسماء,35,0),"")</f>
        <v/>
      </c>
      <c r="U660" s="122" t="str">
        <f>IFERROR(VLOOKUP($B658,اسماء,36,0),"")</f>
        <v/>
      </c>
      <c r="V660" s="605"/>
      <c r="W660" s="20" t="str">
        <f t="shared" ref="W660" si="1769">LOOKUP(R660,$AF$6:$AG$10)</f>
        <v>ضعيف</v>
      </c>
      <c r="X660" s="640"/>
      <c r="Y660" s="68"/>
      <c r="Z660" s="598"/>
      <c r="AK660" s="667"/>
      <c r="AL660" s="667"/>
      <c r="AM660" s="696"/>
      <c r="AN660" s="698"/>
      <c r="AO660" s="699"/>
      <c r="AP660" s="698"/>
    </row>
    <row r="661" spans="1:42" ht="14.85" customHeight="1" thickBot="1" x14ac:dyDescent="0.3">
      <c r="A661" s="612"/>
      <c r="B661" s="615"/>
      <c r="C661" s="618"/>
      <c r="D661" s="621"/>
      <c r="E661" s="124" t="s">
        <v>33</v>
      </c>
      <c r="F661" s="623">
        <f>SUM(F658:G660)</f>
        <v>0</v>
      </c>
      <c r="G661" s="624"/>
      <c r="H661" s="625">
        <f>SUM(H658:I660)</f>
        <v>0</v>
      </c>
      <c r="I661" s="626"/>
      <c r="J661" s="623">
        <f>SUM(J658:K660)</f>
        <v>0</v>
      </c>
      <c r="K661" s="624"/>
      <c r="L661" s="625">
        <f>SUM(L658:M660)</f>
        <v>0</v>
      </c>
      <c r="M661" s="642"/>
      <c r="N661" s="625">
        <f>SUM(N658:O660)</f>
        <v>0</v>
      </c>
      <c r="O661" s="642"/>
      <c r="P661" s="623">
        <f>SUM(P658:Q660)</f>
        <v>0</v>
      </c>
      <c r="Q661" s="626"/>
      <c r="R661" s="88">
        <f t="shared" ref="R661" si="1770">IF(AND(F661&gt;=$G$8,H661&gt;=$I$8,J661&gt;=$K$8,L661&gt;=$M$8,N661&gt;=$O$8,P661&gt;=$Q$8),SUM(F661:Q661),0)</f>
        <v>0</v>
      </c>
      <c r="S661" s="251"/>
      <c r="T661" s="97"/>
      <c r="U661" s="94"/>
      <c r="V661" s="606"/>
      <c r="W661" s="88" t="str">
        <f t="shared" ref="W661" si="1771">LOOKUP(R661,$AI$6:$AJ$10)</f>
        <v>ضعيف</v>
      </c>
      <c r="X661" s="641"/>
      <c r="Y661" s="68"/>
      <c r="Z661" s="599"/>
      <c r="AK661" s="667"/>
      <c r="AL661" s="667"/>
      <c r="AM661" s="696"/>
      <c r="AN661" s="698"/>
      <c r="AO661" s="699"/>
      <c r="AP661" s="698"/>
    </row>
    <row r="662" spans="1:42" ht="14.85" customHeight="1" thickBot="1" x14ac:dyDescent="0.3">
      <c r="A662" s="610">
        <v>143</v>
      </c>
      <c r="B662" s="613">
        <f>VLOOKUP(A662,مسلسل,2,0)</f>
        <v>0</v>
      </c>
      <c r="C662" s="616" t="str">
        <f>IFERROR(VLOOKUP(B662,اسماء,2,0),"")</f>
        <v/>
      </c>
      <c r="D662" s="619" t="str">
        <f>IFERROR(VLOOKUP($B662,اسماء,3,0),"")</f>
        <v/>
      </c>
      <c r="E662" s="129" t="s">
        <v>30</v>
      </c>
      <c r="F662" s="600">
        <f>IFERROR(VLOOKUP($B662,اسماء,5,0),0)</f>
        <v>0</v>
      </c>
      <c r="G662" s="601"/>
      <c r="H662" s="602">
        <f>IFERROR(VLOOKUP($B662,اسماء,6,0),0)</f>
        <v>0</v>
      </c>
      <c r="I662" s="622"/>
      <c r="J662" s="600">
        <f>IFERROR(VLOOKUP($B662,اسماء,7,0),0)</f>
        <v>0</v>
      </c>
      <c r="K662" s="601"/>
      <c r="L662" s="602">
        <f>IFERROR(VLOOKUP($B662,اسماء,8,0),0)</f>
        <v>0</v>
      </c>
      <c r="M662" s="603"/>
      <c r="N662" s="602">
        <f>IFERROR(VLOOKUP($B662,اسماء,9,0),0)</f>
        <v>0</v>
      </c>
      <c r="O662" s="603"/>
      <c r="P662" s="600">
        <f>IFERROR(VLOOKUP($B662,اسماء,10,0),0)</f>
        <v>0</v>
      </c>
      <c r="Q662" s="622"/>
      <c r="R662" s="371">
        <f t="shared" ref="R662" si="1772">SUM(F662:Q662)</f>
        <v>0</v>
      </c>
      <c r="S662" s="213" t="str">
        <f>IFERROR(VLOOKUP($B662,اسماء,12,0),"")</f>
        <v/>
      </c>
      <c r="T662" s="214" t="str">
        <f>IFERROR(VLOOKUP($B662,اسماء,13,0),"")</f>
        <v/>
      </c>
      <c r="U662" s="364" t="str">
        <f>IFERROR(VLOOKUP($B662,اسماء,14,0),"")</f>
        <v/>
      </c>
      <c r="V662" s="604" t="str">
        <f t="shared" ref="V662" si="1773">IF(Z662="غائب","راسب",IF(R665&gt;0,"ناجح","مرحل"))</f>
        <v>مرحل</v>
      </c>
      <c r="W662" s="19" t="str">
        <f t="shared" ref="W662:W663" si="1774">LOOKUP(R662,$AC$6:$AD$10)</f>
        <v>ضعيف</v>
      </c>
      <c r="X662" s="639">
        <f t="shared" ref="X662" si="1775">R665/$AC$3</f>
        <v>0</v>
      </c>
      <c r="Y662" s="8"/>
      <c r="Z662" s="597" t="str">
        <f>IFERROR(VLOOKUP($B662,اسماء,48,0),"")</f>
        <v/>
      </c>
      <c r="AK662" s="667" t="str">
        <f t="shared" ref="AK662" si="1776">IF(R665=0,"",R665/1+ROW()*0.00001)</f>
        <v/>
      </c>
      <c r="AL662" s="667">
        <f>B662</f>
        <v>0</v>
      </c>
      <c r="AM662" s="696"/>
      <c r="AN662" s="698">
        <v>143</v>
      </c>
      <c r="AO662" s="699" t="str">
        <f>IFERROR(LARGE($AK$10:$AK$1420,AN662),"")</f>
        <v/>
      </c>
      <c r="AP662" s="698" t="str">
        <f>VLOOKUP(AO662,$AK$10:$AL$1530,2,0)</f>
        <v>امجد عمر عبداللطيف سلطان</v>
      </c>
    </row>
    <row r="663" spans="1:42" ht="14.85" customHeight="1" x14ac:dyDescent="0.25">
      <c r="A663" s="611"/>
      <c r="B663" s="614"/>
      <c r="C663" s="617"/>
      <c r="D663" s="620"/>
      <c r="E663" s="130" t="s">
        <v>31</v>
      </c>
      <c r="F663" s="592">
        <f>IFERROR(VLOOKUP($B662,اسماء,15,0),0)</f>
        <v>0</v>
      </c>
      <c r="G663" s="593"/>
      <c r="H663" s="594">
        <f>IFERROR(VLOOKUP($B662,اسماء,16,0),0)</f>
        <v>0</v>
      </c>
      <c r="I663" s="595"/>
      <c r="J663" s="592">
        <f>IFERROR(VLOOKUP($B662,اسماء,17,0),0)</f>
        <v>0</v>
      </c>
      <c r="K663" s="593"/>
      <c r="L663" s="594">
        <f>IFERROR(VLOOKUP($B662,اسماء,18,0),0)</f>
        <v>0</v>
      </c>
      <c r="M663" s="596"/>
      <c r="N663" s="594">
        <f>IFERROR(VLOOKUP($B662,اسماء,19,0),0)</f>
        <v>0</v>
      </c>
      <c r="O663" s="596"/>
      <c r="P663" s="592">
        <f>IFERROR(VLOOKUP($B662,اسماء,20,0),0)</f>
        <v>0</v>
      </c>
      <c r="Q663" s="595"/>
      <c r="R663" s="372">
        <f t="shared" si="1764"/>
        <v>0</v>
      </c>
      <c r="S663" s="305" t="str">
        <f>IFERROR(VLOOKUP($B662,اسماء,23,0),"")</f>
        <v/>
      </c>
      <c r="T663" s="306" t="str">
        <f>IFERROR(VLOOKUP($B662,اسماء,24,0),"")</f>
        <v/>
      </c>
      <c r="U663" s="122" t="str">
        <f>IFERROR(VLOOKUP($B662,اسماء,25,0),"")</f>
        <v/>
      </c>
      <c r="V663" s="605"/>
      <c r="W663" s="19" t="str">
        <f t="shared" si="1774"/>
        <v>ضعيف</v>
      </c>
      <c r="X663" s="640"/>
      <c r="Y663" s="68"/>
      <c r="Z663" s="598"/>
      <c r="AK663" s="667"/>
      <c r="AL663" s="667"/>
      <c r="AM663" s="696"/>
      <c r="AN663" s="698"/>
      <c r="AO663" s="699"/>
      <c r="AP663" s="698"/>
    </row>
    <row r="664" spans="1:42" ht="14.85" customHeight="1" x14ac:dyDescent="0.25">
      <c r="A664" s="611"/>
      <c r="B664" s="614"/>
      <c r="C664" s="617"/>
      <c r="D664" s="620"/>
      <c r="E664" s="130" t="s">
        <v>32</v>
      </c>
      <c r="F664" s="592">
        <f>IFERROR(VLOOKUP($B662,اسماء,25,0),0)</f>
        <v>0</v>
      </c>
      <c r="G664" s="593"/>
      <c r="H664" s="594">
        <f>IFERROR(VLOOKUP($B662,اسماء,26,0),0)</f>
        <v>0</v>
      </c>
      <c r="I664" s="595"/>
      <c r="J664" s="592">
        <f>IFERROR(VLOOKUP($B662,اسماء,27,0),0)</f>
        <v>0</v>
      </c>
      <c r="K664" s="593"/>
      <c r="L664" s="594">
        <f>IFERROR(VLOOKUP($B662,اسماء,28,0),0)</f>
        <v>0</v>
      </c>
      <c r="M664" s="596"/>
      <c r="N664" s="594">
        <f>IFERROR(VLOOKUP($B662,اسماء,29,0),0)</f>
        <v>0</v>
      </c>
      <c r="O664" s="596"/>
      <c r="P664" s="592">
        <f>IFERROR(VLOOKUP($B662,اسماء,30,0),0)</f>
        <v>0</v>
      </c>
      <c r="Q664" s="595"/>
      <c r="R664" s="372">
        <f t="shared" si="1764"/>
        <v>0</v>
      </c>
      <c r="S664" s="305" t="str">
        <f>IFERROR(VLOOKUP($B662,اسماء,34,0),"")</f>
        <v/>
      </c>
      <c r="T664" s="306" t="str">
        <f>IFERROR(VLOOKUP($B662,اسماء,35,0),"")</f>
        <v/>
      </c>
      <c r="U664" s="122" t="str">
        <f>IFERROR(VLOOKUP($B662,اسماء,36,0),"")</f>
        <v/>
      </c>
      <c r="V664" s="605"/>
      <c r="W664" s="20" t="str">
        <f t="shared" ref="W664" si="1777">LOOKUP(R664,$AF$6:$AG$10)</f>
        <v>ضعيف</v>
      </c>
      <c r="X664" s="640"/>
      <c r="Y664" s="68"/>
      <c r="Z664" s="598"/>
      <c r="AK664" s="667"/>
      <c r="AL664" s="667"/>
      <c r="AM664" s="696"/>
      <c r="AN664" s="698"/>
      <c r="AO664" s="699"/>
      <c r="AP664" s="698"/>
    </row>
    <row r="665" spans="1:42" ht="14.85" customHeight="1" thickBot="1" x14ac:dyDescent="0.3">
      <c r="A665" s="612"/>
      <c r="B665" s="615"/>
      <c r="C665" s="618"/>
      <c r="D665" s="621"/>
      <c r="E665" s="124" t="s">
        <v>33</v>
      </c>
      <c r="F665" s="623">
        <f t="shared" ref="F665" si="1778">SUM(F662:G664)</f>
        <v>0</v>
      </c>
      <c r="G665" s="624"/>
      <c r="H665" s="625">
        <f t="shared" ref="H665" si="1779">SUM(H662:I664)</f>
        <v>0</v>
      </c>
      <c r="I665" s="626"/>
      <c r="J665" s="623">
        <f t="shared" ref="J665" si="1780">SUM(J662:K664)</f>
        <v>0</v>
      </c>
      <c r="K665" s="624"/>
      <c r="L665" s="625">
        <f t="shared" ref="L665" si="1781">SUM(L662:M664)</f>
        <v>0</v>
      </c>
      <c r="M665" s="642"/>
      <c r="N665" s="625">
        <f t="shared" ref="N665" si="1782">SUM(N662:O664)</f>
        <v>0</v>
      </c>
      <c r="O665" s="642"/>
      <c r="P665" s="623">
        <f t="shared" ref="P665" si="1783">SUM(P662:Q664)</f>
        <v>0</v>
      </c>
      <c r="Q665" s="626"/>
      <c r="R665" s="88">
        <f t="shared" ref="R665" si="1784">IF(AND(F665&gt;=$G$8,H665&gt;=$I$8,J665&gt;=$K$8,L665&gt;=$M$8,N665&gt;=$O$8,P665&gt;=$Q$8),SUM(F665:Q665),0)</f>
        <v>0</v>
      </c>
      <c r="S665" s="251"/>
      <c r="T665" s="97"/>
      <c r="U665" s="94"/>
      <c r="V665" s="606"/>
      <c r="W665" s="88" t="str">
        <f t="shared" ref="W665" si="1785">LOOKUP(R665,$AI$6:$AJ$10)</f>
        <v>ضعيف</v>
      </c>
      <c r="X665" s="641"/>
      <c r="Y665" s="8"/>
      <c r="Z665" s="599"/>
      <c r="AK665" s="667"/>
      <c r="AL665" s="667"/>
      <c r="AM665" s="696"/>
      <c r="AN665" s="698"/>
      <c r="AO665" s="699"/>
      <c r="AP665" s="698"/>
    </row>
    <row r="666" spans="1:42" ht="14.85" customHeight="1" thickBot="1" x14ac:dyDescent="0.3">
      <c r="A666" s="610">
        <v>144</v>
      </c>
      <c r="B666" s="613">
        <f>VLOOKUP(A666,مسلسل,2,0)</f>
        <v>0</v>
      </c>
      <c r="C666" s="616" t="str">
        <f>IFERROR(VLOOKUP(B666,اسماء,2,0),"")</f>
        <v/>
      </c>
      <c r="D666" s="619" t="str">
        <f>IFERROR(VLOOKUP($B666,اسماء,3,0),"")</f>
        <v/>
      </c>
      <c r="E666" s="129" t="s">
        <v>30</v>
      </c>
      <c r="F666" s="600">
        <f>IFERROR(VLOOKUP($B666,اسماء,5,0),0)</f>
        <v>0</v>
      </c>
      <c r="G666" s="601"/>
      <c r="H666" s="602">
        <f>IFERROR(VLOOKUP($B666,اسماء,6,0),0)</f>
        <v>0</v>
      </c>
      <c r="I666" s="622"/>
      <c r="J666" s="600">
        <f>IFERROR(VLOOKUP($B666,اسماء,7,0),0)</f>
        <v>0</v>
      </c>
      <c r="K666" s="601"/>
      <c r="L666" s="602">
        <f>IFERROR(VLOOKUP($B666,اسماء,8,0),0)</f>
        <v>0</v>
      </c>
      <c r="M666" s="603"/>
      <c r="N666" s="602">
        <f>IFERROR(VLOOKUP($B666,اسماء,9,0),0)</f>
        <v>0</v>
      </c>
      <c r="O666" s="603"/>
      <c r="P666" s="600">
        <f>IFERROR(VLOOKUP($B666,اسماء,10,0),0)</f>
        <v>0</v>
      </c>
      <c r="Q666" s="622"/>
      <c r="R666" s="371">
        <f t="shared" ref="R666" si="1786">SUM(F666:Q666)</f>
        <v>0</v>
      </c>
      <c r="S666" s="213" t="str">
        <f>IFERROR(VLOOKUP($B666,اسماء,12,0),"")</f>
        <v/>
      </c>
      <c r="T666" s="214" t="str">
        <f>IFERROR(VLOOKUP($B666,اسماء,13,0),"")</f>
        <v/>
      </c>
      <c r="U666" s="364" t="str">
        <f>IFERROR(VLOOKUP($B666,اسماء,14,0),"")</f>
        <v/>
      </c>
      <c r="V666" s="604" t="str">
        <f t="shared" ref="V666" si="1787">IF(Z666="غائب","راسب",IF(R669&gt;0,"ناجح","مرحل"))</f>
        <v>مرحل</v>
      </c>
      <c r="W666" s="19" t="str">
        <f t="shared" ref="W666:W667" si="1788">LOOKUP(R666,$AC$6:$AD$10)</f>
        <v>ضعيف</v>
      </c>
      <c r="X666" s="639">
        <f t="shared" ref="X666" si="1789">R669/$AC$3</f>
        <v>0</v>
      </c>
      <c r="Y666" s="68"/>
      <c r="Z666" s="597" t="str">
        <f>IFERROR(VLOOKUP($B666,اسماء,48,0),"")</f>
        <v/>
      </c>
      <c r="AK666" s="667" t="str">
        <f t="shared" ref="AK666" si="1790">IF(R669=0,"",R669/1+ROW()*0.00001)</f>
        <v/>
      </c>
      <c r="AL666" s="667">
        <f>B666</f>
        <v>0</v>
      </c>
      <c r="AM666" s="696"/>
      <c r="AN666" s="698">
        <v>144</v>
      </c>
      <c r="AO666" s="699" t="str">
        <f>IFERROR(LARGE($AK$10:$AK$1420,AN666),"")</f>
        <v/>
      </c>
      <c r="AP666" s="698" t="str">
        <f>VLOOKUP(AO666,$AK$10:$AL$1530,2,0)</f>
        <v>امجد عمر عبداللطيف سلطان</v>
      </c>
    </row>
    <row r="667" spans="1:42" ht="14.85" customHeight="1" x14ac:dyDescent="0.25">
      <c r="A667" s="611"/>
      <c r="B667" s="614"/>
      <c r="C667" s="617"/>
      <c r="D667" s="620"/>
      <c r="E667" s="130" t="s">
        <v>31</v>
      </c>
      <c r="F667" s="592">
        <f>IFERROR(VLOOKUP($B666,اسماء,15,0),0)</f>
        <v>0</v>
      </c>
      <c r="G667" s="593"/>
      <c r="H667" s="594">
        <f>IFERROR(VLOOKUP($B666,اسماء,16,0),0)</f>
        <v>0</v>
      </c>
      <c r="I667" s="595"/>
      <c r="J667" s="592">
        <f>IFERROR(VLOOKUP($B666,اسماء,17,0),0)</f>
        <v>0</v>
      </c>
      <c r="K667" s="593"/>
      <c r="L667" s="594">
        <f>IFERROR(VLOOKUP($B666,اسماء,18,0),0)</f>
        <v>0</v>
      </c>
      <c r="M667" s="596"/>
      <c r="N667" s="594">
        <f>IFERROR(VLOOKUP($B666,اسماء,19,0),0)</f>
        <v>0</v>
      </c>
      <c r="O667" s="596"/>
      <c r="P667" s="592">
        <f>IFERROR(VLOOKUP($B666,اسماء,20,0),0)</f>
        <v>0</v>
      </c>
      <c r="Q667" s="595"/>
      <c r="R667" s="372">
        <f t="shared" si="1764"/>
        <v>0</v>
      </c>
      <c r="S667" s="305" t="str">
        <f>IFERROR(VLOOKUP($B666,اسماء,23,0),"")</f>
        <v/>
      </c>
      <c r="T667" s="306" t="str">
        <f>IFERROR(VLOOKUP($B666,اسماء,24,0),"")</f>
        <v/>
      </c>
      <c r="U667" s="122" t="str">
        <f>IFERROR(VLOOKUP($B666,اسماء,25,0),"")</f>
        <v/>
      </c>
      <c r="V667" s="605"/>
      <c r="W667" s="19" t="str">
        <f t="shared" si="1788"/>
        <v>ضعيف</v>
      </c>
      <c r="X667" s="640"/>
      <c r="Y667" s="68"/>
      <c r="Z667" s="598"/>
      <c r="AK667" s="667"/>
      <c r="AL667" s="667"/>
      <c r="AM667" s="696"/>
      <c r="AN667" s="698"/>
      <c r="AO667" s="699"/>
      <c r="AP667" s="698"/>
    </row>
    <row r="668" spans="1:42" ht="14.85" customHeight="1" x14ac:dyDescent="0.25">
      <c r="A668" s="611"/>
      <c r="B668" s="614"/>
      <c r="C668" s="617"/>
      <c r="D668" s="620"/>
      <c r="E668" s="130" t="s">
        <v>32</v>
      </c>
      <c r="F668" s="592">
        <f>IFERROR(VLOOKUP($B666,اسماء,25,0),0)</f>
        <v>0</v>
      </c>
      <c r="G668" s="593"/>
      <c r="H668" s="594">
        <f>IFERROR(VLOOKUP($B666,اسماء,26,0),0)</f>
        <v>0</v>
      </c>
      <c r="I668" s="595"/>
      <c r="J668" s="592">
        <f>IFERROR(VLOOKUP($B666,اسماء,27,0),0)</f>
        <v>0</v>
      </c>
      <c r="K668" s="593"/>
      <c r="L668" s="594">
        <f>IFERROR(VLOOKUP($B666,اسماء,28,0),0)</f>
        <v>0</v>
      </c>
      <c r="M668" s="596"/>
      <c r="N668" s="594">
        <f>IFERROR(VLOOKUP($B666,اسماء,29,0),0)</f>
        <v>0</v>
      </c>
      <c r="O668" s="596"/>
      <c r="P668" s="592">
        <f>IFERROR(VLOOKUP($B666,اسماء,30,0),0)</f>
        <v>0</v>
      </c>
      <c r="Q668" s="595"/>
      <c r="R668" s="372">
        <f t="shared" si="1764"/>
        <v>0</v>
      </c>
      <c r="S668" s="305" t="str">
        <f>IFERROR(VLOOKUP($B666,اسماء,34,0),"")</f>
        <v/>
      </c>
      <c r="T668" s="306" t="str">
        <f>IFERROR(VLOOKUP($B666,اسماء,35,0),"")</f>
        <v/>
      </c>
      <c r="U668" s="122" t="str">
        <f>IFERROR(VLOOKUP($B666,اسماء,36,0),"")</f>
        <v/>
      </c>
      <c r="V668" s="605"/>
      <c r="W668" s="20" t="str">
        <f t="shared" ref="W668" si="1791">LOOKUP(R668,$AF$6:$AG$10)</f>
        <v>ضعيف</v>
      </c>
      <c r="X668" s="640"/>
      <c r="Y668" s="8"/>
      <c r="Z668" s="598"/>
      <c r="AK668" s="667"/>
      <c r="AL668" s="667"/>
      <c r="AM668" s="696"/>
      <c r="AN668" s="698"/>
      <c r="AO668" s="699"/>
      <c r="AP668" s="698"/>
    </row>
    <row r="669" spans="1:42" ht="14.85" customHeight="1" thickBot="1" x14ac:dyDescent="0.3">
      <c r="A669" s="612"/>
      <c r="B669" s="615"/>
      <c r="C669" s="618"/>
      <c r="D669" s="621"/>
      <c r="E669" s="124" t="s">
        <v>33</v>
      </c>
      <c r="F669" s="623">
        <f t="shared" ref="F669" si="1792">SUM(F666:G668)</f>
        <v>0</v>
      </c>
      <c r="G669" s="624"/>
      <c r="H669" s="625">
        <f t="shared" ref="H669" si="1793">SUM(H666:I668)</f>
        <v>0</v>
      </c>
      <c r="I669" s="626"/>
      <c r="J669" s="623">
        <f t="shared" ref="J669" si="1794">SUM(J666:K668)</f>
        <v>0</v>
      </c>
      <c r="K669" s="624"/>
      <c r="L669" s="625">
        <f t="shared" ref="L669" si="1795">SUM(L666:M668)</f>
        <v>0</v>
      </c>
      <c r="M669" s="642"/>
      <c r="N669" s="625">
        <f t="shared" ref="N669" si="1796">SUM(N666:O668)</f>
        <v>0</v>
      </c>
      <c r="O669" s="642"/>
      <c r="P669" s="623">
        <f t="shared" ref="P669" si="1797">SUM(P666:Q668)</f>
        <v>0</v>
      </c>
      <c r="Q669" s="626"/>
      <c r="R669" s="88">
        <f t="shared" ref="R669" si="1798">IF(AND(F669&gt;=$G$8,H669&gt;=$I$8,J669&gt;=$K$8,L669&gt;=$M$8,N669&gt;=$O$8,P669&gt;=$Q$8),SUM(F669:Q669),0)</f>
        <v>0</v>
      </c>
      <c r="S669" s="251"/>
      <c r="T669" s="97"/>
      <c r="U669" s="94"/>
      <c r="V669" s="606"/>
      <c r="W669" s="88" t="str">
        <f t="shared" ref="W669" si="1799">LOOKUP(R669,$AI$6:$AJ$10)</f>
        <v>ضعيف</v>
      </c>
      <c r="X669" s="641"/>
      <c r="Y669" s="68"/>
      <c r="Z669" s="599"/>
      <c r="AK669" s="667"/>
      <c r="AL669" s="667"/>
      <c r="AM669" s="696"/>
      <c r="AN669" s="698"/>
      <c r="AO669" s="699"/>
      <c r="AP669" s="698"/>
    </row>
    <row r="670" spans="1:42" ht="14.85" customHeight="1" thickBot="1" x14ac:dyDescent="0.3">
      <c r="A670" s="610">
        <v>145</v>
      </c>
      <c r="B670" s="613">
        <f>VLOOKUP(A670,مسلسل,2,0)</f>
        <v>0</v>
      </c>
      <c r="C670" s="616" t="str">
        <f>IFERROR(VLOOKUP(B670,اسماء,2,0),"")</f>
        <v/>
      </c>
      <c r="D670" s="619" t="str">
        <f>IFERROR(VLOOKUP($B670,اسماء,3,0),"")</f>
        <v/>
      </c>
      <c r="E670" s="129" t="s">
        <v>30</v>
      </c>
      <c r="F670" s="600">
        <f>IFERROR(VLOOKUP($B670,اسماء,5,0),0)</f>
        <v>0</v>
      </c>
      <c r="G670" s="601"/>
      <c r="H670" s="602">
        <f>IFERROR(VLOOKUP($B670,اسماء,6,0),0)</f>
        <v>0</v>
      </c>
      <c r="I670" s="622"/>
      <c r="J670" s="600">
        <f>IFERROR(VLOOKUP($B670,اسماء,7,0),0)</f>
        <v>0</v>
      </c>
      <c r="K670" s="601"/>
      <c r="L670" s="602">
        <f>IFERROR(VLOOKUP($B670,اسماء,8,0),0)</f>
        <v>0</v>
      </c>
      <c r="M670" s="603"/>
      <c r="N670" s="602">
        <f>IFERROR(VLOOKUP($B670,اسماء,9,0),0)</f>
        <v>0</v>
      </c>
      <c r="O670" s="603"/>
      <c r="P670" s="600">
        <f>IFERROR(VLOOKUP($B670,اسماء,10,0),0)</f>
        <v>0</v>
      </c>
      <c r="Q670" s="622"/>
      <c r="R670" s="371">
        <f t="shared" ref="R670" si="1800">SUM(F670:Q670)</f>
        <v>0</v>
      </c>
      <c r="S670" s="213" t="str">
        <f>IFERROR(VLOOKUP($B670,اسماء,12,0),"")</f>
        <v/>
      </c>
      <c r="T670" s="214" t="str">
        <f>IFERROR(VLOOKUP($B670,اسماء,13,0),"")</f>
        <v/>
      </c>
      <c r="U670" s="364" t="str">
        <f>IFERROR(VLOOKUP($B670,اسماء,14,0),"")</f>
        <v/>
      </c>
      <c r="V670" s="604" t="str">
        <f t="shared" ref="V670" si="1801">IF(Z670="غائب","راسب",IF(R673&gt;0,"ناجح","مرحل"))</f>
        <v>مرحل</v>
      </c>
      <c r="W670" s="19" t="str">
        <f t="shared" ref="W670:W671" si="1802">LOOKUP(R670,$AC$6:$AD$10)</f>
        <v>ضعيف</v>
      </c>
      <c r="X670" s="639">
        <f t="shared" ref="X670" si="1803">R673/$AC$3</f>
        <v>0</v>
      </c>
      <c r="Y670" s="68"/>
      <c r="Z670" s="597" t="str">
        <f>IFERROR(VLOOKUP($B670,اسماء,48,0),"")</f>
        <v/>
      </c>
      <c r="AK670" s="667" t="str">
        <f t="shared" ref="AK670" si="1804">IF(R673=0,"",R673/1+ROW()*0.00001)</f>
        <v/>
      </c>
      <c r="AL670" s="667">
        <f>B670</f>
        <v>0</v>
      </c>
      <c r="AM670" s="696"/>
      <c r="AN670" s="698">
        <v>145</v>
      </c>
      <c r="AO670" s="699" t="str">
        <f>IFERROR(LARGE($AK$10:$AK$1420,AN670),"")</f>
        <v/>
      </c>
      <c r="AP670" s="698" t="str">
        <f>VLOOKUP(AO670,$AK$10:$AL$1530,2,0)</f>
        <v>امجد عمر عبداللطيف سلطان</v>
      </c>
    </row>
    <row r="671" spans="1:42" ht="14.85" customHeight="1" x14ac:dyDescent="0.25">
      <c r="A671" s="611"/>
      <c r="B671" s="614"/>
      <c r="C671" s="617"/>
      <c r="D671" s="620"/>
      <c r="E671" s="130" t="s">
        <v>31</v>
      </c>
      <c r="F671" s="592">
        <f>IFERROR(VLOOKUP($B670,اسماء,15,0),0)</f>
        <v>0</v>
      </c>
      <c r="G671" s="593"/>
      <c r="H671" s="594">
        <f>IFERROR(VLOOKUP($B670,اسماء,16,0),0)</f>
        <v>0</v>
      </c>
      <c r="I671" s="595"/>
      <c r="J671" s="592">
        <f>IFERROR(VLOOKUP($B670,اسماء,17,0),0)</f>
        <v>0</v>
      </c>
      <c r="K671" s="593"/>
      <c r="L671" s="594">
        <f>IFERROR(VLOOKUP($B670,اسماء,18,0),0)</f>
        <v>0</v>
      </c>
      <c r="M671" s="596"/>
      <c r="N671" s="594">
        <f>IFERROR(VLOOKUP($B670,اسماء,19,0),0)</f>
        <v>0</v>
      </c>
      <c r="O671" s="596"/>
      <c r="P671" s="592">
        <f>IFERROR(VLOOKUP($B670,اسماء,20,0),0)</f>
        <v>0</v>
      </c>
      <c r="Q671" s="595"/>
      <c r="R671" s="372">
        <f t="shared" si="1764"/>
        <v>0</v>
      </c>
      <c r="S671" s="305" t="str">
        <f>IFERROR(VLOOKUP($B670,اسماء,23,0),"")</f>
        <v/>
      </c>
      <c r="T671" s="306" t="str">
        <f>IFERROR(VLOOKUP($B670,اسماء,24,0),"")</f>
        <v/>
      </c>
      <c r="U671" s="122" t="str">
        <f>IFERROR(VLOOKUP($B670,اسماء,25,0),"")</f>
        <v/>
      </c>
      <c r="V671" s="605"/>
      <c r="W671" s="19" t="str">
        <f t="shared" si="1802"/>
        <v>ضعيف</v>
      </c>
      <c r="X671" s="640"/>
      <c r="Y671" s="8"/>
      <c r="Z671" s="598"/>
      <c r="AK671" s="667"/>
      <c r="AL671" s="667"/>
      <c r="AM671" s="696"/>
      <c r="AN671" s="698"/>
      <c r="AO671" s="699"/>
      <c r="AP671" s="698"/>
    </row>
    <row r="672" spans="1:42" ht="14.85" customHeight="1" x14ac:dyDescent="0.25">
      <c r="A672" s="611"/>
      <c r="B672" s="614"/>
      <c r="C672" s="617"/>
      <c r="D672" s="620"/>
      <c r="E672" s="130" t="s">
        <v>32</v>
      </c>
      <c r="F672" s="592">
        <f>IFERROR(VLOOKUP($B670,اسماء,25,0),0)</f>
        <v>0</v>
      </c>
      <c r="G672" s="593"/>
      <c r="H672" s="594">
        <f>IFERROR(VLOOKUP($B670,اسماء,26,0),0)</f>
        <v>0</v>
      </c>
      <c r="I672" s="595"/>
      <c r="J672" s="592">
        <f>IFERROR(VLOOKUP($B670,اسماء,27,0),0)</f>
        <v>0</v>
      </c>
      <c r="K672" s="593"/>
      <c r="L672" s="594">
        <f>IFERROR(VLOOKUP($B670,اسماء,28,0),0)</f>
        <v>0</v>
      </c>
      <c r="M672" s="596"/>
      <c r="N672" s="594">
        <f>IFERROR(VLOOKUP($B670,اسماء,29,0),0)</f>
        <v>0</v>
      </c>
      <c r="O672" s="596"/>
      <c r="P672" s="592">
        <f>IFERROR(VLOOKUP($B670,اسماء,30,0),0)</f>
        <v>0</v>
      </c>
      <c r="Q672" s="595"/>
      <c r="R672" s="372">
        <f t="shared" si="1764"/>
        <v>0</v>
      </c>
      <c r="S672" s="305" t="str">
        <f>IFERROR(VLOOKUP($B670,اسماء,34,0),"")</f>
        <v/>
      </c>
      <c r="T672" s="306" t="str">
        <f>IFERROR(VLOOKUP($B670,اسماء,35,0),"")</f>
        <v/>
      </c>
      <c r="U672" s="122" t="str">
        <f>IFERROR(VLOOKUP($B670,اسماء,36,0),"")</f>
        <v/>
      </c>
      <c r="V672" s="605"/>
      <c r="W672" s="20" t="str">
        <f t="shared" ref="W672" si="1805">LOOKUP(R672,$AF$6:$AG$10)</f>
        <v>ضعيف</v>
      </c>
      <c r="X672" s="640"/>
      <c r="Y672" s="68"/>
      <c r="Z672" s="598"/>
      <c r="AK672" s="667"/>
      <c r="AL672" s="667"/>
      <c r="AM672" s="696"/>
      <c r="AN672" s="698"/>
      <c r="AO672" s="699"/>
      <c r="AP672" s="698"/>
    </row>
    <row r="673" spans="1:42" ht="14.85" customHeight="1" thickBot="1" x14ac:dyDescent="0.3">
      <c r="A673" s="612"/>
      <c r="B673" s="615"/>
      <c r="C673" s="618"/>
      <c r="D673" s="621"/>
      <c r="E673" s="124" t="s">
        <v>33</v>
      </c>
      <c r="F673" s="623">
        <f t="shared" ref="F673" si="1806">SUM(F670:G672)</f>
        <v>0</v>
      </c>
      <c r="G673" s="624"/>
      <c r="H673" s="625">
        <f t="shared" ref="H673" si="1807">SUM(H670:I672)</f>
        <v>0</v>
      </c>
      <c r="I673" s="626"/>
      <c r="J673" s="623">
        <f t="shared" ref="J673" si="1808">SUM(J670:K672)</f>
        <v>0</v>
      </c>
      <c r="K673" s="624"/>
      <c r="L673" s="625">
        <f t="shared" ref="L673" si="1809">SUM(L670:M672)</f>
        <v>0</v>
      </c>
      <c r="M673" s="642"/>
      <c r="N673" s="625">
        <f t="shared" ref="N673" si="1810">SUM(N670:O672)</f>
        <v>0</v>
      </c>
      <c r="O673" s="642"/>
      <c r="P673" s="623">
        <f t="shared" ref="P673" si="1811">SUM(P670:Q672)</f>
        <v>0</v>
      </c>
      <c r="Q673" s="626"/>
      <c r="R673" s="88">
        <f t="shared" ref="R673" si="1812">IF(AND(F673&gt;=$G$8,H673&gt;=$I$8,J673&gt;=$K$8,L673&gt;=$M$8,N673&gt;=$O$8,P673&gt;=$Q$8),SUM(F673:Q673),0)</f>
        <v>0</v>
      </c>
      <c r="S673" s="251"/>
      <c r="T673" s="97"/>
      <c r="U673" s="94"/>
      <c r="V673" s="606"/>
      <c r="W673" s="88" t="str">
        <f t="shared" ref="W673" si="1813">LOOKUP(R673,$AI$6:$AJ$10)</f>
        <v>ضعيف</v>
      </c>
      <c r="X673" s="641"/>
      <c r="Y673" s="68"/>
      <c r="Z673" s="599"/>
      <c r="AK673" s="667"/>
      <c r="AL673" s="667"/>
      <c r="AM673" s="696"/>
      <c r="AN673" s="698"/>
      <c r="AO673" s="699"/>
      <c r="AP673" s="698"/>
    </row>
    <row r="674" spans="1:42" ht="14.85" customHeight="1" thickBot="1" x14ac:dyDescent="0.3">
      <c r="A674" s="610">
        <v>146</v>
      </c>
      <c r="B674" s="613">
        <f>VLOOKUP(A674,مسلسل,2,0)</f>
        <v>0</v>
      </c>
      <c r="C674" s="616" t="str">
        <f>IFERROR(VLOOKUP(B674,اسماء,2,0),"")</f>
        <v/>
      </c>
      <c r="D674" s="619" t="str">
        <f>IFERROR(VLOOKUP($B674,اسماء,3,0),"")</f>
        <v/>
      </c>
      <c r="E674" s="129" t="s">
        <v>30</v>
      </c>
      <c r="F674" s="600">
        <f>IFERROR(VLOOKUP($B674,اسماء,5,0),0)</f>
        <v>0</v>
      </c>
      <c r="G674" s="601"/>
      <c r="H674" s="602">
        <f>IFERROR(VLOOKUP($B674,اسماء,6,0),0)</f>
        <v>0</v>
      </c>
      <c r="I674" s="622"/>
      <c r="J674" s="600">
        <f>IFERROR(VLOOKUP($B674,اسماء,7,0),0)</f>
        <v>0</v>
      </c>
      <c r="K674" s="601"/>
      <c r="L674" s="602">
        <f>IFERROR(VLOOKUP($B674,اسماء,8,0),0)</f>
        <v>0</v>
      </c>
      <c r="M674" s="603"/>
      <c r="N674" s="602">
        <f>IFERROR(VLOOKUP($B674,اسماء,9,0),0)</f>
        <v>0</v>
      </c>
      <c r="O674" s="603"/>
      <c r="P674" s="600">
        <f>IFERROR(VLOOKUP($B674,اسماء,10,0),0)</f>
        <v>0</v>
      </c>
      <c r="Q674" s="622"/>
      <c r="R674" s="371">
        <f t="shared" ref="R674" si="1814">SUM(F674:Q674)</f>
        <v>0</v>
      </c>
      <c r="S674" s="213" t="str">
        <f>IFERROR(VLOOKUP($B674,اسماء,12,0),"")</f>
        <v/>
      </c>
      <c r="T674" s="214" t="str">
        <f>IFERROR(VLOOKUP($B674,اسماء,13,0),"")</f>
        <v/>
      </c>
      <c r="U674" s="364" t="str">
        <f>IFERROR(VLOOKUP($B674,اسماء,14,0),"")</f>
        <v/>
      </c>
      <c r="V674" s="604" t="str">
        <f t="shared" ref="V674" si="1815">IF(Z674="غائب","راسب",IF(R677&gt;0,"ناجح","مرحل"))</f>
        <v>مرحل</v>
      </c>
      <c r="W674" s="19" t="str">
        <f t="shared" ref="W674:W675" si="1816">LOOKUP(R674,$AC$6:$AD$10)</f>
        <v>ضعيف</v>
      </c>
      <c r="X674" s="639">
        <f t="shared" ref="X674" si="1817">R677/$AC$3</f>
        <v>0</v>
      </c>
      <c r="Y674" s="8"/>
      <c r="Z674" s="597" t="str">
        <f>IFERROR(VLOOKUP($B674,اسماء,48,0),"")</f>
        <v/>
      </c>
      <c r="AK674" s="667" t="str">
        <f t="shared" ref="AK674" si="1818">IF(R677=0,"",R677/1+ROW()*0.00001)</f>
        <v/>
      </c>
      <c r="AL674" s="667">
        <f>B674</f>
        <v>0</v>
      </c>
      <c r="AM674" s="696"/>
      <c r="AN674" s="698">
        <v>146</v>
      </c>
      <c r="AO674" s="699" t="str">
        <f>IFERROR(LARGE($AK$10:$AK$1420,AN674),"")</f>
        <v/>
      </c>
      <c r="AP674" s="698" t="str">
        <f>VLOOKUP(AO674,$AK$10:$AL$1530,2,0)</f>
        <v>امجد عمر عبداللطيف سلطان</v>
      </c>
    </row>
    <row r="675" spans="1:42" ht="14.85" customHeight="1" x14ac:dyDescent="0.25">
      <c r="A675" s="611"/>
      <c r="B675" s="614"/>
      <c r="C675" s="617"/>
      <c r="D675" s="620"/>
      <c r="E675" s="130" t="s">
        <v>31</v>
      </c>
      <c r="F675" s="592">
        <f>IFERROR(VLOOKUP($B674,اسماء,15,0),0)</f>
        <v>0</v>
      </c>
      <c r="G675" s="593"/>
      <c r="H675" s="594">
        <f>IFERROR(VLOOKUP($B674,اسماء,16,0),0)</f>
        <v>0</v>
      </c>
      <c r="I675" s="595"/>
      <c r="J675" s="592">
        <f>IFERROR(VLOOKUP($B674,اسماء,17,0),0)</f>
        <v>0</v>
      </c>
      <c r="K675" s="593"/>
      <c r="L675" s="594">
        <f>IFERROR(VLOOKUP($B674,اسماء,18,0),0)</f>
        <v>0</v>
      </c>
      <c r="M675" s="596"/>
      <c r="N675" s="594">
        <f>IFERROR(VLOOKUP($B674,اسماء,19,0),0)</f>
        <v>0</v>
      </c>
      <c r="O675" s="596"/>
      <c r="P675" s="592">
        <f>IFERROR(VLOOKUP($B674,اسماء,20,0),0)</f>
        <v>0</v>
      </c>
      <c r="Q675" s="595"/>
      <c r="R675" s="372">
        <f t="shared" si="1764"/>
        <v>0</v>
      </c>
      <c r="S675" s="305" t="str">
        <f>IFERROR(VLOOKUP($B674,اسماء,23,0),"")</f>
        <v/>
      </c>
      <c r="T675" s="306" t="str">
        <f>IFERROR(VLOOKUP($B674,اسماء,24,0),"")</f>
        <v/>
      </c>
      <c r="U675" s="122" t="str">
        <f>IFERROR(VLOOKUP($B674,اسماء,25,0),"")</f>
        <v/>
      </c>
      <c r="V675" s="605"/>
      <c r="W675" s="19" t="str">
        <f t="shared" si="1816"/>
        <v>ضعيف</v>
      </c>
      <c r="X675" s="640"/>
      <c r="Y675" s="68"/>
      <c r="Z675" s="598"/>
      <c r="AK675" s="667"/>
      <c r="AL675" s="667"/>
      <c r="AM675" s="696"/>
      <c r="AN675" s="698"/>
      <c r="AO675" s="699"/>
      <c r="AP675" s="698"/>
    </row>
    <row r="676" spans="1:42" ht="14.85" customHeight="1" x14ac:dyDescent="0.25">
      <c r="A676" s="611"/>
      <c r="B676" s="614"/>
      <c r="C676" s="617"/>
      <c r="D676" s="620"/>
      <c r="E676" s="130" t="s">
        <v>32</v>
      </c>
      <c r="F676" s="592">
        <f>IFERROR(VLOOKUP($B674,اسماء,25,0),0)</f>
        <v>0</v>
      </c>
      <c r="G676" s="593"/>
      <c r="H676" s="594">
        <f>IFERROR(VLOOKUP($B674,اسماء,26,0),0)</f>
        <v>0</v>
      </c>
      <c r="I676" s="595"/>
      <c r="J676" s="592">
        <f>IFERROR(VLOOKUP($B674,اسماء,27,0),0)</f>
        <v>0</v>
      </c>
      <c r="K676" s="593"/>
      <c r="L676" s="594">
        <f>IFERROR(VLOOKUP($B674,اسماء,28,0),0)</f>
        <v>0</v>
      </c>
      <c r="M676" s="596"/>
      <c r="N676" s="594">
        <f>IFERROR(VLOOKUP($B674,اسماء,29,0),0)</f>
        <v>0</v>
      </c>
      <c r="O676" s="596"/>
      <c r="P676" s="592">
        <f>IFERROR(VLOOKUP($B674,اسماء,30,0),0)</f>
        <v>0</v>
      </c>
      <c r="Q676" s="595"/>
      <c r="R676" s="372">
        <f t="shared" si="1764"/>
        <v>0</v>
      </c>
      <c r="S676" s="305" t="str">
        <f>IFERROR(VLOOKUP($B674,اسماء,34,0),"")</f>
        <v/>
      </c>
      <c r="T676" s="306" t="str">
        <f>IFERROR(VLOOKUP($B674,اسماء,35,0),"")</f>
        <v/>
      </c>
      <c r="U676" s="122" t="str">
        <f>IFERROR(VLOOKUP($B674,اسماء,36,0),"")</f>
        <v/>
      </c>
      <c r="V676" s="605"/>
      <c r="W676" s="20" t="str">
        <f t="shared" ref="W676" si="1819">LOOKUP(R676,$AF$6:$AG$10)</f>
        <v>ضعيف</v>
      </c>
      <c r="X676" s="640"/>
      <c r="Y676" s="68"/>
      <c r="Z676" s="598"/>
      <c r="AK676" s="667"/>
      <c r="AL676" s="667"/>
      <c r="AM676" s="696"/>
      <c r="AN676" s="698"/>
      <c r="AO676" s="699"/>
      <c r="AP676" s="698"/>
    </row>
    <row r="677" spans="1:42" ht="14.85" customHeight="1" thickBot="1" x14ac:dyDescent="0.3">
      <c r="A677" s="612"/>
      <c r="B677" s="615"/>
      <c r="C677" s="618"/>
      <c r="D677" s="621"/>
      <c r="E677" s="124" t="s">
        <v>33</v>
      </c>
      <c r="F677" s="623">
        <f t="shared" ref="F677" si="1820">SUM(F674:G676)</f>
        <v>0</v>
      </c>
      <c r="G677" s="624"/>
      <c r="H677" s="625">
        <f t="shared" ref="H677" si="1821">SUM(H674:I676)</f>
        <v>0</v>
      </c>
      <c r="I677" s="626"/>
      <c r="J677" s="623">
        <f t="shared" ref="J677" si="1822">SUM(J674:K676)</f>
        <v>0</v>
      </c>
      <c r="K677" s="624"/>
      <c r="L677" s="625">
        <f t="shared" ref="L677" si="1823">SUM(L674:M676)</f>
        <v>0</v>
      </c>
      <c r="M677" s="642"/>
      <c r="N677" s="625">
        <f t="shared" ref="N677" si="1824">SUM(N674:O676)</f>
        <v>0</v>
      </c>
      <c r="O677" s="642"/>
      <c r="P677" s="623">
        <f t="shared" ref="P677" si="1825">SUM(P674:Q676)</f>
        <v>0</v>
      </c>
      <c r="Q677" s="626"/>
      <c r="R677" s="88">
        <f t="shared" ref="R677" si="1826">IF(AND(F677&gt;=$G$8,H677&gt;=$I$8,J677&gt;=$K$8,L677&gt;=$M$8,N677&gt;=$O$8,P677&gt;=$Q$8),SUM(F677:Q677),0)</f>
        <v>0</v>
      </c>
      <c r="S677" s="251"/>
      <c r="T677" s="97"/>
      <c r="U677" s="94"/>
      <c r="V677" s="606"/>
      <c r="W677" s="88" t="str">
        <f t="shared" ref="W677" si="1827">LOOKUP(R677,$AI$6:$AJ$10)</f>
        <v>ضعيف</v>
      </c>
      <c r="X677" s="641"/>
      <c r="Y677" s="8"/>
      <c r="Z677" s="599"/>
      <c r="AK677" s="667"/>
      <c r="AL677" s="667"/>
      <c r="AM677" s="696"/>
      <c r="AN677" s="698"/>
      <c r="AO677" s="699"/>
      <c r="AP677" s="698"/>
    </row>
    <row r="678" spans="1:42" ht="14.85" customHeight="1" thickBot="1" x14ac:dyDescent="0.3">
      <c r="A678" s="610">
        <v>147</v>
      </c>
      <c r="B678" s="613">
        <f>VLOOKUP(A678,مسلسل,2,0)</f>
        <v>0</v>
      </c>
      <c r="C678" s="616" t="str">
        <f>IFERROR(VLOOKUP(B678,اسماء,2,0),"")</f>
        <v/>
      </c>
      <c r="D678" s="619" t="str">
        <f>IFERROR(VLOOKUP($B678,اسماء,3,0),"")</f>
        <v/>
      </c>
      <c r="E678" s="129" t="s">
        <v>30</v>
      </c>
      <c r="F678" s="600">
        <f>IFERROR(VLOOKUP($B678,اسماء,5,0),0)</f>
        <v>0</v>
      </c>
      <c r="G678" s="601"/>
      <c r="H678" s="602">
        <f>IFERROR(VLOOKUP($B678,اسماء,6,0),0)</f>
        <v>0</v>
      </c>
      <c r="I678" s="622"/>
      <c r="J678" s="600">
        <f>IFERROR(VLOOKUP($B678,اسماء,7,0),0)</f>
        <v>0</v>
      </c>
      <c r="K678" s="601"/>
      <c r="L678" s="602">
        <f>IFERROR(VLOOKUP($B678,اسماء,8,0),0)</f>
        <v>0</v>
      </c>
      <c r="M678" s="603"/>
      <c r="N678" s="602">
        <f>IFERROR(VLOOKUP($B678,اسماء,9,0),0)</f>
        <v>0</v>
      </c>
      <c r="O678" s="603"/>
      <c r="P678" s="600">
        <f>IFERROR(VLOOKUP($B678,اسماء,10,0),0)</f>
        <v>0</v>
      </c>
      <c r="Q678" s="622"/>
      <c r="R678" s="371">
        <f t="shared" ref="R678" si="1828">SUM(F678:Q678)</f>
        <v>0</v>
      </c>
      <c r="S678" s="213" t="str">
        <f>IFERROR(VLOOKUP($B678,اسماء,12,0),"")</f>
        <v/>
      </c>
      <c r="T678" s="214" t="str">
        <f>IFERROR(VLOOKUP($B678,اسماء,13,0),"")</f>
        <v/>
      </c>
      <c r="U678" s="364" t="str">
        <f>IFERROR(VLOOKUP($B678,اسماء,14,0),"")</f>
        <v/>
      </c>
      <c r="V678" s="604" t="str">
        <f t="shared" ref="V678" si="1829">IF(Z678="غائب","راسب",IF(R681&gt;0,"ناجح","مرحل"))</f>
        <v>مرحل</v>
      </c>
      <c r="W678" s="19" t="str">
        <f t="shared" ref="W678:W679" si="1830">LOOKUP(R678,$AC$6:$AD$10)</f>
        <v>ضعيف</v>
      </c>
      <c r="X678" s="639">
        <f t="shared" ref="X678" si="1831">R681/$AC$3</f>
        <v>0</v>
      </c>
      <c r="Y678" s="68"/>
      <c r="Z678" s="597" t="str">
        <f>IFERROR(VLOOKUP($B678,اسماء,48,0),"")</f>
        <v/>
      </c>
      <c r="AK678" s="667" t="str">
        <f t="shared" ref="AK678" si="1832">IF(R681=0,"",R681/1+ROW()*0.00001)</f>
        <v/>
      </c>
      <c r="AL678" s="667">
        <f>B678</f>
        <v>0</v>
      </c>
      <c r="AM678" s="696"/>
      <c r="AN678" s="698">
        <v>147</v>
      </c>
      <c r="AO678" s="699" t="str">
        <f>IFERROR(LARGE($AK$10:$AK$1420,AN678),"")</f>
        <v/>
      </c>
      <c r="AP678" s="698" t="str">
        <f>VLOOKUP(AO678,$AK$10:$AL$1530,2,0)</f>
        <v>امجد عمر عبداللطيف سلطان</v>
      </c>
    </row>
    <row r="679" spans="1:42" ht="14.85" customHeight="1" x14ac:dyDescent="0.25">
      <c r="A679" s="611"/>
      <c r="B679" s="614"/>
      <c r="C679" s="617"/>
      <c r="D679" s="620"/>
      <c r="E679" s="130" t="s">
        <v>31</v>
      </c>
      <c r="F679" s="592">
        <f>IFERROR(VLOOKUP($B678,اسماء,15,0),0)</f>
        <v>0</v>
      </c>
      <c r="G679" s="593"/>
      <c r="H679" s="594">
        <f>IFERROR(VLOOKUP($B678,اسماء,16,0),0)</f>
        <v>0</v>
      </c>
      <c r="I679" s="595"/>
      <c r="J679" s="592">
        <f>IFERROR(VLOOKUP($B678,اسماء,17,0),0)</f>
        <v>0</v>
      </c>
      <c r="K679" s="593"/>
      <c r="L679" s="594">
        <f>IFERROR(VLOOKUP($B678,اسماء,18,0),0)</f>
        <v>0</v>
      </c>
      <c r="M679" s="596"/>
      <c r="N679" s="594">
        <f>IFERROR(VLOOKUP($B678,اسماء,19,0),0)</f>
        <v>0</v>
      </c>
      <c r="O679" s="596"/>
      <c r="P679" s="592">
        <f>IFERROR(VLOOKUP($B678,اسماء,20,0),0)</f>
        <v>0</v>
      </c>
      <c r="Q679" s="595"/>
      <c r="R679" s="372">
        <f t="shared" si="1764"/>
        <v>0</v>
      </c>
      <c r="S679" s="305" t="str">
        <f>IFERROR(VLOOKUP($B678,اسماء,23,0),"")</f>
        <v/>
      </c>
      <c r="T679" s="306" t="str">
        <f>IFERROR(VLOOKUP($B678,اسماء,24,0),"")</f>
        <v/>
      </c>
      <c r="U679" s="122" t="str">
        <f>IFERROR(VLOOKUP($B678,اسماء,25,0),"")</f>
        <v/>
      </c>
      <c r="V679" s="605"/>
      <c r="W679" s="19" t="str">
        <f t="shared" si="1830"/>
        <v>ضعيف</v>
      </c>
      <c r="X679" s="640"/>
      <c r="Y679" s="68"/>
      <c r="Z679" s="598"/>
      <c r="AK679" s="667"/>
      <c r="AL679" s="667"/>
      <c r="AM679" s="696"/>
      <c r="AN679" s="698"/>
      <c r="AO679" s="699"/>
      <c r="AP679" s="698"/>
    </row>
    <row r="680" spans="1:42" ht="14.85" customHeight="1" x14ac:dyDescent="0.25">
      <c r="A680" s="611"/>
      <c r="B680" s="614"/>
      <c r="C680" s="617"/>
      <c r="D680" s="620"/>
      <c r="E680" s="130" t="s">
        <v>32</v>
      </c>
      <c r="F680" s="592">
        <f>IFERROR(VLOOKUP($B678,اسماء,25,0),0)</f>
        <v>0</v>
      </c>
      <c r="G680" s="593"/>
      <c r="H680" s="594">
        <f>IFERROR(VLOOKUP($B678,اسماء,26,0),0)</f>
        <v>0</v>
      </c>
      <c r="I680" s="595"/>
      <c r="J680" s="592">
        <f>IFERROR(VLOOKUP($B678,اسماء,27,0),0)</f>
        <v>0</v>
      </c>
      <c r="K680" s="593"/>
      <c r="L680" s="594">
        <f>IFERROR(VLOOKUP($B678,اسماء,28,0),0)</f>
        <v>0</v>
      </c>
      <c r="M680" s="596"/>
      <c r="N680" s="594">
        <f>IFERROR(VLOOKUP($B678,اسماء,29,0),0)</f>
        <v>0</v>
      </c>
      <c r="O680" s="596"/>
      <c r="P680" s="592">
        <f>IFERROR(VLOOKUP($B678,اسماء,30,0),0)</f>
        <v>0</v>
      </c>
      <c r="Q680" s="595"/>
      <c r="R680" s="372">
        <f t="shared" si="1764"/>
        <v>0</v>
      </c>
      <c r="S680" s="305" t="str">
        <f>IFERROR(VLOOKUP($B678,اسماء,34,0),"")</f>
        <v/>
      </c>
      <c r="T680" s="306" t="str">
        <f>IFERROR(VLOOKUP($B678,اسماء,35,0),"")</f>
        <v/>
      </c>
      <c r="U680" s="122" t="str">
        <f>IFERROR(VLOOKUP($B678,اسماء,36,0),"")</f>
        <v/>
      </c>
      <c r="V680" s="605"/>
      <c r="W680" s="20" t="str">
        <f t="shared" ref="W680" si="1833">LOOKUP(R680,$AF$6:$AG$10)</f>
        <v>ضعيف</v>
      </c>
      <c r="X680" s="640"/>
      <c r="Y680" s="8"/>
      <c r="Z680" s="598"/>
      <c r="AK680" s="667"/>
      <c r="AL680" s="667"/>
      <c r="AM680" s="696"/>
      <c r="AN680" s="698"/>
      <c r="AO680" s="699"/>
      <c r="AP680" s="698"/>
    </row>
    <row r="681" spans="1:42" ht="14.85" customHeight="1" thickBot="1" x14ac:dyDescent="0.3">
      <c r="A681" s="612"/>
      <c r="B681" s="615"/>
      <c r="C681" s="618"/>
      <c r="D681" s="621"/>
      <c r="E681" s="124" t="s">
        <v>33</v>
      </c>
      <c r="F681" s="623">
        <f t="shared" ref="F681" si="1834">SUM(F678:G680)</f>
        <v>0</v>
      </c>
      <c r="G681" s="624"/>
      <c r="H681" s="625">
        <f t="shared" ref="H681" si="1835">SUM(H678:I680)</f>
        <v>0</v>
      </c>
      <c r="I681" s="626"/>
      <c r="J681" s="623">
        <f t="shared" ref="J681" si="1836">SUM(J678:K680)</f>
        <v>0</v>
      </c>
      <c r="K681" s="624"/>
      <c r="L681" s="625">
        <f t="shared" ref="L681" si="1837">SUM(L678:M680)</f>
        <v>0</v>
      </c>
      <c r="M681" s="642"/>
      <c r="N681" s="625">
        <f t="shared" ref="N681" si="1838">SUM(N678:O680)</f>
        <v>0</v>
      </c>
      <c r="O681" s="642"/>
      <c r="P681" s="623">
        <f t="shared" ref="P681" si="1839">SUM(P678:Q680)</f>
        <v>0</v>
      </c>
      <c r="Q681" s="626"/>
      <c r="R681" s="88">
        <f t="shared" ref="R681" si="1840">IF(AND(F681&gt;=$G$8,H681&gt;=$I$8,J681&gt;=$K$8,L681&gt;=$M$8,N681&gt;=$O$8,P681&gt;=$Q$8),SUM(F681:Q681),0)</f>
        <v>0</v>
      </c>
      <c r="S681" s="251"/>
      <c r="T681" s="97"/>
      <c r="U681" s="94"/>
      <c r="V681" s="606"/>
      <c r="W681" s="88" t="str">
        <f t="shared" ref="W681" si="1841">LOOKUP(R681,$AI$6:$AJ$10)</f>
        <v>ضعيف</v>
      </c>
      <c r="X681" s="641"/>
      <c r="Y681" s="68"/>
      <c r="Z681" s="599"/>
      <c r="AK681" s="667"/>
      <c r="AL681" s="667"/>
      <c r="AM681" s="696"/>
      <c r="AN681" s="698"/>
      <c r="AO681" s="699"/>
      <c r="AP681" s="698"/>
    </row>
    <row r="682" spans="1:42" ht="14.85" customHeight="1" thickBot="1" x14ac:dyDescent="0.3">
      <c r="A682" s="610">
        <v>148</v>
      </c>
      <c r="B682" s="613">
        <f>VLOOKUP(A682,مسلسل,2,0)</f>
        <v>0</v>
      </c>
      <c r="C682" s="616" t="str">
        <f>IFERROR(VLOOKUP(B682,اسماء,2,0),"")</f>
        <v/>
      </c>
      <c r="D682" s="619" t="str">
        <f>IFERROR(VLOOKUP($B682,اسماء,3,0),"")</f>
        <v/>
      </c>
      <c r="E682" s="129" t="s">
        <v>30</v>
      </c>
      <c r="F682" s="600">
        <f>IFERROR(VLOOKUP($B682,اسماء,5,0),0)</f>
        <v>0</v>
      </c>
      <c r="G682" s="601"/>
      <c r="H682" s="602">
        <f>IFERROR(VLOOKUP($B682,اسماء,6,0),0)</f>
        <v>0</v>
      </c>
      <c r="I682" s="622"/>
      <c r="J682" s="600">
        <f>IFERROR(VLOOKUP($B682,اسماء,7,0),0)</f>
        <v>0</v>
      </c>
      <c r="K682" s="601"/>
      <c r="L682" s="602">
        <f>IFERROR(VLOOKUP($B682,اسماء,8,0),0)</f>
        <v>0</v>
      </c>
      <c r="M682" s="603"/>
      <c r="N682" s="602">
        <f>IFERROR(VLOOKUP($B682,اسماء,9,0),0)</f>
        <v>0</v>
      </c>
      <c r="O682" s="603"/>
      <c r="P682" s="600">
        <f>IFERROR(VLOOKUP($B682,اسماء,10,0),0)</f>
        <v>0</v>
      </c>
      <c r="Q682" s="622"/>
      <c r="R682" s="371">
        <f t="shared" ref="R682" si="1842">SUM(F682:Q682)</f>
        <v>0</v>
      </c>
      <c r="S682" s="213" t="str">
        <f>IFERROR(VLOOKUP($B682,اسماء,12,0),"")</f>
        <v/>
      </c>
      <c r="T682" s="214" t="str">
        <f>IFERROR(VLOOKUP($B682,اسماء,13,0),"")</f>
        <v/>
      </c>
      <c r="U682" s="364" t="str">
        <f>IFERROR(VLOOKUP($B682,اسماء,14,0),"")</f>
        <v/>
      </c>
      <c r="V682" s="604" t="str">
        <f t="shared" ref="V682" si="1843">IF(Z682="غائب","راسب",IF(R685&gt;0,"ناجح","مرحل"))</f>
        <v>مرحل</v>
      </c>
      <c r="W682" s="19" t="str">
        <f t="shared" ref="W682:W683" si="1844">LOOKUP(R682,$AC$6:$AD$10)</f>
        <v>ضعيف</v>
      </c>
      <c r="X682" s="639">
        <f t="shared" ref="X682" si="1845">R685/$AC$3</f>
        <v>0</v>
      </c>
      <c r="Y682" s="68"/>
      <c r="Z682" s="597" t="str">
        <f>IFERROR(VLOOKUP($B682,اسماء,48,0),"")</f>
        <v/>
      </c>
      <c r="AK682" s="667" t="str">
        <f t="shared" ref="AK682" si="1846">IF(R685=0,"",R685/1+ROW()*0.00001)</f>
        <v/>
      </c>
      <c r="AL682" s="667">
        <f>B682</f>
        <v>0</v>
      </c>
      <c r="AM682" s="696"/>
      <c r="AN682" s="698">
        <v>148</v>
      </c>
      <c r="AO682" s="699" t="str">
        <f>IFERROR(LARGE($AK$10:$AK$1420,AN682),"")</f>
        <v/>
      </c>
      <c r="AP682" s="698" t="str">
        <f>VLOOKUP(AO682,$AK$10:$AL$1530,2,0)</f>
        <v>امجد عمر عبداللطيف سلطان</v>
      </c>
    </row>
    <row r="683" spans="1:42" ht="14.85" customHeight="1" x14ac:dyDescent="0.25">
      <c r="A683" s="611"/>
      <c r="B683" s="614"/>
      <c r="C683" s="617"/>
      <c r="D683" s="620"/>
      <c r="E683" s="130" t="s">
        <v>31</v>
      </c>
      <c r="F683" s="592">
        <f>IFERROR(VLOOKUP($B682,اسماء,15,0),0)</f>
        <v>0</v>
      </c>
      <c r="G683" s="593"/>
      <c r="H683" s="594">
        <f>IFERROR(VLOOKUP($B682,اسماء,16,0),0)</f>
        <v>0</v>
      </c>
      <c r="I683" s="595"/>
      <c r="J683" s="592">
        <f>IFERROR(VLOOKUP($B682,اسماء,17,0),0)</f>
        <v>0</v>
      </c>
      <c r="K683" s="593"/>
      <c r="L683" s="594">
        <f>IFERROR(VLOOKUP($B682,اسماء,18,0),0)</f>
        <v>0</v>
      </c>
      <c r="M683" s="596"/>
      <c r="N683" s="594">
        <f>IFERROR(VLOOKUP($B682,اسماء,19,0),0)</f>
        <v>0</v>
      </c>
      <c r="O683" s="596"/>
      <c r="P683" s="592">
        <f>IFERROR(VLOOKUP($B682,اسماء,20,0),0)</f>
        <v>0</v>
      </c>
      <c r="Q683" s="595"/>
      <c r="R683" s="372">
        <f t="shared" si="1764"/>
        <v>0</v>
      </c>
      <c r="S683" s="305" t="str">
        <f>IFERROR(VLOOKUP($B682,اسماء,23,0),"")</f>
        <v/>
      </c>
      <c r="T683" s="306" t="str">
        <f>IFERROR(VLOOKUP($B682,اسماء,24,0),"")</f>
        <v/>
      </c>
      <c r="U683" s="122" t="str">
        <f>IFERROR(VLOOKUP($B682,اسماء,25,0),"")</f>
        <v/>
      </c>
      <c r="V683" s="605"/>
      <c r="W683" s="19" t="str">
        <f t="shared" si="1844"/>
        <v>ضعيف</v>
      </c>
      <c r="X683" s="640"/>
      <c r="Y683" s="8"/>
      <c r="Z683" s="598"/>
      <c r="AK683" s="667"/>
      <c r="AL683" s="667"/>
      <c r="AM683" s="696"/>
      <c r="AN683" s="698"/>
      <c r="AO683" s="699"/>
      <c r="AP683" s="698"/>
    </row>
    <row r="684" spans="1:42" ht="14.85" customHeight="1" x14ac:dyDescent="0.25">
      <c r="A684" s="611"/>
      <c r="B684" s="614"/>
      <c r="C684" s="617"/>
      <c r="D684" s="620"/>
      <c r="E684" s="130" t="s">
        <v>32</v>
      </c>
      <c r="F684" s="592">
        <f>IFERROR(VLOOKUP($B682,اسماء,25,0),0)</f>
        <v>0</v>
      </c>
      <c r="G684" s="593"/>
      <c r="H684" s="594">
        <f>IFERROR(VLOOKUP($B682,اسماء,26,0),0)</f>
        <v>0</v>
      </c>
      <c r="I684" s="595"/>
      <c r="J684" s="592">
        <f>IFERROR(VLOOKUP($B682,اسماء,27,0),0)</f>
        <v>0</v>
      </c>
      <c r="K684" s="593"/>
      <c r="L684" s="594">
        <f>IFERROR(VLOOKUP($B682,اسماء,28,0),0)</f>
        <v>0</v>
      </c>
      <c r="M684" s="596"/>
      <c r="N684" s="594">
        <f>IFERROR(VLOOKUP($B682,اسماء,29,0),0)</f>
        <v>0</v>
      </c>
      <c r="O684" s="596"/>
      <c r="P684" s="592">
        <f>IFERROR(VLOOKUP($B682,اسماء,30,0),0)</f>
        <v>0</v>
      </c>
      <c r="Q684" s="595"/>
      <c r="R684" s="372">
        <f t="shared" si="1764"/>
        <v>0</v>
      </c>
      <c r="S684" s="305" t="str">
        <f>IFERROR(VLOOKUP($B682,اسماء,34,0),"")</f>
        <v/>
      </c>
      <c r="T684" s="306" t="str">
        <f>IFERROR(VLOOKUP($B682,اسماء,35,0),"")</f>
        <v/>
      </c>
      <c r="U684" s="122" t="str">
        <f>IFERROR(VLOOKUP($B682,اسماء,36,0),"")</f>
        <v/>
      </c>
      <c r="V684" s="605"/>
      <c r="W684" s="20" t="str">
        <f t="shared" ref="W684" si="1847">LOOKUP(R684,$AF$6:$AG$10)</f>
        <v>ضعيف</v>
      </c>
      <c r="X684" s="640"/>
      <c r="Y684" s="68"/>
      <c r="Z684" s="598"/>
      <c r="AK684" s="667"/>
      <c r="AL684" s="667"/>
      <c r="AM684" s="696"/>
      <c r="AN684" s="698"/>
      <c r="AO684" s="699"/>
      <c r="AP684" s="698"/>
    </row>
    <row r="685" spans="1:42" ht="14.85" customHeight="1" thickBot="1" x14ac:dyDescent="0.3">
      <c r="A685" s="612"/>
      <c r="B685" s="615"/>
      <c r="C685" s="618"/>
      <c r="D685" s="621"/>
      <c r="E685" s="124" t="s">
        <v>33</v>
      </c>
      <c r="F685" s="623">
        <f t="shared" ref="F685" si="1848">SUM(F682:G684)</f>
        <v>0</v>
      </c>
      <c r="G685" s="624"/>
      <c r="H685" s="625">
        <f t="shared" ref="H685" si="1849">SUM(H682:I684)</f>
        <v>0</v>
      </c>
      <c r="I685" s="626"/>
      <c r="J685" s="623">
        <f t="shared" ref="J685" si="1850">SUM(J682:K684)</f>
        <v>0</v>
      </c>
      <c r="K685" s="624"/>
      <c r="L685" s="625">
        <f t="shared" ref="L685" si="1851">SUM(L682:M684)</f>
        <v>0</v>
      </c>
      <c r="M685" s="642"/>
      <c r="N685" s="625">
        <f t="shared" ref="N685" si="1852">SUM(N682:O684)</f>
        <v>0</v>
      </c>
      <c r="O685" s="642"/>
      <c r="P685" s="623">
        <f t="shared" ref="P685" si="1853">SUM(P682:Q684)</f>
        <v>0</v>
      </c>
      <c r="Q685" s="626"/>
      <c r="R685" s="88">
        <f t="shared" ref="R685" si="1854">IF(AND(F685&gt;=$G$8,H685&gt;=$I$8,J685&gt;=$K$8,L685&gt;=$M$8,N685&gt;=$O$8,P685&gt;=$Q$8),SUM(F685:Q685),0)</f>
        <v>0</v>
      </c>
      <c r="S685" s="251"/>
      <c r="T685" s="97"/>
      <c r="U685" s="94"/>
      <c r="V685" s="606"/>
      <c r="W685" s="88" t="str">
        <f t="shared" ref="W685" si="1855">LOOKUP(R685,$AI$6:$AJ$10)</f>
        <v>ضعيف</v>
      </c>
      <c r="X685" s="641"/>
      <c r="Y685" s="68"/>
      <c r="Z685" s="599"/>
      <c r="AK685" s="667"/>
      <c r="AL685" s="667"/>
      <c r="AM685" s="696"/>
      <c r="AN685" s="698"/>
      <c r="AO685" s="699"/>
      <c r="AP685" s="698"/>
    </row>
    <row r="686" spans="1:42" ht="14.85" customHeight="1" thickBot="1" x14ac:dyDescent="0.3">
      <c r="A686" s="610">
        <v>149</v>
      </c>
      <c r="B686" s="613">
        <f>VLOOKUP(A686,مسلسل,2,0)</f>
        <v>0</v>
      </c>
      <c r="C686" s="616" t="str">
        <f>IFERROR(VLOOKUP(B686,اسماء,2,0),"")</f>
        <v/>
      </c>
      <c r="D686" s="619" t="str">
        <f>IFERROR(VLOOKUP($B686,اسماء,3,0),"")</f>
        <v/>
      </c>
      <c r="E686" s="129" t="s">
        <v>30</v>
      </c>
      <c r="F686" s="600">
        <f>IFERROR(VLOOKUP($B686,اسماء,5,0),0)</f>
        <v>0</v>
      </c>
      <c r="G686" s="601"/>
      <c r="H686" s="602">
        <f>IFERROR(VLOOKUP($B686,اسماء,6,0),0)</f>
        <v>0</v>
      </c>
      <c r="I686" s="622"/>
      <c r="J686" s="600">
        <f>IFERROR(VLOOKUP($B686,اسماء,7,0),0)</f>
        <v>0</v>
      </c>
      <c r="K686" s="601"/>
      <c r="L686" s="602">
        <f>IFERROR(VLOOKUP($B686,اسماء,8,0),0)</f>
        <v>0</v>
      </c>
      <c r="M686" s="603"/>
      <c r="N686" s="602">
        <f>IFERROR(VLOOKUP($B686,اسماء,9,0),0)</f>
        <v>0</v>
      </c>
      <c r="O686" s="603"/>
      <c r="P686" s="600">
        <f>IFERROR(VLOOKUP($B686,اسماء,10,0),0)</f>
        <v>0</v>
      </c>
      <c r="Q686" s="622"/>
      <c r="R686" s="371">
        <f t="shared" ref="R686" si="1856">SUM(F686:Q686)</f>
        <v>0</v>
      </c>
      <c r="S686" s="213" t="str">
        <f>IFERROR(VLOOKUP($B686,اسماء,12,0),"")</f>
        <v/>
      </c>
      <c r="T686" s="214" t="str">
        <f>IFERROR(VLOOKUP($B686,اسماء,13,0),"")</f>
        <v/>
      </c>
      <c r="U686" s="364" t="str">
        <f>IFERROR(VLOOKUP($B686,اسماء,14,0),"")</f>
        <v/>
      </c>
      <c r="V686" s="604" t="str">
        <f t="shared" ref="V686" si="1857">IF(Z686="غائب","راسب",IF(R689&gt;0,"ناجح","مرحل"))</f>
        <v>مرحل</v>
      </c>
      <c r="W686" s="19" t="str">
        <f t="shared" ref="W686:W687" si="1858">LOOKUP(R686,$AC$6:$AD$10)</f>
        <v>ضعيف</v>
      </c>
      <c r="X686" s="639">
        <f t="shared" ref="X686" si="1859">R689/$AC$3</f>
        <v>0</v>
      </c>
      <c r="Y686" s="8"/>
      <c r="Z686" s="597" t="str">
        <f>IFERROR(VLOOKUP($B686,اسماء,48,0),"")</f>
        <v/>
      </c>
      <c r="AK686" s="667" t="str">
        <f t="shared" ref="AK686" si="1860">IF(R689=0,"",R689/1+ROW()*0.00001)</f>
        <v/>
      </c>
      <c r="AL686" s="667">
        <f>B686</f>
        <v>0</v>
      </c>
      <c r="AM686" s="696"/>
      <c r="AN686" s="698">
        <v>149</v>
      </c>
      <c r="AO686" s="699" t="str">
        <f>IFERROR(LARGE($AK$10:$AK$1420,AN686),"")</f>
        <v/>
      </c>
      <c r="AP686" s="698" t="str">
        <f>VLOOKUP(AO686,$AK$10:$AL$1530,2,0)</f>
        <v>امجد عمر عبداللطيف سلطان</v>
      </c>
    </row>
    <row r="687" spans="1:42" ht="14.85" customHeight="1" x14ac:dyDescent="0.25">
      <c r="A687" s="611"/>
      <c r="B687" s="614"/>
      <c r="C687" s="617"/>
      <c r="D687" s="620"/>
      <c r="E687" s="130" t="s">
        <v>31</v>
      </c>
      <c r="F687" s="592">
        <f>IFERROR(VLOOKUP($B686,اسماء,15,0),0)</f>
        <v>0</v>
      </c>
      <c r="G687" s="593"/>
      <c r="H687" s="594">
        <f>IFERROR(VLOOKUP($B686,اسماء,16,0),0)</f>
        <v>0</v>
      </c>
      <c r="I687" s="595"/>
      <c r="J687" s="592">
        <f>IFERROR(VLOOKUP($B686,اسماء,17,0),0)</f>
        <v>0</v>
      </c>
      <c r="K687" s="593"/>
      <c r="L687" s="594">
        <f>IFERROR(VLOOKUP($B686,اسماء,18,0),0)</f>
        <v>0</v>
      </c>
      <c r="M687" s="596"/>
      <c r="N687" s="594">
        <f>IFERROR(VLOOKUP($B686,اسماء,19,0),0)</f>
        <v>0</v>
      </c>
      <c r="O687" s="596"/>
      <c r="P687" s="592">
        <f>IFERROR(VLOOKUP($B686,اسماء,20,0),0)</f>
        <v>0</v>
      </c>
      <c r="Q687" s="595"/>
      <c r="R687" s="372">
        <f t="shared" si="1764"/>
        <v>0</v>
      </c>
      <c r="S687" s="305" t="str">
        <f>IFERROR(VLOOKUP($B686,اسماء,23,0),"")</f>
        <v/>
      </c>
      <c r="T687" s="306" t="str">
        <f>IFERROR(VLOOKUP($B686,اسماء,24,0),"")</f>
        <v/>
      </c>
      <c r="U687" s="122" t="str">
        <f>IFERROR(VLOOKUP($B686,اسماء,25,0),"")</f>
        <v/>
      </c>
      <c r="V687" s="605"/>
      <c r="W687" s="19" t="str">
        <f t="shared" si="1858"/>
        <v>ضعيف</v>
      </c>
      <c r="X687" s="640"/>
      <c r="Y687" s="68"/>
      <c r="Z687" s="598"/>
      <c r="AK687" s="667"/>
      <c r="AL687" s="667"/>
      <c r="AM687" s="696"/>
      <c r="AN687" s="698"/>
      <c r="AO687" s="699"/>
      <c r="AP687" s="698"/>
    </row>
    <row r="688" spans="1:42" ht="14.85" customHeight="1" x14ac:dyDescent="0.25">
      <c r="A688" s="611"/>
      <c r="B688" s="614"/>
      <c r="C688" s="617"/>
      <c r="D688" s="620"/>
      <c r="E688" s="130" t="s">
        <v>32</v>
      </c>
      <c r="F688" s="592">
        <f>IFERROR(VLOOKUP($B686,اسماء,25,0),0)</f>
        <v>0</v>
      </c>
      <c r="G688" s="593"/>
      <c r="H688" s="594">
        <f>IFERROR(VLOOKUP($B686,اسماء,26,0),0)</f>
        <v>0</v>
      </c>
      <c r="I688" s="595"/>
      <c r="J688" s="592">
        <f>IFERROR(VLOOKUP($B686,اسماء,27,0),0)</f>
        <v>0</v>
      </c>
      <c r="K688" s="593"/>
      <c r="L688" s="594">
        <f>IFERROR(VLOOKUP($B686,اسماء,28,0),0)</f>
        <v>0</v>
      </c>
      <c r="M688" s="596"/>
      <c r="N688" s="594">
        <f>IFERROR(VLOOKUP($B686,اسماء,29,0),0)</f>
        <v>0</v>
      </c>
      <c r="O688" s="596"/>
      <c r="P688" s="592">
        <f>IFERROR(VLOOKUP($B686,اسماء,30,0),0)</f>
        <v>0</v>
      </c>
      <c r="Q688" s="595"/>
      <c r="R688" s="372">
        <f t="shared" si="1764"/>
        <v>0</v>
      </c>
      <c r="S688" s="305" t="str">
        <f>IFERROR(VLOOKUP($B686,اسماء,34,0),"")</f>
        <v/>
      </c>
      <c r="T688" s="306" t="str">
        <f>IFERROR(VLOOKUP($B686,اسماء,35,0),"")</f>
        <v/>
      </c>
      <c r="U688" s="122" t="str">
        <f>IFERROR(VLOOKUP($B686,اسماء,36,0),"")</f>
        <v/>
      </c>
      <c r="V688" s="605"/>
      <c r="W688" s="20" t="str">
        <f t="shared" ref="W688" si="1861">LOOKUP(R688,$AF$6:$AG$10)</f>
        <v>ضعيف</v>
      </c>
      <c r="X688" s="640"/>
      <c r="Y688" s="68"/>
      <c r="Z688" s="598"/>
      <c r="AK688" s="667"/>
      <c r="AL688" s="667"/>
      <c r="AM688" s="696"/>
      <c r="AN688" s="698"/>
      <c r="AO688" s="699"/>
      <c r="AP688" s="698"/>
    </row>
    <row r="689" spans="1:42" ht="14.85" customHeight="1" thickBot="1" x14ac:dyDescent="0.3">
      <c r="A689" s="612"/>
      <c r="B689" s="615"/>
      <c r="C689" s="618"/>
      <c r="D689" s="621"/>
      <c r="E689" s="124" t="s">
        <v>33</v>
      </c>
      <c r="F689" s="623">
        <f t="shared" ref="F689" si="1862">SUM(F686:G688)</f>
        <v>0</v>
      </c>
      <c r="G689" s="624"/>
      <c r="H689" s="625">
        <f t="shared" ref="H689" si="1863">SUM(H686:I688)</f>
        <v>0</v>
      </c>
      <c r="I689" s="626"/>
      <c r="J689" s="623">
        <f t="shared" ref="J689" si="1864">SUM(J686:K688)</f>
        <v>0</v>
      </c>
      <c r="K689" s="624"/>
      <c r="L689" s="625">
        <f t="shared" ref="L689" si="1865">SUM(L686:M688)</f>
        <v>0</v>
      </c>
      <c r="M689" s="642"/>
      <c r="N689" s="625">
        <f t="shared" ref="N689" si="1866">SUM(N686:O688)</f>
        <v>0</v>
      </c>
      <c r="O689" s="642"/>
      <c r="P689" s="623">
        <f t="shared" ref="P689" si="1867">SUM(P686:Q688)</f>
        <v>0</v>
      </c>
      <c r="Q689" s="626"/>
      <c r="R689" s="88">
        <f t="shared" ref="R689" si="1868">IF(AND(F689&gt;=$G$8,H689&gt;=$I$8,J689&gt;=$K$8,L689&gt;=$M$8,N689&gt;=$O$8,P689&gt;=$Q$8),SUM(F689:Q689),0)</f>
        <v>0</v>
      </c>
      <c r="S689" s="251"/>
      <c r="T689" s="97"/>
      <c r="U689" s="94"/>
      <c r="V689" s="606"/>
      <c r="W689" s="88" t="str">
        <f t="shared" ref="W689" si="1869">LOOKUP(R689,$AI$6:$AJ$10)</f>
        <v>ضعيف</v>
      </c>
      <c r="X689" s="641"/>
      <c r="Y689" s="8"/>
      <c r="Z689" s="599"/>
      <c r="AK689" s="667"/>
      <c r="AL689" s="667"/>
      <c r="AM689" s="696"/>
      <c r="AN689" s="698"/>
      <c r="AO689" s="699"/>
      <c r="AP689" s="698"/>
    </row>
    <row r="690" spans="1:42" ht="14.85" customHeight="1" thickBot="1" x14ac:dyDescent="0.3">
      <c r="A690" s="610">
        <v>150</v>
      </c>
      <c r="B690" s="613">
        <f>VLOOKUP(A690,مسلسل,2,0)</f>
        <v>0</v>
      </c>
      <c r="C690" s="616" t="str">
        <f>IFERROR(VLOOKUP(B690,اسماء,2,0),"")</f>
        <v/>
      </c>
      <c r="D690" s="619" t="str">
        <f>IFERROR(VLOOKUP($B690,اسماء,3,0),"")</f>
        <v/>
      </c>
      <c r="E690" s="129" t="s">
        <v>30</v>
      </c>
      <c r="F690" s="600">
        <f>IFERROR(VLOOKUP($B690,اسماء,5,0),0)</f>
        <v>0</v>
      </c>
      <c r="G690" s="601"/>
      <c r="H690" s="602">
        <f>IFERROR(VLOOKUP($B690,اسماء,6,0),0)</f>
        <v>0</v>
      </c>
      <c r="I690" s="622"/>
      <c r="J690" s="600">
        <f>IFERROR(VLOOKUP($B690,اسماء,7,0),0)</f>
        <v>0</v>
      </c>
      <c r="K690" s="601"/>
      <c r="L690" s="602">
        <f>IFERROR(VLOOKUP($B690,اسماء,8,0),0)</f>
        <v>0</v>
      </c>
      <c r="M690" s="603"/>
      <c r="N690" s="602">
        <f>IFERROR(VLOOKUP($B690,اسماء,9,0),0)</f>
        <v>0</v>
      </c>
      <c r="O690" s="603"/>
      <c r="P690" s="600">
        <f>IFERROR(VLOOKUP($B690,اسماء,10,0),0)</f>
        <v>0</v>
      </c>
      <c r="Q690" s="622"/>
      <c r="R690" s="371">
        <f t="shared" ref="R690" si="1870">SUM(F690:Q690)</f>
        <v>0</v>
      </c>
      <c r="S690" s="213" t="str">
        <f>IFERROR(VLOOKUP($B690,اسماء,12,0),"")</f>
        <v/>
      </c>
      <c r="T690" s="214" t="str">
        <f>IFERROR(VLOOKUP($B690,اسماء,13,0),"")</f>
        <v/>
      </c>
      <c r="U690" s="364" t="str">
        <f>IFERROR(VLOOKUP($B690,اسماء,14,0),"")</f>
        <v/>
      </c>
      <c r="V690" s="604" t="str">
        <f t="shared" ref="V690" si="1871">IF(Z690="غائب","راسب",IF(R693&gt;0,"ناجح","مرحل"))</f>
        <v>مرحل</v>
      </c>
      <c r="W690" s="19" t="str">
        <f t="shared" ref="W690:W691" si="1872">LOOKUP(R690,$AC$6:$AD$10)</f>
        <v>ضعيف</v>
      </c>
      <c r="X690" s="639">
        <f t="shared" ref="X690" si="1873">R693/$AC$3</f>
        <v>0</v>
      </c>
      <c r="Y690" s="68"/>
      <c r="Z690" s="597" t="str">
        <f>IFERROR(VLOOKUP($B690,اسماء,48,0),"")</f>
        <v/>
      </c>
      <c r="AK690" s="667" t="str">
        <f t="shared" ref="AK690" si="1874">IF(R693=0,"",R693/1+ROW()*0.00001)</f>
        <v/>
      </c>
      <c r="AL690" s="667">
        <f>B690</f>
        <v>0</v>
      </c>
      <c r="AM690" s="696"/>
      <c r="AN690" s="698">
        <v>150</v>
      </c>
      <c r="AO690" s="699" t="str">
        <f>IFERROR(LARGE($AK$10:$AK$1420,AN690),"")</f>
        <v/>
      </c>
      <c r="AP690" s="698" t="str">
        <f>VLOOKUP(AO690,$AK$10:$AL$1530,2,0)</f>
        <v>امجد عمر عبداللطيف سلطان</v>
      </c>
    </row>
    <row r="691" spans="1:42" ht="14.85" customHeight="1" x14ac:dyDescent="0.25">
      <c r="A691" s="611"/>
      <c r="B691" s="614"/>
      <c r="C691" s="617"/>
      <c r="D691" s="620"/>
      <c r="E691" s="130" t="s">
        <v>31</v>
      </c>
      <c r="F691" s="592">
        <f>IFERROR(VLOOKUP($B690,اسماء,15,0),0)</f>
        <v>0</v>
      </c>
      <c r="G691" s="593"/>
      <c r="H691" s="594">
        <f>IFERROR(VLOOKUP($B690,اسماء,16,0),0)</f>
        <v>0</v>
      </c>
      <c r="I691" s="595"/>
      <c r="J691" s="592">
        <f>IFERROR(VLOOKUP($B690,اسماء,17,0),0)</f>
        <v>0</v>
      </c>
      <c r="K691" s="593"/>
      <c r="L691" s="594">
        <f>IFERROR(VLOOKUP($B690,اسماء,18,0),0)</f>
        <v>0</v>
      </c>
      <c r="M691" s="596"/>
      <c r="N691" s="594">
        <f>IFERROR(VLOOKUP($B690,اسماء,19,0),0)</f>
        <v>0</v>
      </c>
      <c r="O691" s="596"/>
      <c r="P691" s="592">
        <f>IFERROR(VLOOKUP($B690,اسماء,20,0),0)</f>
        <v>0</v>
      </c>
      <c r="Q691" s="595"/>
      <c r="R691" s="372">
        <f t="shared" si="1764"/>
        <v>0</v>
      </c>
      <c r="S691" s="305" t="str">
        <f>IFERROR(VLOOKUP($B690,اسماء,23,0),"")</f>
        <v/>
      </c>
      <c r="T691" s="306" t="str">
        <f>IFERROR(VLOOKUP($B690,اسماء,24,0),"")</f>
        <v/>
      </c>
      <c r="U691" s="122" t="str">
        <f>IFERROR(VLOOKUP($B690,اسماء,25,0),"")</f>
        <v/>
      </c>
      <c r="V691" s="605"/>
      <c r="W691" s="19" t="str">
        <f t="shared" si="1872"/>
        <v>ضعيف</v>
      </c>
      <c r="X691" s="640"/>
      <c r="Y691" s="68"/>
      <c r="Z691" s="598"/>
      <c r="AK691" s="667"/>
      <c r="AL691" s="667"/>
      <c r="AM691" s="696"/>
      <c r="AN691" s="698"/>
      <c r="AO691" s="699"/>
      <c r="AP691" s="698"/>
    </row>
    <row r="692" spans="1:42" ht="14.85" customHeight="1" x14ac:dyDescent="0.25">
      <c r="A692" s="611"/>
      <c r="B692" s="614"/>
      <c r="C692" s="617"/>
      <c r="D692" s="620"/>
      <c r="E692" s="130" t="s">
        <v>32</v>
      </c>
      <c r="F692" s="592">
        <f>IFERROR(VLOOKUP($B690,اسماء,25,0),0)</f>
        <v>0</v>
      </c>
      <c r="G692" s="593"/>
      <c r="H692" s="594">
        <f>IFERROR(VLOOKUP($B690,اسماء,26,0),0)</f>
        <v>0</v>
      </c>
      <c r="I692" s="595"/>
      <c r="J692" s="592">
        <f>IFERROR(VLOOKUP($B690,اسماء,27,0),0)</f>
        <v>0</v>
      </c>
      <c r="K692" s="593"/>
      <c r="L692" s="594">
        <f>IFERROR(VLOOKUP($B690,اسماء,28,0),0)</f>
        <v>0</v>
      </c>
      <c r="M692" s="596"/>
      <c r="N692" s="594">
        <f>IFERROR(VLOOKUP($B690,اسماء,29,0),0)</f>
        <v>0</v>
      </c>
      <c r="O692" s="596"/>
      <c r="P692" s="592">
        <f>IFERROR(VLOOKUP($B690,اسماء,30,0),0)</f>
        <v>0</v>
      </c>
      <c r="Q692" s="595"/>
      <c r="R692" s="372">
        <f t="shared" si="1764"/>
        <v>0</v>
      </c>
      <c r="S692" s="305" t="str">
        <f>IFERROR(VLOOKUP($B690,اسماء,34,0),"")</f>
        <v/>
      </c>
      <c r="T692" s="306" t="str">
        <f>IFERROR(VLOOKUP($B690,اسماء,35,0),"")</f>
        <v/>
      </c>
      <c r="U692" s="122" t="str">
        <f>IFERROR(VLOOKUP($B690,اسماء,36,0),"")</f>
        <v/>
      </c>
      <c r="V692" s="605"/>
      <c r="W692" s="20" t="str">
        <f t="shared" ref="W692" si="1875">LOOKUP(R692,$AF$6:$AG$10)</f>
        <v>ضعيف</v>
      </c>
      <c r="X692" s="640"/>
      <c r="Y692" s="8"/>
      <c r="Z692" s="598"/>
      <c r="AK692" s="667"/>
      <c r="AL692" s="667"/>
      <c r="AM692" s="696"/>
      <c r="AN692" s="698"/>
      <c r="AO692" s="699"/>
      <c r="AP692" s="698"/>
    </row>
    <row r="693" spans="1:42" ht="14.85" customHeight="1" thickBot="1" x14ac:dyDescent="0.3">
      <c r="A693" s="612"/>
      <c r="B693" s="615"/>
      <c r="C693" s="618"/>
      <c r="D693" s="621"/>
      <c r="E693" s="124" t="s">
        <v>33</v>
      </c>
      <c r="F693" s="623">
        <f t="shared" ref="F693" si="1876">SUM(F690:G692)</f>
        <v>0</v>
      </c>
      <c r="G693" s="624"/>
      <c r="H693" s="625">
        <f t="shared" ref="H693" si="1877">SUM(H690:I692)</f>
        <v>0</v>
      </c>
      <c r="I693" s="626"/>
      <c r="J693" s="623">
        <f t="shared" ref="J693" si="1878">SUM(J690:K692)</f>
        <v>0</v>
      </c>
      <c r="K693" s="624"/>
      <c r="L693" s="625">
        <f t="shared" ref="L693" si="1879">SUM(L690:M692)</f>
        <v>0</v>
      </c>
      <c r="M693" s="642"/>
      <c r="N693" s="625">
        <f t="shared" ref="N693" si="1880">SUM(N690:O692)</f>
        <v>0</v>
      </c>
      <c r="O693" s="642"/>
      <c r="P693" s="623">
        <f t="shared" ref="P693" si="1881">SUM(P690:Q692)</f>
        <v>0</v>
      </c>
      <c r="Q693" s="626"/>
      <c r="R693" s="88">
        <f t="shared" ref="R693" si="1882">IF(AND(F693&gt;=$G$8,H693&gt;=$I$8,J693&gt;=$K$8,L693&gt;=$M$8,N693&gt;=$O$8,P693&gt;=$Q$8),SUM(F693:Q693),0)</f>
        <v>0</v>
      </c>
      <c r="S693" s="251"/>
      <c r="T693" s="97"/>
      <c r="U693" s="94"/>
      <c r="V693" s="606"/>
      <c r="W693" s="88" t="str">
        <f t="shared" ref="W693" si="1883">LOOKUP(R693,$AI$6:$AJ$10)</f>
        <v>ضعيف</v>
      </c>
      <c r="X693" s="641"/>
      <c r="Y693" s="68"/>
      <c r="Z693" s="599"/>
      <c r="AK693" s="667"/>
      <c r="AL693" s="667"/>
      <c r="AM693" s="696"/>
      <c r="AN693" s="698"/>
      <c r="AO693" s="699"/>
      <c r="AP693" s="698"/>
    </row>
    <row r="694" spans="1:42" ht="14.85" customHeight="1" thickBot="1" x14ac:dyDescent="0.3">
      <c r="F694" s="71"/>
      <c r="G694" s="72"/>
      <c r="H694" s="71"/>
      <c r="I694" s="72"/>
      <c r="J694" s="71"/>
      <c r="K694" s="72"/>
      <c r="L694" s="71"/>
      <c r="M694" s="72"/>
      <c r="N694" s="71"/>
      <c r="O694" s="72"/>
      <c r="P694" s="71"/>
      <c r="Q694" s="72"/>
      <c r="R694" s="70"/>
      <c r="S694" s="73"/>
      <c r="T694" s="70"/>
      <c r="U694" s="70"/>
      <c r="V694" s="70"/>
      <c r="W694" s="70"/>
      <c r="X694" s="254"/>
      <c r="Y694" s="68"/>
      <c r="AH694" s="74"/>
    </row>
    <row r="695" spans="1:42" customFormat="1" ht="14.85" customHeight="1" x14ac:dyDescent="0.3">
      <c r="A695" s="668" t="s">
        <v>9</v>
      </c>
      <c r="B695" s="669"/>
      <c r="C695" s="670"/>
      <c r="D695" s="277" t="s">
        <v>11</v>
      </c>
      <c r="E695" s="674" t="s">
        <v>96</v>
      </c>
      <c r="F695" s="663"/>
      <c r="G695" s="663"/>
      <c r="H695" s="663"/>
      <c r="I695" s="663"/>
      <c r="J695" s="7"/>
      <c r="K695" s="7"/>
      <c r="L695" s="7"/>
      <c r="M695" s="7"/>
      <c r="N695" s="7"/>
      <c r="O695" s="7"/>
      <c r="P695" s="7"/>
      <c r="Q695" s="663" t="s">
        <v>156</v>
      </c>
      <c r="R695" s="663"/>
      <c r="S695" s="663"/>
      <c r="T695" s="663"/>
      <c r="U695" s="663"/>
      <c r="V695" s="663"/>
      <c r="W695" s="1"/>
      <c r="X695" s="255"/>
      <c r="Z695" s="75"/>
      <c r="AA695" s="76"/>
      <c r="AB695" s="76"/>
      <c r="AC695" s="76"/>
      <c r="AD695" s="76"/>
    </row>
    <row r="696" spans="1:42" customFormat="1" ht="14.85" customHeight="1" x14ac:dyDescent="0.25">
      <c r="A696" s="77" t="s">
        <v>8</v>
      </c>
      <c r="B696" s="671">
        <f>ادخال1!$BJ$3</f>
        <v>0</v>
      </c>
      <c r="C696" s="672"/>
      <c r="D696" s="278"/>
      <c r="E696" s="7" t="s">
        <v>9</v>
      </c>
      <c r="F696" s="673" t="str">
        <f>ادخال1!$BJ$5</f>
        <v>د. عبدالرحمن خليفة العريبي</v>
      </c>
      <c r="G696" s="673"/>
      <c r="H696" s="673"/>
      <c r="I696" s="673"/>
      <c r="J696" s="673"/>
      <c r="K696" s="673"/>
      <c r="L696" s="673"/>
      <c r="M696" s="673"/>
      <c r="N696" s="673"/>
      <c r="O696" s="673"/>
      <c r="P696" s="7"/>
      <c r="Q696" s="673" t="str">
        <f>ادخال1!$BJ$6</f>
        <v>تاجوراء</v>
      </c>
      <c r="R696" s="673"/>
      <c r="S696" s="673"/>
      <c r="T696" s="673"/>
      <c r="U696" s="673"/>
      <c r="V696" s="673"/>
      <c r="W696" s="673"/>
      <c r="X696" s="63"/>
      <c r="Y696" s="63"/>
      <c r="Z696" s="75"/>
      <c r="AA696" s="75"/>
      <c r="AB696" s="75"/>
      <c r="AC696" s="75"/>
    </row>
    <row r="697" spans="1:42" customFormat="1" ht="14.85" customHeight="1" thickBot="1" x14ac:dyDescent="0.3">
      <c r="A697" s="78" t="s">
        <v>97</v>
      </c>
      <c r="B697" s="665">
        <f>ادخال1!$BJ$4</f>
        <v>0</v>
      </c>
      <c r="C697" s="666"/>
      <c r="D697" s="279"/>
      <c r="E697" s="7" t="s">
        <v>11</v>
      </c>
      <c r="F697" s="667"/>
      <c r="G697" s="667"/>
      <c r="H697" s="667"/>
      <c r="I697" s="667"/>
      <c r="J697" s="667"/>
      <c r="K697" s="667"/>
      <c r="L697" s="667"/>
      <c r="M697" s="667"/>
      <c r="N697" s="667"/>
      <c r="O697" s="667"/>
      <c r="P697" s="7"/>
      <c r="Q697" s="7" t="s">
        <v>11</v>
      </c>
      <c r="R697" s="1"/>
      <c r="S697" s="1"/>
      <c r="T697" s="1"/>
      <c r="U697" s="1"/>
      <c r="V697" s="1"/>
      <c r="W697" s="1"/>
      <c r="X697" s="255"/>
      <c r="Z697" s="75"/>
      <c r="AA697" s="75"/>
      <c r="AB697" s="75"/>
      <c r="AC697" s="75"/>
    </row>
    <row r="698" spans="1:42" customFormat="1" ht="14.85" customHeight="1" x14ac:dyDescent="0.25">
      <c r="A698" s="663" t="s">
        <v>98</v>
      </c>
      <c r="B698" s="663"/>
      <c r="C698" s="663"/>
      <c r="D698" s="663"/>
      <c r="E698" s="663" t="s">
        <v>99</v>
      </c>
      <c r="F698" s="663"/>
      <c r="G698" s="663"/>
      <c r="H698" s="663"/>
      <c r="I698" s="663"/>
      <c r="J698" s="663"/>
      <c r="K698" s="663"/>
      <c r="L698" s="663"/>
      <c r="M698" s="663"/>
      <c r="N698" s="663"/>
      <c r="O698" s="663"/>
      <c r="P698" s="663"/>
      <c r="Q698" s="663"/>
      <c r="R698" s="7"/>
      <c r="S698" s="664">
        <f ca="1">TODAY()</f>
        <v>46009</v>
      </c>
      <c r="T698" s="664"/>
      <c r="U698" s="664"/>
      <c r="V698" s="664"/>
      <c r="W698" s="664"/>
      <c r="X698" s="255"/>
    </row>
    <row r="699" spans="1:42" customFormat="1" ht="14.85" customHeight="1" thickBot="1" x14ac:dyDescent="0.3">
      <c r="A699" s="7"/>
      <c r="B699" s="663" t="s">
        <v>100</v>
      </c>
      <c r="C699" s="663"/>
      <c r="D699" s="663"/>
      <c r="E699" s="663" t="s">
        <v>101</v>
      </c>
      <c r="F699" s="663"/>
      <c r="G699" s="663"/>
      <c r="H699" s="663"/>
      <c r="I699" s="663"/>
      <c r="J699" s="663"/>
      <c r="K699" s="663"/>
      <c r="L699" s="663"/>
      <c r="M699" s="663"/>
      <c r="N699" s="663"/>
      <c r="O699" s="663"/>
      <c r="P699" s="663"/>
      <c r="Q699" s="663"/>
      <c r="R699" s="1"/>
      <c r="S699" s="1"/>
      <c r="T699" s="1"/>
      <c r="U699" s="1"/>
      <c r="V699" s="1"/>
      <c r="W699" s="1"/>
      <c r="X699" s="255"/>
    </row>
    <row r="700" spans="1:42" ht="14.85" customHeight="1" thickBot="1" x14ac:dyDescent="0.3">
      <c r="A700" s="610">
        <v>151</v>
      </c>
      <c r="B700" s="613">
        <f>VLOOKUP(A700,مسلسل,2,0)</f>
        <v>0</v>
      </c>
      <c r="C700" s="616" t="str">
        <f>IFERROR(VLOOKUP(B700,اسماء,2,0),"")</f>
        <v/>
      </c>
      <c r="D700" s="619" t="str">
        <f>IFERROR(VLOOKUP($B700,اسماء,3,0),"")</f>
        <v/>
      </c>
      <c r="E700" s="129" t="s">
        <v>30</v>
      </c>
      <c r="F700" s="600">
        <f>IFERROR(VLOOKUP($B700,اسماء,5,0),0)</f>
        <v>0</v>
      </c>
      <c r="G700" s="601"/>
      <c r="H700" s="602">
        <f>IFERROR(VLOOKUP($B700,اسماء,6,0),0)</f>
        <v>0</v>
      </c>
      <c r="I700" s="622"/>
      <c r="J700" s="600">
        <f>IFERROR(VLOOKUP($B700,اسماء,7,0),0)</f>
        <v>0</v>
      </c>
      <c r="K700" s="601"/>
      <c r="L700" s="602">
        <f>IFERROR(VLOOKUP($B700,اسماء,8,0),0)</f>
        <v>0</v>
      </c>
      <c r="M700" s="603"/>
      <c r="N700" s="602">
        <f>IFERROR(VLOOKUP($B700,اسماء,9,0),0)</f>
        <v>0</v>
      </c>
      <c r="O700" s="603"/>
      <c r="P700" s="600">
        <f>IFERROR(VLOOKUP($B700,اسماء,10,0),0)</f>
        <v>0</v>
      </c>
      <c r="Q700" s="622"/>
      <c r="R700" s="371">
        <f>SUM(F700:Q700)</f>
        <v>0</v>
      </c>
      <c r="S700" s="325" t="str">
        <f>IFERROR(VLOOKUP($B700,اسماء,12,0),"")</f>
        <v/>
      </c>
      <c r="T700" s="326" t="str">
        <f>IFERROR(VLOOKUP($B700,اسماء,13,0),"")</f>
        <v/>
      </c>
      <c r="U700" s="92" t="str">
        <f>IFERROR(VLOOKUP($B700,اسماء,14,0),"")</f>
        <v/>
      </c>
      <c r="V700" s="604" t="str">
        <f t="shared" ref="V700" si="1884">IF(Z700="غائب","راسب",IF(R703&gt;0,"ناجح","مرحل"))</f>
        <v>مرحل</v>
      </c>
      <c r="W700" s="19" t="str">
        <f t="shared" ref="W700:W701" si="1885">LOOKUP(R700,$AC$6:$AD$10)</f>
        <v>ضعيف</v>
      </c>
      <c r="X700" s="639">
        <f t="shared" ref="X700" si="1886">R703/$AC$3</f>
        <v>0</v>
      </c>
      <c r="Y700" s="68"/>
      <c r="Z700" s="597" t="str">
        <f>IFERROR(VLOOKUP($B700,اسماء,48,0),"")</f>
        <v/>
      </c>
      <c r="AK700" s="671" t="str">
        <f>IF(R703=0,"",R703/1+ROW()*0.00001)</f>
        <v/>
      </c>
      <c r="AL700" s="671">
        <f>B700</f>
        <v>0</v>
      </c>
      <c r="AM700" s="696"/>
      <c r="AN700" s="698">
        <v>151</v>
      </c>
      <c r="AO700" s="699" t="str">
        <f>IFERROR(LARGE($AK$10:$AK$1420,AN700),"")</f>
        <v/>
      </c>
      <c r="AP700" s="698" t="str">
        <f>VLOOKUP(AO700,$AK$10:$AL$1530,2,0)</f>
        <v>امجد عمر عبداللطيف سلطان</v>
      </c>
    </row>
    <row r="701" spans="1:42" ht="14.85" customHeight="1" x14ac:dyDescent="0.25">
      <c r="A701" s="611"/>
      <c r="B701" s="614"/>
      <c r="C701" s="617"/>
      <c r="D701" s="620"/>
      <c r="E701" s="130" t="s">
        <v>31</v>
      </c>
      <c r="F701" s="592">
        <f>IFERROR(VLOOKUP($B700,اسماء,16,0),0)</f>
        <v>0</v>
      </c>
      <c r="G701" s="593"/>
      <c r="H701" s="594">
        <f>IFERROR(VLOOKUP($B700,اسماء,17,0),0)</f>
        <v>0</v>
      </c>
      <c r="I701" s="595"/>
      <c r="J701" s="592">
        <f>IFERROR(VLOOKUP($B700,اسماء,18,0),0)</f>
        <v>0</v>
      </c>
      <c r="K701" s="593"/>
      <c r="L701" s="594">
        <f>IFERROR(VLOOKUP($B700,اسماء,19,0),0)</f>
        <v>0</v>
      </c>
      <c r="M701" s="596"/>
      <c r="N701" s="594">
        <f>IFERROR(VLOOKUP($B700,اسماء,20,0),0)</f>
        <v>0</v>
      </c>
      <c r="O701" s="596"/>
      <c r="P701" s="592">
        <f>IFERROR(VLOOKUP($B700,اسماء,21,0),0)</f>
        <v>0</v>
      </c>
      <c r="Q701" s="595"/>
      <c r="R701" s="372">
        <f t="shared" ref="R701:R702" si="1887">SUM(F701:Q701)</f>
        <v>0</v>
      </c>
      <c r="S701" s="305" t="str">
        <f>IFERROR(VLOOKUP($B700,اسماء,23,0),"")</f>
        <v/>
      </c>
      <c r="T701" s="306" t="str">
        <f>IFERROR(VLOOKUP($B700,اسماء,24,0),"")</f>
        <v/>
      </c>
      <c r="U701" s="122" t="str">
        <f>IFERROR(VLOOKUP($B700,اسماء,25,0),"")</f>
        <v/>
      </c>
      <c r="V701" s="605"/>
      <c r="W701" s="19" t="str">
        <f t="shared" si="1885"/>
        <v>ضعيف</v>
      </c>
      <c r="X701" s="640"/>
      <c r="Y701" s="8"/>
      <c r="Z701" s="598"/>
      <c r="AK701" s="671"/>
      <c r="AL701" s="671"/>
      <c r="AM701" s="696"/>
      <c r="AN701" s="698"/>
      <c r="AO701" s="699"/>
      <c r="AP701" s="698"/>
    </row>
    <row r="702" spans="1:42" ht="14.85" customHeight="1" x14ac:dyDescent="0.25">
      <c r="A702" s="611"/>
      <c r="B702" s="614"/>
      <c r="C702" s="617"/>
      <c r="D702" s="620"/>
      <c r="E702" s="130" t="s">
        <v>32</v>
      </c>
      <c r="F702" s="592">
        <f>IFERROR(VLOOKUP($B700,اسماء,27,0),0)</f>
        <v>0</v>
      </c>
      <c r="G702" s="593"/>
      <c r="H702" s="594">
        <f>IFERROR(VLOOKUP($B700,اسماء,28,0),0)</f>
        <v>0</v>
      </c>
      <c r="I702" s="595"/>
      <c r="J702" s="592">
        <f>IFERROR(VLOOKUP($B700,اسماء,29,0),0)</f>
        <v>0</v>
      </c>
      <c r="K702" s="593"/>
      <c r="L702" s="594">
        <f>IFERROR(VLOOKUP($B700,اسماء,30,0),0)</f>
        <v>0</v>
      </c>
      <c r="M702" s="596"/>
      <c r="N702" s="594">
        <f>IFERROR(VLOOKUP($B700,اسماء,31,0),0)</f>
        <v>0</v>
      </c>
      <c r="O702" s="596"/>
      <c r="P702" s="592">
        <f>IFERROR(VLOOKUP($B700,اسماء,32,0),0)</f>
        <v>0</v>
      </c>
      <c r="Q702" s="595"/>
      <c r="R702" s="372">
        <f t="shared" si="1887"/>
        <v>0</v>
      </c>
      <c r="S702" s="305" t="str">
        <f>IFERROR(VLOOKUP($B700,اسماء,34,0),"")</f>
        <v/>
      </c>
      <c r="T702" s="306" t="str">
        <f>IFERROR(VLOOKUP($B700,اسماء,35,0),"")</f>
        <v/>
      </c>
      <c r="U702" s="122" t="str">
        <f>IFERROR(VLOOKUP($B700,اسماء,36,0),"")</f>
        <v/>
      </c>
      <c r="V702" s="605"/>
      <c r="W702" s="20" t="str">
        <f t="shared" ref="W702" si="1888">LOOKUP(R702,$AF$6:$AG$10)</f>
        <v>ضعيف</v>
      </c>
      <c r="X702" s="640"/>
      <c r="Y702" s="68"/>
      <c r="Z702" s="598"/>
      <c r="AK702" s="671"/>
      <c r="AL702" s="671"/>
      <c r="AM702" s="696"/>
      <c r="AN702" s="698"/>
      <c r="AO702" s="699"/>
      <c r="AP702" s="698"/>
    </row>
    <row r="703" spans="1:42" ht="14.85" customHeight="1" thickBot="1" x14ac:dyDescent="0.3">
      <c r="A703" s="612"/>
      <c r="B703" s="615"/>
      <c r="C703" s="618"/>
      <c r="D703" s="621"/>
      <c r="E703" s="124" t="s">
        <v>33</v>
      </c>
      <c r="F703" s="623">
        <f>SUM(F700:G702)</f>
        <v>0</v>
      </c>
      <c r="G703" s="624"/>
      <c r="H703" s="625">
        <f>SUM(H700:I702)</f>
        <v>0</v>
      </c>
      <c r="I703" s="626"/>
      <c r="J703" s="623">
        <f>SUM(J700:K702)</f>
        <v>0</v>
      </c>
      <c r="K703" s="624"/>
      <c r="L703" s="625">
        <f>SUM(L700:M702)</f>
        <v>0</v>
      </c>
      <c r="M703" s="642"/>
      <c r="N703" s="625">
        <f>SUM(N700:O702)</f>
        <v>0</v>
      </c>
      <c r="O703" s="642"/>
      <c r="P703" s="623">
        <f>SUM(P700:Q702)</f>
        <v>0</v>
      </c>
      <c r="Q703" s="626"/>
      <c r="R703" s="88">
        <f>IF(AND(F703&gt;=$G$8,H703&gt;=$I$8,J703&gt;=$K$8,L703&gt;=$M$8,N703&gt;=$O$8,P703&gt;=$Q$8),SUM(F703:Q703),0)</f>
        <v>0</v>
      </c>
      <c r="S703" s="251"/>
      <c r="T703" s="97"/>
      <c r="U703" s="94"/>
      <c r="V703" s="606"/>
      <c r="W703" s="88" t="str">
        <f t="shared" ref="W703" si="1889">LOOKUP(R703,$AI$6:$AJ$10)</f>
        <v>ضعيف</v>
      </c>
      <c r="X703" s="641"/>
      <c r="Y703" s="68"/>
      <c r="Z703" s="599"/>
      <c r="AK703" s="671"/>
      <c r="AL703" s="671"/>
      <c r="AM703" s="696"/>
      <c r="AN703" s="698"/>
      <c r="AO703" s="699"/>
      <c r="AP703" s="698"/>
    </row>
    <row r="704" spans="1:42" ht="14.85" customHeight="1" thickBot="1" x14ac:dyDescent="0.3">
      <c r="A704" s="610">
        <v>152</v>
      </c>
      <c r="B704" s="613">
        <f>VLOOKUP(A704,مسلسل,2,0)</f>
        <v>0</v>
      </c>
      <c r="C704" s="616" t="str">
        <f>IFERROR(VLOOKUP(B704,اسماء,2,0),"")</f>
        <v/>
      </c>
      <c r="D704" s="619" t="str">
        <f>IFERROR(VLOOKUP($B704,اسماء,3,0),"")</f>
        <v/>
      </c>
      <c r="E704" s="129" t="s">
        <v>30</v>
      </c>
      <c r="F704" s="600">
        <f>IFERROR(VLOOKUP($B704,اسماء,5,0),0)</f>
        <v>0</v>
      </c>
      <c r="G704" s="601"/>
      <c r="H704" s="602">
        <f>IFERROR(VLOOKUP($B704,اسماء,6,0),0)</f>
        <v>0</v>
      </c>
      <c r="I704" s="622"/>
      <c r="J704" s="600">
        <f>IFERROR(VLOOKUP($B704,اسماء,7,0),0)</f>
        <v>0</v>
      </c>
      <c r="K704" s="601"/>
      <c r="L704" s="602">
        <f>IFERROR(VLOOKUP($B704,اسماء,8,0),0)</f>
        <v>0</v>
      </c>
      <c r="M704" s="603"/>
      <c r="N704" s="602">
        <f>IFERROR(VLOOKUP($B704,اسماء,9,0),0)</f>
        <v>0</v>
      </c>
      <c r="O704" s="603"/>
      <c r="P704" s="600">
        <f>IFERROR(VLOOKUP($B704,اسماء,10,0),0)</f>
        <v>0</v>
      </c>
      <c r="Q704" s="622"/>
      <c r="R704" s="371">
        <f t="shared" ref="R704:R738" si="1890">SUM(F704:Q704)</f>
        <v>0</v>
      </c>
      <c r="S704" s="213" t="str">
        <f>IFERROR(VLOOKUP($B704,اسماء,12,0),"")</f>
        <v/>
      </c>
      <c r="T704" s="214" t="str">
        <f>IFERROR(VLOOKUP($B704,اسماء,13,0),"")</f>
        <v/>
      </c>
      <c r="U704" s="364" t="str">
        <f>IFERROR(VLOOKUP($B704,اسماء,14,0),"")</f>
        <v/>
      </c>
      <c r="V704" s="604" t="str">
        <f t="shared" ref="V704" si="1891">IF(Z704="غائب","راسب",IF(R707&gt;0,"ناجح","مرحل"))</f>
        <v>مرحل</v>
      </c>
      <c r="W704" s="19" t="str">
        <f t="shared" ref="W704:W705" si="1892">LOOKUP(R704,$AC$6:$AD$10)</f>
        <v>ضعيف</v>
      </c>
      <c r="X704" s="639">
        <f t="shared" ref="X704" si="1893">R707/$AC$3</f>
        <v>0</v>
      </c>
      <c r="Y704" s="8"/>
      <c r="Z704" s="597" t="str">
        <f>IFERROR(VLOOKUP($B704,اسماء,48,0),"")</f>
        <v/>
      </c>
      <c r="AK704" s="667" t="str">
        <f t="shared" ref="AK704" si="1894">IF(R707=0,"",R707/1+ROW()*0.00001)</f>
        <v/>
      </c>
      <c r="AL704" s="667">
        <f>B704</f>
        <v>0</v>
      </c>
      <c r="AM704" s="696"/>
      <c r="AN704" s="698">
        <v>152</v>
      </c>
      <c r="AO704" s="699" t="str">
        <f>IFERROR(LARGE($AK$10:$AK$1420,AN704),"")</f>
        <v/>
      </c>
      <c r="AP704" s="698" t="str">
        <f>VLOOKUP(AO704,$AK$10:$AL$1530,2,0)</f>
        <v>امجد عمر عبداللطيف سلطان</v>
      </c>
    </row>
    <row r="705" spans="1:42" ht="14.85" customHeight="1" x14ac:dyDescent="0.25">
      <c r="A705" s="611"/>
      <c r="B705" s="614"/>
      <c r="C705" s="617"/>
      <c r="D705" s="620"/>
      <c r="E705" s="130" t="s">
        <v>31</v>
      </c>
      <c r="F705" s="592">
        <f>IFERROR(VLOOKUP($B704,اسماء,15,0),0)</f>
        <v>0</v>
      </c>
      <c r="G705" s="593"/>
      <c r="H705" s="594">
        <f>IFERROR(VLOOKUP($B704,اسماء,16,0),0)</f>
        <v>0</v>
      </c>
      <c r="I705" s="595"/>
      <c r="J705" s="592">
        <f>IFERROR(VLOOKUP($B704,اسماء,17,0),0)</f>
        <v>0</v>
      </c>
      <c r="K705" s="593"/>
      <c r="L705" s="594">
        <f>IFERROR(VLOOKUP($B704,اسماء,18,0),0)</f>
        <v>0</v>
      </c>
      <c r="M705" s="596"/>
      <c r="N705" s="594">
        <f>IFERROR(VLOOKUP($B704,اسماء,19,0),0)</f>
        <v>0</v>
      </c>
      <c r="O705" s="596"/>
      <c r="P705" s="592">
        <f>IFERROR(VLOOKUP($B704,اسماء,20,0),0)</f>
        <v>0</v>
      </c>
      <c r="Q705" s="595"/>
      <c r="R705" s="372">
        <f t="shared" si="1890"/>
        <v>0</v>
      </c>
      <c r="S705" s="305" t="str">
        <f>IFERROR(VLOOKUP($B704,اسماء,23,0),"")</f>
        <v/>
      </c>
      <c r="T705" s="306" t="str">
        <f>IFERROR(VLOOKUP($B704,اسماء,24,0),"")</f>
        <v/>
      </c>
      <c r="U705" s="122" t="str">
        <f>IFERROR(VLOOKUP($B704,اسماء,25,0),"")</f>
        <v/>
      </c>
      <c r="V705" s="605"/>
      <c r="W705" s="19" t="str">
        <f t="shared" si="1892"/>
        <v>ضعيف</v>
      </c>
      <c r="X705" s="640"/>
      <c r="Y705" s="68"/>
      <c r="Z705" s="598"/>
      <c r="AK705" s="667"/>
      <c r="AL705" s="667"/>
      <c r="AM705" s="696"/>
      <c r="AN705" s="698"/>
      <c r="AO705" s="699"/>
      <c r="AP705" s="698"/>
    </row>
    <row r="706" spans="1:42" ht="14.85" customHeight="1" x14ac:dyDescent="0.25">
      <c r="A706" s="611"/>
      <c r="B706" s="614"/>
      <c r="C706" s="617"/>
      <c r="D706" s="620"/>
      <c r="E706" s="130" t="s">
        <v>32</v>
      </c>
      <c r="F706" s="592">
        <f>IFERROR(VLOOKUP($B704,اسماء,25,0),0)</f>
        <v>0</v>
      </c>
      <c r="G706" s="593"/>
      <c r="H706" s="594">
        <f>IFERROR(VLOOKUP($B704,اسماء,26,0),0)</f>
        <v>0</v>
      </c>
      <c r="I706" s="595"/>
      <c r="J706" s="592">
        <f>IFERROR(VLOOKUP($B704,اسماء,27,0),0)</f>
        <v>0</v>
      </c>
      <c r="K706" s="593"/>
      <c r="L706" s="594">
        <f>IFERROR(VLOOKUP($B704,اسماء,28,0),0)</f>
        <v>0</v>
      </c>
      <c r="M706" s="596"/>
      <c r="N706" s="594">
        <f>IFERROR(VLOOKUP($B704,اسماء,29,0),0)</f>
        <v>0</v>
      </c>
      <c r="O706" s="596"/>
      <c r="P706" s="592">
        <f>IFERROR(VLOOKUP($B704,اسماء,30,0),0)</f>
        <v>0</v>
      </c>
      <c r="Q706" s="595"/>
      <c r="R706" s="372">
        <f t="shared" si="1890"/>
        <v>0</v>
      </c>
      <c r="S706" s="305" t="str">
        <f>IFERROR(VLOOKUP($B704,اسماء,34,0),"")</f>
        <v/>
      </c>
      <c r="T706" s="306" t="str">
        <f>IFERROR(VLOOKUP($B704,اسماء,35,0),"")</f>
        <v/>
      </c>
      <c r="U706" s="122" t="str">
        <f>IFERROR(VLOOKUP($B704,اسماء,36,0),"")</f>
        <v/>
      </c>
      <c r="V706" s="605"/>
      <c r="W706" s="20" t="str">
        <f t="shared" ref="W706" si="1895">LOOKUP(R706,$AF$6:$AG$10)</f>
        <v>ضعيف</v>
      </c>
      <c r="X706" s="640"/>
      <c r="Y706" s="68"/>
      <c r="Z706" s="598"/>
      <c r="AK706" s="667"/>
      <c r="AL706" s="667"/>
      <c r="AM706" s="696"/>
      <c r="AN706" s="698"/>
      <c r="AO706" s="699"/>
      <c r="AP706" s="698"/>
    </row>
    <row r="707" spans="1:42" ht="14.85" customHeight="1" thickBot="1" x14ac:dyDescent="0.3">
      <c r="A707" s="612"/>
      <c r="B707" s="615"/>
      <c r="C707" s="618"/>
      <c r="D707" s="621"/>
      <c r="E707" s="124" t="s">
        <v>33</v>
      </c>
      <c r="F707" s="623">
        <f>SUM(F704:G706)</f>
        <v>0</v>
      </c>
      <c r="G707" s="624"/>
      <c r="H707" s="625">
        <f>SUM(H704:I706)</f>
        <v>0</v>
      </c>
      <c r="I707" s="626"/>
      <c r="J707" s="623">
        <f>SUM(J704:K706)</f>
        <v>0</v>
      </c>
      <c r="K707" s="624"/>
      <c r="L707" s="625">
        <f>SUM(L704:M706)</f>
        <v>0</v>
      </c>
      <c r="M707" s="642"/>
      <c r="N707" s="625">
        <f>SUM(N704:O706)</f>
        <v>0</v>
      </c>
      <c r="O707" s="642"/>
      <c r="P707" s="623">
        <f>SUM(P704:Q706)</f>
        <v>0</v>
      </c>
      <c r="Q707" s="626"/>
      <c r="R707" s="88">
        <f t="shared" ref="R707" si="1896">IF(AND(F707&gt;=$G$8,H707&gt;=$I$8,J707&gt;=$K$8,L707&gt;=$M$8,N707&gt;=$O$8,P707&gt;=$Q$8),SUM(F707:Q707),0)</f>
        <v>0</v>
      </c>
      <c r="S707" s="251"/>
      <c r="T707" s="97"/>
      <c r="U707" s="94"/>
      <c r="V707" s="606"/>
      <c r="W707" s="88" t="str">
        <f t="shared" ref="W707" si="1897">LOOKUP(R707,$AI$6:$AJ$10)</f>
        <v>ضعيف</v>
      </c>
      <c r="X707" s="641"/>
      <c r="Y707" s="8"/>
      <c r="Z707" s="599"/>
      <c r="AK707" s="667"/>
      <c r="AL707" s="667"/>
      <c r="AM707" s="696"/>
      <c r="AN707" s="698"/>
      <c r="AO707" s="699"/>
      <c r="AP707" s="698"/>
    </row>
    <row r="708" spans="1:42" ht="14.85" customHeight="1" thickBot="1" x14ac:dyDescent="0.3">
      <c r="A708" s="610">
        <v>153</v>
      </c>
      <c r="B708" s="613">
        <f>VLOOKUP(A708,مسلسل,2,0)</f>
        <v>0</v>
      </c>
      <c r="C708" s="616" t="str">
        <f>IFERROR(VLOOKUP(B708,اسماء,2,0),"")</f>
        <v/>
      </c>
      <c r="D708" s="619" t="str">
        <f>IFERROR(VLOOKUP($B708,اسماء,3,0),"")</f>
        <v/>
      </c>
      <c r="E708" s="129" t="s">
        <v>30</v>
      </c>
      <c r="F708" s="600">
        <f>IFERROR(VLOOKUP($B708,اسماء,5,0),0)</f>
        <v>0</v>
      </c>
      <c r="G708" s="601"/>
      <c r="H708" s="602">
        <f>IFERROR(VLOOKUP($B708,اسماء,6,0),0)</f>
        <v>0</v>
      </c>
      <c r="I708" s="622"/>
      <c r="J708" s="600">
        <f>IFERROR(VLOOKUP($B708,اسماء,7,0),0)</f>
        <v>0</v>
      </c>
      <c r="K708" s="601"/>
      <c r="L708" s="602">
        <f>IFERROR(VLOOKUP($B708,اسماء,8,0),0)</f>
        <v>0</v>
      </c>
      <c r="M708" s="603"/>
      <c r="N708" s="602">
        <f>IFERROR(VLOOKUP($B708,اسماء,9,0),0)</f>
        <v>0</v>
      </c>
      <c r="O708" s="603"/>
      <c r="P708" s="600">
        <f>IFERROR(VLOOKUP($B708,اسماء,10,0),0)</f>
        <v>0</v>
      </c>
      <c r="Q708" s="622"/>
      <c r="R708" s="371">
        <f t="shared" ref="R708" si="1898">SUM(F708:Q708)</f>
        <v>0</v>
      </c>
      <c r="S708" s="213" t="str">
        <f>IFERROR(VLOOKUP($B708,اسماء,12,0),"")</f>
        <v/>
      </c>
      <c r="T708" s="214" t="str">
        <f>IFERROR(VLOOKUP($B708,اسماء,13,0),"")</f>
        <v/>
      </c>
      <c r="U708" s="364" t="str">
        <f>IFERROR(VLOOKUP($B708,اسماء,14,0),"")</f>
        <v/>
      </c>
      <c r="V708" s="604" t="str">
        <f t="shared" ref="V708" si="1899">IF(Z708="غائب","راسب",IF(R711&gt;0,"ناجح","مرحل"))</f>
        <v>مرحل</v>
      </c>
      <c r="W708" s="19" t="str">
        <f t="shared" ref="W708:W709" si="1900">LOOKUP(R708,$AC$6:$AD$10)</f>
        <v>ضعيف</v>
      </c>
      <c r="X708" s="639">
        <f t="shared" ref="X708" si="1901">R711/$AC$3</f>
        <v>0</v>
      </c>
      <c r="Y708" s="68"/>
      <c r="Z708" s="597" t="str">
        <f>IFERROR(VLOOKUP($B708,اسماء,48,0),"")</f>
        <v/>
      </c>
      <c r="AK708" s="667" t="str">
        <f t="shared" ref="AK708" si="1902">IF(R711=0,"",R711/1+ROW()*0.00001)</f>
        <v/>
      </c>
      <c r="AL708" s="667">
        <f>B708</f>
        <v>0</v>
      </c>
      <c r="AM708" s="696"/>
      <c r="AN708" s="698">
        <v>153</v>
      </c>
      <c r="AO708" s="699" t="str">
        <f>IFERROR(LARGE($AK$10:$AK$1420,AN708),"")</f>
        <v/>
      </c>
      <c r="AP708" s="698" t="str">
        <f>VLOOKUP(AO708,$AK$10:$AL$1530,2,0)</f>
        <v>امجد عمر عبداللطيف سلطان</v>
      </c>
    </row>
    <row r="709" spans="1:42" ht="14.85" customHeight="1" x14ac:dyDescent="0.25">
      <c r="A709" s="611"/>
      <c r="B709" s="614"/>
      <c r="C709" s="617"/>
      <c r="D709" s="620"/>
      <c r="E709" s="130" t="s">
        <v>31</v>
      </c>
      <c r="F709" s="592">
        <f>IFERROR(VLOOKUP($B708,اسماء,15,0),0)</f>
        <v>0</v>
      </c>
      <c r="G709" s="593"/>
      <c r="H709" s="594">
        <f>IFERROR(VLOOKUP($B708,اسماء,16,0),0)</f>
        <v>0</v>
      </c>
      <c r="I709" s="595"/>
      <c r="J709" s="592">
        <f>IFERROR(VLOOKUP($B708,اسماء,17,0),0)</f>
        <v>0</v>
      </c>
      <c r="K709" s="593"/>
      <c r="L709" s="594">
        <f>IFERROR(VLOOKUP($B708,اسماء,18,0),0)</f>
        <v>0</v>
      </c>
      <c r="M709" s="596"/>
      <c r="N709" s="594">
        <f>IFERROR(VLOOKUP($B708,اسماء,19,0),0)</f>
        <v>0</v>
      </c>
      <c r="O709" s="596"/>
      <c r="P709" s="592">
        <f>IFERROR(VLOOKUP($B708,اسماء,20,0),0)</f>
        <v>0</v>
      </c>
      <c r="Q709" s="595"/>
      <c r="R709" s="372">
        <f t="shared" si="1890"/>
        <v>0</v>
      </c>
      <c r="S709" s="305" t="str">
        <f>IFERROR(VLOOKUP($B708,اسماء,23,0),"")</f>
        <v/>
      </c>
      <c r="T709" s="306" t="str">
        <f>IFERROR(VLOOKUP($B708,اسماء,24,0),"")</f>
        <v/>
      </c>
      <c r="U709" s="122" t="str">
        <f>IFERROR(VLOOKUP($B708,اسماء,25,0),"")</f>
        <v/>
      </c>
      <c r="V709" s="605"/>
      <c r="W709" s="19" t="str">
        <f t="shared" si="1900"/>
        <v>ضعيف</v>
      </c>
      <c r="X709" s="640"/>
      <c r="Y709" s="68"/>
      <c r="Z709" s="598"/>
      <c r="AK709" s="667"/>
      <c r="AL709" s="667"/>
      <c r="AM709" s="696"/>
      <c r="AN709" s="698"/>
      <c r="AO709" s="699"/>
      <c r="AP709" s="698"/>
    </row>
    <row r="710" spans="1:42" ht="14.85" customHeight="1" x14ac:dyDescent="0.25">
      <c r="A710" s="611"/>
      <c r="B710" s="614"/>
      <c r="C710" s="617"/>
      <c r="D710" s="620"/>
      <c r="E710" s="130" t="s">
        <v>32</v>
      </c>
      <c r="F710" s="592">
        <f>IFERROR(VLOOKUP($B708,اسماء,25,0),0)</f>
        <v>0</v>
      </c>
      <c r="G710" s="593"/>
      <c r="H710" s="594">
        <f>IFERROR(VLOOKUP($B708,اسماء,26,0),0)</f>
        <v>0</v>
      </c>
      <c r="I710" s="595"/>
      <c r="J710" s="592">
        <f>IFERROR(VLOOKUP($B708,اسماء,27,0),0)</f>
        <v>0</v>
      </c>
      <c r="K710" s="593"/>
      <c r="L710" s="594">
        <f>IFERROR(VLOOKUP($B708,اسماء,28,0),0)</f>
        <v>0</v>
      </c>
      <c r="M710" s="596"/>
      <c r="N710" s="594">
        <f>IFERROR(VLOOKUP($B708,اسماء,29,0),0)</f>
        <v>0</v>
      </c>
      <c r="O710" s="596"/>
      <c r="P710" s="592">
        <f>IFERROR(VLOOKUP($B708,اسماء,30,0),0)</f>
        <v>0</v>
      </c>
      <c r="Q710" s="595"/>
      <c r="R710" s="372">
        <f t="shared" si="1890"/>
        <v>0</v>
      </c>
      <c r="S710" s="305" t="str">
        <f>IFERROR(VLOOKUP($B708,اسماء,34,0),"")</f>
        <v/>
      </c>
      <c r="T710" s="306" t="str">
        <f>IFERROR(VLOOKUP($B708,اسماء,35,0),"")</f>
        <v/>
      </c>
      <c r="U710" s="122" t="str">
        <f>IFERROR(VLOOKUP($B708,اسماء,36,0),"")</f>
        <v/>
      </c>
      <c r="V710" s="605"/>
      <c r="W710" s="20" t="str">
        <f t="shared" ref="W710" si="1903">LOOKUP(R710,$AF$6:$AG$10)</f>
        <v>ضعيف</v>
      </c>
      <c r="X710" s="640"/>
      <c r="Y710" s="8"/>
      <c r="Z710" s="598"/>
      <c r="AK710" s="667"/>
      <c r="AL710" s="667"/>
      <c r="AM710" s="696"/>
      <c r="AN710" s="698"/>
      <c r="AO710" s="699"/>
      <c r="AP710" s="698"/>
    </row>
    <row r="711" spans="1:42" ht="14.85" customHeight="1" thickBot="1" x14ac:dyDescent="0.3">
      <c r="A711" s="612"/>
      <c r="B711" s="615"/>
      <c r="C711" s="618"/>
      <c r="D711" s="621"/>
      <c r="E711" s="124" t="s">
        <v>33</v>
      </c>
      <c r="F711" s="623">
        <f t="shared" ref="F711" si="1904">SUM(F708:G710)</f>
        <v>0</v>
      </c>
      <c r="G711" s="624"/>
      <c r="H711" s="625">
        <f t="shared" ref="H711" si="1905">SUM(H708:I710)</f>
        <v>0</v>
      </c>
      <c r="I711" s="626"/>
      <c r="J711" s="623">
        <f t="shared" ref="J711" si="1906">SUM(J708:K710)</f>
        <v>0</v>
      </c>
      <c r="K711" s="624"/>
      <c r="L711" s="625">
        <f t="shared" ref="L711" si="1907">SUM(L708:M710)</f>
        <v>0</v>
      </c>
      <c r="M711" s="642"/>
      <c r="N711" s="625">
        <f t="shared" ref="N711" si="1908">SUM(N708:O710)</f>
        <v>0</v>
      </c>
      <c r="O711" s="642"/>
      <c r="P711" s="623">
        <f t="shared" ref="P711" si="1909">SUM(P708:Q710)</f>
        <v>0</v>
      </c>
      <c r="Q711" s="626"/>
      <c r="R711" s="88">
        <f t="shared" ref="R711" si="1910">IF(AND(F711&gt;=$G$8,H711&gt;=$I$8,J711&gt;=$K$8,L711&gt;=$M$8,N711&gt;=$O$8,P711&gt;=$Q$8),SUM(F711:Q711),0)</f>
        <v>0</v>
      </c>
      <c r="S711" s="251"/>
      <c r="T711" s="97"/>
      <c r="U711" s="94"/>
      <c r="V711" s="606"/>
      <c r="W711" s="88" t="str">
        <f t="shared" ref="W711" si="1911">LOOKUP(R711,$AI$6:$AJ$10)</f>
        <v>ضعيف</v>
      </c>
      <c r="X711" s="641"/>
      <c r="Y711" s="68"/>
      <c r="Z711" s="599"/>
      <c r="AK711" s="667"/>
      <c r="AL711" s="667"/>
      <c r="AM711" s="696"/>
      <c r="AN711" s="698"/>
      <c r="AO711" s="699"/>
      <c r="AP711" s="698"/>
    </row>
    <row r="712" spans="1:42" ht="14.85" customHeight="1" thickBot="1" x14ac:dyDescent="0.3">
      <c r="A712" s="610">
        <v>154</v>
      </c>
      <c r="B712" s="613">
        <f>VLOOKUP(A712,مسلسل,2,0)</f>
        <v>0</v>
      </c>
      <c r="C712" s="616" t="str">
        <f>IFERROR(VLOOKUP(B712,اسماء,2,0),"")</f>
        <v/>
      </c>
      <c r="D712" s="619" t="str">
        <f>IFERROR(VLOOKUP($B712,اسماء,3,0),"")</f>
        <v/>
      </c>
      <c r="E712" s="129" t="s">
        <v>30</v>
      </c>
      <c r="F712" s="600">
        <f>IFERROR(VLOOKUP($B712,اسماء,5,0),0)</f>
        <v>0</v>
      </c>
      <c r="G712" s="601"/>
      <c r="H712" s="602">
        <f>IFERROR(VLOOKUP($B712,اسماء,6,0),0)</f>
        <v>0</v>
      </c>
      <c r="I712" s="622"/>
      <c r="J712" s="600">
        <f>IFERROR(VLOOKUP($B712,اسماء,7,0),0)</f>
        <v>0</v>
      </c>
      <c r="K712" s="601"/>
      <c r="L712" s="602">
        <f>IFERROR(VLOOKUP($B712,اسماء,8,0),0)</f>
        <v>0</v>
      </c>
      <c r="M712" s="603"/>
      <c r="N712" s="602">
        <f>IFERROR(VLOOKUP($B712,اسماء,9,0),0)</f>
        <v>0</v>
      </c>
      <c r="O712" s="603"/>
      <c r="P712" s="600">
        <f>IFERROR(VLOOKUP($B712,اسماء,10,0),0)</f>
        <v>0</v>
      </c>
      <c r="Q712" s="622"/>
      <c r="R712" s="371">
        <f t="shared" ref="R712" si="1912">SUM(F712:Q712)</f>
        <v>0</v>
      </c>
      <c r="S712" s="213" t="str">
        <f>IFERROR(VLOOKUP($B712,اسماء,12,0),"")</f>
        <v/>
      </c>
      <c r="T712" s="214" t="str">
        <f>IFERROR(VLOOKUP($B712,اسماء,13,0),"")</f>
        <v/>
      </c>
      <c r="U712" s="364" t="str">
        <f>IFERROR(VLOOKUP($B712,اسماء,14,0),"")</f>
        <v/>
      </c>
      <c r="V712" s="604" t="str">
        <f t="shared" ref="V712" si="1913">IF(Z712="غائب","راسب",IF(R715&gt;0,"ناجح","مرحل"))</f>
        <v>مرحل</v>
      </c>
      <c r="W712" s="19" t="str">
        <f t="shared" ref="W712:W713" si="1914">LOOKUP(R712,$AC$6:$AD$10)</f>
        <v>ضعيف</v>
      </c>
      <c r="X712" s="639">
        <f t="shared" ref="X712" si="1915">R715/$AC$3</f>
        <v>0</v>
      </c>
      <c r="Y712" s="68"/>
      <c r="Z712" s="597" t="str">
        <f>IFERROR(VLOOKUP($B712,اسماء,48,0),"")</f>
        <v/>
      </c>
      <c r="AK712" s="667" t="str">
        <f t="shared" ref="AK712" si="1916">IF(R715=0,"",R715/1+ROW()*0.00001)</f>
        <v/>
      </c>
      <c r="AL712" s="667">
        <f>B712</f>
        <v>0</v>
      </c>
      <c r="AM712" s="696"/>
      <c r="AN712" s="698">
        <v>154</v>
      </c>
      <c r="AO712" s="699" t="str">
        <f>IFERROR(LARGE($AK$10:$AK$1420,AN712),"")</f>
        <v/>
      </c>
      <c r="AP712" s="698" t="str">
        <f>VLOOKUP(AO712,$AK$10:$AL$1530,2,0)</f>
        <v>امجد عمر عبداللطيف سلطان</v>
      </c>
    </row>
    <row r="713" spans="1:42" ht="14.85" customHeight="1" x14ac:dyDescent="0.25">
      <c r="A713" s="611"/>
      <c r="B713" s="614"/>
      <c r="C713" s="617"/>
      <c r="D713" s="620"/>
      <c r="E713" s="130" t="s">
        <v>31</v>
      </c>
      <c r="F713" s="592">
        <f>IFERROR(VLOOKUP($B712,اسماء,15,0),0)</f>
        <v>0</v>
      </c>
      <c r="G713" s="593"/>
      <c r="H713" s="594">
        <f>IFERROR(VLOOKUP($B712,اسماء,16,0),0)</f>
        <v>0</v>
      </c>
      <c r="I713" s="595"/>
      <c r="J713" s="592">
        <f>IFERROR(VLOOKUP($B712,اسماء,17,0),0)</f>
        <v>0</v>
      </c>
      <c r="K713" s="593"/>
      <c r="L713" s="594">
        <f>IFERROR(VLOOKUP($B712,اسماء,18,0),0)</f>
        <v>0</v>
      </c>
      <c r="M713" s="596"/>
      <c r="N713" s="594">
        <f>IFERROR(VLOOKUP($B712,اسماء,19,0),0)</f>
        <v>0</v>
      </c>
      <c r="O713" s="596"/>
      <c r="P713" s="592">
        <f>IFERROR(VLOOKUP($B712,اسماء,20,0),0)</f>
        <v>0</v>
      </c>
      <c r="Q713" s="595"/>
      <c r="R713" s="372">
        <f t="shared" si="1890"/>
        <v>0</v>
      </c>
      <c r="S713" s="305" t="str">
        <f>IFERROR(VLOOKUP($B712,اسماء,23,0),"")</f>
        <v/>
      </c>
      <c r="T713" s="306" t="str">
        <f>IFERROR(VLOOKUP($B712,اسماء,24,0),"")</f>
        <v/>
      </c>
      <c r="U713" s="122" t="str">
        <f>IFERROR(VLOOKUP($B712,اسماء,25,0),"")</f>
        <v/>
      </c>
      <c r="V713" s="605"/>
      <c r="W713" s="19" t="str">
        <f t="shared" si="1914"/>
        <v>ضعيف</v>
      </c>
      <c r="X713" s="640"/>
      <c r="Y713" s="8"/>
      <c r="Z713" s="598"/>
      <c r="AK713" s="667"/>
      <c r="AL713" s="667"/>
      <c r="AM713" s="696"/>
      <c r="AN713" s="698"/>
      <c r="AO713" s="699"/>
      <c r="AP713" s="698"/>
    </row>
    <row r="714" spans="1:42" ht="14.85" customHeight="1" x14ac:dyDescent="0.25">
      <c r="A714" s="611"/>
      <c r="B714" s="614"/>
      <c r="C714" s="617"/>
      <c r="D714" s="620"/>
      <c r="E714" s="130" t="s">
        <v>32</v>
      </c>
      <c r="F714" s="592">
        <f>IFERROR(VLOOKUP($B712,اسماء,25,0),0)</f>
        <v>0</v>
      </c>
      <c r="G714" s="593"/>
      <c r="H714" s="594">
        <f>IFERROR(VLOOKUP($B712,اسماء,26,0),0)</f>
        <v>0</v>
      </c>
      <c r="I714" s="595"/>
      <c r="J714" s="592">
        <f>IFERROR(VLOOKUP($B712,اسماء,27,0),0)</f>
        <v>0</v>
      </c>
      <c r="K714" s="593"/>
      <c r="L714" s="594">
        <f>IFERROR(VLOOKUP($B712,اسماء,28,0),0)</f>
        <v>0</v>
      </c>
      <c r="M714" s="596"/>
      <c r="N714" s="594">
        <f>IFERROR(VLOOKUP($B712,اسماء,29,0),0)</f>
        <v>0</v>
      </c>
      <c r="O714" s="596"/>
      <c r="P714" s="592">
        <f>IFERROR(VLOOKUP($B712,اسماء,30,0),0)</f>
        <v>0</v>
      </c>
      <c r="Q714" s="595"/>
      <c r="R714" s="372">
        <f t="shared" si="1890"/>
        <v>0</v>
      </c>
      <c r="S714" s="305" t="str">
        <f>IFERROR(VLOOKUP($B712,اسماء,34,0),"")</f>
        <v/>
      </c>
      <c r="T714" s="306" t="str">
        <f>IFERROR(VLOOKUP($B712,اسماء,35,0),"")</f>
        <v/>
      </c>
      <c r="U714" s="122" t="str">
        <f>IFERROR(VLOOKUP($B712,اسماء,36,0),"")</f>
        <v/>
      </c>
      <c r="V714" s="605"/>
      <c r="W714" s="20" t="str">
        <f t="shared" ref="W714" si="1917">LOOKUP(R714,$AF$6:$AG$10)</f>
        <v>ضعيف</v>
      </c>
      <c r="X714" s="640"/>
      <c r="Y714" s="68"/>
      <c r="Z714" s="598"/>
      <c r="AK714" s="667"/>
      <c r="AL714" s="667"/>
      <c r="AM714" s="696"/>
      <c r="AN714" s="698"/>
      <c r="AO714" s="699"/>
      <c r="AP714" s="698"/>
    </row>
    <row r="715" spans="1:42" ht="14.85" customHeight="1" thickBot="1" x14ac:dyDescent="0.3">
      <c r="A715" s="612"/>
      <c r="B715" s="615"/>
      <c r="C715" s="618"/>
      <c r="D715" s="621"/>
      <c r="E715" s="124" t="s">
        <v>33</v>
      </c>
      <c r="F715" s="623">
        <f t="shared" ref="F715" si="1918">SUM(F712:G714)</f>
        <v>0</v>
      </c>
      <c r="G715" s="624"/>
      <c r="H715" s="625">
        <f t="shared" ref="H715" si="1919">SUM(H712:I714)</f>
        <v>0</v>
      </c>
      <c r="I715" s="626"/>
      <c r="J715" s="623">
        <f t="shared" ref="J715" si="1920">SUM(J712:K714)</f>
        <v>0</v>
      </c>
      <c r="K715" s="624"/>
      <c r="L715" s="625">
        <f t="shared" ref="L715" si="1921">SUM(L712:M714)</f>
        <v>0</v>
      </c>
      <c r="M715" s="642"/>
      <c r="N715" s="625">
        <f t="shared" ref="N715" si="1922">SUM(N712:O714)</f>
        <v>0</v>
      </c>
      <c r="O715" s="642"/>
      <c r="P715" s="623">
        <f t="shared" ref="P715" si="1923">SUM(P712:Q714)</f>
        <v>0</v>
      </c>
      <c r="Q715" s="626"/>
      <c r="R715" s="88">
        <f t="shared" ref="R715" si="1924">IF(AND(F715&gt;=$G$8,H715&gt;=$I$8,J715&gt;=$K$8,L715&gt;=$M$8,N715&gt;=$O$8,P715&gt;=$Q$8),SUM(F715:Q715),0)</f>
        <v>0</v>
      </c>
      <c r="S715" s="251"/>
      <c r="T715" s="97"/>
      <c r="U715" s="94"/>
      <c r="V715" s="606"/>
      <c r="W715" s="88" t="str">
        <f t="shared" ref="W715" si="1925">LOOKUP(R715,$AI$6:$AJ$10)</f>
        <v>ضعيف</v>
      </c>
      <c r="X715" s="641"/>
      <c r="Y715" s="68"/>
      <c r="Z715" s="599"/>
      <c r="AK715" s="667"/>
      <c r="AL715" s="667"/>
      <c r="AM715" s="696"/>
      <c r="AN715" s="698"/>
      <c r="AO715" s="699"/>
      <c r="AP715" s="698"/>
    </row>
    <row r="716" spans="1:42" ht="14.85" customHeight="1" thickBot="1" x14ac:dyDescent="0.3">
      <c r="A716" s="610">
        <v>155</v>
      </c>
      <c r="B716" s="613">
        <f>VLOOKUP(A716,مسلسل,2,0)</f>
        <v>0</v>
      </c>
      <c r="C716" s="616" t="str">
        <f>IFERROR(VLOOKUP(B716,اسماء,2,0),"")</f>
        <v/>
      </c>
      <c r="D716" s="619" t="str">
        <f>IFERROR(VLOOKUP($B716,اسماء,3,0),"")</f>
        <v/>
      </c>
      <c r="E716" s="129" t="s">
        <v>30</v>
      </c>
      <c r="F716" s="600">
        <f>IFERROR(VLOOKUP($B716,اسماء,5,0),0)</f>
        <v>0</v>
      </c>
      <c r="G716" s="601"/>
      <c r="H716" s="602">
        <f>IFERROR(VLOOKUP($B716,اسماء,6,0),0)</f>
        <v>0</v>
      </c>
      <c r="I716" s="622"/>
      <c r="J716" s="600">
        <f>IFERROR(VLOOKUP($B716,اسماء,7,0),0)</f>
        <v>0</v>
      </c>
      <c r="K716" s="601"/>
      <c r="L716" s="602">
        <f>IFERROR(VLOOKUP($B716,اسماء,8,0),0)</f>
        <v>0</v>
      </c>
      <c r="M716" s="603"/>
      <c r="N716" s="602">
        <f>IFERROR(VLOOKUP($B716,اسماء,9,0),0)</f>
        <v>0</v>
      </c>
      <c r="O716" s="603"/>
      <c r="P716" s="600">
        <f>IFERROR(VLOOKUP($B716,اسماء,10,0),0)</f>
        <v>0</v>
      </c>
      <c r="Q716" s="622"/>
      <c r="R716" s="371">
        <f t="shared" ref="R716" si="1926">SUM(F716:Q716)</f>
        <v>0</v>
      </c>
      <c r="S716" s="213" t="str">
        <f>IFERROR(VLOOKUP($B716,اسماء,12,0),"")</f>
        <v/>
      </c>
      <c r="T716" s="214" t="str">
        <f>IFERROR(VLOOKUP($B716,اسماء,13,0),"")</f>
        <v/>
      </c>
      <c r="U716" s="364" t="str">
        <f>IFERROR(VLOOKUP($B716,اسماء,14,0),"")</f>
        <v/>
      </c>
      <c r="V716" s="604" t="str">
        <f t="shared" ref="V716" si="1927">IF(Z716="غائب","راسب",IF(R719&gt;0,"ناجح","مرحل"))</f>
        <v>مرحل</v>
      </c>
      <c r="W716" s="19" t="str">
        <f t="shared" ref="W716:W717" si="1928">LOOKUP(R716,$AC$6:$AD$10)</f>
        <v>ضعيف</v>
      </c>
      <c r="X716" s="639">
        <f t="shared" ref="X716" si="1929">R719/$AC$3</f>
        <v>0</v>
      </c>
      <c r="Y716" s="8"/>
      <c r="Z716" s="597" t="str">
        <f>IFERROR(VLOOKUP($B716,اسماء,48,0),"")</f>
        <v/>
      </c>
      <c r="AK716" s="667" t="str">
        <f t="shared" ref="AK716" si="1930">IF(R719=0,"",R719/1+ROW()*0.00001)</f>
        <v/>
      </c>
      <c r="AL716" s="667">
        <f>B716</f>
        <v>0</v>
      </c>
      <c r="AM716" s="696"/>
      <c r="AN716" s="698">
        <v>155</v>
      </c>
      <c r="AO716" s="699" t="str">
        <f>IFERROR(LARGE($AK$10:$AK$1420,AN716),"")</f>
        <v/>
      </c>
      <c r="AP716" s="698" t="str">
        <f>VLOOKUP(AO716,$AK$10:$AL$1530,2,0)</f>
        <v>امجد عمر عبداللطيف سلطان</v>
      </c>
    </row>
    <row r="717" spans="1:42" ht="14.85" customHeight="1" x14ac:dyDescent="0.25">
      <c r="A717" s="611"/>
      <c r="B717" s="614"/>
      <c r="C717" s="617"/>
      <c r="D717" s="620"/>
      <c r="E717" s="130" t="s">
        <v>31</v>
      </c>
      <c r="F717" s="592">
        <f>IFERROR(VLOOKUP($B716,اسماء,15,0),0)</f>
        <v>0</v>
      </c>
      <c r="G717" s="593"/>
      <c r="H717" s="594">
        <f>IFERROR(VLOOKUP($B716,اسماء,16,0),0)</f>
        <v>0</v>
      </c>
      <c r="I717" s="595"/>
      <c r="J717" s="592">
        <f>IFERROR(VLOOKUP($B716,اسماء,17,0),0)</f>
        <v>0</v>
      </c>
      <c r="K717" s="593"/>
      <c r="L717" s="594">
        <f>IFERROR(VLOOKUP($B716,اسماء,18,0),0)</f>
        <v>0</v>
      </c>
      <c r="M717" s="596"/>
      <c r="N717" s="594">
        <f>IFERROR(VLOOKUP($B716,اسماء,19,0),0)</f>
        <v>0</v>
      </c>
      <c r="O717" s="596"/>
      <c r="P717" s="592">
        <f>IFERROR(VLOOKUP($B716,اسماء,20,0),0)</f>
        <v>0</v>
      </c>
      <c r="Q717" s="595"/>
      <c r="R717" s="372">
        <f t="shared" si="1890"/>
        <v>0</v>
      </c>
      <c r="S717" s="305" t="str">
        <f>IFERROR(VLOOKUP($B716,اسماء,23,0),"")</f>
        <v/>
      </c>
      <c r="T717" s="306" t="str">
        <f>IFERROR(VLOOKUP($B716,اسماء,24,0),"")</f>
        <v/>
      </c>
      <c r="U717" s="122" t="str">
        <f>IFERROR(VLOOKUP($B716,اسماء,25,0),"")</f>
        <v/>
      </c>
      <c r="V717" s="605"/>
      <c r="W717" s="19" t="str">
        <f t="shared" si="1928"/>
        <v>ضعيف</v>
      </c>
      <c r="X717" s="640"/>
      <c r="Y717" s="68"/>
      <c r="Z717" s="598"/>
      <c r="AK717" s="667"/>
      <c r="AL717" s="667"/>
      <c r="AM717" s="696"/>
      <c r="AN717" s="698"/>
      <c r="AO717" s="699"/>
      <c r="AP717" s="698"/>
    </row>
    <row r="718" spans="1:42" ht="14.85" customHeight="1" x14ac:dyDescent="0.25">
      <c r="A718" s="611"/>
      <c r="B718" s="614"/>
      <c r="C718" s="617"/>
      <c r="D718" s="620"/>
      <c r="E718" s="130" t="s">
        <v>32</v>
      </c>
      <c r="F718" s="592">
        <f>IFERROR(VLOOKUP($B716,اسماء,25,0),0)</f>
        <v>0</v>
      </c>
      <c r="G718" s="593"/>
      <c r="H718" s="594">
        <f>IFERROR(VLOOKUP($B716,اسماء,26,0),0)</f>
        <v>0</v>
      </c>
      <c r="I718" s="595"/>
      <c r="J718" s="592">
        <f>IFERROR(VLOOKUP($B716,اسماء,27,0),0)</f>
        <v>0</v>
      </c>
      <c r="K718" s="593"/>
      <c r="L718" s="594">
        <f>IFERROR(VLOOKUP($B716,اسماء,28,0),0)</f>
        <v>0</v>
      </c>
      <c r="M718" s="596"/>
      <c r="N718" s="594">
        <f>IFERROR(VLOOKUP($B716,اسماء,29,0),0)</f>
        <v>0</v>
      </c>
      <c r="O718" s="596"/>
      <c r="P718" s="592">
        <f>IFERROR(VLOOKUP($B716,اسماء,30,0),0)</f>
        <v>0</v>
      </c>
      <c r="Q718" s="595"/>
      <c r="R718" s="372">
        <f t="shared" si="1890"/>
        <v>0</v>
      </c>
      <c r="S718" s="305" t="str">
        <f>IFERROR(VLOOKUP($B716,اسماء,34,0),"")</f>
        <v/>
      </c>
      <c r="T718" s="306" t="str">
        <f>IFERROR(VLOOKUP($B716,اسماء,35,0),"")</f>
        <v/>
      </c>
      <c r="U718" s="122" t="str">
        <f>IFERROR(VLOOKUP($B716,اسماء,36,0),"")</f>
        <v/>
      </c>
      <c r="V718" s="605"/>
      <c r="W718" s="20" t="str">
        <f t="shared" ref="W718" si="1931">LOOKUP(R718,$AF$6:$AG$10)</f>
        <v>ضعيف</v>
      </c>
      <c r="X718" s="640"/>
      <c r="Y718" s="68"/>
      <c r="Z718" s="598"/>
      <c r="AK718" s="667"/>
      <c r="AL718" s="667"/>
      <c r="AM718" s="696"/>
      <c r="AN718" s="698"/>
      <c r="AO718" s="699"/>
      <c r="AP718" s="698"/>
    </row>
    <row r="719" spans="1:42" ht="14.85" customHeight="1" thickBot="1" x14ac:dyDescent="0.3">
      <c r="A719" s="612"/>
      <c r="B719" s="615"/>
      <c r="C719" s="618"/>
      <c r="D719" s="621"/>
      <c r="E719" s="124" t="s">
        <v>33</v>
      </c>
      <c r="F719" s="623">
        <f t="shared" ref="F719" si="1932">SUM(F716:G718)</f>
        <v>0</v>
      </c>
      <c r="G719" s="624"/>
      <c r="H719" s="625">
        <f t="shared" ref="H719" si="1933">SUM(H716:I718)</f>
        <v>0</v>
      </c>
      <c r="I719" s="626"/>
      <c r="J719" s="623">
        <f t="shared" ref="J719" si="1934">SUM(J716:K718)</f>
        <v>0</v>
      </c>
      <c r="K719" s="624"/>
      <c r="L719" s="625">
        <f t="shared" ref="L719" si="1935">SUM(L716:M718)</f>
        <v>0</v>
      </c>
      <c r="M719" s="642"/>
      <c r="N719" s="625">
        <f t="shared" ref="N719" si="1936">SUM(N716:O718)</f>
        <v>0</v>
      </c>
      <c r="O719" s="642"/>
      <c r="P719" s="623">
        <f t="shared" ref="P719" si="1937">SUM(P716:Q718)</f>
        <v>0</v>
      </c>
      <c r="Q719" s="626"/>
      <c r="R719" s="88">
        <f t="shared" ref="R719" si="1938">IF(AND(F719&gt;=$G$8,H719&gt;=$I$8,J719&gt;=$K$8,L719&gt;=$M$8,N719&gt;=$O$8,P719&gt;=$Q$8),SUM(F719:Q719),0)</f>
        <v>0</v>
      </c>
      <c r="S719" s="251"/>
      <c r="T719" s="97"/>
      <c r="U719" s="94"/>
      <c r="V719" s="606"/>
      <c r="W719" s="88" t="str">
        <f t="shared" ref="W719" si="1939">LOOKUP(R719,$AI$6:$AJ$10)</f>
        <v>ضعيف</v>
      </c>
      <c r="X719" s="641"/>
      <c r="Y719" s="8"/>
      <c r="Z719" s="599"/>
      <c r="AK719" s="667"/>
      <c r="AL719" s="667"/>
      <c r="AM719" s="696"/>
      <c r="AN719" s="698"/>
      <c r="AO719" s="699"/>
      <c r="AP719" s="698"/>
    </row>
    <row r="720" spans="1:42" ht="14.85" customHeight="1" thickBot="1" x14ac:dyDescent="0.3">
      <c r="A720" s="610">
        <v>156</v>
      </c>
      <c r="B720" s="613">
        <f>VLOOKUP(A720,مسلسل,2,0)</f>
        <v>0</v>
      </c>
      <c r="C720" s="616" t="str">
        <f>IFERROR(VLOOKUP(B720,اسماء,2,0),"")</f>
        <v/>
      </c>
      <c r="D720" s="619" t="str">
        <f>IFERROR(VLOOKUP($B720,اسماء,3,0),"")</f>
        <v/>
      </c>
      <c r="E720" s="129" t="s">
        <v>30</v>
      </c>
      <c r="F720" s="600">
        <f>IFERROR(VLOOKUP($B720,اسماء,5,0),0)</f>
        <v>0</v>
      </c>
      <c r="G720" s="601"/>
      <c r="H720" s="602">
        <f>IFERROR(VLOOKUP($B720,اسماء,6,0),0)</f>
        <v>0</v>
      </c>
      <c r="I720" s="622"/>
      <c r="J720" s="600">
        <f>IFERROR(VLOOKUP($B720,اسماء,7,0),0)</f>
        <v>0</v>
      </c>
      <c r="K720" s="601"/>
      <c r="L720" s="602">
        <f>IFERROR(VLOOKUP($B720,اسماء,8,0),0)</f>
        <v>0</v>
      </c>
      <c r="M720" s="603"/>
      <c r="N720" s="602">
        <f>IFERROR(VLOOKUP($B720,اسماء,9,0),0)</f>
        <v>0</v>
      </c>
      <c r="O720" s="603"/>
      <c r="P720" s="600">
        <f>IFERROR(VLOOKUP($B720,اسماء,10,0),0)</f>
        <v>0</v>
      </c>
      <c r="Q720" s="622"/>
      <c r="R720" s="371">
        <f t="shared" ref="R720" si="1940">SUM(F720:Q720)</f>
        <v>0</v>
      </c>
      <c r="S720" s="213" t="str">
        <f>IFERROR(VLOOKUP($B720,اسماء,12,0),"")</f>
        <v/>
      </c>
      <c r="T720" s="214" t="str">
        <f>IFERROR(VLOOKUP($B720,اسماء,13,0),"")</f>
        <v/>
      </c>
      <c r="U720" s="364" t="str">
        <f>IFERROR(VLOOKUP($B720,اسماء,14,0),"")</f>
        <v/>
      </c>
      <c r="V720" s="604" t="str">
        <f t="shared" ref="V720" si="1941">IF(Z720="غائب","راسب",IF(R723&gt;0,"ناجح","مرحل"))</f>
        <v>مرحل</v>
      </c>
      <c r="W720" s="19" t="str">
        <f t="shared" ref="W720:W721" si="1942">LOOKUP(R720,$AC$6:$AD$10)</f>
        <v>ضعيف</v>
      </c>
      <c r="X720" s="639">
        <f t="shared" ref="X720" si="1943">R723/$AC$3</f>
        <v>0</v>
      </c>
      <c r="Y720" s="68"/>
      <c r="Z720" s="597" t="str">
        <f>IFERROR(VLOOKUP($B720,اسماء,48,0),"")</f>
        <v/>
      </c>
      <c r="AK720" s="667" t="str">
        <f t="shared" ref="AK720" si="1944">IF(R723=0,"",R723/1+ROW()*0.00001)</f>
        <v/>
      </c>
      <c r="AL720" s="667">
        <f>B720</f>
        <v>0</v>
      </c>
      <c r="AM720" s="696"/>
      <c r="AN720" s="698">
        <v>156</v>
      </c>
      <c r="AO720" s="699" t="str">
        <f>IFERROR(LARGE($AK$10:$AK$1420,AN720),"")</f>
        <v/>
      </c>
      <c r="AP720" s="698" t="str">
        <f>VLOOKUP(AO720,$AK$10:$AL$1530,2,0)</f>
        <v>امجد عمر عبداللطيف سلطان</v>
      </c>
    </row>
    <row r="721" spans="1:42" ht="14.85" customHeight="1" x14ac:dyDescent="0.25">
      <c r="A721" s="611"/>
      <c r="B721" s="614"/>
      <c r="C721" s="617"/>
      <c r="D721" s="620"/>
      <c r="E721" s="130" t="s">
        <v>31</v>
      </c>
      <c r="F721" s="592">
        <f>IFERROR(VLOOKUP($B720,اسماء,15,0),0)</f>
        <v>0</v>
      </c>
      <c r="G721" s="593"/>
      <c r="H721" s="594">
        <f>IFERROR(VLOOKUP($B720,اسماء,16,0),0)</f>
        <v>0</v>
      </c>
      <c r="I721" s="595"/>
      <c r="J721" s="592">
        <f>IFERROR(VLOOKUP($B720,اسماء,17,0),0)</f>
        <v>0</v>
      </c>
      <c r="K721" s="593"/>
      <c r="L721" s="594">
        <f>IFERROR(VLOOKUP($B720,اسماء,18,0),0)</f>
        <v>0</v>
      </c>
      <c r="M721" s="596"/>
      <c r="N721" s="594">
        <f>IFERROR(VLOOKUP($B720,اسماء,19,0),0)</f>
        <v>0</v>
      </c>
      <c r="O721" s="596"/>
      <c r="P721" s="592">
        <f>IFERROR(VLOOKUP($B720,اسماء,20,0),0)</f>
        <v>0</v>
      </c>
      <c r="Q721" s="595"/>
      <c r="R721" s="372">
        <f t="shared" si="1890"/>
        <v>0</v>
      </c>
      <c r="S721" s="305" t="str">
        <f>IFERROR(VLOOKUP($B720,اسماء,23,0),"")</f>
        <v/>
      </c>
      <c r="T721" s="306" t="str">
        <f>IFERROR(VLOOKUP($B720,اسماء,24,0),"")</f>
        <v/>
      </c>
      <c r="U721" s="122" t="str">
        <f>IFERROR(VLOOKUP($B720,اسماء,25,0),"")</f>
        <v/>
      </c>
      <c r="V721" s="605"/>
      <c r="W721" s="19" t="str">
        <f t="shared" si="1942"/>
        <v>ضعيف</v>
      </c>
      <c r="X721" s="640"/>
      <c r="Y721" s="68"/>
      <c r="Z721" s="598"/>
      <c r="AK721" s="667"/>
      <c r="AL721" s="667"/>
      <c r="AM721" s="696"/>
      <c r="AN721" s="698"/>
      <c r="AO721" s="699"/>
      <c r="AP721" s="698"/>
    </row>
    <row r="722" spans="1:42" ht="14.85" customHeight="1" x14ac:dyDescent="0.25">
      <c r="A722" s="611"/>
      <c r="B722" s="614"/>
      <c r="C722" s="617"/>
      <c r="D722" s="620"/>
      <c r="E722" s="130" t="s">
        <v>32</v>
      </c>
      <c r="F722" s="592">
        <f>IFERROR(VLOOKUP($B720,اسماء,25,0),0)</f>
        <v>0</v>
      </c>
      <c r="G722" s="593"/>
      <c r="H722" s="594">
        <f>IFERROR(VLOOKUP($B720,اسماء,26,0),0)</f>
        <v>0</v>
      </c>
      <c r="I722" s="595"/>
      <c r="J722" s="592">
        <f>IFERROR(VLOOKUP($B720,اسماء,27,0),0)</f>
        <v>0</v>
      </c>
      <c r="K722" s="593"/>
      <c r="L722" s="594">
        <f>IFERROR(VLOOKUP($B720,اسماء,28,0),0)</f>
        <v>0</v>
      </c>
      <c r="M722" s="596"/>
      <c r="N722" s="594">
        <f>IFERROR(VLOOKUP($B720,اسماء,29,0),0)</f>
        <v>0</v>
      </c>
      <c r="O722" s="596"/>
      <c r="P722" s="592">
        <f>IFERROR(VLOOKUP($B720,اسماء,30,0),0)</f>
        <v>0</v>
      </c>
      <c r="Q722" s="595"/>
      <c r="R722" s="372">
        <f t="shared" si="1890"/>
        <v>0</v>
      </c>
      <c r="S722" s="305" t="str">
        <f>IFERROR(VLOOKUP($B720,اسماء,34,0),"")</f>
        <v/>
      </c>
      <c r="T722" s="306" t="str">
        <f>IFERROR(VLOOKUP($B720,اسماء,35,0),"")</f>
        <v/>
      </c>
      <c r="U722" s="122" t="str">
        <f>IFERROR(VLOOKUP($B720,اسماء,36,0),"")</f>
        <v/>
      </c>
      <c r="V722" s="605"/>
      <c r="W722" s="20" t="str">
        <f t="shared" ref="W722" si="1945">LOOKUP(R722,$AF$6:$AG$10)</f>
        <v>ضعيف</v>
      </c>
      <c r="X722" s="640"/>
      <c r="Y722" s="8"/>
      <c r="Z722" s="598"/>
      <c r="AK722" s="667"/>
      <c r="AL722" s="667"/>
      <c r="AM722" s="696"/>
      <c r="AN722" s="698"/>
      <c r="AO722" s="699"/>
      <c r="AP722" s="698"/>
    </row>
    <row r="723" spans="1:42" ht="14.85" customHeight="1" thickBot="1" x14ac:dyDescent="0.3">
      <c r="A723" s="612"/>
      <c r="B723" s="615"/>
      <c r="C723" s="618"/>
      <c r="D723" s="621"/>
      <c r="E723" s="124" t="s">
        <v>33</v>
      </c>
      <c r="F723" s="623">
        <f t="shared" ref="F723" si="1946">SUM(F720:G722)</f>
        <v>0</v>
      </c>
      <c r="G723" s="624"/>
      <c r="H723" s="625">
        <f t="shared" ref="H723" si="1947">SUM(H720:I722)</f>
        <v>0</v>
      </c>
      <c r="I723" s="626"/>
      <c r="J723" s="623">
        <f t="shared" ref="J723" si="1948">SUM(J720:K722)</f>
        <v>0</v>
      </c>
      <c r="K723" s="624"/>
      <c r="L723" s="625">
        <f t="shared" ref="L723" si="1949">SUM(L720:M722)</f>
        <v>0</v>
      </c>
      <c r="M723" s="642"/>
      <c r="N723" s="625">
        <f t="shared" ref="N723" si="1950">SUM(N720:O722)</f>
        <v>0</v>
      </c>
      <c r="O723" s="642"/>
      <c r="P723" s="623">
        <f t="shared" ref="P723" si="1951">SUM(P720:Q722)</f>
        <v>0</v>
      </c>
      <c r="Q723" s="626"/>
      <c r="R723" s="88">
        <f t="shared" ref="R723" si="1952">IF(AND(F723&gt;=$G$8,H723&gt;=$I$8,J723&gt;=$K$8,L723&gt;=$M$8,N723&gt;=$O$8,P723&gt;=$Q$8),SUM(F723:Q723),0)</f>
        <v>0</v>
      </c>
      <c r="S723" s="251"/>
      <c r="T723" s="97"/>
      <c r="U723" s="94"/>
      <c r="V723" s="606"/>
      <c r="W723" s="88" t="str">
        <f t="shared" ref="W723" si="1953">LOOKUP(R723,$AI$6:$AJ$10)</f>
        <v>ضعيف</v>
      </c>
      <c r="X723" s="641"/>
      <c r="Y723" s="68"/>
      <c r="Z723" s="599"/>
      <c r="AK723" s="667"/>
      <c r="AL723" s="667"/>
      <c r="AM723" s="696"/>
      <c r="AN723" s="698"/>
      <c r="AO723" s="699"/>
      <c r="AP723" s="698"/>
    </row>
    <row r="724" spans="1:42" ht="14.85" customHeight="1" thickBot="1" x14ac:dyDescent="0.3">
      <c r="A724" s="610">
        <v>157</v>
      </c>
      <c r="B724" s="613">
        <f>VLOOKUP(A724,مسلسل,2,0)</f>
        <v>0</v>
      </c>
      <c r="C724" s="616" t="str">
        <f>IFERROR(VLOOKUP(B724,اسماء,2,0),"")</f>
        <v/>
      </c>
      <c r="D724" s="619" t="str">
        <f>IFERROR(VLOOKUP($B724,اسماء,3,0),"")</f>
        <v/>
      </c>
      <c r="E724" s="129" t="s">
        <v>30</v>
      </c>
      <c r="F724" s="600">
        <f>IFERROR(VLOOKUP($B724,اسماء,5,0),0)</f>
        <v>0</v>
      </c>
      <c r="G724" s="601"/>
      <c r="H724" s="602">
        <f>IFERROR(VLOOKUP($B724,اسماء,6,0),0)</f>
        <v>0</v>
      </c>
      <c r="I724" s="622"/>
      <c r="J724" s="600">
        <f>IFERROR(VLOOKUP($B724,اسماء,7,0),0)</f>
        <v>0</v>
      </c>
      <c r="K724" s="601"/>
      <c r="L724" s="602">
        <f>IFERROR(VLOOKUP($B724,اسماء,8,0),0)</f>
        <v>0</v>
      </c>
      <c r="M724" s="603"/>
      <c r="N724" s="602">
        <f>IFERROR(VLOOKUP($B724,اسماء,9,0),0)</f>
        <v>0</v>
      </c>
      <c r="O724" s="603"/>
      <c r="P724" s="600">
        <f>IFERROR(VLOOKUP($B724,اسماء,10,0),0)</f>
        <v>0</v>
      </c>
      <c r="Q724" s="622"/>
      <c r="R724" s="371">
        <f t="shared" ref="R724" si="1954">SUM(F724:Q724)</f>
        <v>0</v>
      </c>
      <c r="S724" s="213" t="str">
        <f>IFERROR(VLOOKUP($B724,اسماء,12,0),"")</f>
        <v/>
      </c>
      <c r="T724" s="214" t="str">
        <f>IFERROR(VLOOKUP($B724,اسماء,13,0),"")</f>
        <v/>
      </c>
      <c r="U724" s="364" t="str">
        <f>IFERROR(VLOOKUP($B724,اسماء,14,0),"")</f>
        <v/>
      </c>
      <c r="V724" s="604" t="str">
        <f t="shared" ref="V724" si="1955">IF(Z724="غائب","راسب",IF(R727&gt;0,"ناجح","مرحل"))</f>
        <v>مرحل</v>
      </c>
      <c r="W724" s="19" t="str">
        <f t="shared" ref="W724:W725" si="1956">LOOKUP(R724,$AC$6:$AD$10)</f>
        <v>ضعيف</v>
      </c>
      <c r="X724" s="639">
        <f t="shared" ref="X724" si="1957">R727/$AC$3</f>
        <v>0</v>
      </c>
      <c r="Y724" s="68"/>
      <c r="Z724" s="597" t="str">
        <f>IFERROR(VLOOKUP($B724,اسماء,48,0),"")</f>
        <v/>
      </c>
      <c r="AK724" s="667" t="str">
        <f t="shared" ref="AK724" si="1958">IF(R727=0,"",R727/1+ROW()*0.00001)</f>
        <v/>
      </c>
      <c r="AL724" s="667">
        <f>B724</f>
        <v>0</v>
      </c>
      <c r="AM724" s="696"/>
      <c r="AN724" s="698">
        <v>157</v>
      </c>
      <c r="AO724" s="699" t="str">
        <f>IFERROR(LARGE($AK$10:$AK$1420,AN724),"")</f>
        <v/>
      </c>
      <c r="AP724" s="698" t="str">
        <f>VLOOKUP(AO724,$AK$10:$AL$1530,2,0)</f>
        <v>امجد عمر عبداللطيف سلطان</v>
      </c>
    </row>
    <row r="725" spans="1:42" ht="14.85" customHeight="1" x14ac:dyDescent="0.25">
      <c r="A725" s="611"/>
      <c r="B725" s="614"/>
      <c r="C725" s="617"/>
      <c r="D725" s="620"/>
      <c r="E725" s="130" t="s">
        <v>31</v>
      </c>
      <c r="F725" s="592">
        <f>IFERROR(VLOOKUP($B724,اسماء,15,0),0)</f>
        <v>0</v>
      </c>
      <c r="G725" s="593"/>
      <c r="H725" s="594">
        <f>IFERROR(VLOOKUP($B724,اسماء,16,0),0)</f>
        <v>0</v>
      </c>
      <c r="I725" s="595"/>
      <c r="J725" s="592">
        <f>IFERROR(VLOOKUP($B724,اسماء,17,0),0)</f>
        <v>0</v>
      </c>
      <c r="K725" s="593"/>
      <c r="L725" s="594">
        <f>IFERROR(VLOOKUP($B724,اسماء,18,0),0)</f>
        <v>0</v>
      </c>
      <c r="M725" s="596"/>
      <c r="N725" s="594">
        <f>IFERROR(VLOOKUP($B724,اسماء,19,0),0)</f>
        <v>0</v>
      </c>
      <c r="O725" s="596"/>
      <c r="P725" s="592">
        <f>IFERROR(VLOOKUP($B724,اسماء,20,0),0)</f>
        <v>0</v>
      </c>
      <c r="Q725" s="595"/>
      <c r="R725" s="372">
        <f t="shared" si="1890"/>
        <v>0</v>
      </c>
      <c r="S725" s="305" t="str">
        <f>IFERROR(VLOOKUP($B724,اسماء,23,0),"")</f>
        <v/>
      </c>
      <c r="T725" s="306" t="str">
        <f>IFERROR(VLOOKUP($B724,اسماء,24,0),"")</f>
        <v/>
      </c>
      <c r="U725" s="122" t="str">
        <f>IFERROR(VLOOKUP($B724,اسماء,25,0),"")</f>
        <v/>
      </c>
      <c r="V725" s="605"/>
      <c r="W725" s="19" t="str">
        <f t="shared" si="1956"/>
        <v>ضعيف</v>
      </c>
      <c r="X725" s="640"/>
      <c r="Y725" s="8"/>
      <c r="Z725" s="598"/>
      <c r="AK725" s="667"/>
      <c r="AL725" s="667"/>
      <c r="AM725" s="696"/>
      <c r="AN725" s="698"/>
      <c r="AO725" s="699"/>
      <c r="AP725" s="698"/>
    </row>
    <row r="726" spans="1:42" ht="14.85" customHeight="1" x14ac:dyDescent="0.25">
      <c r="A726" s="611"/>
      <c r="B726" s="614"/>
      <c r="C726" s="617"/>
      <c r="D726" s="620"/>
      <c r="E726" s="130" t="s">
        <v>32</v>
      </c>
      <c r="F726" s="592">
        <f>IFERROR(VLOOKUP($B724,اسماء,25,0),0)</f>
        <v>0</v>
      </c>
      <c r="G726" s="593"/>
      <c r="H726" s="594">
        <f>IFERROR(VLOOKUP($B724,اسماء,26,0),0)</f>
        <v>0</v>
      </c>
      <c r="I726" s="595"/>
      <c r="J726" s="592">
        <f>IFERROR(VLOOKUP($B724,اسماء,27,0),0)</f>
        <v>0</v>
      </c>
      <c r="K726" s="593"/>
      <c r="L726" s="594">
        <f>IFERROR(VLOOKUP($B724,اسماء,28,0),0)</f>
        <v>0</v>
      </c>
      <c r="M726" s="596"/>
      <c r="N726" s="594">
        <f>IFERROR(VLOOKUP($B724,اسماء,29,0),0)</f>
        <v>0</v>
      </c>
      <c r="O726" s="596"/>
      <c r="P726" s="592">
        <f>IFERROR(VLOOKUP($B724,اسماء,30,0),0)</f>
        <v>0</v>
      </c>
      <c r="Q726" s="595"/>
      <c r="R726" s="372">
        <f t="shared" si="1890"/>
        <v>0</v>
      </c>
      <c r="S726" s="305" t="str">
        <f>IFERROR(VLOOKUP($B724,اسماء,34,0),"")</f>
        <v/>
      </c>
      <c r="T726" s="306" t="str">
        <f>IFERROR(VLOOKUP($B724,اسماء,35,0),"")</f>
        <v/>
      </c>
      <c r="U726" s="122" t="str">
        <f>IFERROR(VLOOKUP($B724,اسماء,36,0),"")</f>
        <v/>
      </c>
      <c r="V726" s="605"/>
      <c r="W726" s="20" t="str">
        <f t="shared" ref="W726" si="1959">LOOKUP(R726,$AF$6:$AG$10)</f>
        <v>ضعيف</v>
      </c>
      <c r="X726" s="640"/>
      <c r="Y726" s="68"/>
      <c r="Z726" s="598"/>
      <c r="AK726" s="667"/>
      <c r="AL726" s="667"/>
      <c r="AM726" s="696"/>
      <c r="AN726" s="698"/>
      <c r="AO726" s="699"/>
      <c r="AP726" s="698"/>
    </row>
    <row r="727" spans="1:42" ht="14.85" customHeight="1" thickBot="1" x14ac:dyDescent="0.3">
      <c r="A727" s="612"/>
      <c r="B727" s="615"/>
      <c r="C727" s="618"/>
      <c r="D727" s="621"/>
      <c r="E727" s="124" t="s">
        <v>33</v>
      </c>
      <c r="F727" s="623">
        <f t="shared" ref="F727" si="1960">SUM(F724:G726)</f>
        <v>0</v>
      </c>
      <c r="G727" s="624"/>
      <c r="H727" s="625">
        <f t="shared" ref="H727" si="1961">SUM(H724:I726)</f>
        <v>0</v>
      </c>
      <c r="I727" s="626"/>
      <c r="J727" s="623">
        <f t="shared" ref="J727" si="1962">SUM(J724:K726)</f>
        <v>0</v>
      </c>
      <c r="K727" s="624"/>
      <c r="L727" s="625">
        <f t="shared" ref="L727" si="1963">SUM(L724:M726)</f>
        <v>0</v>
      </c>
      <c r="M727" s="642"/>
      <c r="N727" s="625">
        <f t="shared" ref="N727" si="1964">SUM(N724:O726)</f>
        <v>0</v>
      </c>
      <c r="O727" s="642"/>
      <c r="P727" s="623">
        <f t="shared" ref="P727" si="1965">SUM(P724:Q726)</f>
        <v>0</v>
      </c>
      <c r="Q727" s="626"/>
      <c r="R727" s="88">
        <f t="shared" ref="R727" si="1966">IF(AND(F727&gt;=$G$8,H727&gt;=$I$8,J727&gt;=$K$8,L727&gt;=$M$8,N727&gt;=$O$8,P727&gt;=$Q$8),SUM(F727:Q727),0)</f>
        <v>0</v>
      </c>
      <c r="S727" s="251"/>
      <c r="T727" s="97"/>
      <c r="U727" s="94"/>
      <c r="V727" s="606"/>
      <c r="W727" s="88" t="str">
        <f t="shared" ref="W727" si="1967">LOOKUP(R727,$AI$6:$AJ$10)</f>
        <v>ضعيف</v>
      </c>
      <c r="X727" s="641"/>
      <c r="Y727" s="68"/>
      <c r="Z727" s="599"/>
      <c r="AK727" s="667"/>
      <c r="AL727" s="667"/>
      <c r="AM727" s="696"/>
      <c r="AN727" s="698"/>
      <c r="AO727" s="699"/>
      <c r="AP727" s="698"/>
    </row>
    <row r="728" spans="1:42" ht="14.85" customHeight="1" thickBot="1" x14ac:dyDescent="0.3">
      <c r="A728" s="610">
        <v>158</v>
      </c>
      <c r="B728" s="613">
        <f>VLOOKUP(A728,مسلسل,2,0)</f>
        <v>0</v>
      </c>
      <c r="C728" s="616" t="str">
        <f>IFERROR(VLOOKUP(B728,اسماء,2,0),"")</f>
        <v/>
      </c>
      <c r="D728" s="619" t="str">
        <f>IFERROR(VLOOKUP($B728,اسماء,3,0),"")</f>
        <v/>
      </c>
      <c r="E728" s="129" t="s">
        <v>30</v>
      </c>
      <c r="F728" s="600">
        <f>IFERROR(VLOOKUP($B728,اسماء,5,0),0)</f>
        <v>0</v>
      </c>
      <c r="G728" s="601"/>
      <c r="H728" s="602">
        <f>IFERROR(VLOOKUP($B728,اسماء,6,0),0)</f>
        <v>0</v>
      </c>
      <c r="I728" s="622"/>
      <c r="J728" s="600">
        <f>IFERROR(VLOOKUP($B728,اسماء,7,0),0)</f>
        <v>0</v>
      </c>
      <c r="K728" s="601"/>
      <c r="L728" s="602">
        <f>IFERROR(VLOOKUP($B728,اسماء,8,0),0)</f>
        <v>0</v>
      </c>
      <c r="M728" s="603"/>
      <c r="N728" s="602">
        <f>IFERROR(VLOOKUP($B728,اسماء,9,0),0)</f>
        <v>0</v>
      </c>
      <c r="O728" s="603"/>
      <c r="P728" s="600">
        <f>IFERROR(VLOOKUP($B728,اسماء,10,0),0)</f>
        <v>0</v>
      </c>
      <c r="Q728" s="622"/>
      <c r="R728" s="371">
        <f t="shared" ref="R728" si="1968">SUM(F728:Q728)</f>
        <v>0</v>
      </c>
      <c r="S728" s="213" t="str">
        <f>IFERROR(VLOOKUP($B728,اسماء,12,0),"")</f>
        <v/>
      </c>
      <c r="T728" s="214" t="str">
        <f>IFERROR(VLOOKUP($B728,اسماء,13,0),"")</f>
        <v/>
      </c>
      <c r="U728" s="364" t="str">
        <f>IFERROR(VLOOKUP($B728,اسماء,14,0),"")</f>
        <v/>
      </c>
      <c r="V728" s="604" t="str">
        <f t="shared" ref="V728" si="1969">IF(Z728="غائب","راسب",IF(R731&gt;0,"ناجح","مرحل"))</f>
        <v>مرحل</v>
      </c>
      <c r="W728" s="19" t="str">
        <f t="shared" ref="W728:W729" si="1970">LOOKUP(R728,$AC$6:$AD$10)</f>
        <v>ضعيف</v>
      </c>
      <c r="X728" s="639">
        <f t="shared" ref="X728" si="1971">R731/$AC$3</f>
        <v>0</v>
      </c>
      <c r="Y728" s="8"/>
      <c r="Z728" s="597" t="str">
        <f>IFERROR(VLOOKUP($B728,اسماء,48,0),"")</f>
        <v/>
      </c>
      <c r="AK728" s="667" t="str">
        <f t="shared" ref="AK728" si="1972">IF(R731=0,"",R731/1+ROW()*0.00001)</f>
        <v/>
      </c>
      <c r="AL728" s="667">
        <f>B728</f>
        <v>0</v>
      </c>
      <c r="AM728" s="696"/>
      <c r="AN728" s="698">
        <v>158</v>
      </c>
      <c r="AO728" s="699" t="str">
        <f>IFERROR(LARGE($AK$10:$AK$1420,AN728),"")</f>
        <v/>
      </c>
      <c r="AP728" s="698" t="str">
        <f>VLOOKUP(AO728,$AK$10:$AL$1530,2,0)</f>
        <v>امجد عمر عبداللطيف سلطان</v>
      </c>
    </row>
    <row r="729" spans="1:42" ht="14.85" customHeight="1" x14ac:dyDescent="0.25">
      <c r="A729" s="611"/>
      <c r="B729" s="614"/>
      <c r="C729" s="617"/>
      <c r="D729" s="620"/>
      <c r="E729" s="130" t="s">
        <v>31</v>
      </c>
      <c r="F729" s="592">
        <f>IFERROR(VLOOKUP($B728,اسماء,15,0),0)</f>
        <v>0</v>
      </c>
      <c r="G729" s="593"/>
      <c r="H729" s="594">
        <f>IFERROR(VLOOKUP($B728,اسماء,16,0),0)</f>
        <v>0</v>
      </c>
      <c r="I729" s="595"/>
      <c r="J729" s="592">
        <f>IFERROR(VLOOKUP($B728,اسماء,17,0),0)</f>
        <v>0</v>
      </c>
      <c r="K729" s="593"/>
      <c r="L729" s="594">
        <f>IFERROR(VLOOKUP($B728,اسماء,18,0),0)</f>
        <v>0</v>
      </c>
      <c r="M729" s="596"/>
      <c r="N729" s="594">
        <f>IFERROR(VLOOKUP($B728,اسماء,19,0),0)</f>
        <v>0</v>
      </c>
      <c r="O729" s="596"/>
      <c r="P729" s="592">
        <f>IFERROR(VLOOKUP($B728,اسماء,20,0),0)</f>
        <v>0</v>
      </c>
      <c r="Q729" s="595"/>
      <c r="R729" s="372">
        <f t="shared" si="1890"/>
        <v>0</v>
      </c>
      <c r="S729" s="305" t="str">
        <f>IFERROR(VLOOKUP($B728,اسماء,23,0),"")</f>
        <v/>
      </c>
      <c r="T729" s="306" t="str">
        <f>IFERROR(VLOOKUP($B728,اسماء,24,0),"")</f>
        <v/>
      </c>
      <c r="U729" s="122" t="str">
        <f>IFERROR(VLOOKUP($B728,اسماء,25,0),"")</f>
        <v/>
      </c>
      <c r="V729" s="605"/>
      <c r="W729" s="19" t="str">
        <f t="shared" si="1970"/>
        <v>ضعيف</v>
      </c>
      <c r="X729" s="640"/>
      <c r="Y729" s="68"/>
      <c r="Z729" s="598"/>
      <c r="AK729" s="667"/>
      <c r="AL729" s="667"/>
      <c r="AM729" s="696"/>
      <c r="AN729" s="698"/>
      <c r="AO729" s="699"/>
      <c r="AP729" s="698"/>
    </row>
    <row r="730" spans="1:42" ht="14.85" customHeight="1" x14ac:dyDescent="0.25">
      <c r="A730" s="611"/>
      <c r="B730" s="614"/>
      <c r="C730" s="617"/>
      <c r="D730" s="620"/>
      <c r="E730" s="130" t="s">
        <v>32</v>
      </c>
      <c r="F730" s="592">
        <f>IFERROR(VLOOKUP($B728,اسماء,25,0),0)</f>
        <v>0</v>
      </c>
      <c r="G730" s="593"/>
      <c r="H730" s="594">
        <f>IFERROR(VLOOKUP($B728,اسماء,26,0),0)</f>
        <v>0</v>
      </c>
      <c r="I730" s="595"/>
      <c r="J730" s="592">
        <f>IFERROR(VLOOKUP($B728,اسماء,27,0),0)</f>
        <v>0</v>
      </c>
      <c r="K730" s="593"/>
      <c r="L730" s="594">
        <f>IFERROR(VLOOKUP($B728,اسماء,28,0),0)</f>
        <v>0</v>
      </c>
      <c r="M730" s="596"/>
      <c r="N730" s="594">
        <f>IFERROR(VLOOKUP($B728,اسماء,29,0),0)</f>
        <v>0</v>
      </c>
      <c r="O730" s="596"/>
      <c r="P730" s="592">
        <f>IFERROR(VLOOKUP($B728,اسماء,30,0),0)</f>
        <v>0</v>
      </c>
      <c r="Q730" s="595"/>
      <c r="R730" s="372">
        <f t="shared" si="1890"/>
        <v>0</v>
      </c>
      <c r="S730" s="305" t="str">
        <f>IFERROR(VLOOKUP($B728,اسماء,34,0),"")</f>
        <v/>
      </c>
      <c r="T730" s="306" t="str">
        <f>IFERROR(VLOOKUP($B728,اسماء,35,0),"")</f>
        <v/>
      </c>
      <c r="U730" s="122" t="str">
        <f>IFERROR(VLOOKUP($B728,اسماء,36,0),"")</f>
        <v/>
      </c>
      <c r="V730" s="605"/>
      <c r="W730" s="20" t="str">
        <f t="shared" ref="W730" si="1973">LOOKUP(R730,$AF$6:$AG$10)</f>
        <v>ضعيف</v>
      </c>
      <c r="X730" s="640"/>
      <c r="Y730" s="68"/>
      <c r="Z730" s="598"/>
      <c r="AK730" s="667"/>
      <c r="AL730" s="667"/>
      <c r="AM730" s="696"/>
      <c r="AN730" s="698"/>
      <c r="AO730" s="699"/>
      <c r="AP730" s="698"/>
    </row>
    <row r="731" spans="1:42" ht="14.85" customHeight="1" thickBot="1" x14ac:dyDescent="0.3">
      <c r="A731" s="612"/>
      <c r="B731" s="615"/>
      <c r="C731" s="618"/>
      <c r="D731" s="621"/>
      <c r="E731" s="124" t="s">
        <v>33</v>
      </c>
      <c r="F731" s="623">
        <f t="shared" ref="F731" si="1974">SUM(F728:G730)</f>
        <v>0</v>
      </c>
      <c r="G731" s="624"/>
      <c r="H731" s="625">
        <f t="shared" ref="H731" si="1975">SUM(H728:I730)</f>
        <v>0</v>
      </c>
      <c r="I731" s="626"/>
      <c r="J731" s="623">
        <f t="shared" ref="J731" si="1976">SUM(J728:K730)</f>
        <v>0</v>
      </c>
      <c r="K731" s="624"/>
      <c r="L731" s="625">
        <f t="shared" ref="L731" si="1977">SUM(L728:M730)</f>
        <v>0</v>
      </c>
      <c r="M731" s="642"/>
      <c r="N731" s="625">
        <f t="shared" ref="N731" si="1978">SUM(N728:O730)</f>
        <v>0</v>
      </c>
      <c r="O731" s="642"/>
      <c r="P731" s="623">
        <f t="shared" ref="P731" si="1979">SUM(P728:Q730)</f>
        <v>0</v>
      </c>
      <c r="Q731" s="626"/>
      <c r="R731" s="88">
        <f t="shared" ref="R731" si="1980">IF(AND(F731&gt;=$G$8,H731&gt;=$I$8,J731&gt;=$K$8,L731&gt;=$M$8,N731&gt;=$O$8,P731&gt;=$Q$8),SUM(F731:Q731),0)</f>
        <v>0</v>
      </c>
      <c r="S731" s="251"/>
      <c r="T731" s="97"/>
      <c r="U731" s="94"/>
      <c r="V731" s="606"/>
      <c r="W731" s="88" t="str">
        <f t="shared" ref="W731" si="1981">LOOKUP(R731,$AI$6:$AJ$10)</f>
        <v>ضعيف</v>
      </c>
      <c r="X731" s="641"/>
      <c r="Y731" s="8"/>
      <c r="Z731" s="599"/>
      <c r="AK731" s="667"/>
      <c r="AL731" s="667"/>
      <c r="AM731" s="696"/>
      <c r="AN731" s="698"/>
      <c r="AO731" s="699"/>
      <c r="AP731" s="698"/>
    </row>
    <row r="732" spans="1:42" ht="14.85" customHeight="1" thickBot="1" x14ac:dyDescent="0.3">
      <c r="A732" s="610">
        <v>159</v>
      </c>
      <c r="B732" s="613">
        <f>VLOOKUP(A732,مسلسل,2,0)</f>
        <v>0</v>
      </c>
      <c r="C732" s="616" t="str">
        <f>IFERROR(VLOOKUP(B732,اسماء,2,0),"")</f>
        <v/>
      </c>
      <c r="D732" s="619" t="str">
        <f>IFERROR(VLOOKUP($B732,اسماء,3,0),"")</f>
        <v/>
      </c>
      <c r="E732" s="129" t="s">
        <v>30</v>
      </c>
      <c r="F732" s="600">
        <f>IFERROR(VLOOKUP($B732,اسماء,5,0),0)</f>
        <v>0</v>
      </c>
      <c r="G732" s="601"/>
      <c r="H732" s="602">
        <f>IFERROR(VLOOKUP($B732,اسماء,6,0),0)</f>
        <v>0</v>
      </c>
      <c r="I732" s="622"/>
      <c r="J732" s="600">
        <f>IFERROR(VLOOKUP($B732,اسماء,7,0),0)</f>
        <v>0</v>
      </c>
      <c r="K732" s="601"/>
      <c r="L732" s="602">
        <f>IFERROR(VLOOKUP($B732,اسماء,8,0),0)</f>
        <v>0</v>
      </c>
      <c r="M732" s="603"/>
      <c r="N732" s="602">
        <f>IFERROR(VLOOKUP($B732,اسماء,9,0),0)</f>
        <v>0</v>
      </c>
      <c r="O732" s="603"/>
      <c r="P732" s="600">
        <f>IFERROR(VLOOKUP($B732,اسماء,10,0),0)</f>
        <v>0</v>
      </c>
      <c r="Q732" s="622"/>
      <c r="R732" s="371">
        <f t="shared" ref="R732" si="1982">SUM(F732:Q732)</f>
        <v>0</v>
      </c>
      <c r="S732" s="213" t="str">
        <f>IFERROR(VLOOKUP($B732,اسماء,12,0),"")</f>
        <v/>
      </c>
      <c r="T732" s="214" t="str">
        <f>IFERROR(VLOOKUP($B732,اسماء,13,0),"")</f>
        <v/>
      </c>
      <c r="U732" s="364" t="str">
        <f>IFERROR(VLOOKUP($B732,اسماء,14,0),"")</f>
        <v/>
      </c>
      <c r="V732" s="604" t="str">
        <f t="shared" ref="V732" si="1983">IF(Z732="غائب","راسب",IF(R735&gt;0,"ناجح","مرحل"))</f>
        <v>مرحل</v>
      </c>
      <c r="W732" s="19" t="str">
        <f t="shared" ref="W732:W733" si="1984">LOOKUP(R732,$AC$6:$AD$10)</f>
        <v>ضعيف</v>
      </c>
      <c r="X732" s="639">
        <f t="shared" ref="X732" si="1985">R735/$AC$3</f>
        <v>0</v>
      </c>
      <c r="Y732" s="68"/>
      <c r="Z732" s="597" t="str">
        <f>IFERROR(VLOOKUP($B732,اسماء,48,0),"")</f>
        <v/>
      </c>
      <c r="AK732" s="667" t="str">
        <f t="shared" ref="AK732" si="1986">IF(R735=0,"",R735/1+ROW()*0.00001)</f>
        <v/>
      </c>
      <c r="AL732" s="667">
        <f>B732</f>
        <v>0</v>
      </c>
      <c r="AM732" s="696"/>
      <c r="AN732" s="698">
        <v>159</v>
      </c>
      <c r="AO732" s="699" t="str">
        <f>IFERROR(LARGE($AK$10:$AK$1420,AN732),"")</f>
        <v/>
      </c>
      <c r="AP732" s="698" t="str">
        <f>VLOOKUP(AO732,$AK$10:$AL$1530,2,0)</f>
        <v>امجد عمر عبداللطيف سلطان</v>
      </c>
    </row>
    <row r="733" spans="1:42" ht="14.85" customHeight="1" x14ac:dyDescent="0.25">
      <c r="A733" s="611"/>
      <c r="B733" s="614"/>
      <c r="C733" s="617"/>
      <c r="D733" s="620"/>
      <c r="E733" s="130" t="s">
        <v>31</v>
      </c>
      <c r="F733" s="592">
        <f>IFERROR(VLOOKUP($B732,اسماء,15,0),0)</f>
        <v>0</v>
      </c>
      <c r="G733" s="593"/>
      <c r="H733" s="594">
        <f>IFERROR(VLOOKUP($B732,اسماء,16,0),0)</f>
        <v>0</v>
      </c>
      <c r="I733" s="595"/>
      <c r="J733" s="592">
        <f>IFERROR(VLOOKUP($B732,اسماء,17,0),0)</f>
        <v>0</v>
      </c>
      <c r="K733" s="593"/>
      <c r="L733" s="594">
        <f>IFERROR(VLOOKUP($B732,اسماء,18,0),0)</f>
        <v>0</v>
      </c>
      <c r="M733" s="596"/>
      <c r="N733" s="594">
        <f>IFERROR(VLOOKUP($B732,اسماء,19,0),0)</f>
        <v>0</v>
      </c>
      <c r="O733" s="596"/>
      <c r="P733" s="592">
        <f>IFERROR(VLOOKUP($B732,اسماء,20,0),0)</f>
        <v>0</v>
      </c>
      <c r="Q733" s="595"/>
      <c r="R733" s="372">
        <f t="shared" si="1890"/>
        <v>0</v>
      </c>
      <c r="S733" s="305" t="str">
        <f>IFERROR(VLOOKUP($B732,اسماء,23,0),"")</f>
        <v/>
      </c>
      <c r="T733" s="306" t="str">
        <f>IFERROR(VLOOKUP($B732,اسماء,24,0),"")</f>
        <v/>
      </c>
      <c r="U733" s="122" t="str">
        <f>IFERROR(VLOOKUP($B732,اسماء,25,0),"")</f>
        <v/>
      </c>
      <c r="V733" s="605"/>
      <c r="W733" s="19" t="str">
        <f t="shared" si="1984"/>
        <v>ضعيف</v>
      </c>
      <c r="X733" s="640"/>
      <c r="Y733" s="68"/>
      <c r="Z733" s="598"/>
      <c r="AK733" s="667"/>
      <c r="AL733" s="667"/>
      <c r="AM733" s="696"/>
      <c r="AN733" s="698"/>
      <c r="AO733" s="699"/>
      <c r="AP733" s="698"/>
    </row>
    <row r="734" spans="1:42" ht="14.85" customHeight="1" x14ac:dyDescent="0.25">
      <c r="A734" s="611"/>
      <c r="B734" s="614"/>
      <c r="C734" s="617"/>
      <c r="D734" s="620"/>
      <c r="E734" s="130" t="s">
        <v>32</v>
      </c>
      <c r="F734" s="592">
        <f>IFERROR(VLOOKUP($B732,اسماء,25,0),0)</f>
        <v>0</v>
      </c>
      <c r="G734" s="593"/>
      <c r="H734" s="594">
        <f>IFERROR(VLOOKUP($B732,اسماء,26,0),0)</f>
        <v>0</v>
      </c>
      <c r="I734" s="595"/>
      <c r="J734" s="592">
        <f>IFERROR(VLOOKUP($B732,اسماء,27,0),0)</f>
        <v>0</v>
      </c>
      <c r="K734" s="593"/>
      <c r="L734" s="594">
        <f>IFERROR(VLOOKUP($B732,اسماء,28,0),0)</f>
        <v>0</v>
      </c>
      <c r="M734" s="596"/>
      <c r="N734" s="594">
        <f>IFERROR(VLOOKUP($B732,اسماء,29,0),0)</f>
        <v>0</v>
      </c>
      <c r="O734" s="596"/>
      <c r="P734" s="592">
        <f>IFERROR(VLOOKUP($B732,اسماء,30,0),0)</f>
        <v>0</v>
      </c>
      <c r="Q734" s="595"/>
      <c r="R734" s="372">
        <f t="shared" si="1890"/>
        <v>0</v>
      </c>
      <c r="S734" s="305" t="str">
        <f>IFERROR(VLOOKUP($B732,اسماء,34,0),"")</f>
        <v/>
      </c>
      <c r="T734" s="306" t="str">
        <f>IFERROR(VLOOKUP($B732,اسماء,35,0),"")</f>
        <v/>
      </c>
      <c r="U734" s="122" t="str">
        <f>IFERROR(VLOOKUP($B732,اسماء,36,0),"")</f>
        <v/>
      </c>
      <c r="V734" s="605"/>
      <c r="W734" s="20" t="str">
        <f t="shared" ref="W734" si="1987">LOOKUP(R734,$AF$6:$AG$10)</f>
        <v>ضعيف</v>
      </c>
      <c r="X734" s="640"/>
      <c r="Y734" s="8"/>
      <c r="Z734" s="598"/>
      <c r="AK734" s="667"/>
      <c r="AL734" s="667"/>
      <c r="AM734" s="696"/>
      <c r="AN734" s="698"/>
      <c r="AO734" s="699"/>
      <c r="AP734" s="698"/>
    </row>
    <row r="735" spans="1:42" ht="14.85" customHeight="1" thickBot="1" x14ac:dyDescent="0.3">
      <c r="A735" s="612"/>
      <c r="B735" s="615"/>
      <c r="C735" s="618"/>
      <c r="D735" s="621"/>
      <c r="E735" s="124" t="s">
        <v>33</v>
      </c>
      <c r="F735" s="623">
        <f t="shared" ref="F735" si="1988">SUM(F732:G734)</f>
        <v>0</v>
      </c>
      <c r="G735" s="624"/>
      <c r="H735" s="625">
        <f t="shared" ref="H735" si="1989">SUM(H732:I734)</f>
        <v>0</v>
      </c>
      <c r="I735" s="626"/>
      <c r="J735" s="623">
        <f t="shared" ref="J735" si="1990">SUM(J732:K734)</f>
        <v>0</v>
      </c>
      <c r="K735" s="624"/>
      <c r="L735" s="625">
        <f t="shared" ref="L735" si="1991">SUM(L732:M734)</f>
        <v>0</v>
      </c>
      <c r="M735" s="642"/>
      <c r="N735" s="625">
        <f t="shared" ref="N735" si="1992">SUM(N732:O734)</f>
        <v>0</v>
      </c>
      <c r="O735" s="642"/>
      <c r="P735" s="623">
        <f t="shared" ref="P735" si="1993">SUM(P732:Q734)</f>
        <v>0</v>
      </c>
      <c r="Q735" s="626"/>
      <c r="R735" s="88">
        <f t="shared" ref="R735" si="1994">IF(AND(F735&gt;=$G$8,H735&gt;=$I$8,J735&gt;=$K$8,L735&gt;=$M$8,N735&gt;=$O$8,P735&gt;=$Q$8),SUM(F735:Q735),0)</f>
        <v>0</v>
      </c>
      <c r="S735" s="251"/>
      <c r="T735" s="97"/>
      <c r="U735" s="94"/>
      <c r="V735" s="606"/>
      <c r="W735" s="88" t="str">
        <f t="shared" ref="W735" si="1995">LOOKUP(R735,$AI$6:$AJ$10)</f>
        <v>ضعيف</v>
      </c>
      <c r="X735" s="641"/>
      <c r="Y735" s="68"/>
      <c r="Z735" s="599"/>
      <c r="AK735" s="667"/>
      <c r="AL735" s="667"/>
      <c r="AM735" s="696"/>
      <c r="AN735" s="698"/>
      <c r="AO735" s="699"/>
      <c r="AP735" s="698"/>
    </row>
    <row r="736" spans="1:42" ht="14.85" customHeight="1" thickBot="1" x14ac:dyDescent="0.3">
      <c r="A736" s="610">
        <v>160</v>
      </c>
      <c r="B736" s="613">
        <f>VLOOKUP(A736,مسلسل,2,0)</f>
        <v>0</v>
      </c>
      <c r="C736" s="616" t="str">
        <f>IFERROR(VLOOKUP(B736,اسماء,2,0),"")</f>
        <v/>
      </c>
      <c r="D736" s="619" t="str">
        <f>IFERROR(VLOOKUP($B736,اسماء,3,0),"")</f>
        <v/>
      </c>
      <c r="E736" s="129" t="s">
        <v>30</v>
      </c>
      <c r="F736" s="600">
        <f>IFERROR(VLOOKUP($B736,اسماء,5,0),0)</f>
        <v>0</v>
      </c>
      <c r="G736" s="601"/>
      <c r="H736" s="602">
        <f>IFERROR(VLOOKUP($B736,اسماء,6,0),0)</f>
        <v>0</v>
      </c>
      <c r="I736" s="622"/>
      <c r="J736" s="600">
        <f>IFERROR(VLOOKUP($B736,اسماء,7,0),0)</f>
        <v>0</v>
      </c>
      <c r="K736" s="601"/>
      <c r="L736" s="602">
        <f>IFERROR(VLOOKUP($B736,اسماء,8,0),0)</f>
        <v>0</v>
      </c>
      <c r="M736" s="603"/>
      <c r="N736" s="602">
        <f>IFERROR(VLOOKUP($B736,اسماء,9,0),0)</f>
        <v>0</v>
      </c>
      <c r="O736" s="603"/>
      <c r="P736" s="600">
        <f>IFERROR(VLOOKUP($B736,اسماء,10,0),0)</f>
        <v>0</v>
      </c>
      <c r="Q736" s="622"/>
      <c r="R736" s="371">
        <f t="shared" ref="R736" si="1996">SUM(F736:Q736)</f>
        <v>0</v>
      </c>
      <c r="S736" s="213" t="str">
        <f>IFERROR(VLOOKUP($B736,اسماء,12,0),"")</f>
        <v/>
      </c>
      <c r="T736" s="214" t="str">
        <f>IFERROR(VLOOKUP($B736,اسماء,13,0),"")</f>
        <v/>
      </c>
      <c r="U736" s="364" t="str">
        <f>IFERROR(VLOOKUP($B736,اسماء,14,0),"")</f>
        <v/>
      </c>
      <c r="V736" s="604" t="str">
        <f t="shared" ref="V736" si="1997">IF(Z736="غائب","راسب",IF(R739&gt;0,"ناجح","مرحل"))</f>
        <v>مرحل</v>
      </c>
      <c r="W736" s="19" t="str">
        <f t="shared" ref="W736:W737" si="1998">LOOKUP(R736,$AC$6:$AD$10)</f>
        <v>ضعيف</v>
      </c>
      <c r="X736" s="639">
        <f t="shared" ref="X736" si="1999">R739/$AC$3</f>
        <v>0</v>
      </c>
      <c r="Y736" s="68"/>
      <c r="Z736" s="597" t="str">
        <f>IFERROR(VLOOKUP($B736,اسماء,48,0),"")</f>
        <v/>
      </c>
      <c r="AK736" s="667" t="str">
        <f t="shared" ref="AK736" si="2000">IF(R739=0,"",R739/1+ROW()*0.00001)</f>
        <v/>
      </c>
      <c r="AL736" s="667">
        <f>B736</f>
        <v>0</v>
      </c>
      <c r="AM736" s="696"/>
      <c r="AN736" s="698">
        <v>160</v>
      </c>
      <c r="AO736" s="699" t="str">
        <f>IFERROR(LARGE($AK$10:$AK$1420,AN736),"")</f>
        <v/>
      </c>
      <c r="AP736" s="698" t="str">
        <f>VLOOKUP(AO736,$AK$10:$AL$1530,2,0)</f>
        <v>امجد عمر عبداللطيف سلطان</v>
      </c>
    </row>
    <row r="737" spans="1:42" ht="14.85" customHeight="1" x14ac:dyDescent="0.25">
      <c r="A737" s="611"/>
      <c r="B737" s="614"/>
      <c r="C737" s="617"/>
      <c r="D737" s="620"/>
      <c r="E737" s="130" t="s">
        <v>31</v>
      </c>
      <c r="F737" s="592">
        <f>IFERROR(VLOOKUP($B736,اسماء,15,0),0)</f>
        <v>0</v>
      </c>
      <c r="G737" s="593"/>
      <c r="H737" s="594">
        <f>IFERROR(VLOOKUP($B736,اسماء,16,0),0)</f>
        <v>0</v>
      </c>
      <c r="I737" s="595"/>
      <c r="J737" s="592">
        <f>IFERROR(VLOOKUP($B736,اسماء,17,0),0)</f>
        <v>0</v>
      </c>
      <c r="K737" s="593"/>
      <c r="L737" s="594">
        <f>IFERROR(VLOOKUP($B736,اسماء,18,0),0)</f>
        <v>0</v>
      </c>
      <c r="M737" s="596"/>
      <c r="N737" s="594">
        <f>IFERROR(VLOOKUP($B736,اسماء,19,0),0)</f>
        <v>0</v>
      </c>
      <c r="O737" s="596"/>
      <c r="P737" s="592">
        <f>IFERROR(VLOOKUP($B736,اسماء,20,0),0)</f>
        <v>0</v>
      </c>
      <c r="Q737" s="595"/>
      <c r="R737" s="372">
        <f t="shared" si="1890"/>
        <v>0</v>
      </c>
      <c r="S737" s="305" t="str">
        <f>IFERROR(VLOOKUP($B736,اسماء,23,0),"")</f>
        <v/>
      </c>
      <c r="T737" s="306" t="str">
        <f>IFERROR(VLOOKUP($B736,اسماء,24,0),"")</f>
        <v/>
      </c>
      <c r="U737" s="122" t="str">
        <f>IFERROR(VLOOKUP($B736,اسماء,25,0),"")</f>
        <v/>
      </c>
      <c r="V737" s="605"/>
      <c r="W737" s="19" t="str">
        <f t="shared" si="1998"/>
        <v>ضعيف</v>
      </c>
      <c r="X737" s="640"/>
      <c r="Y737" s="8"/>
      <c r="Z737" s="598"/>
      <c r="AK737" s="667"/>
      <c r="AL737" s="667"/>
      <c r="AM737" s="696"/>
      <c r="AN737" s="698"/>
      <c r="AO737" s="699"/>
      <c r="AP737" s="698"/>
    </row>
    <row r="738" spans="1:42" ht="14.85" customHeight="1" x14ac:dyDescent="0.25">
      <c r="A738" s="611"/>
      <c r="B738" s="614"/>
      <c r="C738" s="617"/>
      <c r="D738" s="620"/>
      <c r="E738" s="130" t="s">
        <v>32</v>
      </c>
      <c r="F738" s="592">
        <f>IFERROR(VLOOKUP($B736,اسماء,25,0),0)</f>
        <v>0</v>
      </c>
      <c r="G738" s="593"/>
      <c r="H738" s="594">
        <f>IFERROR(VLOOKUP($B736,اسماء,26,0),0)</f>
        <v>0</v>
      </c>
      <c r="I738" s="595"/>
      <c r="J738" s="592">
        <f>IFERROR(VLOOKUP($B736,اسماء,27,0),0)</f>
        <v>0</v>
      </c>
      <c r="K738" s="593"/>
      <c r="L738" s="594">
        <f>IFERROR(VLOOKUP($B736,اسماء,28,0),0)</f>
        <v>0</v>
      </c>
      <c r="M738" s="596"/>
      <c r="N738" s="594">
        <f>IFERROR(VLOOKUP($B736,اسماء,29,0),0)</f>
        <v>0</v>
      </c>
      <c r="O738" s="596"/>
      <c r="P738" s="592">
        <f>IFERROR(VLOOKUP($B736,اسماء,30,0),0)</f>
        <v>0</v>
      </c>
      <c r="Q738" s="595"/>
      <c r="R738" s="372">
        <f t="shared" si="1890"/>
        <v>0</v>
      </c>
      <c r="S738" s="305" t="str">
        <f>IFERROR(VLOOKUP($B736,اسماء,34,0),"")</f>
        <v/>
      </c>
      <c r="T738" s="306" t="str">
        <f>IFERROR(VLOOKUP($B736,اسماء,35,0),"")</f>
        <v/>
      </c>
      <c r="U738" s="122" t="str">
        <f>IFERROR(VLOOKUP($B736,اسماء,36,0),"")</f>
        <v/>
      </c>
      <c r="V738" s="605"/>
      <c r="W738" s="20" t="str">
        <f t="shared" ref="W738" si="2001">LOOKUP(R738,$AF$6:$AG$10)</f>
        <v>ضعيف</v>
      </c>
      <c r="X738" s="640"/>
      <c r="Y738" s="68"/>
      <c r="Z738" s="598"/>
      <c r="AK738" s="667"/>
      <c r="AL738" s="667"/>
      <c r="AM738" s="696"/>
      <c r="AN738" s="698"/>
      <c r="AO738" s="699"/>
      <c r="AP738" s="698"/>
    </row>
    <row r="739" spans="1:42" ht="14.85" customHeight="1" thickBot="1" x14ac:dyDescent="0.3">
      <c r="A739" s="612"/>
      <c r="B739" s="615"/>
      <c r="C739" s="618"/>
      <c r="D739" s="621"/>
      <c r="E739" s="124" t="s">
        <v>33</v>
      </c>
      <c r="F739" s="623">
        <f t="shared" ref="F739" si="2002">SUM(F736:G738)</f>
        <v>0</v>
      </c>
      <c r="G739" s="624"/>
      <c r="H739" s="625">
        <f t="shared" ref="H739" si="2003">SUM(H736:I738)</f>
        <v>0</v>
      </c>
      <c r="I739" s="626"/>
      <c r="J739" s="623">
        <f t="shared" ref="J739" si="2004">SUM(J736:K738)</f>
        <v>0</v>
      </c>
      <c r="K739" s="624"/>
      <c r="L739" s="625">
        <f t="shared" ref="L739" si="2005">SUM(L736:M738)</f>
        <v>0</v>
      </c>
      <c r="M739" s="642"/>
      <c r="N739" s="625">
        <f t="shared" ref="N739" si="2006">SUM(N736:O738)</f>
        <v>0</v>
      </c>
      <c r="O739" s="642"/>
      <c r="P739" s="623">
        <f t="shared" ref="P739" si="2007">SUM(P736:Q738)</f>
        <v>0</v>
      </c>
      <c r="Q739" s="626"/>
      <c r="R739" s="88">
        <f t="shared" ref="R739" si="2008">IF(AND(F739&gt;=$G$8,H739&gt;=$I$8,J739&gt;=$K$8,L739&gt;=$M$8,N739&gt;=$O$8,P739&gt;=$Q$8),SUM(F739:Q739),0)</f>
        <v>0</v>
      </c>
      <c r="S739" s="251"/>
      <c r="T739" s="97"/>
      <c r="U739" s="94"/>
      <c r="V739" s="606"/>
      <c r="W739" s="88" t="str">
        <f t="shared" ref="W739" si="2009">LOOKUP(R739,$AI$6:$AJ$10)</f>
        <v>ضعيف</v>
      </c>
      <c r="X739" s="641"/>
      <c r="Y739" s="68"/>
      <c r="Z739" s="599"/>
      <c r="AK739" s="667"/>
      <c r="AL739" s="667"/>
      <c r="AM739" s="696"/>
      <c r="AN739" s="698"/>
      <c r="AO739" s="699"/>
      <c r="AP739" s="698"/>
    </row>
    <row r="740" spans="1:42" ht="14.85" customHeight="1" thickBot="1" x14ac:dyDescent="0.3">
      <c r="F740" s="71"/>
      <c r="G740" s="72"/>
      <c r="H740" s="71"/>
      <c r="I740" s="72"/>
      <c r="J740" s="71"/>
      <c r="K740" s="72"/>
      <c r="L740" s="71"/>
      <c r="M740" s="72"/>
      <c r="N740" s="71"/>
      <c r="O740" s="72"/>
      <c r="P740" s="71"/>
      <c r="Q740" s="72"/>
      <c r="R740" s="70"/>
      <c r="S740" s="73"/>
      <c r="T740" s="70"/>
      <c r="U740" s="70"/>
      <c r="V740" s="70"/>
      <c r="W740" s="70"/>
      <c r="X740" s="254"/>
      <c r="Y740" s="68"/>
      <c r="AH740" s="74"/>
    </row>
    <row r="741" spans="1:42" customFormat="1" ht="14.85" customHeight="1" x14ac:dyDescent="0.3">
      <c r="A741" s="668" t="s">
        <v>9</v>
      </c>
      <c r="B741" s="669"/>
      <c r="C741" s="670"/>
      <c r="D741" s="277" t="s">
        <v>11</v>
      </c>
      <c r="E741" s="674" t="s">
        <v>96</v>
      </c>
      <c r="F741" s="663"/>
      <c r="G741" s="663"/>
      <c r="H741" s="663"/>
      <c r="I741" s="663"/>
      <c r="J741" s="7"/>
      <c r="K741" s="7"/>
      <c r="L741" s="7"/>
      <c r="M741" s="7"/>
      <c r="N741" s="7"/>
      <c r="O741" s="7"/>
      <c r="P741" s="7"/>
      <c r="Q741" s="663" t="s">
        <v>156</v>
      </c>
      <c r="R741" s="663"/>
      <c r="S741" s="663"/>
      <c r="T741" s="663"/>
      <c r="U741" s="663"/>
      <c r="V741" s="663"/>
      <c r="W741" s="1"/>
      <c r="X741" s="255"/>
      <c r="Z741" s="75"/>
      <c r="AA741" s="76"/>
      <c r="AB741" s="76"/>
      <c r="AC741" s="76"/>
      <c r="AD741" s="76"/>
    </row>
    <row r="742" spans="1:42" customFormat="1" ht="14.85" customHeight="1" x14ac:dyDescent="0.25">
      <c r="A742" s="77" t="s">
        <v>8</v>
      </c>
      <c r="B742" s="671">
        <f>ادخال1!$BJ$3</f>
        <v>0</v>
      </c>
      <c r="C742" s="672"/>
      <c r="D742" s="278"/>
      <c r="E742" s="7" t="s">
        <v>9</v>
      </c>
      <c r="F742" s="673" t="str">
        <f>ادخال1!$BJ$5</f>
        <v>د. عبدالرحمن خليفة العريبي</v>
      </c>
      <c r="G742" s="673"/>
      <c r="H742" s="673"/>
      <c r="I742" s="673"/>
      <c r="J742" s="673"/>
      <c r="K742" s="673"/>
      <c r="L742" s="673"/>
      <c r="M742" s="673"/>
      <c r="N742" s="673"/>
      <c r="O742" s="673"/>
      <c r="P742" s="7"/>
      <c r="Q742" s="673" t="str">
        <f>ادخال1!$BJ$6</f>
        <v>تاجوراء</v>
      </c>
      <c r="R742" s="673"/>
      <c r="S742" s="673"/>
      <c r="T742" s="673"/>
      <c r="U742" s="673"/>
      <c r="V742" s="673"/>
      <c r="W742" s="673"/>
      <c r="X742" s="63"/>
      <c r="Y742" s="63"/>
      <c r="Z742" s="75"/>
      <c r="AA742" s="75"/>
      <c r="AB742" s="75"/>
      <c r="AC742" s="75"/>
    </row>
    <row r="743" spans="1:42" customFormat="1" ht="14.85" customHeight="1" thickBot="1" x14ac:dyDescent="0.3">
      <c r="A743" s="78" t="s">
        <v>97</v>
      </c>
      <c r="B743" s="665">
        <f>ادخال1!$BJ$4</f>
        <v>0</v>
      </c>
      <c r="C743" s="666"/>
      <c r="D743" s="279"/>
      <c r="E743" s="7" t="s">
        <v>11</v>
      </c>
      <c r="F743" s="667"/>
      <c r="G743" s="667"/>
      <c r="H743" s="667"/>
      <c r="I743" s="667"/>
      <c r="J743" s="667"/>
      <c r="K743" s="667"/>
      <c r="L743" s="667"/>
      <c r="M743" s="667"/>
      <c r="N743" s="667"/>
      <c r="O743" s="667"/>
      <c r="P743" s="7"/>
      <c r="Q743" s="7" t="s">
        <v>11</v>
      </c>
      <c r="R743" s="1"/>
      <c r="S743" s="1"/>
      <c r="T743" s="1"/>
      <c r="U743" s="1"/>
      <c r="V743" s="1"/>
      <c r="W743" s="1"/>
      <c r="X743" s="255"/>
      <c r="Z743" s="75"/>
      <c r="AA743" s="75"/>
      <c r="AB743" s="75"/>
      <c r="AC743" s="75"/>
    </row>
    <row r="744" spans="1:42" customFormat="1" ht="14.85" customHeight="1" x14ac:dyDescent="0.25">
      <c r="A744" s="663" t="s">
        <v>98</v>
      </c>
      <c r="B744" s="663"/>
      <c r="C744" s="663"/>
      <c r="D744" s="663"/>
      <c r="E744" s="663" t="s">
        <v>99</v>
      </c>
      <c r="F744" s="663"/>
      <c r="G744" s="663"/>
      <c r="H744" s="663"/>
      <c r="I744" s="663"/>
      <c r="J744" s="663"/>
      <c r="K744" s="663"/>
      <c r="L744" s="663"/>
      <c r="M744" s="663"/>
      <c r="N744" s="663"/>
      <c r="O744" s="663"/>
      <c r="P744" s="663"/>
      <c r="Q744" s="663"/>
      <c r="R744" s="7"/>
      <c r="S744" s="664">
        <f ca="1">TODAY()</f>
        <v>46009</v>
      </c>
      <c r="T744" s="664"/>
      <c r="U744" s="664"/>
      <c r="V744" s="664"/>
      <c r="W744" s="664"/>
      <c r="X744" s="255"/>
    </row>
    <row r="745" spans="1:42" customFormat="1" ht="14.85" customHeight="1" thickBot="1" x14ac:dyDescent="0.3">
      <c r="A745" s="7"/>
      <c r="B745" s="663" t="s">
        <v>100</v>
      </c>
      <c r="C745" s="663"/>
      <c r="D745" s="663"/>
      <c r="E745" s="663" t="s">
        <v>101</v>
      </c>
      <c r="F745" s="663"/>
      <c r="G745" s="663"/>
      <c r="H745" s="663"/>
      <c r="I745" s="663"/>
      <c r="J745" s="663"/>
      <c r="K745" s="663"/>
      <c r="L745" s="663"/>
      <c r="M745" s="663"/>
      <c r="N745" s="663"/>
      <c r="O745" s="663"/>
      <c r="P745" s="663"/>
      <c r="Q745" s="663"/>
      <c r="R745" s="1"/>
      <c r="S745" s="1"/>
      <c r="T745" s="1"/>
      <c r="U745" s="1"/>
      <c r="V745" s="1"/>
      <c r="W745" s="1"/>
      <c r="X745" s="255"/>
    </row>
    <row r="746" spans="1:42" ht="14.85" customHeight="1" thickBot="1" x14ac:dyDescent="0.3">
      <c r="A746" s="610">
        <v>161</v>
      </c>
      <c r="B746" s="613">
        <f>VLOOKUP(A746,مسلسل,2,0)</f>
        <v>0</v>
      </c>
      <c r="C746" s="616" t="str">
        <f>IFERROR(VLOOKUP(B746,اسماء,2,0),"")</f>
        <v/>
      </c>
      <c r="D746" s="619" t="str">
        <f>IFERROR(VLOOKUP($B746,اسماء,3,0),"")</f>
        <v/>
      </c>
      <c r="E746" s="129" t="s">
        <v>30</v>
      </c>
      <c r="F746" s="600">
        <f>IFERROR(VLOOKUP($B746,اسماء,5,0),0)</f>
        <v>0</v>
      </c>
      <c r="G746" s="601"/>
      <c r="H746" s="602">
        <f>IFERROR(VLOOKUP($B746,اسماء,6,0),0)</f>
        <v>0</v>
      </c>
      <c r="I746" s="622"/>
      <c r="J746" s="600">
        <f>IFERROR(VLOOKUP($B746,اسماء,7,0),0)</f>
        <v>0</v>
      </c>
      <c r="K746" s="601"/>
      <c r="L746" s="602">
        <f>IFERROR(VLOOKUP($B746,اسماء,8,0),0)</f>
        <v>0</v>
      </c>
      <c r="M746" s="603"/>
      <c r="N746" s="602">
        <f>IFERROR(VLOOKUP($B746,اسماء,9,0),0)</f>
        <v>0</v>
      </c>
      <c r="O746" s="603"/>
      <c r="P746" s="600">
        <f>IFERROR(VLOOKUP($B746,اسماء,10,0),0)</f>
        <v>0</v>
      </c>
      <c r="Q746" s="622"/>
      <c r="R746" s="371">
        <f>SUM(F746:Q746)</f>
        <v>0</v>
      </c>
      <c r="S746" s="325" t="str">
        <f>IFERROR(VLOOKUP($B746,اسماء,12,0),"")</f>
        <v/>
      </c>
      <c r="T746" s="326" t="str">
        <f>IFERROR(VLOOKUP($B746,اسماء,13,0),"")</f>
        <v/>
      </c>
      <c r="U746" s="92" t="str">
        <f>IFERROR(VLOOKUP($B746,اسماء,14,0),"")</f>
        <v/>
      </c>
      <c r="V746" s="604" t="str">
        <f t="shared" ref="V746" si="2010">IF(Z746="غائب","راسب",IF(R749&gt;0,"ناجح","مرحل"))</f>
        <v>مرحل</v>
      </c>
      <c r="W746" s="19" t="str">
        <f t="shared" ref="W746:W747" si="2011">LOOKUP(R746,$AC$6:$AD$10)</f>
        <v>ضعيف</v>
      </c>
      <c r="X746" s="639">
        <f t="shared" ref="X746" si="2012">R749/$AC$3</f>
        <v>0</v>
      </c>
      <c r="Y746" s="8"/>
      <c r="Z746" s="597" t="str">
        <f>IFERROR(VLOOKUP($B746,اسماء,48,0),"")</f>
        <v/>
      </c>
      <c r="AK746" s="671" t="str">
        <f>IF(R749=0,"",R749/1+ROW()*0.00001)</f>
        <v/>
      </c>
      <c r="AL746" s="671">
        <f>B746</f>
        <v>0</v>
      </c>
      <c r="AM746" s="696"/>
      <c r="AN746" s="698">
        <v>161</v>
      </c>
      <c r="AO746" s="699" t="str">
        <f>IFERROR(LARGE($AK$10:$AK$1420,AN746),"")</f>
        <v/>
      </c>
      <c r="AP746" s="698" t="str">
        <f>VLOOKUP(AO746,$AK$10:$AL$1530,2,0)</f>
        <v>امجد عمر عبداللطيف سلطان</v>
      </c>
    </row>
    <row r="747" spans="1:42" ht="14.85" customHeight="1" x14ac:dyDescent="0.25">
      <c r="A747" s="611"/>
      <c r="B747" s="614"/>
      <c r="C747" s="617"/>
      <c r="D747" s="620"/>
      <c r="E747" s="130" t="s">
        <v>31</v>
      </c>
      <c r="F747" s="592">
        <f>IFERROR(VLOOKUP($B746,اسماء,16,0),0)</f>
        <v>0</v>
      </c>
      <c r="G747" s="593"/>
      <c r="H747" s="594">
        <f>IFERROR(VLOOKUP($B746,اسماء,17,0),0)</f>
        <v>0</v>
      </c>
      <c r="I747" s="595"/>
      <c r="J747" s="592">
        <f>IFERROR(VLOOKUP($B746,اسماء,18,0),0)</f>
        <v>0</v>
      </c>
      <c r="K747" s="593"/>
      <c r="L747" s="594">
        <f>IFERROR(VLOOKUP($B746,اسماء,19,0),0)</f>
        <v>0</v>
      </c>
      <c r="M747" s="596"/>
      <c r="N747" s="594">
        <f>IFERROR(VLOOKUP($B746,اسماء,20,0),0)</f>
        <v>0</v>
      </c>
      <c r="O747" s="596"/>
      <c r="P747" s="592">
        <f>IFERROR(VLOOKUP($B746,اسماء,21,0),0)</f>
        <v>0</v>
      </c>
      <c r="Q747" s="595"/>
      <c r="R747" s="372">
        <f t="shared" ref="R747:R748" si="2013">SUM(F747:Q747)</f>
        <v>0</v>
      </c>
      <c r="S747" s="305" t="str">
        <f>IFERROR(VLOOKUP($B746,اسماء,23,0),"")</f>
        <v/>
      </c>
      <c r="T747" s="306" t="str">
        <f>IFERROR(VLOOKUP($B746,اسماء,24,0),"")</f>
        <v/>
      </c>
      <c r="U747" s="122" t="str">
        <f>IFERROR(VLOOKUP($B746,اسماء,25,0),"")</f>
        <v/>
      </c>
      <c r="V747" s="605"/>
      <c r="W747" s="19" t="str">
        <f t="shared" si="2011"/>
        <v>ضعيف</v>
      </c>
      <c r="X747" s="640"/>
      <c r="Y747" s="68"/>
      <c r="Z747" s="598"/>
      <c r="AK747" s="671"/>
      <c r="AL747" s="671"/>
      <c r="AM747" s="696"/>
      <c r="AN747" s="698"/>
      <c r="AO747" s="699"/>
      <c r="AP747" s="698"/>
    </row>
    <row r="748" spans="1:42" ht="14.85" customHeight="1" x14ac:dyDescent="0.25">
      <c r="A748" s="611"/>
      <c r="B748" s="614"/>
      <c r="C748" s="617"/>
      <c r="D748" s="620"/>
      <c r="E748" s="130" t="s">
        <v>32</v>
      </c>
      <c r="F748" s="592">
        <f>IFERROR(VLOOKUP($B746,اسماء,27,0),0)</f>
        <v>0</v>
      </c>
      <c r="G748" s="593"/>
      <c r="H748" s="594">
        <f>IFERROR(VLOOKUP($B746,اسماء,28,0),0)</f>
        <v>0</v>
      </c>
      <c r="I748" s="595"/>
      <c r="J748" s="592">
        <f>IFERROR(VLOOKUP($B746,اسماء,29,0),0)</f>
        <v>0</v>
      </c>
      <c r="K748" s="593"/>
      <c r="L748" s="594">
        <f>IFERROR(VLOOKUP($B746,اسماء,30,0),0)</f>
        <v>0</v>
      </c>
      <c r="M748" s="596"/>
      <c r="N748" s="594">
        <f>IFERROR(VLOOKUP($B746,اسماء,31,0),0)</f>
        <v>0</v>
      </c>
      <c r="O748" s="596"/>
      <c r="P748" s="592">
        <f>IFERROR(VLOOKUP($B746,اسماء,32,0),0)</f>
        <v>0</v>
      </c>
      <c r="Q748" s="595"/>
      <c r="R748" s="372">
        <f t="shared" si="2013"/>
        <v>0</v>
      </c>
      <c r="S748" s="305" t="str">
        <f>IFERROR(VLOOKUP($B746,اسماء,34,0),"")</f>
        <v/>
      </c>
      <c r="T748" s="306" t="str">
        <f>IFERROR(VLOOKUP($B746,اسماء,35,0),"")</f>
        <v/>
      </c>
      <c r="U748" s="122" t="str">
        <f>IFERROR(VLOOKUP($B746,اسماء,36,0),"")</f>
        <v/>
      </c>
      <c r="V748" s="605"/>
      <c r="W748" s="20" t="str">
        <f t="shared" ref="W748" si="2014">LOOKUP(R748,$AF$6:$AG$10)</f>
        <v>ضعيف</v>
      </c>
      <c r="X748" s="640"/>
      <c r="Y748" s="68"/>
      <c r="Z748" s="598"/>
      <c r="AK748" s="671"/>
      <c r="AL748" s="671"/>
      <c r="AM748" s="696"/>
      <c r="AN748" s="698"/>
      <c r="AO748" s="699"/>
      <c r="AP748" s="698"/>
    </row>
    <row r="749" spans="1:42" ht="14.85" customHeight="1" thickBot="1" x14ac:dyDescent="0.3">
      <c r="A749" s="612"/>
      <c r="B749" s="615"/>
      <c r="C749" s="618"/>
      <c r="D749" s="621"/>
      <c r="E749" s="124" t="s">
        <v>33</v>
      </c>
      <c r="F749" s="623">
        <f>SUM(F746:G748)</f>
        <v>0</v>
      </c>
      <c r="G749" s="624"/>
      <c r="H749" s="625">
        <f>SUM(H746:I748)</f>
        <v>0</v>
      </c>
      <c r="I749" s="626"/>
      <c r="J749" s="623">
        <f>SUM(J746:K748)</f>
        <v>0</v>
      </c>
      <c r="K749" s="624"/>
      <c r="L749" s="625">
        <f>SUM(L746:M748)</f>
        <v>0</v>
      </c>
      <c r="M749" s="642"/>
      <c r="N749" s="625">
        <f>SUM(N746:O748)</f>
        <v>0</v>
      </c>
      <c r="O749" s="642"/>
      <c r="P749" s="623">
        <f>SUM(P746:Q748)</f>
        <v>0</v>
      </c>
      <c r="Q749" s="626"/>
      <c r="R749" s="88">
        <f>IF(AND(F749&gt;=$G$8,H749&gt;=$I$8,J749&gt;=$K$8,L749&gt;=$M$8,N749&gt;=$O$8,P749&gt;=$Q$8),SUM(F749:Q749),0)</f>
        <v>0</v>
      </c>
      <c r="S749" s="251"/>
      <c r="T749" s="97"/>
      <c r="U749" s="94"/>
      <c r="V749" s="606"/>
      <c r="W749" s="88" t="str">
        <f t="shared" ref="W749" si="2015">LOOKUP(R749,$AI$6:$AJ$10)</f>
        <v>ضعيف</v>
      </c>
      <c r="X749" s="641"/>
      <c r="Y749" s="8"/>
      <c r="Z749" s="599"/>
      <c r="AK749" s="671"/>
      <c r="AL749" s="671"/>
      <c r="AM749" s="696"/>
      <c r="AN749" s="698"/>
      <c r="AO749" s="699"/>
      <c r="AP749" s="698"/>
    </row>
    <row r="750" spans="1:42" ht="14.85" customHeight="1" thickBot="1" x14ac:dyDescent="0.3">
      <c r="A750" s="610">
        <v>162</v>
      </c>
      <c r="B750" s="613">
        <f>VLOOKUP(A750,مسلسل,2,0)</f>
        <v>0</v>
      </c>
      <c r="C750" s="616" t="str">
        <f>IFERROR(VLOOKUP(B750,اسماء,2,0),"")</f>
        <v/>
      </c>
      <c r="D750" s="619" t="str">
        <f>IFERROR(VLOOKUP($B750,اسماء,3,0),"")</f>
        <v/>
      </c>
      <c r="E750" s="129" t="s">
        <v>30</v>
      </c>
      <c r="F750" s="600">
        <f>IFERROR(VLOOKUP($B750,اسماء,5,0),0)</f>
        <v>0</v>
      </c>
      <c r="G750" s="601"/>
      <c r="H750" s="602">
        <f>IFERROR(VLOOKUP($B750,اسماء,6,0),0)</f>
        <v>0</v>
      </c>
      <c r="I750" s="622"/>
      <c r="J750" s="600">
        <f>IFERROR(VLOOKUP($B750,اسماء,7,0),0)</f>
        <v>0</v>
      </c>
      <c r="K750" s="601"/>
      <c r="L750" s="602">
        <f>IFERROR(VLOOKUP($B750,اسماء,8,0),0)</f>
        <v>0</v>
      </c>
      <c r="M750" s="603"/>
      <c r="N750" s="602">
        <f>IFERROR(VLOOKUP($B750,اسماء,9,0),0)</f>
        <v>0</v>
      </c>
      <c r="O750" s="603"/>
      <c r="P750" s="600">
        <f>IFERROR(VLOOKUP($B750,اسماء,10,0),0)</f>
        <v>0</v>
      </c>
      <c r="Q750" s="622"/>
      <c r="R750" s="371">
        <f t="shared" ref="R750:R784" si="2016">SUM(F750:Q750)</f>
        <v>0</v>
      </c>
      <c r="S750" s="213" t="str">
        <f>IFERROR(VLOOKUP($B750,اسماء,12,0),"")</f>
        <v/>
      </c>
      <c r="T750" s="214" t="str">
        <f>IFERROR(VLOOKUP($B750,اسماء,13,0),"")</f>
        <v/>
      </c>
      <c r="U750" s="364" t="str">
        <f>IFERROR(VLOOKUP($B750,اسماء,14,0),"")</f>
        <v/>
      </c>
      <c r="V750" s="604" t="str">
        <f t="shared" ref="V750" si="2017">IF(Z750="غائب","راسب",IF(R753&gt;0,"ناجح","مرحل"))</f>
        <v>مرحل</v>
      </c>
      <c r="W750" s="19" t="str">
        <f t="shared" ref="W750:W751" si="2018">LOOKUP(R750,$AC$6:$AD$10)</f>
        <v>ضعيف</v>
      </c>
      <c r="X750" s="639">
        <f t="shared" ref="X750" si="2019">R753/$AC$3</f>
        <v>0</v>
      </c>
      <c r="Y750" s="68"/>
      <c r="Z750" s="597" t="str">
        <f>IFERROR(VLOOKUP($B750,اسماء,48,0),"")</f>
        <v/>
      </c>
      <c r="AK750" s="667" t="str">
        <f t="shared" ref="AK750" si="2020">IF(R753=0,"",R753/1+ROW()*0.00001)</f>
        <v/>
      </c>
      <c r="AL750" s="667">
        <f>B750</f>
        <v>0</v>
      </c>
      <c r="AM750" s="696"/>
      <c r="AN750" s="698">
        <v>162</v>
      </c>
      <c r="AO750" s="699" t="str">
        <f>IFERROR(LARGE($AK$10:$AK$1420,AN750),"")</f>
        <v/>
      </c>
      <c r="AP750" s="698" t="str">
        <f>VLOOKUP(AO750,$AK$10:$AL$1530,2,0)</f>
        <v>امجد عمر عبداللطيف سلطان</v>
      </c>
    </row>
    <row r="751" spans="1:42" ht="14.85" customHeight="1" x14ac:dyDescent="0.25">
      <c r="A751" s="611"/>
      <c r="B751" s="614"/>
      <c r="C751" s="617"/>
      <c r="D751" s="620"/>
      <c r="E751" s="130" t="s">
        <v>31</v>
      </c>
      <c r="F751" s="592">
        <f>IFERROR(VLOOKUP($B750,اسماء,15,0),0)</f>
        <v>0</v>
      </c>
      <c r="G751" s="593"/>
      <c r="H751" s="594">
        <f>IFERROR(VLOOKUP($B750,اسماء,16,0),0)</f>
        <v>0</v>
      </c>
      <c r="I751" s="595"/>
      <c r="J751" s="592">
        <f>IFERROR(VLOOKUP($B750,اسماء,17,0),0)</f>
        <v>0</v>
      </c>
      <c r="K751" s="593"/>
      <c r="L751" s="594">
        <f>IFERROR(VLOOKUP($B750,اسماء,18,0),0)</f>
        <v>0</v>
      </c>
      <c r="M751" s="596"/>
      <c r="N751" s="594">
        <f>IFERROR(VLOOKUP($B750,اسماء,19,0),0)</f>
        <v>0</v>
      </c>
      <c r="O751" s="596"/>
      <c r="P751" s="592">
        <f>IFERROR(VLOOKUP($B750,اسماء,20,0),0)</f>
        <v>0</v>
      </c>
      <c r="Q751" s="595"/>
      <c r="R751" s="372">
        <f t="shared" si="2016"/>
        <v>0</v>
      </c>
      <c r="S751" s="305" t="str">
        <f>IFERROR(VLOOKUP($B750,اسماء,23,0),"")</f>
        <v/>
      </c>
      <c r="T751" s="306" t="str">
        <f>IFERROR(VLOOKUP($B750,اسماء,24,0),"")</f>
        <v/>
      </c>
      <c r="U751" s="122" t="str">
        <f>IFERROR(VLOOKUP($B750,اسماء,25,0),"")</f>
        <v/>
      </c>
      <c r="V751" s="605"/>
      <c r="W751" s="19" t="str">
        <f t="shared" si="2018"/>
        <v>ضعيف</v>
      </c>
      <c r="X751" s="640"/>
      <c r="Y751" s="68"/>
      <c r="Z751" s="598"/>
      <c r="AK751" s="667"/>
      <c r="AL751" s="667"/>
      <c r="AM751" s="696"/>
      <c r="AN751" s="698"/>
      <c r="AO751" s="699"/>
      <c r="AP751" s="698"/>
    </row>
    <row r="752" spans="1:42" ht="14.85" customHeight="1" x14ac:dyDescent="0.25">
      <c r="A752" s="611"/>
      <c r="B752" s="614"/>
      <c r="C752" s="617"/>
      <c r="D752" s="620"/>
      <c r="E752" s="130" t="s">
        <v>32</v>
      </c>
      <c r="F752" s="592">
        <f>IFERROR(VLOOKUP($B750,اسماء,25,0),0)</f>
        <v>0</v>
      </c>
      <c r="G752" s="593"/>
      <c r="H752" s="594">
        <f>IFERROR(VLOOKUP($B750,اسماء,26,0),0)</f>
        <v>0</v>
      </c>
      <c r="I752" s="595"/>
      <c r="J752" s="592">
        <f>IFERROR(VLOOKUP($B750,اسماء,27,0),0)</f>
        <v>0</v>
      </c>
      <c r="K752" s="593"/>
      <c r="L752" s="594">
        <f>IFERROR(VLOOKUP($B750,اسماء,28,0),0)</f>
        <v>0</v>
      </c>
      <c r="M752" s="596"/>
      <c r="N752" s="594">
        <f>IFERROR(VLOOKUP($B750,اسماء,29,0),0)</f>
        <v>0</v>
      </c>
      <c r="O752" s="596"/>
      <c r="P752" s="592">
        <f>IFERROR(VLOOKUP($B750,اسماء,30,0),0)</f>
        <v>0</v>
      </c>
      <c r="Q752" s="595"/>
      <c r="R752" s="372">
        <f t="shared" si="2016"/>
        <v>0</v>
      </c>
      <c r="S752" s="305" t="str">
        <f>IFERROR(VLOOKUP($B750,اسماء,34,0),"")</f>
        <v/>
      </c>
      <c r="T752" s="306" t="str">
        <f>IFERROR(VLOOKUP($B750,اسماء,35,0),"")</f>
        <v/>
      </c>
      <c r="U752" s="122" t="str">
        <f>IFERROR(VLOOKUP($B750,اسماء,36,0),"")</f>
        <v/>
      </c>
      <c r="V752" s="605"/>
      <c r="W752" s="20" t="str">
        <f t="shared" ref="W752" si="2021">LOOKUP(R752,$AF$6:$AG$10)</f>
        <v>ضعيف</v>
      </c>
      <c r="X752" s="640"/>
      <c r="Y752" s="8"/>
      <c r="Z752" s="598"/>
      <c r="AK752" s="667"/>
      <c r="AL752" s="667"/>
      <c r="AM752" s="696"/>
      <c r="AN752" s="698"/>
      <c r="AO752" s="699"/>
      <c r="AP752" s="698"/>
    </row>
    <row r="753" spans="1:42" ht="14.85" customHeight="1" thickBot="1" x14ac:dyDescent="0.3">
      <c r="A753" s="612"/>
      <c r="B753" s="615"/>
      <c r="C753" s="618"/>
      <c r="D753" s="621"/>
      <c r="E753" s="124" t="s">
        <v>33</v>
      </c>
      <c r="F753" s="623">
        <f>SUM(F750:G752)</f>
        <v>0</v>
      </c>
      <c r="G753" s="624"/>
      <c r="H753" s="625">
        <f>SUM(H750:I752)</f>
        <v>0</v>
      </c>
      <c r="I753" s="626"/>
      <c r="J753" s="623">
        <f>SUM(J750:K752)</f>
        <v>0</v>
      </c>
      <c r="K753" s="624"/>
      <c r="L753" s="625">
        <f>SUM(L750:M752)</f>
        <v>0</v>
      </c>
      <c r="M753" s="642"/>
      <c r="N753" s="625">
        <f>SUM(N750:O752)</f>
        <v>0</v>
      </c>
      <c r="O753" s="642"/>
      <c r="P753" s="623">
        <f>SUM(P750:Q752)</f>
        <v>0</v>
      </c>
      <c r="Q753" s="626"/>
      <c r="R753" s="88">
        <f t="shared" ref="R753" si="2022">IF(AND(F753&gt;=$G$8,H753&gt;=$I$8,J753&gt;=$K$8,L753&gt;=$M$8,N753&gt;=$O$8,P753&gt;=$Q$8),SUM(F753:Q753),0)</f>
        <v>0</v>
      </c>
      <c r="S753" s="251"/>
      <c r="T753" s="97"/>
      <c r="U753" s="94"/>
      <c r="V753" s="606"/>
      <c r="W753" s="88" t="str">
        <f t="shared" ref="W753" si="2023">LOOKUP(R753,$AI$6:$AJ$10)</f>
        <v>ضعيف</v>
      </c>
      <c r="X753" s="641"/>
      <c r="Y753" s="68"/>
      <c r="Z753" s="599"/>
      <c r="AK753" s="667"/>
      <c r="AL753" s="667"/>
      <c r="AM753" s="696"/>
      <c r="AN753" s="698"/>
      <c r="AO753" s="699"/>
      <c r="AP753" s="698"/>
    </row>
    <row r="754" spans="1:42" ht="14.85" customHeight="1" thickBot="1" x14ac:dyDescent="0.3">
      <c r="A754" s="610">
        <v>163</v>
      </c>
      <c r="B754" s="613">
        <f>VLOOKUP(A754,مسلسل,2,0)</f>
        <v>0</v>
      </c>
      <c r="C754" s="616" t="str">
        <f>IFERROR(VLOOKUP(B754,اسماء,2,0),"")</f>
        <v/>
      </c>
      <c r="D754" s="619" t="str">
        <f>IFERROR(VLOOKUP($B754,اسماء,3,0),"")</f>
        <v/>
      </c>
      <c r="E754" s="129" t="s">
        <v>30</v>
      </c>
      <c r="F754" s="600">
        <f>IFERROR(VLOOKUP($B754,اسماء,5,0),0)</f>
        <v>0</v>
      </c>
      <c r="G754" s="601"/>
      <c r="H754" s="602">
        <f>IFERROR(VLOOKUP($B754,اسماء,6,0),0)</f>
        <v>0</v>
      </c>
      <c r="I754" s="622"/>
      <c r="J754" s="600">
        <f>IFERROR(VLOOKUP($B754,اسماء,7,0),0)</f>
        <v>0</v>
      </c>
      <c r="K754" s="601"/>
      <c r="L754" s="602">
        <f>IFERROR(VLOOKUP($B754,اسماء,8,0),0)</f>
        <v>0</v>
      </c>
      <c r="M754" s="603"/>
      <c r="N754" s="602">
        <f>IFERROR(VLOOKUP($B754,اسماء,9,0),0)</f>
        <v>0</v>
      </c>
      <c r="O754" s="603"/>
      <c r="P754" s="600">
        <f>IFERROR(VLOOKUP($B754,اسماء,10,0),0)</f>
        <v>0</v>
      </c>
      <c r="Q754" s="622"/>
      <c r="R754" s="371">
        <f t="shared" ref="R754" si="2024">SUM(F754:Q754)</f>
        <v>0</v>
      </c>
      <c r="S754" s="213" t="str">
        <f>IFERROR(VLOOKUP($B754,اسماء,12,0),"")</f>
        <v/>
      </c>
      <c r="T754" s="214" t="str">
        <f>IFERROR(VLOOKUP($B754,اسماء,13,0),"")</f>
        <v/>
      </c>
      <c r="U754" s="364" t="str">
        <f>IFERROR(VLOOKUP($B754,اسماء,14,0),"")</f>
        <v/>
      </c>
      <c r="V754" s="604" t="str">
        <f t="shared" ref="V754" si="2025">IF(Z754="غائب","راسب",IF(R757&gt;0,"ناجح","مرحل"))</f>
        <v>مرحل</v>
      </c>
      <c r="W754" s="19" t="str">
        <f t="shared" ref="W754:W755" si="2026">LOOKUP(R754,$AC$6:$AD$10)</f>
        <v>ضعيف</v>
      </c>
      <c r="X754" s="639">
        <f t="shared" ref="X754" si="2027">R757/$AC$3</f>
        <v>0</v>
      </c>
      <c r="Y754" s="68"/>
      <c r="Z754" s="597" t="str">
        <f>IFERROR(VLOOKUP($B754,اسماء,48,0),"")</f>
        <v/>
      </c>
      <c r="AK754" s="667" t="str">
        <f t="shared" ref="AK754" si="2028">IF(R757=0,"",R757/1+ROW()*0.00001)</f>
        <v/>
      </c>
      <c r="AL754" s="667">
        <f>B754</f>
        <v>0</v>
      </c>
      <c r="AM754" s="696"/>
      <c r="AN754" s="698">
        <v>163</v>
      </c>
      <c r="AO754" s="699" t="str">
        <f>IFERROR(LARGE($AK$10:$AK$1420,AN754),"")</f>
        <v/>
      </c>
      <c r="AP754" s="698" t="str">
        <f>VLOOKUP(AO754,$AK$10:$AL$1530,2,0)</f>
        <v>امجد عمر عبداللطيف سلطان</v>
      </c>
    </row>
    <row r="755" spans="1:42" ht="14.85" customHeight="1" x14ac:dyDescent="0.25">
      <c r="A755" s="611"/>
      <c r="B755" s="614"/>
      <c r="C755" s="617"/>
      <c r="D755" s="620"/>
      <c r="E755" s="130" t="s">
        <v>31</v>
      </c>
      <c r="F755" s="592">
        <f>IFERROR(VLOOKUP($B754,اسماء,15,0),0)</f>
        <v>0</v>
      </c>
      <c r="G755" s="593"/>
      <c r="H755" s="594">
        <f>IFERROR(VLOOKUP($B754,اسماء,16,0),0)</f>
        <v>0</v>
      </c>
      <c r="I755" s="595"/>
      <c r="J755" s="592">
        <f>IFERROR(VLOOKUP($B754,اسماء,17,0),0)</f>
        <v>0</v>
      </c>
      <c r="K755" s="593"/>
      <c r="L755" s="594">
        <f>IFERROR(VLOOKUP($B754,اسماء,18,0),0)</f>
        <v>0</v>
      </c>
      <c r="M755" s="596"/>
      <c r="N755" s="594">
        <f>IFERROR(VLOOKUP($B754,اسماء,19,0),0)</f>
        <v>0</v>
      </c>
      <c r="O755" s="596"/>
      <c r="P755" s="592">
        <f>IFERROR(VLOOKUP($B754,اسماء,20,0),0)</f>
        <v>0</v>
      </c>
      <c r="Q755" s="595"/>
      <c r="R755" s="372">
        <f t="shared" si="2016"/>
        <v>0</v>
      </c>
      <c r="S755" s="305" t="str">
        <f>IFERROR(VLOOKUP($B754,اسماء,23,0),"")</f>
        <v/>
      </c>
      <c r="T755" s="306" t="str">
        <f>IFERROR(VLOOKUP($B754,اسماء,24,0),"")</f>
        <v/>
      </c>
      <c r="U755" s="122" t="str">
        <f>IFERROR(VLOOKUP($B754,اسماء,25,0),"")</f>
        <v/>
      </c>
      <c r="V755" s="605"/>
      <c r="W755" s="19" t="str">
        <f t="shared" si="2026"/>
        <v>ضعيف</v>
      </c>
      <c r="X755" s="640"/>
      <c r="Y755" s="8"/>
      <c r="Z755" s="598"/>
      <c r="AK755" s="667"/>
      <c r="AL755" s="667"/>
      <c r="AM755" s="696"/>
      <c r="AN755" s="698"/>
      <c r="AO755" s="699"/>
      <c r="AP755" s="698"/>
    </row>
    <row r="756" spans="1:42" ht="14.85" customHeight="1" x14ac:dyDescent="0.25">
      <c r="A756" s="611"/>
      <c r="B756" s="614"/>
      <c r="C756" s="617"/>
      <c r="D756" s="620"/>
      <c r="E756" s="130" t="s">
        <v>32</v>
      </c>
      <c r="F756" s="592">
        <f>IFERROR(VLOOKUP($B754,اسماء,25,0),0)</f>
        <v>0</v>
      </c>
      <c r="G756" s="593"/>
      <c r="H756" s="594">
        <f>IFERROR(VLOOKUP($B754,اسماء,26,0),0)</f>
        <v>0</v>
      </c>
      <c r="I756" s="595"/>
      <c r="J756" s="592">
        <f>IFERROR(VLOOKUP($B754,اسماء,27,0),0)</f>
        <v>0</v>
      </c>
      <c r="K756" s="593"/>
      <c r="L756" s="594">
        <f>IFERROR(VLOOKUP($B754,اسماء,28,0),0)</f>
        <v>0</v>
      </c>
      <c r="M756" s="596"/>
      <c r="N756" s="594">
        <f>IFERROR(VLOOKUP($B754,اسماء,29,0),0)</f>
        <v>0</v>
      </c>
      <c r="O756" s="596"/>
      <c r="P756" s="592">
        <f>IFERROR(VLOOKUP($B754,اسماء,30,0),0)</f>
        <v>0</v>
      </c>
      <c r="Q756" s="595"/>
      <c r="R756" s="372">
        <f t="shared" si="2016"/>
        <v>0</v>
      </c>
      <c r="S756" s="305" t="str">
        <f>IFERROR(VLOOKUP($B754,اسماء,34,0),"")</f>
        <v/>
      </c>
      <c r="T756" s="306" t="str">
        <f>IFERROR(VLOOKUP($B754,اسماء,35,0),"")</f>
        <v/>
      </c>
      <c r="U756" s="122" t="str">
        <f>IFERROR(VLOOKUP($B754,اسماء,36,0),"")</f>
        <v/>
      </c>
      <c r="V756" s="605"/>
      <c r="W756" s="20" t="str">
        <f t="shared" ref="W756" si="2029">LOOKUP(R756,$AF$6:$AG$10)</f>
        <v>ضعيف</v>
      </c>
      <c r="X756" s="640"/>
      <c r="Y756" s="68"/>
      <c r="Z756" s="598"/>
      <c r="AK756" s="667"/>
      <c r="AL756" s="667"/>
      <c r="AM756" s="696"/>
      <c r="AN756" s="698"/>
      <c r="AO756" s="699"/>
      <c r="AP756" s="698"/>
    </row>
    <row r="757" spans="1:42" ht="14.85" customHeight="1" thickBot="1" x14ac:dyDescent="0.3">
      <c r="A757" s="612"/>
      <c r="B757" s="615"/>
      <c r="C757" s="618"/>
      <c r="D757" s="621"/>
      <c r="E757" s="124" t="s">
        <v>33</v>
      </c>
      <c r="F757" s="623">
        <f t="shared" ref="F757" si="2030">SUM(F754:G756)</f>
        <v>0</v>
      </c>
      <c r="G757" s="624"/>
      <c r="H757" s="625">
        <f t="shared" ref="H757" si="2031">SUM(H754:I756)</f>
        <v>0</v>
      </c>
      <c r="I757" s="626"/>
      <c r="J757" s="623">
        <f t="shared" ref="J757" si="2032">SUM(J754:K756)</f>
        <v>0</v>
      </c>
      <c r="K757" s="624"/>
      <c r="L757" s="625">
        <f t="shared" ref="L757" si="2033">SUM(L754:M756)</f>
        <v>0</v>
      </c>
      <c r="M757" s="642"/>
      <c r="N757" s="625">
        <f t="shared" ref="N757" si="2034">SUM(N754:O756)</f>
        <v>0</v>
      </c>
      <c r="O757" s="642"/>
      <c r="P757" s="623">
        <f t="shared" ref="P757" si="2035">SUM(P754:Q756)</f>
        <v>0</v>
      </c>
      <c r="Q757" s="626"/>
      <c r="R757" s="88">
        <f t="shared" ref="R757" si="2036">IF(AND(F757&gt;=$G$8,H757&gt;=$I$8,J757&gt;=$K$8,L757&gt;=$M$8,N757&gt;=$O$8,P757&gt;=$Q$8),SUM(F757:Q757),0)</f>
        <v>0</v>
      </c>
      <c r="S757" s="251"/>
      <c r="T757" s="97"/>
      <c r="U757" s="94"/>
      <c r="V757" s="606"/>
      <c r="W757" s="88" t="str">
        <f t="shared" ref="W757" si="2037">LOOKUP(R757,$AI$6:$AJ$10)</f>
        <v>ضعيف</v>
      </c>
      <c r="X757" s="641"/>
      <c r="Y757" s="68"/>
      <c r="Z757" s="599"/>
      <c r="AK757" s="667"/>
      <c r="AL757" s="667"/>
      <c r="AM757" s="696"/>
      <c r="AN757" s="698"/>
      <c r="AO757" s="699"/>
      <c r="AP757" s="698"/>
    </row>
    <row r="758" spans="1:42" ht="14.85" customHeight="1" thickBot="1" x14ac:dyDescent="0.3">
      <c r="A758" s="610">
        <v>164</v>
      </c>
      <c r="B758" s="613">
        <f>VLOOKUP(A758,مسلسل,2,0)</f>
        <v>0</v>
      </c>
      <c r="C758" s="616" t="str">
        <f>IFERROR(VLOOKUP(B758,اسماء,2,0),"")</f>
        <v/>
      </c>
      <c r="D758" s="619" t="str">
        <f>IFERROR(VLOOKUP($B758,اسماء,3,0),"")</f>
        <v/>
      </c>
      <c r="E758" s="129" t="s">
        <v>30</v>
      </c>
      <c r="F758" s="600">
        <f>IFERROR(VLOOKUP($B758,اسماء,5,0),0)</f>
        <v>0</v>
      </c>
      <c r="G758" s="601"/>
      <c r="H758" s="602">
        <f>IFERROR(VLOOKUP($B758,اسماء,6,0),0)</f>
        <v>0</v>
      </c>
      <c r="I758" s="622"/>
      <c r="J758" s="600">
        <f>IFERROR(VLOOKUP($B758,اسماء,7,0),0)</f>
        <v>0</v>
      </c>
      <c r="K758" s="601"/>
      <c r="L758" s="602">
        <f>IFERROR(VLOOKUP($B758,اسماء,8,0),0)</f>
        <v>0</v>
      </c>
      <c r="M758" s="603"/>
      <c r="N758" s="602">
        <f>IFERROR(VLOOKUP($B758,اسماء,9,0),0)</f>
        <v>0</v>
      </c>
      <c r="O758" s="603"/>
      <c r="P758" s="600">
        <f>IFERROR(VLOOKUP($B758,اسماء,10,0),0)</f>
        <v>0</v>
      </c>
      <c r="Q758" s="622"/>
      <c r="R758" s="371">
        <f t="shared" ref="R758" si="2038">SUM(F758:Q758)</f>
        <v>0</v>
      </c>
      <c r="S758" s="213" t="str">
        <f>IFERROR(VLOOKUP($B758,اسماء,12,0),"")</f>
        <v/>
      </c>
      <c r="T758" s="214" t="str">
        <f>IFERROR(VLOOKUP($B758,اسماء,13,0),"")</f>
        <v/>
      </c>
      <c r="U758" s="364" t="str">
        <f>IFERROR(VLOOKUP($B758,اسماء,14,0),"")</f>
        <v/>
      </c>
      <c r="V758" s="604" t="str">
        <f t="shared" ref="V758" si="2039">IF(Z758="غائب","راسب",IF(R761&gt;0,"ناجح","مرحل"))</f>
        <v>مرحل</v>
      </c>
      <c r="W758" s="19" t="str">
        <f t="shared" ref="W758:W759" si="2040">LOOKUP(R758,$AC$6:$AD$10)</f>
        <v>ضعيف</v>
      </c>
      <c r="X758" s="639">
        <f t="shared" ref="X758" si="2041">R761/$AC$3</f>
        <v>0</v>
      </c>
      <c r="Y758" s="8"/>
      <c r="Z758" s="597" t="str">
        <f>IFERROR(VLOOKUP($B758,اسماء,48,0),"")</f>
        <v/>
      </c>
      <c r="AK758" s="667" t="str">
        <f t="shared" ref="AK758" si="2042">IF(R761=0,"",R761/1+ROW()*0.00001)</f>
        <v/>
      </c>
      <c r="AL758" s="667">
        <f>B758</f>
        <v>0</v>
      </c>
      <c r="AM758" s="696"/>
      <c r="AN758" s="698">
        <v>164</v>
      </c>
      <c r="AO758" s="699" t="str">
        <f>IFERROR(LARGE($AK$10:$AK$1420,AN758),"")</f>
        <v/>
      </c>
      <c r="AP758" s="698" t="str">
        <f>VLOOKUP(AO758,$AK$10:$AL$1530,2,0)</f>
        <v>امجد عمر عبداللطيف سلطان</v>
      </c>
    </row>
    <row r="759" spans="1:42" ht="14.85" customHeight="1" x14ac:dyDescent="0.25">
      <c r="A759" s="611"/>
      <c r="B759" s="614"/>
      <c r="C759" s="617"/>
      <c r="D759" s="620"/>
      <c r="E759" s="130" t="s">
        <v>31</v>
      </c>
      <c r="F759" s="592">
        <f>IFERROR(VLOOKUP($B758,اسماء,15,0),0)</f>
        <v>0</v>
      </c>
      <c r="G759" s="593"/>
      <c r="H759" s="594">
        <f>IFERROR(VLOOKUP($B758,اسماء,16,0),0)</f>
        <v>0</v>
      </c>
      <c r="I759" s="595"/>
      <c r="J759" s="592">
        <f>IFERROR(VLOOKUP($B758,اسماء,17,0),0)</f>
        <v>0</v>
      </c>
      <c r="K759" s="593"/>
      <c r="L759" s="594">
        <f>IFERROR(VLOOKUP($B758,اسماء,18,0),0)</f>
        <v>0</v>
      </c>
      <c r="M759" s="596"/>
      <c r="N759" s="594">
        <f>IFERROR(VLOOKUP($B758,اسماء,19,0),0)</f>
        <v>0</v>
      </c>
      <c r="O759" s="596"/>
      <c r="P759" s="592">
        <f>IFERROR(VLOOKUP($B758,اسماء,20,0),0)</f>
        <v>0</v>
      </c>
      <c r="Q759" s="595"/>
      <c r="R759" s="372">
        <f t="shared" si="2016"/>
        <v>0</v>
      </c>
      <c r="S759" s="305" t="str">
        <f>IFERROR(VLOOKUP($B758,اسماء,23,0),"")</f>
        <v/>
      </c>
      <c r="T759" s="306" t="str">
        <f>IFERROR(VLOOKUP($B758,اسماء,24,0),"")</f>
        <v/>
      </c>
      <c r="U759" s="122" t="str">
        <f>IFERROR(VLOOKUP($B758,اسماء,25,0),"")</f>
        <v/>
      </c>
      <c r="V759" s="605"/>
      <c r="W759" s="19" t="str">
        <f t="shared" si="2040"/>
        <v>ضعيف</v>
      </c>
      <c r="X759" s="640"/>
      <c r="Y759" s="68"/>
      <c r="Z759" s="598"/>
      <c r="AK759" s="667"/>
      <c r="AL759" s="667"/>
      <c r="AM759" s="696"/>
      <c r="AN759" s="698"/>
      <c r="AO759" s="699"/>
      <c r="AP759" s="698"/>
    </row>
    <row r="760" spans="1:42" ht="14.85" customHeight="1" x14ac:dyDescent="0.25">
      <c r="A760" s="611"/>
      <c r="B760" s="614"/>
      <c r="C760" s="617"/>
      <c r="D760" s="620"/>
      <c r="E760" s="130" t="s">
        <v>32</v>
      </c>
      <c r="F760" s="592">
        <f>IFERROR(VLOOKUP($B758,اسماء,25,0),0)</f>
        <v>0</v>
      </c>
      <c r="G760" s="593"/>
      <c r="H760" s="594">
        <f>IFERROR(VLOOKUP($B758,اسماء,26,0),0)</f>
        <v>0</v>
      </c>
      <c r="I760" s="595"/>
      <c r="J760" s="592">
        <f>IFERROR(VLOOKUP($B758,اسماء,27,0),0)</f>
        <v>0</v>
      </c>
      <c r="K760" s="593"/>
      <c r="L760" s="594">
        <f>IFERROR(VLOOKUP($B758,اسماء,28,0),0)</f>
        <v>0</v>
      </c>
      <c r="M760" s="596"/>
      <c r="N760" s="594">
        <f>IFERROR(VLOOKUP($B758,اسماء,29,0),0)</f>
        <v>0</v>
      </c>
      <c r="O760" s="596"/>
      <c r="P760" s="592">
        <f>IFERROR(VLOOKUP($B758,اسماء,30,0),0)</f>
        <v>0</v>
      </c>
      <c r="Q760" s="595"/>
      <c r="R760" s="372">
        <f t="shared" si="2016"/>
        <v>0</v>
      </c>
      <c r="S760" s="305" t="str">
        <f>IFERROR(VLOOKUP($B758,اسماء,34,0),"")</f>
        <v/>
      </c>
      <c r="T760" s="306" t="str">
        <f>IFERROR(VLOOKUP($B758,اسماء,35,0),"")</f>
        <v/>
      </c>
      <c r="U760" s="122" t="str">
        <f>IFERROR(VLOOKUP($B758,اسماء,36,0),"")</f>
        <v/>
      </c>
      <c r="V760" s="605"/>
      <c r="W760" s="20" t="str">
        <f t="shared" ref="W760" si="2043">LOOKUP(R760,$AF$6:$AG$10)</f>
        <v>ضعيف</v>
      </c>
      <c r="X760" s="640"/>
      <c r="Y760" s="68"/>
      <c r="Z760" s="598"/>
      <c r="AK760" s="667"/>
      <c r="AL760" s="667"/>
      <c r="AM760" s="696"/>
      <c r="AN760" s="698"/>
      <c r="AO760" s="699"/>
      <c r="AP760" s="698"/>
    </row>
    <row r="761" spans="1:42" ht="14.85" customHeight="1" thickBot="1" x14ac:dyDescent="0.3">
      <c r="A761" s="612"/>
      <c r="B761" s="615"/>
      <c r="C761" s="618"/>
      <c r="D761" s="621"/>
      <c r="E761" s="124" t="s">
        <v>33</v>
      </c>
      <c r="F761" s="623">
        <f t="shared" ref="F761" si="2044">SUM(F758:G760)</f>
        <v>0</v>
      </c>
      <c r="G761" s="624"/>
      <c r="H761" s="625">
        <f t="shared" ref="H761" si="2045">SUM(H758:I760)</f>
        <v>0</v>
      </c>
      <c r="I761" s="626"/>
      <c r="J761" s="623">
        <f t="shared" ref="J761" si="2046">SUM(J758:K760)</f>
        <v>0</v>
      </c>
      <c r="K761" s="624"/>
      <c r="L761" s="625">
        <f t="shared" ref="L761" si="2047">SUM(L758:M760)</f>
        <v>0</v>
      </c>
      <c r="M761" s="642"/>
      <c r="N761" s="625">
        <f t="shared" ref="N761" si="2048">SUM(N758:O760)</f>
        <v>0</v>
      </c>
      <c r="O761" s="642"/>
      <c r="P761" s="623">
        <f t="shared" ref="P761" si="2049">SUM(P758:Q760)</f>
        <v>0</v>
      </c>
      <c r="Q761" s="626"/>
      <c r="R761" s="88">
        <f t="shared" ref="R761" si="2050">IF(AND(F761&gt;=$G$8,H761&gt;=$I$8,J761&gt;=$K$8,L761&gt;=$M$8,N761&gt;=$O$8,P761&gt;=$Q$8),SUM(F761:Q761),0)</f>
        <v>0</v>
      </c>
      <c r="S761" s="251"/>
      <c r="T761" s="97"/>
      <c r="U761" s="94"/>
      <c r="V761" s="606"/>
      <c r="W761" s="88" t="str">
        <f t="shared" ref="W761" si="2051">LOOKUP(R761,$AI$6:$AJ$10)</f>
        <v>ضعيف</v>
      </c>
      <c r="X761" s="641"/>
      <c r="Y761" s="8"/>
      <c r="Z761" s="599"/>
      <c r="AK761" s="667"/>
      <c r="AL761" s="667"/>
      <c r="AM761" s="696"/>
      <c r="AN761" s="698"/>
      <c r="AO761" s="699"/>
      <c r="AP761" s="698"/>
    </row>
    <row r="762" spans="1:42" ht="14.85" customHeight="1" thickBot="1" x14ac:dyDescent="0.3">
      <c r="A762" s="610">
        <v>165</v>
      </c>
      <c r="B762" s="613">
        <f>VLOOKUP(A762,مسلسل,2,0)</f>
        <v>0</v>
      </c>
      <c r="C762" s="616" t="str">
        <f>IFERROR(VLOOKUP(B762,اسماء,2,0),"")</f>
        <v/>
      </c>
      <c r="D762" s="619" t="str">
        <f>IFERROR(VLOOKUP($B762,اسماء,3,0),"")</f>
        <v/>
      </c>
      <c r="E762" s="129" t="s">
        <v>30</v>
      </c>
      <c r="F762" s="600">
        <f>IFERROR(VLOOKUP($B762,اسماء,5,0),0)</f>
        <v>0</v>
      </c>
      <c r="G762" s="601"/>
      <c r="H762" s="602">
        <f>IFERROR(VLOOKUP($B762,اسماء,6,0),0)</f>
        <v>0</v>
      </c>
      <c r="I762" s="622"/>
      <c r="J762" s="600">
        <f>IFERROR(VLOOKUP($B762,اسماء,7,0),0)</f>
        <v>0</v>
      </c>
      <c r="K762" s="601"/>
      <c r="L762" s="602">
        <f>IFERROR(VLOOKUP($B762,اسماء,8,0),0)</f>
        <v>0</v>
      </c>
      <c r="M762" s="603"/>
      <c r="N762" s="602">
        <f>IFERROR(VLOOKUP($B762,اسماء,9,0),0)</f>
        <v>0</v>
      </c>
      <c r="O762" s="603"/>
      <c r="P762" s="600">
        <f>IFERROR(VLOOKUP($B762,اسماء,10,0),0)</f>
        <v>0</v>
      </c>
      <c r="Q762" s="622"/>
      <c r="R762" s="371">
        <f t="shared" ref="R762" si="2052">SUM(F762:Q762)</f>
        <v>0</v>
      </c>
      <c r="S762" s="213" t="str">
        <f>IFERROR(VLOOKUP($B762,اسماء,12,0),"")</f>
        <v/>
      </c>
      <c r="T762" s="214" t="str">
        <f>IFERROR(VLOOKUP($B762,اسماء,13,0),"")</f>
        <v/>
      </c>
      <c r="U762" s="364" t="str">
        <f>IFERROR(VLOOKUP($B762,اسماء,14,0),"")</f>
        <v/>
      </c>
      <c r="V762" s="604" t="str">
        <f t="shared" ref="V762" si="2053">IF(Z762="غائب","راسب",IF(R765&gt;0,"ناجح","مرحل"))</f>
        <v>مرحل</v>
      </c>
      <c r="W762" s="19" t="str">
        <f t="shared" ref="W762:W763" si="2054">LOOKUP(R762,$AC$6:$AD$10)</f>
        <v>ضعيف</v>
      </c>
      <c r="X762" s="639">
        <f t="shared" ref="X762" si="2055">R765/$AC$3</f>
        <v>0</v>
      </c>
      <c r="Y762" s="68"/>
      <c r="Z762" s="597" t="str">
        <f>IFERROR(VLOOKUP($B762,اسماء,48,0),"")</f>
        <v/>
      </c>
      <c r="AK762" s="667" t="str">
        <f t="shared" ref="AK762" si="2056">IF(R765=0,"",R765/1+ROW()*0.00001)</f>
        <v/>
      </c>
      <c r="AL762" s="667">
        <f>B762</f>
        <v>0</v>
      </c>
      <c r="AM762" s="696"/>
      <c r="AN762" s="698">
        <v>165</v>
      </c>
      <c r="AO762" s="699" t="str">
        <f>IFERROR(LARGE($AK$10:$AK$1420,AN762),"")</f>
        <v/>
      </c>
      <c r="AP762" s="698" t="str">
        <f>VLOOKUP(AO762,$AK$10:$AL$1530,2,0)</f>
        <v>امجد عمر عبداللطيف سلطان</v>
      </c>
    </row>
    <row r="763" spans="1:42" ht="14.85" customHeight="1" x14ac:dyDescent="0.25">
      <c r="A763" s="611"/>
      <c r="B763" s="614"/>
      <c r="C763" s="617"/>
      <c r="D763" s="620"/>
      <c r="E763" s="130" t="s">
        <v>31</v>
      </c>
      <c r="F763" s="592">
        <f>IFERROR(VLOOKUP($B762,اسماء,15,0),0)</f>
        <v>0</v>
      </c>
      <c r="G763" s="593"/>
      <c r="H763" s="594">
        <f>IFERROR(VLOOKUP($B762,اسماء,16,0),0)</f>
        <v>0</v>
      </c>
      <c r="I763" s="595"/>
      <c r="J763" s="592">
        <f>IFERROR(VLOOKUP($B762,اسماء,17,0),0)</f>
        <v>0</v>
      </c>
      <c r="K763" s="593"/>
      <c r="L763" s="594">
        <f>IFERROR(VLOOKUP($B762,اسماء,18,0),0)</f>
        <v>0</v>
      </c>
      <c r="M763" s="596"/>
      <c r="N763" s="594">
        <f>IFERROR(VLOOKUP($B762,اسماء,19,0),0)</f>
        <v>0</v>
      </c>
      <c r="O763" s="596"/>
      <c r="P763" s="592">
        <f>IFERROR(VLOOKUP($B762,اسماء,20,0),0)</f>
        <v>0</v>
      </c>
      <c r="Q763" s="595"/>
      <c r="R763" s="372">
        <f t="shared" si="2016"/>
        <v>0</v>
      </c>
      <c r="S763" s="305" t="str">
        <f>IFERROR(VLOOKUP($B762,اسماء,23,0),"")</f>
        <v/>
      </c>
      <c r="T763" s="306" t="str">
        <f>IFERROR(VLOOKUP($B762,اسماء,24,0),"")</f>
        <v/>
      </c>
      <c r="U763" s="122" t="str">
        <f>IFERROR(VLOOKUP($B762,اسماء,25,0),"")</f>
        <v/>
      </c>
      <c r="V763" s="605"/>
      <c r="W763" s="19" t="str">
        <f t="shared" si="2054"/>
        <v>ضعيف</v>
      </c>
      <c r="X763" s="640"/>
      <c r="Y763" s="68"/>
      <c r="Z763" s="598"/>
      <c r="AK763" s="667"/>
      <c r="AL763" s="667"/>
      <c r="AM763" s="696"/>
      <c r="AN763" s="698"/>
      <c r="AO763" s="699"/>
      <c r="AP763" s="698"/>
    </row>
    <row r="764" spans="1:42" ht="14.85" customHeight="1" x14ac:dyDescent="0.25">
      <c r="A764" s="611"/>
      <c r="B764" s="614"/>
      <c r="C764" s="617"/>
      <c r="D764" s="620"/>
      <c r="E764" s="130" t="s">
        <v>32</v>
      </c>
      <c r="F764" s="592">
        <f>IFERROR(VLOOKUP($B762,اسماء,25,0),0)</f>
        <v>0</v>
      </c>
      <c r="G764" s="593"/>
      <c r="H764" s="594">
        <f>IFERROR(VLOOKUP($B762,اسماء,26,0),0)</f>
        <v>0</v>
      </c>
      <c r="I764" s="595"/>
      <c r="J764" s="592">
        <f>IFERROR(VLOOKUP($B762,اسماء,27,0),0)</f>
        <v>0</v>
      </c>
      <c r="K764" s="593"/>
      <c r="L764" s="594">
        <f>IFERROR(VLOOKUP($B762,اسماء,28,0),0)</f>
        <v>0</v>
      </c>
      <c r="M764" s="596"/>
      <c r="N764" s="594">
        <f>IFERROR(VLOOKUP($B762,اسماء,29,0),0)</f>
        <v>0</v>
      </c>
      <c r="O764" s="596"/>
      <c r="P764" s="592">
        <f>IFERROR(VLOOKUP($B762,اسماء,30,0),0)</f>
        <v>0</v>
      </c>
      <c r="Q764" s="595"/>
      <c r="R764" s="372">
        <f t="shared" si="2016"/>
        <v>0</v>
      </c>
      <c r="S764" s="305" t="str">
        <f>IFERROR(VLOOKUP($B762,اسماء,34,0),"")</f>
        <v/>
      </c>
      <c r="T764" s="306" t="str">
        <f>IFERROR(VLOOKUP($B762,اسماء,35,0),"")</f>
        <v/>
      </c>
      <c r="U764" s="122" t="str">
        <f>IFERROR(VLOOKUP($B762,اسماء,36,0),"")</f>
        <v/>
      </c>
      <c r="V764" s="605"/>
      <c r="W764" s="20" t="str">
        <f t="shared" ref="W764" si="2057">LOOKUP(R764,$AF$6:$AG$10)</f>
        <v>ضعيف</v>
      </c>
      <c r="X764" s="640"/>
      <c r="Y764" s="8"/>
      <c r="Z764" s="598"/>
      <c r="AK764" s="667"/>
      <c r="AL764" s="667"/>
      <c r="AM764" s="696"/>
      <c r="AN764" s="698"/>
      <c r="AO764" s="699"/>
      <c r="AP764" s="698"/>
    </row>
    <row r="765" spans="1:42" ht="14.85" customHeight="1" thickBot="1" x14ac:dyDescent="0.3">
      <c r="A765" s="612"/>
      <c r="B765" s="615"/>
      <c r="C765" s="618"/>
      <c r="D765" s="621"/>
      <c r="E765" s="124" t="s">
        <v>33</v>
      </c>
      <c r="F765" s="623">
        <f t="shared" ref="F765" si="2058">SUM(F762:G764)</f>
        <v>0</v>
      </c>
      <c r="G765" s="624"/>
      <c r="H765" s="625">
        <f t="shared" ref="H765" si="2059">SUM(H762:I764)</f>
        <v>0</v>
      </c>
      <c r="I765" s="626"/>
      <c r="J765" s="623">
        <f t="shared" ref="J765" si="2060">SUM(J762:K764)</f>
        <v>0</v>
      </c>
      <c r="K765" s="624"/>
      <c r="L765" s="625">
        <f t="shared" ref="L765" si="2061">SUM(L762:M764)</f>
        <v>0</v>
      </c>
      <c r="M765" s="642"/>
      <c r="N765" s="625">
        <f t="shared" ref="N765" si="2062">SUM(N762:O764)</f>
        <v>0</v>
      </c>
      <c r="O765" s="642"/>
      <c r="P765" s="623">
        <f t="shared" ref="P765" si="2063">SUM(P762:Q764)</f>
        <v>0</v>
      </c>
      <c r="Q765" s="626"/>
      <c r="R765" s="88">
        <f t="shared" ref="R765" si="2064">IF(AND(F765&gt;=$G$8,H765&gt;=$I$8,J765&gt;=$K$8,L765&gt;=$M$8,N765&gt;=$O$8,P765&gt;=$Q$8),SUM(F765:Q765),0)</f>
        <v>0</v>
      </c>
      <c r="S765" s="251"/>
      <c r="T765" s="97"/>
      <c r="U765" s="94"/>
      <c r="V765" s="606"/>
      <c r="W765" s="88" t="str">
        <f t="shared" ref="W765" si="2065">LOOKUP(R765,$AI$6:$AJ$10)</f>
        <v>ضعيف</v>
      </c>
      <c r="X765" s="641"/>
      <c r="Y765" s="68"/>
      <c r="Z765" s="599"/>
      <c r="AK765" s="667"/>
      <c r="AL765" s="667"/>
      <c r="AM765" s="696"/>
      <c r="AN765" s="698"/>
      <c r="AO765" s="699"/>
      <c r="AP765" s="698"/>
    </row>
    <row r="766" spans="1:42" ht="14.85" customHeight="1" thickBot="1" x14ac:dyDescent="0.3">
      <c r="A766" s="610">
        <v>166</v>
      </c>
      <c r="B766" s="613">
        <f>VLOOKUP(A766,مسلسل,2,0)</f>
        <v>0</v>
      </c>
      <c r="C766" s="616" t="str">
        <f>IFERROR(VLOOKUP(B766,اسماء,2,0),"")</f>
        <v/>
      </c>
      <c r="D766" s="619" t="str">
        <f>IFERROR(VLOOKUP($B766,اسماء,3,0),"")</f>
        <v/>
      </c>
      <c r="E766" s="129" t="s">
        <v>30</v>
      </c>
      <c r="F766" s="600">
        <f>IFERROR(VLOOKUP($B766,اسماء,5,0),0)</f>
        <v>0</v>
      </c>
      <c r="G766" s="601"/>
      <c r="H766" s="602">
        <f>IFERROR(VLOOKUP($B766,اسماء,6,0),0)</f>
        <v>0</v>
      </c>
      <c r="I766" s="622"/>
      <c r="J766" s="600">
        <f>IFERROR(VLOOKUP($B766,اسماء,7,0),0)</f>
        <v>0</v>
      </c>
      <c r="K766" s="601"/>
      <c r="L766" s="602">
        <f>IFERROR(VLOOKUP($B766,اسماء,8,0),0)</f>
        <v>0</v>
      </c>
      <c r="M766" s="603"/>
      <c r="N766" s="602">
        <f>IFERROR(VLOOKUP($B766,اسماء,9,0),0)</f>
        <v>0</v>
      </c>
      <c r="O766" s="603"/>
      <c r="P766" s="600">
        <f>IFERROR(VLOOKUP($B766,اسماء,10,0),0)</f>
        <v>0</v>
      </c>
      <c r="Q766" s="622"/>
      <c r="R766" s="371">
        <f t="shared" ref="R766" si="2066">SUM(F766:Q766)</f>
        <v>0</v>
      </c>
      <c r="S766" s="213" t="str">
        <f>IFERROR(VLOOKUP($B766,اسماء,12,0),"")</f>
        <v/>
      </c>
      <c r="T766" s="214" t="str">
        <f>IFERROR(VLOOKUP($B766,اسماء,13,0),"")</f>
        <v/>
      </c>
      <c r="U766" s="364" t="str">
        <f>IFERROR(VLOOKUP($B766,اسماء,14,0),"")</f>
        <v/>
      </c>
      <c r="V766" s="604" t="str">
        <f t="shared" ref="V766" si="2067">IF(Z766="غائب","راسب",IF(R769&gt;0,"ناجح","مرحل"))</f>
        <v>مرحل</v>
      </c>
      <c r="W766" s="19" t="str">
        <f t="shared" ref="W766:W767" si="2068">LOOKUP(R766,$AC$6:$AD$10)</f>
        <v>ضعيف</v>
      </c>
      <c r="X766" s="639">
        <f t="shared" ref="X766" si="2069">R769/$AC$3</f>
        <v>0</v>
      </c>
      <c r="Y766" s="68"/>
      <c r="Z766" s="597" t="str">
        <f>IFERROR(VLOOKUP($B766,اسماء,48,0),"")</f>
        <v/>
      </c>
      <c r="AK766" s="667" t="str">
        <f t="shared" ref="AK766" si="2070">IF(R769=0,"",R769/1+ROW()*0.00001)</f>
        <v/>
      </c>
      <c r="AL766" s="667">
        <f>B766</f>
        <v>0</v>
      </c>
      <c r="AM766" s="696"/>
      <c r="AN766" s="698">
        <v>166</v>
      </c>
      <c r="AO766" s="699" t="str">
        <f>IFERROR(LARGE($AK$10:$AK$1420,AN766),"")</f>
        <v/>
      </c>
      <c r="AP766" s="698" t="str">
        <f>VLOOKUP(AO766,$AK$10:$AL$1530,2,0)</f>
        <v>امجد عمر عبداللطيف سلطان</v>
      </c>
    </row>
    <row r="767" spans="1:42" ht="14.85" customHeight="1" x14ac:dyDescent="0.25">
      <c r="A767" s="611"/>
      <c r="B767" s="614"/>
      <c r="C767" s="617"/>
      <c r="D767" s="620"/>
      <c r="E767" s="130" t="s">
        <v>31</v>
      </c>
      <c r="F767" s="592">
        <f>IFERROR(VLOOKUP($B766,اسماء,15,0),0)</f>
        <v>0</v>
      </c>
      <c r="G767" s="593"/>
      <c r="H767" s="594">
        <f>IFERROR(VLOOKUP($B766,اسماء,16,0),0)</f>
        <v>0</v>
      </c>
      <c r="I767" s="595"/>
      <c r="J767" s="592">
        <f>IFERROR(VLOOKUP($B766,اسماء,17,0),0)</f>
        <v>0</v>
      </c>
      <c r="K767" s="593"/>
      <c r="L767" s="594">
        <f>IFERROR(VLOOKUP($B766,اسماء,18,0),0)</f>
        <v>0</v>
      </c>
      <c r="M767" s="596"/>
      <c r="N767" s="594">
        <f>IFERROR(VLOOKUP($B766,اسماء,19,0),0)</f>
        <v>0</v>
      </c>
      <c r="O767" s="596"/>
      <c r="P767" s="592">
        <f>IFERROR(VLOOKUP($B766,اسماء,20,0),0)</f>
        <v>0</v>
      </c>
      <c r="Q767" s="595"/>
      <c r="R767" s="372">
        <f t="shared" si="2016"/>
        <v>0</v>
      </c>
      <c r="S767" s="305" t="str">
        <f>IFERROR(VLOOKUP($B766,اسماء,23,0),"")</f>
        <v/>
      </c>
      <c r="T767" s="306" t="str">
        <f>IFERROR(VLOOKUP($B766,اسماء,24,0),"")</f>
        <v/>
      </c>
      <c r="U767" s="122" t="str">
        <f>IFERROR(VLOOKUP($B766,اسماء,25,0),"")</f>
        <v/>
      </c>
      <c r="V767" s="605"/>
      <c r="W767" s="19" t="str">
        <f t="shared" si="2068"/>
        <v>ضعيف</v>
      </c>
      <c r="X767" s="640"/>
      <c r="Y767" s="8"/>
      <c r="Z767" s="598"/>
      <c r="AK767" s="667"/>
      <c r="AL767" s="667"/>
      <c r="AM767" s="696"/>
      <c r="AN767" s="698"/>
      <c r="AO767" s="699"/>
      <c r="AP767" s="698"/>
    </row>
    <row r="768" spans="1:42" ht="14.85" customHeight="1" x14ac:dyDescent="0.25">
      <c r="A768" s="611"/>
      <c r="B768" s="614"/>
      <c r="C768" s="617"/>
      <c r="D768" s="620"/>
      <c r="E768" s="130" t="s">
        <v>32</v>
      </c>
      <c r="F768" s="592">
        <f>IFERROR(VLOOKUP($B766,اسماء,25,0),0)</f>
        <v>0</v>
      </c>
      <c r="G768" s="593"/>
      <c r="H768" s="594">
        <f>IFERROR(VLOOKUP($B766,اسماء,26,0),0)</f>
        <v>0</v>
      </c>
      <c r="I768" s="595"/>
      <c r="J768" s="592">
        <f>IFERROR(VLOOKUP($B766,اسماء,27,0),0)</f>
        <v>0</v>
      </c>
      <c r="K768" s="593"/>
      <c r="L768" s="594">
        <f>IFERROR(VLOOKUP($B766,اسماء,28,0),0)</f>
        <v>0</v>
      </c>
      <c r="M768" s="596"/>
      <c r="N768" s="594">
        <f>IFERROR(VLOOKUP($B766,اسماء,29,0),0)</f>
        <v>0</v>
      </c>
      <c r="O768" s="596"/>
      <c r="P768" s="592">
        <f>IFERROR(VLOOKUP($B766,اسماء,30,0),0)</f>
        <v>0</v>
      </c>
      <c r="Q768" s="595"/>
      <c r="R768" s="372">
        <f t="shared" si="2016"/>
        <v>0</v>
      </c>
      <c r="S768" s="305" t="str">
        <f>IFERROR(VLOOKUP($B766,اسماء,34,0),"")</f>
        <v/>
      </c>
      <c r="T768" s="306" t="str">
        <f>IFERROR(VLOOKUP($B766,اسماء,35,0),"")</f>
        <v/>
      </c>
      <c r="U768" s="122" t="str">
        <f>IFERROR(VLOOKUP($B766,اسماء,36,0),"")</f>
        <v/>
      </c>
      <c r="V768" s="605"/>
      <c r="W768" s="20" t="str">
        <f t="shared" ref="W768" si="2071">LOOKUP(R768,$AF$6:$AG$10)</f>
        <v>ضعيف</v>
      </c>
      <c r="X768" s="640"/>
      <c r="Y768" s="68"/>
      <c r="Z768" s="598"/>
      <c r="AK768" s="667"/>
      <c r="AL768" s="667"/>
      <c r="AM768" s="696"/>
      <c r="AN768" s="698"/>
      <c r="AO768" s="699"/>
      <c r="AP768" s="698"/>
    </row>
    <row r="769" spans="1:42" ht="14.85" customHeight="1" thickBot="1" x14ac:dyDescent="0.3">
      <c r="A769" s="612"/>
      <c r="B769" s="615"/>
      <c r="C769" s="618"/>
      <c r="D769" s="621"/>
      <c r="E769" s="124" t="s">
        <v>33</v>
      </c>
      <c r="F769" s="623">
        <f t="shared" ref="F769" si="2072">SUM(F766:G768)</f>
        <v>0</v>
      </c>
      <c r="G769" s="624"/>
      <c r="H769" s="625">
        <f t="shared" ref="H769" si="2073">SUM(H766:I768)</f>
        <v>0</v>
      </c>
      <c r="I769" s="626"/>
      <c r="J769" s="623">
        <f t="shared" ref="J769" si="2074">SUM(J766:K768)</f>
        <v>0</v>
      </c>
      <c r="K769" s="624"/>
      <c r="L769" s="625">
        <f t="shared" ref="L769" si="2075">SUM(L766:M768)</f>
        <v>0</v>
      </c>
      <c r="M769" s="642"/>
      <c r="N769" s="625">
        <f t="shared" ref="N769" si="2076">SUM(N766:O768)</f>
        <v>0</v>
      </c>
      <c r="O769" s="642"/>
      <c r="P769" s="623">
        <f t="shared" ref="P769" si="2077">SUM(P766:Q768)</f>
        <v>0</v>
      </c>
      <c r="Q769" s="626"/>
      <c r="R769" s="88">
        <f t="shared" ref="R769" si="2078">IF(AND(F769&gt;=$G$8,H769&gt;=$I$8,J769&gt;=$K$8,L769&gt;=$M$8,N769&gt;=$O$8,P769&gt;=$Q$8),SUM(F769:Q769),0)</f>
        <v>0</v>
      </c>
      <c r="S769" s="251"/>
      <c r="T769" s="97"/>
      <c r="U769" s="94"/>
      <c r="V769" s="606"/>
      <c r="W769" s="88" t="str">
        <f t="shared" ref="W769" si="2079">LOOKUP(R769,$AI$6:$AJ$10)</f>
        <v>ضعيف</v>
      </c>
      <c r="X769" s="641"/>
      <c r="Y769" s="68"/>
      <c r="Z769" s="599"/>
      <c r="AK769" s="667"/>
      <c r="AL769" s="667"/>
      <c r="AM769" s="696"/>
      <c r="AN769" s="698"/>
      <c r="AO769" s="699"/>
      <c r="AP769" s="698"/>
    </row>
    <row r="770" spans="1:42" ht="14.85" customHeight="1" thickBot="1" x14ac:dyDescent="0.3">
      <c r="A770" s="610">
        <v>167</v>
      </c>
      <c r="B770" s="613">
        <f>VLOOKUP(A770,مسلسل,2,0)</f>
        <v>0</v>
      </c>
      <c r="C770" s="616" t="str">
        <f>IFERROR(VLOOKUP(B770,اسماء,2,0),"")</f>
        <v/>
      </c>
      <c r="D770" s="619" t="str">
        <f>IFERROR(VLOOKUP($B770,اسماء,3,0),"")</f>
        <v/>
      </c>
      <c r="E770" s="129" t="s">
        <v>30</v>
      </c>
      <c r="F770" s="600">
        <f>IFERROR(VLOOKUP($B770,اسماء,5,0),0)</f>
        <v>0</v>
      </c>
      <c r="G770" s="601"/>
      <c r="H770" s="602">
        <f>IFERROR(VLOOKUP($B770,اسماء,6,0),0)</f>
        <v>0</v>
      </c>
      <c r="I770" s="622"/>
      <c r="J770" s="600">
        <f>IFERROR(VLOOKUP($B770,اسماء,7,0),0)</f>
        <v>0</v>
      </c>
      <c r="K770" s="601"/>
      <c r="L770" s="602">
        <f>IFERROR(VLOOKUP($B770,اسماء,8,0),0)</f>
        <v>0</v>
      </c>
      <c r="M770" s="603"/>
      <c r="N770" s="602">
        <f>IFERROR(VLOOKUP($B770,اسماء,9,0),0)</f>
        <v>0</v>
      </c>
      <c r="O770" s="603"/>
      <c r="P770" s="600">
        <f>IFERROR(VLOOKUP($B770,اسماء,10,0),0)</f>
        <v>0</v>
      </c>
      <c r="Q770" s="622"/>
      <c r="R770" s="371">
        <f t="shared" ref="R770" si="2080">SUM(F770:Q770)</f>
        <v>0</v>
      </c>
      <c r="S770" s="213" t="str">
        <f>IFERROR(VLOOKUP($B770,اسماء,12,0),"")</f>
        <v/>
      </c>
      <c r="T770" s="214" t="str">
        <f>IFERROR(VLOOKUP($B770,اسماء,13,0),"")</f>
        <v/>
      </c>
      <c r="U770" s="364" t="str">
        <f>IFERROR(VLOOKUP($B770,اسماء,14,0),"")</f>
        <v/>
      </c>
      <c r="V770" s="604" t="str">
        <f t="shared" ref="V770" si="2081">IF(Z770="غائب","راسب",IF(R773&gt;0,"ناجح","مرحل"))</f>
        <v>مرحل</v>
      </c>
      <c r="W770" s="19" t="str">
        <f t="shared" ref="W770:W771" si="2082">LOOKUP(R770,$AC$6:$AD$10)</f>
        <v>ضعيف</v>
      </c>
      <c r="X770" s="639">
        <f t="shared" ref="X770" si="2083">R773/$AC$3</f>
        <v>0</v>
      </c>
      <c r="Y770" s="8"/>
      <c r="Z770" s="597" t="str">
        <f>IFERROR(VLOOKUP($B770,اسماء,48,0),"")</f>
        <v/>
      </c>
      <c r="AK770" s="667" t="str">
        <f t="shared" ref="AK770" si="2084">IF(R773=0,"",R773/1+ROW()*0.00001)</f>
        <v/>
      </c>
      <c r="AL770" s="667">
        <f>B770</f>
        <v>0</v>
      </c>
      <c r="AM770" s="696"/>
      <c r="AN770" s="698">
        <v>167</v>
      </c>
      <c r="AO770" s="699" t="str">
        <f>IFERROR(LARGE($AK$10:$AK$1420,AN770),"")</f>
        <v/>
      </c>
      <c r="AP770" s="698" t="str">
        <f>VLOOKUP(AO770,$AK$10:$AL$1530,2,0)</f>
        <v>امجد عمر عبداللطيف سلطان</v>
      </c>
    </row>
    <row r="771" spans="1:42" ht="14.85" customHeight="1" x14ac:dyDescent="0.25">
      <c r="A771" s="611"/>
      <c r="B771" s="614"/>
      <c r="C771" s="617"/>
      <c r="D771" s="620"/>
      <c r="E771" s="130" t="s">
        <v>31</v>
      </c>
      <c r="F771" s="592">
        <f>IFERROR(VLOOKUP($B770,اسماء,15,0),0)</f>
        <v>0</v>
      </c>
      <c r="G771" s="593"/>
      <c r="H771" s="594">
        <f>IFERROR(VLOOKUP($B770,اسماء,16,0),0)</f>
        <v>0</v>
      </c>
      <c r="I771" s="595"/>
      <c r="J771" s="592">
        <f>IFERROR(VLOOKUP($B770,اسماء,17,0),0)</f>
        <v>0</v>
      </c>
      <c r="K771" s="593"/>
      <c r="L771" s="594">
        <f>IFERROR(VLOOKUP($B770,اسماء,18,0),0)</f>
        <v>0</v>
      </c>
      <c r="M771" s="596"/>
      <c r="N771" s="594">
        <f>IFERROR(VLOOKUP($B770,اسماء,19,0),0)</f>
        <v>0</v>
      </c>
      <c r="O771" s="596"/>
      <c r="P771" s="592">
        <f>IFERROR(VLOOKUP($B770,اسماء,20,0),0)</f>
        <v>0</v>
      </c>
      <c r="Q771" s="595"/>
      <c r="R771" s="372">
        <f t="shared" si="2016"/>
        <v>0</v>
      </c>
      <c r="S771" s="305" t="str">
        <f>IFERROR(VLOOKUP($B770,اسماء,23,0),"")</f>
        <v/>
      </c>
      <c r="T771" s="306" t="str">
        <f>IFERROR(VLOOKUP($B770,اسماء,24,0),"")</f>
        <v/>
      </c>
      <c r="U771" s="122" t="str">
        <f>IFERROR(VLOOKUP($B770,اسماء,25,0),"")</f>
        <v/>
      </c>
      <c r="V771" s="605"/>
      <c r="W771" s="19" t="str">
        <f t="shared" si="2082"/>
        <v>ضعيف</v>
      </c>
      <c r="X771" s="640"/>
      <c r="Y771" s="68"/>
      <c r="Z771" s="598"/>
      <c r="AK771" s="667"/>
      <c r="AL771" s="667"/>
      <c r="AM771" s="696"/>
      <c r="AN771" s="698"/>
      <c r="AO771" s="699"/>
      <c r="AP771" s="698"/>
    </row>
    <row r="772" spans="1:42" ht="14.85" customHeight="1" x14ac:dyDescent="0.25">
      <c r="A772" s="611"/>
      <c r="B772" s="614"/>
      <c r="C772" s="617"/>
      <c r="D772" s="620"/>
      <c r="E772" s="130" t="s">
        <v>32</v>
      </c>
      <c r="F772" s="592">
        <f>IFERROR(VLOOKUP($B770,اسماء,25,0),0)</f>
        <v>0</v>
      </c>
      <c r="G772" s="593"/>
      <c r="H772" s="594">
        <f>IFERROR(VLOOKUP($B770,اسماء,26,0),0)</f>
        <v>0</v>
      </c>
      <c r="I772" s="595"/>
      <c r="J772" s="592">
        <f>IFERROR(VLOOKUP($B770,اسماء,27,0),0)</f>
        <v>0</v>
      </c>
      <c r="K772" s="593"/>
      <c r="L772" s="594">
        <f>IFERROR(VLOOKUP($B770,اسماء,28,0),0)</f>
        <v>0</v>
      </c>
      <c r="M772" s="596"/>
      <c r="N772" s="594">
        <f>IFERROR(VLOOKUP($B770,اسماء,29,0),0)</f>
        <v>0</v>
      </c>
      <c r="O772" s="596"/>
      <c r="P772" s="592">
        <f>IFERROR(VLOOKUP($B770,اسماء,30,0),0)</f>
        <v>0</v>
      </c>
      <c r="Q772" s="595"/>
      <c r="R772" s="372">
        <f t="shared" si="2016"/>
        <v>0</v>
      </c>
      <c r="S772" s="305" t="str">
        <f>IFERROR(VLOOKUP($B770,اسماء,34,0),"")</f>
        <v/>
      </c>
      <c r="T772" s="306" t="str">
        <f>IFERROR(VLOOKUP($B770,اسماء,35,0),"")</f>
        <v/>
      </c>
      <c r="U772" s="122" t="str">
        <f>IFERROR(VLOOKUP($B770,اسماء,36,0),"")</f>
        <v/>
      </c>
      <c r="V772" s="605"/>
      <c r="W772" s="20" t="str">
        <f t="shared" ref="W772" si="2085">LOOKUP(R772,$AF$6:$AG$10)</f>
        <v>ضعيف</v>
      </c>
      <c r="X772" s="640"/>
      <c r="Y772" s="68"/>
      <c r="Z772" s="598"/>
      <c r="AK772" s="667"/>
      <c r="AL772" s="667"/>
      <c r="AM772" s="696"/>
      <c r="AN772" s="698"/>
      <c r="AO772" s="699"/>
      <c r="AP772" s="698"/>
    </row>
    <row r="773" spans="1:42" ht="14.85" customHeight="1" thickBot="1" x14ac:dyDescent="0.3">
      <c r="A773" s="612"/>
      <c r="B773" s="615"/>
      <c r="C773" s="618"/>
      <c r="D773" s="621"/>
      <c r="E773" s="124" t="s">
        <v>33</v>
      </c>
      <c r="F773" s="623">
        <f t="shared" ref="F773" si="2086">SUM(F770:G772)</f>
        <v>0</v>
      </c>
      <c r="G773" s="624"/>
      <c r="H773" s="625">
        <f t="shared" ref="H773" si="2087">SUM(H770:I772)</f>
        <v>0</v>
      </c>
      <c r="I773" s="626"/>
      <c r="J773" s="623">
        <f t="shared" ref="J773" si="2088">SUM(J770:K772)</f>
        <v>0</v>
      </c>
      <c r="K773" s="624"/>
      <c r="L773" s="625">
        <f t="shared" ref="L773" si="2089">SUM(L770:M772)</f>
        <v>0</v>
      </c>
      <c r="M773" s="642"/>
      <c r="N773" s="625">
        <f t="shared" ref="N773" si="2090">SUM(N770:O772)</f>
        <v>0</v>
      </c>
      <c r="O773" s="642"/>
      <c r="P773" s="623">
        <f t="shared" ref="P773" si="2091">SUM(P770:Q772)</f>
        <v>0</v>
      </c>
      <c r="Q773" s="626"/>
      <c r="R773" s="88">
        <f t="shared" ref="R773" si="2092">IF(AND(F773&gt;=$G$8,H773&gt;=$I$8,J773&gt;=$K$8,L773&gt;=$M$8,N773&gt;=$O$8,P773&gt;=$Q$8),SUM(F773:Q773),0)</f>
        <v>0</v>
      </c>
      <c r="S773" s="251"/>
      <c r="T773" s="97"/>
      <c r="U773" s="94"/>
      <c r="V773" s="606"/>
      <c r="W773" s="88" t="str">
        <f t="shared" ref="W773" si="2093">LOOKUP(R773,$AI$6:$AJ$10)</f>
        <v>ضعيف</v>
      </c>
      <c r="X773" s="641"/>
      <c r="Y773" s="8"/>
      <c r="Z773" s="599"/>
      <c r="AK773" s="667"/>
      <c r="AL773" s="667"/>
      <c r="AM773" s="696"/>
      <c r="AN773" s="698"/>
      <c r="AO773" s="699"/>
      <c r="AP773" s="698"/>
    </row>
    <row r="774" spans="1:42" ht="14.85" customHeight="1" thickBot="1" x14ac:dyDescent="0.3">
      <c r="A774" s="610">
        <v>168</v>
      </c>
      <c r="B774" s="613">
        <f>VLOOKUP(A774,مسلسل,2,0)</f>
        <v>0</v>
      </c>
      <c r="C774" s="616" t="str">
        <f>IFERROR(VLOOKUP(B774,اسماء,2,0),"")</f>
        <v/>
      </c>
      <c r="D774" s="619" t="str">
        <f>IFERROR(VLOOKUP($B774,اسماء,3,0),"")</f>
        <v/>
      </c>
      <c r="E774" s="129" t="s">
        <v>30</v>
      </c>
      <c r="F774" s="600">
        <f>IFERROR(VLOOKUP($B774,اسماء,5,0),0)</f>
        <v>0</v>
      </c>
      <c r="G774" s="601"/>
      <c r="H774" s="602">
        <f>IFERROR(VLOOKUP($B774,اسماء,6,0),0)</f>
        <v>0</v>
      </c>
      <c r="I774" s="622"/>
      <c r="J774" s="600">
        <f>IFERROR(VLOOKUP($B774,اسماء,7,0),0)</f>
        <v>0</v>
      </c>
      <c r="K774" s="601"/>
      <c r="L774" s="602">
        <f>IFERROR(VLOOKUP($B774,اسماء,8,0),0)</f>
        <v>0</v>
      </c>
      <c r="M774" s="603"/>
      <c r="N774" s="602">
        <f>IFERROR(VLOOKUP($B774,اسماء,9,0),0)</f>
        <v>0</v>
      </c>
      <c r="O774" s="603"/>
      <c r="P774" s="600">
        <f>IFERROR(VLOOKUP($B774,اسماء,10,0),0)</f>
        <v>0</v>
      </c>
      <c r="Q774" s="622"/>
      <c r="R774" s="371">
        <f t="shared" ref="R774" si="2094">SUM(F774:Q774)</f>
        <v>0</v>
      </c>
      <c r="S774" s="213" t="str">
        <f>IFERROR(VLOOKUP($B774,اسماء,12,0),"")</f>
        <v/>
      </c>
      <c r="T774" s="214" t="str">
        <f>IFERROR(VLOOKUP($B774,اسماء,13,0),"")</f>
        <v/>
      </c>
      <c r="U774" s="364" t="str">
        <f>IFERROR(VLOOKUP($B774,اسماء,14,0),"")</f>
        <v/>
      </c>
      <c r="V774" s="604" t="str">
        <f t="shared" ref="V774" si="2095">IF(Z774="غائب","راسب",IF(R777&gt;0,"ناجح","مرحل"))</f>
        <v>مرحل</v>
      </c>
      <c r="W774" s="19" t="str">
        <f t="shared" ref="W774:W775" si="2096">LOOKUP(R774,$AC$6:$AD$10)</f>
        <v>ضعيف</v>
      </c>
      <c r="X774" s="639">
        <f t="shared" ref="X774" si="2097">R777/$AC$3</f>
        <v>0</v>
      </c>
      <c r="Y774" s="68"/>
      <c r="Z774" s="597" t="str">
        <f>IFERROR(VLOOKUP($B774,اسماء,48,0),"")</f>
        <v/>
      </c>
      <c r="AK774" s="667" t="str">
        <f t="shared" ref="AK774" si="2098">IF(R777=0,"",R777/1+ROW()*0.00001)</f>
        <v/>
      </c>
      <c r="AL774" s="667">
        <f>B774</f>
        <v>0</v>
      </c>
      <c r="AM774" s="696"/>
      <c r="AN774" s="698">
        <v>168</v>
      </c>
      <c r="AO774" s="699" t="str">
        <f>IFERROR(LARGE($AK$10:$AK$1420,AN774),"")</f>
        <v/>
      </c>
      <c r="AP774" s="698" t="str">
        <f>VLOOKUP(AO774,$AK$10:$AL$1530,2,0)</f>
        <v>امجد عمر عبداللطيف سلطان</v>
      </c>
    </row>
    <row r="775" spans="1:42" ht="14.85" customHeight="1" x14ac:dyDescent="0.25">
      <c r="A775" s="611"/>
      <c r="B775" s="614"/>
      <c r="C775" s="617"/>
      <c r="D775" s="620"/>
      <c r="E775" s="130" t="s">
        <v>31</v>
      </c>
      <c r="F775" s="592">
        <f>IFERROR(VLOOKUP($B774,اسماء,15,0),0)</f>
        <v>0</v>
      </c>
      <c r="G775" s="593"/>
      <c r="H775" s="594">
        <f>IFERROR(VLOOKUP($B774,اسماء,16,0),0)</f>
        <v>0</v>
      </c>
      <c r="I775" s="595"/>
      <c r="J775" s="592">
        <f>IFERROR(VLOOKUP($B774,اسماء,17,0),0)</f>
        <v>0</v>
      </c>
      <c r="K775" s="593"/>
      <c r="L775" s="594">
        <f>IFERROR(VLOOKUP($B774,اسماء,18,0),0)</f>
        <v>0</v>
      </c>
      <c r="M775" s="596"/>
      <c r="N775" s="594">
        <f>IFERROR(VLOOKUP($B774,اسماء,19,0),0)</f>
        <v>0</v>
      </c>
      <c r="O775" s="596"/>
      <c r="P775" s="592">
        <f>IFERROR(VLOOKUP($B774,اسماء,20,0),0)</f>
        <v>0</v>
      </c>
      <c r="Q775" s="595"/>
      <c r="R775" s="372">
        <f t="shared" si="2016"/>
        <v>0</v>
      </c>
      <c r="S775" s="305" t="str">
        <f>IFERROR(VLOOKUP($B774,اسماء,23,0),"")</f>
        <v/>
      </c>
      <c r="T775" s="306" t="str">
        <f>IFERROR(VLOOKUP($B774,اسماء,24,0),"")</f>
        <v/>
      </c>
      <c r="U775" s="122" t="str">
        <f>IFERROR(VLOOKUP($B774,اسماء,25,0),"")</f>
        <v/>
      </c>
      <c r="V775" s="605"/>
      <c r="W775" s="19" t="str">
        <f t="shared" si="2096"/>
        <v>ضعيف</v>
      </c>
      <c r="X775" s="640"/>
      <c r="Y775" s="68"/>
      <c r="Z775" s="598"/>
      <c r="AK775" s="667"/>
      <c r="AL775" s="667"/>
      <c r="AM775" s="696"/>
      <c r="AN775" s="698"/>
      <c r="AO775" s="699"/>
      <c r="AP775" s="698"/>
    </row>
    <row r="776" spans="1:42" ht="14.85" customHeight="1" x14ac:dyDescent="0.25">
      <c r="A776" s="611"/>
      <c r="B776" s="614"/>
      <c r="C776" s="617"/>
      <c r="D776" s="620"/>
      <c r="E776" s="130" t="s">
        <v>32</v>
      </c>
      <c r="F776" s="592">
        <f>IFERROR(VLOOKUP($B774,اسماء,25,0),0)</f>
        <v>0</v>
      </c>
      <c r="G776" s="593"/>
      <c r="H776" s="594">
        <f>IFERROR(VLOOKUP($B774,اسماء,26,0),0)</f>
        <v>0</v>
      </c>
      <c r="I776" s="595"/>
      <c r="J776" s="592">
        <f>IFERROR(VLOOKUP($B774,اسماء,27,0),0)</f>
        <v>0</v>
      </c>
      <c r="K776" s="593"/>
      <c r="L776" s="594">
        <f>IFERROR(VLOOKUP($B774,اسماء,28,0),0)</f>
        <v>0</v>
      </c>
      <c r="M776" s="596"/>
      <c r="N776" s="594">
        <f>IFERROR(VLOOKUP($B774,اسماء,29,0),0)</f>
        <v>0</v>
      </c>
      <c r="O776" s="596"/>
      <c r="P776" s="592">
        <f>IFERROR(VLOOKUP($B774,اسماء,30,0),0)</f>
        <v>0</v>
      </c>
      <c r="Q776" s="595"/>
      <c r="R776" s="372">
        <f t="shared" si="2016"/>
        <v>0</v>
      </c>
      <c r="S776" s="305" t="str">
        <f>IFERROR(VLOOKUP($B774,اسماء,34,0),"")</f>
        <v/>
      </c>
      <c r="T776" s="306" t="str">
        <f>IFERROR(VLOOKUP($B774,اسماء,35,0),"")</f>
        <v/>
      </c>
      <c r="U776" s="122" t="str">
        <f>IFERROR(VLOOKUP($B774,اسماء,36,0),"")</f>
        <v/>
      </c>
      <c r="V776" s="605"/>
      <c r="W776" s="20" t="str">
        <f t="shared" ref="W776" si="2099">LOOKUP(R776,$AF$6:$AG$10)</f>
        <v>ضعيف</v>
      </c>
      <c r="X776" s="640"/>
      <c r="Y776" s="8"/>
      <c r="Z776" s="598"/>
      <c r="AK776" s="667"/>
      <c r="AL776" s="667"/>
      <c r="AM776" s="696"/>
      <c r="AN776" s="698"/>
      <c r="AO776" s="699"/>
      <c r="AP776" s="698"/>
    </row>
    <row r="777" spans="1:42" ht="14.85" customHeight="1" thickBot="1" x14ac:dyDescent="0.3">
      <c r="A777" s="612"/>
      <c r="B777" s="615"/>
      <c r="C777" s="618"/>
      <c r="D777" s="621"/>
      <c r="E777" s="124" t="s">
        <v>33</v>
      </c>
      <c r="F777" s="623">
        <f t="shared" ref="F777" si="2100">SUM(F774:G776)</f>
        <v>0</v>
      </c>
      <c r="G777" s="624"/>
      <c r="H777" s="625">
        <f t="shared" ref="H777" si="2101">SUM(H774:I776)</f>
        <v>0</v>
      </c>
      <c r="I777" s="626"/>
      <c r="J777" s="623">
        <f t="shared" ref="J777" si="2102">SUM(J774:K776)</f>
        <v>0</v>
      </c>
      <c r="K777" s="624"/>
      <c r="L777" s="625">
        <f t="shared" ref="L777" si="2103">SUM(L774:M776)</f>
        <v>0</v>
      </c>
      <c r="M777" s="642"/>
      <c r="N777" s="625">
        <f t="shared" ref="N777" si="2104">SUM(N774:O776)</f>
        <v>0</v>
      </c>
      <c r="O777" s="642"/>
      <c r="P777" s="623">
        <f t="shared" ref="P777" si="2105">SUM(P774:Q776)</f>
        <v>0</v>
      </c>
      <c r="Q777" s="626"/>
      <c r="R777" s="88">
        <f t="shared" ref="R777" si="2106">IF(AND(F777&gt;=$G$8,H777&gt;=$I$8,J777&gt;=$K$8,L777&gt;=$M$8,N777&gt;=$O$8,P777&gt;=$Q$8),SUM(F777:Q777),0)</f>
        <v>0</v>
      </c>
      <c r="S777" s="251"/>
      <c r="T777" s="97"/>
      <c r="U777" s="94"/>
      <c r="V777" s="606"/>
      <c r="W777" s="88" t="str">
        <f t="shared" ref="W777" si="2107">LOOKUP(R777,$AI$6:$AJ$10)</f>
        <v>ضعيف</v>
      </c>
      <c r="X777" s="641"/>
      <c r="Y777" s="68"/>
      <c r="Z777" s="599"/>
      <c r="AK777" s="667"/>
      <c r="AL777" s="667"/>
      <c r="AM777" s="696"/>
      <c r="AN777" s="698"/>
      <c r="AO777" s="699"/>
      <c r="AP777" s="698"/>
    </row>
    <row r="778" spans="1:42" ht="14.85" customHeight="1" thickBot="1" x14ac:dyDescent="0.3">
      <c r="A778" s="610">
        <v>169</v>
      </c>
      <c r="B778" s="613">
        <f>VLOOKUP(A778,مسلسل,2,0)</f>
        <v>0</v>
      </c>
      <c r="C778" s="616" t="str">
        <f>IFERROR(VLOOKUP(B778,اسماء,2,0),"")</f>
        <v/>
      </c>
      <c r="D778" s="619" t="str">
        <f>IFERROR(VLOOKUP($B778,اسماء,3,0),"")</f>
        <v/>
      </c>
      <c r="E778" s="129" t="s">
        <v>30</v>
      </c>
      <c r="F778" s="600">
        <f>IFERROR(VLOOKUP($B778,اسماء,5,0),0)</f>
        <v>0</v>
      </c>
      <c r="G778" s="601"/>
      <c r="H778" s="602">
        <f>IFERROR(VLOOKUP($B778,اسماء,6,0),0)</f>
        <v>0</v>
      </c>
      <c r="I778" s="622"/>
      <c r="J778" s="600">
        <f>IFERROR(VLOOKUP($B778,اسماء,7,0),0)</f>
        <v>0</v>
      </c>
      <c r="K778" s="601"/>
      <c r="L778" s="602">
        <f>IFERROR(VLOOKUP($B778,اسماء,8,0),0)</f>
        <v>0</v>
      </c>
      <c r="M778" s="603"/>
      <c r="N778" s="602">
        <f>IFERROR(VLOOKUP($B778,اسماء,9,0),0)</f>
        <v>0</v>
      </c>
      <c r="O778" s="603"/>
      <c r="P778" s="600">
        <f>IFERROR(VLOOKUP($B778,اسماء,10,0),0)</f>
        <v>0</v>
      </c>
      <c r="Q778" s="622"/>
      <c r="R778" s="371">
        <f t="shared" ref="R778" si="2108">SUM(F778:Q778)</f>
        <v>0</v>
      </c>
      <c r="S778" s="213" t="str">
        <f>IFERROR(VLOOKUP($B778,اسماء,12,0),"")</f>
        <v/>
      </c>
      <c r="T778" s="214" t="str">
        <f>IFERROR(VLOOKUP($B778,اسماء,13,0),"")</f>
        <v/>
      </c>
      <c r="U778" s="364" t="str">
        <f>IFERROR(VLOOKUP($B778,اسماء,14,0),"")</f>
        <v/>
      </c>
      <c r="V778" s="604" t="str">
        <f t="shared" ref="V778" si="2109">IF(Z778="غائب","راسب",IF(R781&gt;0,"ناجح","مرحل"))</f>
        <v>مرحل</v>
      </c>
      <c r="W778" s="19" t="str">
        <f t="shared" ref="W778:W779" si="2110">LOOKUP(R778,$AC$6:$AD$10)</f>
        <v>ضعيف</v>
      </c>
      <c r="X778" s="639">
        <f t="shared" ref="X778" si="2111">R781/$AC$3</f>
        <v>0</v>
      </c>
      <c r="Y778" s="68"/>
      <c r="Z778" s="597" t="str">
        <f>IFERROR(VLOOKUP($B778,اسماء,48,0),"")</f>
        <v/>
      </c>
      <c r="AK778" s="667" t="str">
        <f t="shared" ref="AK778" si="2112">IF(R781=0,"",R781/1+ROW()*0.00001)</f>
        <v/>
      </c>
      <c r="AL778" s="667">
        <f>B778</f>
        <v>0</v>
      </c>
      <c r="AM778" s="696"/>
      <c r="AN778" s="698">
        <v>169</v>
      </c>
      <c r="AO778" s="699" t="str">
        <f>IFERROR(LARGE($AK$10:$AK$1420,AN778),"")</f>
        <v/>
      </c>
      <c r="AP778" s="698" t="str">
        <f>VLOOKUP(AO778,$AK$10:$AL$1530,2,0)</f>
        <v>امجد عمر عبداللطيف سلطان</v>
      </c>
    </row>
    <row r="779" spans="1:42" ht="14.85" customHeight="1" x14ac:dyDescent="0.25">
      <c r="A779" s="611"/>
      <c r="B779" s="614"/>
      <c r="C779" s="617"/>
      <c r="D779" s="620"/>
      <c r="E779" s="130" t="s">
        <v>31</v>
      </c>
      <c r="F779" s="592">
        <f>IFERROR(VLOOKUP($B778,اسماء,15,0),0)</f>
        <v>0</v>
      </c>
      <c r="G779" s="593"/>
      <c r="H779" s="594">
        <f>IFERROR(VLOOKUP($B778,اسماء,16,0),0)</f>
        <v>0</v>
      </c>
      <c r="I779" s="595"/>
      <c r="J779" s="592">
        <f>IFERROR(VLOOKUP($B778,اسماء,17,0),0)</f>
        <v>0</v>
      </c>
      <c r="K779" s="593"/>
      <c r="L779" s="594">
        <f>IFERROR(VLOOKUP($B778,اسماء,18,0),0)</f>
        <v>0</v>
      </c>
      <c r="M779" s="596"/>
      <c r="N779" s="594">
        <f>IFERROR(VLOOKUP($B778,اسماء,19,0),0)</f>
        <v>0</v>
      </c>
      <c r="O779" s="596"/>
      <c r="P779" s="592">
        <f>IFERROR(VLOOKUP($B778,اسماء,20,0),0)</f>
        <v>0</v>
      </c>
      <c r="Q779" s="595"/>
      <c r="R779" s="372">
        <f t="shared" si="2016"/>
        <v>0</v>
      </c>
      <c r="S779" s="305" t="str">
        <f>IFERROR(VLOOKUP($B778,اسماء,23,0),"")</f>
        <v/>
      </c>
      <c r="T779" s="306" t="str">
        <f>IFERROR(VLOOKUP($B778,اسماء,24,0),"")</f>
        <v/>
      </c>
      <c r="U779" s="122" t="str">
        <f>IFERROR(VLOOKUP($B778,اسماء,25,0),"")</f>
        <v/>
      </c>
      <c r="V779" s="605"/>
      <c r="W779" s="19" t="str">
        <f t="shared" si="2110"/>
        <v>ضعيف</v>
      </c>
      <c r="X779" s="640"/>
      <c r="Y779" s="8"/>
      <c r="Z779" s="598"/>
      <c r="AK779" s="667"/>
      <c r="AL779" s="667"/>
      <c r="AM779" s="696"/>
      <c r="AN779" s="698"/>
      <c r="AO779" s="699"/>
      <c r="AP779" s="698"/>
    </row>
    <row r="780" spans="1:42" ht="14.85" customHeight="1" x14ac:dyDescent="0.25">
      <c r="A780" s="611"/>
      <c r="B780" s="614"/>
      <c r="C780" s="617"/>
      <c r="D780" s="620"/>
      <c r="E780" s="130" t="s">
        <v>32</v>
      </c>
      <c r="F780" s="592">
        <f>IFERROR(VLOOKUP($B778,اسماء,25,0),0)</f>
        <v>0</v>
      </c>
      <c r="G780" s="593"/>
      <c r="H780" s="594">
        <f>IFERROR(VLOOKUP($B778,اسماء,26,0),0)</f>
        <v>0</v>
      </c>
      <c r="I780" s="595"/>
      <c r="J780" s="592">
        <f>IFERROR(VLOOKUP($B778,اسماء,27,0),0)</f>
        <v>0</v>
      </c>
      <c r="K780" s="593"/>
      <c r="L780" s="594">
        <f>IFERROR(VLOOKUP($B778,اسماء,28,0),0)</f>
        <v>0</v>
      </c>
      <c r="M780" s="596"/>
      <c r="N780" s="594">
        <f>IFERROR(VLOOKUP($B778,اسماء,29,0),0)</f>
        <v>0</v>
      </c>
      <c r="O780" s="596"/>
      <c r="P780" s="592">
        <f>IFERROR(VLOOKUP($B778,اسماء,30,0),0)</f>
        <v>0</v>
      </c>
      <c r="Q780" s="595"/>
      <c r="R780" s="372">
        <f t="shared" si="2016"/>
        <v>0</v>
      </c>
      <c r="S780" s="305" t="str">
        <f>IFERROR(VLOOKUP($B778,اسماء,34,0),"")</f>
        <v/>
      </c>
      <c r="T780" s="306" t="str">
        <f>IFERROR(VLOOKUP($B778,اسماء,35,0),"")</f>
        <v/>
      </c>
      <c r="U780" s="122" t="str">
        <f>IFERROR(VLOOKUP($B778,اسماء,36,0),"")</f>
        <v/>
      </c>
      <c r="V780" s="605"/>
      <c r="W780" s="20" t="str">
        <f t="shared" ref="W780" si="2113">LOOKUP(R780,$AF$6:$AG$10)</f>
        <v>ضعيف</v>
      </c>
      <c r="X780" s="640"/>
      <c r="Y780" s="68"/>
      <c r="Z780" s="598"/>
      <c r="AK780" s="667"/>
      <c r="AL780" s="667"/>
      <c r="AM780" s="696"/>
      <c r="AN780" s="698"/>
      <c r="AO780" s="699"/>
      <c r="AP780" s="698"/>
    </row>
    <row r="781" spans="1:42" ht="14.85" customHeight="1" thickBot="1" x14ac:dyDescent="0.3">
      <c r="A781" s="612"/>
      <c r="B781" s="615"/>
      <c r="C781" s="618"/>
      <c r="D781" s="621"/>
      <c r="E781" s="124" t="s">
        <v>33</v>
      </c>
      <c r="F781" s="623">
        <f t="shared" ref="F781" si="2114">SUM(F778:G780)</f>
        <v>0</v>
      </c>
      <c r="G781" s="624"/>
      <c r="H781" s="625">
        <f t="shared" ref="H781" si="2115">SUM(H778:I780)</f>
        <v>0</v>
      </c>
      <c r="I781" s="626"/>
      <c r="J781" s="623">
        <f t="shared" ref="J781" si="2116">SUM(J778:K780)</f>
        <v>0</v>
      </c>
      <c r="K781" s="624"/>
      <c r="L781" s="625">
        <f t="shared" ref="L781" si="2117">SUM(L778:M780)</f>
        <v>0</v>
      </c>
      <c r="M781" s="642"/>
      <c r="N781" s="625">
        <f t="shared" ref="N781" si="2118">SUM(N778:O780)</f>
        <v>0</v>
      </c>
      <c r="O781" s="642"/>
      <c r="P781" s="623">
        <f t="shared" ref="P781" si="2119">SUM(P778:Q780)</f>
        <v>0</v>
      </c>
      <c r="Q781" s="626"/>
      <c r="R781" s="88">
        <f t="shared" ref="R781" si="2120">IF(AND(F781&gt;=$G$8,H781&gt;=$I$8,J781&gt;=$K$8,L781&gt;=$M$8,N781&gt;=$O$8,P781&gt;=$Q$8),SUM(F781:Q781),0)</f>
        <v>0</v>
      </c>
      <c r="S781" s="251"/>
      <c r="T781" s="97"/>
      <c r="U781" s="94"/>
      <c r="V781" s="606"/>
      <c r="W781" s="88" t="str">
        <f t="shared" ref="W781" si="2121">LOOKUP(R781,$AI$6:$AJ$10)</f>
        <v>ضعيف</v>
      </c>
      <c r="X781" s="641"/>
      <c r="Y781" s="68"/>
      <c r="Z781" s="599"/>
      <c r="AK781" s="667"/>
      <c r="AL781" s="667"/>
      <c r="AM781" s="696"/>
      <c r="AN781" s="698"/>
      <c r="AO781" s="699"/>
      <c r="AP781" s="698"/>
    </row>
    <row r="782" spans="1:42" ht="14.85" customHeight="1" thickBot="1" x14ac:dyDescent="0.3">
      <c r="A782" s="610">
        <v>170</v>
      </c>
      <c r="B782" s="613">
        <f>VLOOKUP(A782,مسلسل,2,0)</f>
        <v>0</v>
      </c>
      <c r="C782" s="616" t="str">
        <f>IFERROR(VLOOKUP(B782,اسماء,2,0),"")</f>
        <v/>
      </c>
      <c r="D782" s="619" t="str">
        <f>IFERROR(VLOOKUP($B782,اسماء,3,0),"")</f>
        <v/>
      </c>
      <c r="E782" s="129" t="s">
        <v>30</v>
      </c>
      <c r="F782" s="600">
        <f>IFERROR(VLOOKUP($B782,اسماء,5,0),0)</f>
        <v>0</v>
      </c>
      <c r="G782" s="601"/>
      <c r="H782" s="602">
        <f>IFERROR(VLOOKUP($B782,اسماء,6,0),0)</f>
        <v>0</v>
      </c>
      <c r="I782" s="622"/>
      <c r="J782" s="600">
        <f>IFERROR(VLOOKUP($B782,اسماء,7,0),0)</f>
        <v>0</v>
      </c>
      <c r="K782" s="601"/>
      <c r="L782" s="602">
        <f>IFERROR(VLOOKUP($B782,اسماء,8,0),0)</f>
        <v>0</v>
      </c>
      <c r="M782" s="603"/>
      <c r="N782" s="602">
        <f>IFERROR(VLOOKUP($B782,اسماء,9,0),0)</f>
        <v>0</v>
      </c>
      <c r="O782" s="603"/>
      <c r="P782" s="600">
        <f>IFERROR(VLOOKUP($B782,اسماء,10,0),0)</f>
        <v>0</v>
      </c>
      <c r="Q782" s="622"/>
      <c r="R782" s="371">
        <f t="shared" ref="R782" si="2122">SUM(F782:Q782)</f>
        <v>0</v>
      </c>
      <c r="S782" s="213" t="str">
        <f>IFERROR(VLOOKUP($B782,اسماء,12,0),"")</f>
        <v/>
      </c>
      <c r="T782" s="214" t="str">
        <f>IFERROR(VLOOKUP($B782,اسماء,13,0),"")</f>
        <v/>
      </c>
      <c r="U782" s="364" t="str">
        <f>IFERROR(VLOOKUP($B782,اسماء,14,0),"")</f>
        <v/>
      </c>
      <c r="V782" s="604" t="str">
        <f t="shared" ref="V782" si="2123">IF(Z782="غائب","راسب",IF(R785&gt;0,"ناجح","مرحل"))</f>
        <v>مرحل</v>
      </c>
      <c r="W782" s="19" t="str">
        <f t="shared" ref="W782:W783" si="2124">LOOKUP(R782,$AC$6:$AD$10)</f>
        <v>ضعيف</v>
      </c>
      <c r="X782" s="639">
        <f t="shared" ref="X782" si="2125">R785/$AC$3</f>
        <v>0</v>
      </c>
      <c r="Y782" s="8"/>
      <c r="Z782" s="597" t="str">
        <f>IFERROR(VLOOKUP($B782,اسماء,48,0),"")</f>
        <v/>
      </c>
      <c r="AK782" s="667" t="str">
        <f t="shared" ref="AK782" si="2126">IF(R785=0,"",R785/1+ROW()*0.00001)</f>
        <v/>
      </c>
      <c r="AL782" s="667">
        <f>B782</f>
        <v>0</v>
      </c>
      <c r="AM782" s="696"/>
      <c r="AN782" s="698">
        <v>170</v>
      </c>
      <c r="AO782" s="699" t="str">
        <f>IFERROR(LARGE($AK$10:$AK$1420,AN782),"")</f>
        <v/>
      </c>
      <c r="AP782" s="698" t="str">
        <f>VLOOKUP(AO782,$AK$10:$AL$1530,2,0)</f>
        <v>امجد عمر عبداللطيف سلطان</v>
      </c>
    </row>
    <row r="783" spans="1:42" ht="14.85" customHeight="1" x14ac:dyDescent="0.25">
      <c r="A783" s="611"/>
      <c r="B783" s="614"/>
      <c r="C783" s="617"/>
      <c r="D783" s="620"/>
      <c r="E783" s="130" t="s">
        <v>31</v>
      </c>
      <c r="F783" s="592">
        <f>IFERROR(VLOOKUP($B782,اسماء,15,0),0)</f>
        <v>0</v>
      </c>
      <c r="G783" s="593"/>
      <c r="H783" s="594">
        <f>IFERROR(VLOOKUP($B782,اسماء,16,0),0)</f>
        <v>0</v>
      </c>
      <c r="I783" s="595"/>
      <c r="J783" s="592">
        <f>IFERROR(VLOOKUP($B782,اسماء,17,0),0)</f>
        <v>0</v>
      </c>
      <c r="K783" s="593"/>
      <c r="L783" s="594">
        <f>IFERROR(VLOOKUP($B782,اسماء,18,0),0)</f>
        <v>0</v>
      </c>
      <c r="M783" s="596"/>
      <c r="N783" s="594">
        <f>IFERROR(VLOOKUP($B782,اسماء,19,0),0)</f>
        <v>0</v>
      </c>
      <c r="O783" s="596"/>
      <c r="P783" s="592">
        <f>IFERROR(VLOOKUP($B782,اسماء,20,0),0)</f>
        <v>0</v>
      </c>
      <c r="Q783" s="595"/>
      <c r="R783" s="372">
        <f t="shared" si="2016"/>
        <v>0</v>
      </c>
      <c r="S783" s="305" t="str">
        <f>IFERROR(VLOOKUP($B782,اسماء,23,0),"")</f>
        <v/>
      </c>
      <c r="T783" s="306" t="str">
        <f>IFERROR(VLOOKUP($B782,اسماء,24,0),"")</f>
        <v/>
      </c>
      <c r="U783" s="122" t="str">
        <f>IFERROR(VLOOKUP($B782,اسماء,25,0),"")</f>
        <v/>
      </c>
      <c r="V783" s="605"/>
      <c r="W783" s="19" t="str">
        <f t="shared" si="2124"/>
        <v>ضعيف</v>
      </c>
      <c r="X783" s="640"/>
      <c r="Y783" s="68"/>
      <c r="Z783" s="598"/>
      <c r="AK783" s="667"/>
      <c r="AL783" s="667"/>
      <c r="AM783" s="696"/>
      <c r="AN783" s="698"/>
      <c r="AO783" s="699"/>
      <c r="AP783" s="698"/>
    </row>
    <row r="784" spans="1:42" ht="14.85" customHeight="1" x14ac:dyDescent="0.25">
      <c r="A784" s="611"/>
      <c r="B784" s="614"/>
      <c r="C784" s="617"/>
      <c r="D784" s="620"/>
      <c r="E784" s="130" t="s">
        <v>32</v>
      </c>
      <c r="F784" s="592">
        <f>IFERROR(VLOOKUP($B782,اسماء,25,0),0)</f>
        <v>0</v>
      </c>
      <c r="G784" s="593"/>
      <c r="H784" s="594">
        <f>IFERROR(VLOOKUP($B782,اسماء,26,0),0)</f>
        <v>0</v>
      </c>
      <c r="I784" s="595"/>
      <c r="J784" s="592">
        <f>IFERROR(VLOOKUP($B782,اسماء,27,0),0)</f>
        <v>0</v>
      </c>
      <c r="K784" s="593"/>
      <c r="L784" s="594">
        <f>IFERROR(VLOOKUP($B782,اسماء,28,0),0)</f>
        <v>0</v>
      </c>
      <c r="M784" s="596"/>
      <c r="N784" s="594">
        <f>IFERROR(VLOOKUP($B782,اسماء,29,0),0)</f>
        <v>0</v>
      </c>
      <c r="O784" s="596"/>
      <c r="P784" s="592">
        <f>IFERROR(VLOOKUP($B782,اسماء,30,0),0)</f>
        <v>0</v>
      </c>
      <c r="Q784" s="595"/>
      <c r="R784" s="372">
        <f t="shared" si="2016"/>
        <v>0</v>
      </c>
      <c r="S784" s="305" t="str">
        <f>IFERROR(VLOOKUP($B782,اسماء,34,0),"")</f>
        <v/>
      </c>
      <c r="T784" s="306" t="str">
        <f>IFERROR(VLOOKUP($B782,اسماء,35,0),"")</f>
        <v/>
      </c>
      <c r="U784" s="122" t="str">
        <f>IFERROR(VLOOKUP($B782,اسماء,36,0),"")</f>
        <v/>
      </c>
      <c r="V784" s="605"/>
      <c r="W784" s="20" t="str">
        <f t="shared" ref="W784" si="2127">LOOKUP(R784,$AF$6:$AG$10)</f>
        <v>ضعيف</v>
      </c>
      <c r="X784" s="640"/>
      <c r="Y784" s="68"/>
      <c r="Z784" s="598"/>
      <c r="AK784" s="667"/>
      <c r="AL784" s="667"/>
      <c r="AM784" s="696"/>
      <c r="AN784" s="698"/>
      <c r="AO784" s="699"/>
      <c r="AP784" s="698"/>
    </row>
    <row r="785" spans="1:42" ht="14.85" customHeight="1" thickBot="1" x14ac:dyDescent="0.3">
      <c r="A785" s="612"/>
      <c r="B785" s="615"/>
      <c r="C785" s="618"/>
      <c r="D785" s="621"/>
      <c r="E785" s="124" t="s">
        <v>33</v>
      </c>
      <c r="F785" s="623">
        <f t="shared" ref="F785" si="2128">SUM(F782:G784)</f>
        <v>0</v>
      </c>
      <c r="G785" s="624"/>
      <c r="H785" s="625">
        <f t="shared" ref="H785" si="2129">SUM(H782:I784)</f>
        <v>0</v>
      </c>
      <c r="I785" s="626"/>
      <c r="J785" s="623">
        <f t="shared" ref="J785" si="2130">SUM(J782:K784)</f>
        <v>0</v>
      </c>
      <c r="K785" s="624"/>
      <c r="L785" s="625">
        <f t="shared" ref="L785" si="2131">SUM(L782:M784)</f>
        <v>0</v>
      </c>
      <c r="M785" s="642"/>
      <c r="N785" s="625">
        <f t="shared" ref="N785" si="2132">SUM(N782:O784)</f>
        <v>0</v>
      </c>
      <c r="O785" s="642"/>
      <c r="P785" s="623">
        <f t="shared" ref="P785" si="2133">SUM(P782:Q784)</f>
        <v>0</v>
      </c>
      <c r="Q785" s="626"/>
      <c r="R785" s="88">
        <f t="shared" ref="R785" si="2134">IF(AND(F785&gt;=$G$8,H785&gt;=$I$8,J785&gt;=$K$8,L785&gt;=$M$8,N785&gt;=$O$8,P785&gt;=$Q$8),SUM(F785:Q785),0)</f>
        <v>0</v>
      </c>
      <c r="S785" s="251"/>
      <c r="T785" s="97"/>
      <c r="U785" s="94"/>
      <c r="V785" s="606"/>
      <c r="W785" s="88" t="str">
        <f t="shared" ref="W785" si="2135">LOOKUP(R785,$AI$6:$AJ$10)</f>
        <v>ضعيف</v>
      </c>
      <c r="X785" s="641"/>
      <c r="Y785" s="8"/>
      <c r="Z785" s="599"/>
      <c r="AK785" s="667"/>
      <c r="AL785" s="667"/>
      <c r="AM785" s="696"/>
      <c r="AN785" s="698"/>
      <c r="AO785" s="699"/>
      <c r="AP785" s="698"/>
    </row>
    <row r="786" spans="1:42" ht="14.85" customHeight="1" thickBot="1" x14ac:dyDescent="0.3">
      <c r="F786" s="71"/>
      <c r="G786" s="72"/>
      <c r="H786" s="71"/>
      <c r="I786" s="72"/>
      <c r="J786" s="71"/>
      <c r="K786" s="72"/>
      <c r="L786" s="71"/>
      <c r="M786" s="72"/>
      <c r="N786" s="71"/>
      <c r="O786" s="72"/>
      <c r="P786" s="71"/>
      <c r="Q786" s="72"/>
      <c r="R786" s="70"/>
      <c r="S786" s="73"/>
      <c r="T786" s="70"/>
      <c r="U786" s="70"/>
      <c r="V786" s="70"/>
      <c r="W786" s="70"/>
      <c r="X786" s="254"/>
      <c r="Y786" s="68"/>
      <c r="AH786" s="74"/>
    </row>
    <row r="787" spans="1:42" customFormat="1" ht="14.85" customHeight="1" x14ac:dyDescent="0.3">
      <c r="A787" s="668" t="s">
        <v>9</v>
      </c>
      <c r="B787" s="669"/>
      <c r="C787" s="670"/>
      <c r="D787" s="277" t="s">
        <v>11</v>
      </c>
      <c r="E787" s="674" t="s">
        <v>96</v>
      </c>
      <c r="F787" s="663"/>
      <c r="G787" s="663"/>
      <c r="H787" s="663"/>
      <c r="I787" s="663"/>
      <c r="J787" s="7"/>
      <c r="K787" s="7"/>
      <c r="L787" s="7"/>
      <c r="M787" s="7"/>
      <c r="N787" s="7"/>
      <c r="O787" s="7"/>
      <c r="P787" s="7"/>
      <c r="Q787" s="663" t="s">
        <v>156</v>
      </c>
      <c r="R787" s="663"/>
      <c r="S787" s="663"/>
      <c r="T787" s="663"/>
      <c r="U787" s="663"/>
      <c r="V787" s="663"/>
      <c r="W787" s="1"/>
      <c r="X787" s="255"/>
      <c r="Z787" s="75"/>
      <c r="AA787" s="76"/>
      <c r="AB787" s="76"/>
      <c r="AC787" s="76"/>
      <c r="AD787" s="76"/>
    </row>
    <row r="788" spans="1:42" customFormat="1" ht="14.85" customHeight="1" x14ac:dyDescent="0.25">
      <c r="A788" s="77" t="s">
        <v>8</v>
      </c>
      <c r="B788" s="671">
        <f>ادخال1!$BJ$3</f>
        <v>0</v>
      </c>
      <c r="C788" s="672"/>
      <c r="D788" s="278"/>
      <c r="E788" s="7" t="s">
        <v>9</v>
      </c>
      <c r="F788" s="673" t="str">
        <f>ادخال1!$BJ$5</f>
        <v>د. عبدالرحمن خليفة العريبي</v>
      </c>
      <c r="G788" s="673"/>
      <c r="H788" s="673"/>
      <c r="I788" s="673"/>
      <c r="J788" s="673"/>
      <c r="K788" s="673"/>
      <c r="L788" s="673"/>
      <c r="M788" s="673"/>
      <c r="N788" s="673"/>
      <c r="O788" s="673"/>
      <c r="P788" s="7"/>
      <c r="Q788" s="673" t="str">
        <f>ادخال1!$BJ$6</f>
        <v>تاجوراء</v>
      </c>
      <c r="R788" s="673"/>
      <c r="S788" s="673"/>
      <c r="T788" s="673"/>
      <c r="U788" s="673"/>
      <c r="V788" s="673"/>
      <c r="W788" s="673"/>
      <c r="X788" s="63"/>
      <c r="Y788" s="63"/>
      <c r="Z788" s="75"/>
      <c r="AA788" s="75"/>
      <c r="AB788" s="75"/>
      <c r="AC788" s="75"/>
    </row>
    <row r="789" spans="1:42" customFormat="1" ht="14.85" customHeight="1" thickBot="1" x14ac:dyDescent="0.3">
      <c r="A789" s="78" t="s">
        <v>97</v>
      </c>
      <c r="B789" s="665">
        <f>ادخال1!$BJ$4</f>
        <v>0</v>
      </c>
      <c r="C789" s="666"/>
      <c r="D789" s="279"/>
      <c r="E789" s="7" t="s">
        <v>11</v>
      </c>
      <c r="F789" s="667"/>
      <c r="G789" s="667"/>
      <c r="H789" s="667"/>
      <c r="I789" s="667"/>
      <c r="J789" s="667"/>
      <c r="K789" s="667"/>
      <c r="L789" s="667"/>
      <c r="M789" s="667"/>
      <c r="N789" s="667"/>
      <c r="O789" s="667"/>
      <c r="P789" s="7"/>
      <c r="Q789" s="7" t="s">
        <v>11</v>
      </c>
      <c r="R789" s="1"/>
      <c r="S789" s="1"/>
      <c r="T789" s="1"/>
      <c r="U789" s="1"/>
      <c r="V789" s="1"/>
      <c r="W789" s="1"/>
      <c r="X789" s="255"/>
      <c r="Z789" s="75"/>
      <c r="AA789" s="75"/>
      <c r="AB789" s="75"/>
      <c r="AC789" s="75"/>
    </row>
    <row r="790" spans="1:42" customFormat="1" ht="14.85" customHeight="1" x14ac:dyDescent="0.25">
      <c r="A790" s="663" t="s">
        <v>98</v>
      </c>
      <c r="B790" s="663"/>
      <c r="C790" s="663"/>
      <c r="D790" s="663"/>
      <c r="E790" s="663" t="s">
        <v>99</v>
      </c>
      <c r="F790" s="663"/>
      <c r="G790" s="663"/>
      <c r="H790" s="663"/>
      <c r="I790" s="663"/>
      <c r="J790" s="663"/>
      <c r="K790" s="663"/>
      <c r="L790" s="663"/>
      <c r="M790" s="663"/>
      <c r="N790" s="663"/>
      <c r="O790" s="663"/>
      <c r="P790" s="663"/>
      <c r="Q790" s="663"/>
      <c r="R790" s="7"/>
      <c r="S790" s="664">
        <f ca="1">TODAY()</f>
        <v>46009</v>
      </c>
      <c r="T790" s="664"/>
      <c r="U790" s="664"/>
      <c r="V790" s="664"/>
      <c r="W790" s="664"/>
      <c r="X790" s="255"/>
    </row>
    <row r="791" spans="1:42" customFormat="1" ht="14.85" customHeight="1" thickBot="1" x14ac:dyDescent="0.3">
      <c r="A791" s="7"/>
      <c r="B791" s="663" t="s">
        <v>100</v>
      </c>
      <c r="C791" s="663"/>
      <c r="D791" s="663"/>
      <c r="E791" s="663" t="s">
        <v>101</v>
      </c>
      <c r="F791" s="663"/>
      <c r="G791" s="663"/>
      <c r="H791" s="663"/>
      <c r="I791" s="663"/>
      <c r="J791" s="663"/>
      <c r="K791" s="663"/>
      <c r="L791" s="663"/>
      <c r="M791" s="663"/>
      <c r="N791" s="663"/>
      <c r="O791" s="663"/>
      <c r="P791" s="663"/>
      <c r="Q791" s="663"/>
      <c r="R791" s="1"/>
      <c r="S791" s="1"/>
      <c r="T791" s="1"/>
      <c r="U791" s="1"/>
      <c r="V791" s="1"/>
      <c r="W791" s="1"/>
      <c r="X791" s="255"/>
    </row>
    <row r="792" spans="1:42" ht="14.85" customHeight="1" thickBot="1" x14ac:dyDescent="0.3">
      <c r="A792" s="610">
        <v>171</v>
      </c>
      <c r="B792" s="613">
        <f>VLOOKUP(A792,مسلسل,2,0)</f>
        <v>0</v>
      </c>
      <c r="C792" s="616" t="str">
        <f>IFERROR(VLOOKUP(B792,اسماء,2,0),"")</f>
        <v/>
      </c>
      <c r="D792" s="619" t="str">
        <f>IFERROR(VLOOKUP($B792,اسماء,3,0),"")</f>
        <v/>
      </c>
      <c r="E792" s="129" t="s">
        <v>30</v>
      </c>
      <c r="F792" s="600">
        <f>IFERROR(VLOOKUP($B792,اسماء,5,0),0)</f>
        <v>0</v>
      </c>
      <c r="G792" s="601"/>
      <c r="H792" s="602">
        <f>IFERROR(VLOOKUP($B792,اسماء,6,0),0)</f>
        <v>0</v>
      </c>
      <c r="I792" s="622"/>
      <c r="J792" s="600">
        <f>IFERROR(VLOOKUP($B792,اسماء,7,0),0)</f>
        <v>0</v>
      </c>
      <c r="K792" s="601"/>
      <c r="L792" s="602">
        <f>IFERROR(VLOOKUP($B792,اسماء,8,0),0)</f>
        <v>0</v>
      </c>
      <c r="M792" s="603"/>
      <c r="N792" s="602">
        <f>IFERROR(VLOOKUP($B792,اسماء,9,0),0)</f>
        <v>0</v>
      </c>
      <c r="O792" s="603"/>
      <c r="P792" s="600">
        <f>IFERROR(VLOOKUP($B792,اسماء,10,0),0)</f>
        <v>0</v>
      </c>
      <c r="Q792" s="622"/>
      <c r="R792" s="371">
        <f>SUM(F792:Q792)</f>
        <v>0</v>
      </c>
      <c r="S792" s="325" t="str">
        <f>IFERROR(VLOOKUP($B792,اسماء,12,0),"")</f>
        <v/>
      </c>
      <c r="T792" s="326" t="str">
        <f>IFERROR(VLOOKUP($B792,اسماء,13,0),"")</f>
        <v/>
      </c>
      <c r="U792" s="92" t="str">
        <f>IFERROR(VLOOKUP($B792,اسماء,14,0),"")</f>
        <v/>
      </c>
      <c r="V792" s="604" t="str">
        <f t="shared" ref="V792" si="2136">IF(Z792="غائب","راسب",IF(R795&gt;0,"ناجح","مرحل"))</f>
        <v>مرحل</v>
      </c>
      <c r="W792" s="19" t="str">
        <f t="shared" ref="W792:W793" si="2137">LOOKUP(R792,$AC$6:$AD$10)</f>
        <v>ضعيف</v>
      </c>
      <c r="X792" s="639">
        <f t="shared" ref="X792" si="2138">R795/$AC$3</f>
        <v>0</v>
      </c>
      <c r="Y792" s="68"/>
      <c r="Z792" s="597" t="str">
        <f>IFERROR(VLOOKUP($B792,اسماء,48,0),"")</f>
        <v/>
      </c>
      <c r="AK792" s="671" t="str">
        <f>IF(R795=0,"",R795/1+ROW()*0.00001)</f>
        <v/>
      </c>
      <c r="AL792" s="671">
        <f>B792</f>
        <v>0</v>
      </c>
      <c r="AM792" s="696"/>
      <c r="AN792" s="698">
        <v>171</v>
      </c>
      <c r="AO792" s="699" t="str">
        <f>IFERROR(LARGE($AK$10:$AK$1420,AN792),"")</f>
        <v/>
      </c>
      <c r="AP792" s="698" t="str">
        <f>VLOOKUP(AO792,$AK$10:$AL$1530,2,0)</f>
        <v>امجد عمر عبداللطيف سلطان</v>
      </c>
    </row>
    <row r="793" spans="1:42" ht="14.85" customHeight="1" x14ac:dyDescent="0.25">
      <c r="A793" s="611"/>
      <c r="B793" s="614"/>
      <c r="C793" s="617"/>
      <c r="D793" s="620"/>
      <c r="E793" s="130" t="s">
        <v>31</v>
      </c>
      <c r="F793" s="592">
        <f>IFERROR(VLOOKUP($B792,اسماء,16,0),0)</f>
        <v>0</v>
      </c>
      <c r="G793" s="593"/>
      <c r="H793" s="594">
        <f>IFERROR(VLOOKUP($B792,اسماء,17,0),0)</f>
        <v>0</v>
      </c>
      <c r="I793" s="595"/>
      <c r="J793" s="592">
        <f>IFERROR(VLOOKUP($B792,اسماء,18,0),0)</f>
        <v>0</v>
      </c>
      <c r="K793" s="593"/>
      <c r="L793" s="594">
        <f>IFERROR(VLOOKUP($B792,اسماء,19,0),0)</f>
        <v>0</v>
      </c>
      <c r="M793" s="596"/>
      <c r="N793" s="594">
        <f>IFERROR(VLOOKUP($B792,اسماء,20,0),0)</f>
        <v>0</v>
      </c>
      <c r="O793" s="596"/>
      <c r="P793" s="592">
        <f>IFERROR(VLOOKUP($B792,اسماء,21,0),0)</f>
        <v>0</v>
      </c>
      <c r="Q793" s="595"/>
      <c r="R793" s="372">
        <f t="shared" ref="R793:R794" si="2139">SUM(F793:Q793)</f>
        <v>0</v>
      </c>
      <c r="S793" s="305" t="str">
        <f>IFERROR(VLOOKUP($B792,اسماء,23,0),"")</f>
        <v/>
      </c>
      <c r="T793" s="306" t="str">
        <f>IFERROR(VLOOKUP($B792,اسماء,24,0),"")</f>
        <v/>
      </c>
      <c r="U793" s="122" t="str">
        <f>IFERROR(VLOOKUP($B792,اسماء,25,0),"")</f>
        <v/>
      </c>
      <c r="V793" s="605"/>
      <c r="W793" s="19" t="str">
        <f t="shared" si="2137"/>
        <v>ضعيف</v>
      </c>
      <c r="X793" s="640"/>
      <c r="Y793" s="68"/>
      <c r="Z793" s="598"/>
      <c r="AK793" s="671"/>
      <c r="AL793" s="671"/>
      <c r="AM793" s="696"/>
      <c r="AN793" s="698"/>
      <c r="AO793" s="699"/>
      <c r="AP793" s="698"/>
    </row>
    <row r="794" spans="1:42" ht="14.85" customHeight="1" x14ac:dyDescent="0.25">
      <c r="A794" s="611"/>
      <c r="B794" s="614"/>
      <c r="C794" s="617"/>
      <c r="D794" s="620"/>
      <c r="E794" s="130" t="s">
        <v>32</v>
      </c>
      <c r="F794" s="592">
        <f>IFERROR(VLOOKUP($B792,اسماء,27,0),0)</f>
        <v>0</v>
      </c>
      <c r="G794" s="593"/>
      <c r="H794" s="594">
        <f>IFERROR(VLOOKUP($B792,اسماء,28,0),0)</f>
        <v>0</v>
      </c>
      <c r="I794" s="595"/>
      <c r="J794" s="592">
        <f>IFERROR(VLOOKUP($B792,اسماء,29,0),0)</f>
        <v>0</v>
      </c>
      <c r="K794" s="593"/>
      <c r="L794" s="594">
        <f>IFERROR(VLOOKUP($B792,اسماء,30,0),0)</f>
        <v>0</v>
      </c>
      <c r="M794" s="596"/>
      <c r="N794" s="594">
        <f>IFERROR(VLOOKUP($B792,اسماء,31,0),0)</f>
        <v>0</v>
      </c>
      <c r="O794" s="596"/>
      <c r="P794" s="592">
        <f>IFERROR(VLOOKUP($B792,اسماء,32,0),0)</f>
        <v>0</v>
      </c>
      <c r="Q794" s="595"/>
      <c r="R794" s="372">
        <f t="shared" si="2139"/>
        <v>0</v>
      </c>
      <c r="S794" s="305" t="str">
        <f>IFERROR(VLOOKUP($B792,اسماء,34,0),"")</f>
        <v/>
      </c>
      <c r="T794" s="306" t="str">
        <f>IFERROR(VLOOKUP($B792,اسماء,35,0),"")</f>
        <v/>
      </c>
      <c r="U794" s="122" t="str">
        <f>IFERROR(VLOOKUP($B792,اسماء,36,0),"")</f>
        <v/>
      </c>
      <c r="V794" s="605"/>
      <c r="W794" s="20" t="str">
        <f t="shared" ref="W794" si="2140">LOOKUP(R794,$AF$6:$AG$10)</f>
        <v>ضعيف</v>
      </c>
      <c r="X794" s="640"/>
      <c r="Y794" s="8"/>
      <c r="Z794" s="598"/>
      <c r="AK794" s="671"/>
      <c r="AL794" s="671"/>
      <c r="AM794" s="696"/>
      <c r="AN794" s="698"/>
      <c r="AO794" s="699"/>
      <c r="AP794" s="698"/>
    </row>
    <row r="795" spans="1:42" ht="14.85" customHeight="1" thickBot="1" x14ac:dyDescent="0.3">
      <c r="A795" s="612"/>
      <c r="B795" s="615"/>
      <c r="C795" s="618"/>
      <c r="D795" s="621"/>
      <c r="E795" s="124" t="s">
        <v>33</v>
      </c>
      <c r="F795" s="623">
        <f>SUM(F792:G794)</f>
        <v>0</v>
      </c>
      <c r="G795" s="624"/>
      <c r="H795" s="625">
        <f>SUM(H792:I794)</f>
        <v>0</v>
      </c>
      <c r="I795" s="626"/>
      <c r="J795" s="623">
        <f>SUM(J792:K794)</f>
        <v>0</v>
      </c>
      <c r="K795" s="624"/>
      <c r="L795" s="625">
        <f>SUM(L792:M794)</f>
        <v>0</v>
      </c>
      <c r="M795" s="642"/>
      <c r="N795" s="625">
        <f>SUM(N792:O794)</f>
        <v>0</v>
      </c>
      <c r="O795" s="642"/>
      <c r="P795" s="623">
        <f>SUM(P792:Q794)</f>
        <v>0</v>
      </c>
      <c r="Q795" s="626"/>
      <c r="R795" s="88">
        <f>IF(AND(F795&gt;=$G$8,H795&gt;=$I$8,J795&gt;=$K$8,L795&gt;=$M$8,N795&gt;=$O$8,P795&gt;=$Q$8),SUM(F795:Q795),0)</f>
        <v>0</v>
      </c>
      <c r="S795" s="251"/>
      <c r="T795" s="97"/>
      <c r="U795" s="94"/>
      <c r="V795" s="606"/>
      <c r="W795" s="88" t="str">
        <f t="shared" ref="W795" si="2141">LOOKUP(R795,$AI$6:$AJ$10)</f>
        <v>ضعيف</v>
      </c>
      <c r="X795" s="641"/>
      <c r="Y795" s="68"/>
      <c r="Z795" s="599"/>
      <c r="AK795" s="671"/>
      <c r="AL795" s="671"/>
      <c r="AM795" s="696"/>
      <c r="AN795" s="698"/>
      <c r="AO795" s="699"/>
      <c r="AP795" s="698"/>
    </row>
    <row r="796" spans="1:42" ht="14.85" customHeight="1" thickBot="1" x14ac:dyDescent="0.3">
      <c r="A796" s="610">
        <v>172</v>
      </c>
      <c r="B796" s="613">
        <f>VLOOKUP(A796,مسلسل,2,0)</f>
        <v>0</v>
      </c>
      <c r="C796" s="616" t="str">
        <f>IFERROR(VLOOKUP(B796,اسماء,2,0),"")</f>
        <v/>
      </c>
      <c r="D796" s="619" t="str">
        <f>IFERROR(VLOOKUP($B796,اسماء,3,0),"")</f>
        <v/>
      </c>
      <c r="E796" s="129" t="s">
        <v>30</v>
      </c>
      <c r="F796" s="600">
        <f>IFERROR(VLOOKUP($B796,اسماء,5,0),0)</f>
        <v>0</v>
      </c>
      <c r="G796" s="601"/>
      <c r="H796" s="602">
        <f>IFERROR(VLOOKUP($B796,اسماء,6,0),0)</f>
        <v>0</v>
      </c>
      <c r="I796" s="622"/>
      <c r="J796" s="600">
        <f>IFERROR(VLOOKUP($B796,اسماء,7,0),0)</f>
        <v>0</v>
      </c>
      <c r="K796" s="601"/>
      <c r="L796" s="602">
        <f>IFERROR(VLOOKUP($B796,اسماء,8,0),0)</f>
        <v>0</v>
      </c>
      <c r="M796" s="603"/>
      <c r="N796" s="602">
        <f>IFERROR(VLOOKUP($B796,اسماء,9,0),0)</f>
        <v>0</v>
      </c>
      <c r="O796" s="603"/>
      <c r="P796" s="600">
        <f>IFERROR(VLOOKUP($B796,اسماء,10,0),0)</f>
        <v>0</v>
      </c>
      <c r="Q796" s="622"/>
      <c r="R796" s="371">
        <f t="shared" ref="R796:R830" si="2142">SUM(F796:Q796)</f>
        <v>0</v>
      </c>
      <c r="S796" s="213" t="str">
        <f>IFERROR(VLOOKUP($B796,اسماء,12,0),"")</f>
        <v/>
      </c>
      <c r="T796" s="214" t="str">
        <f>IFERROR(VLOOKUP($B796,اسماء,13,0),"")</f>
        <v/>
      </c>
      <c r="U796" s="364" t="str">
        <f>IFERROR(VLOOKUP($B796,اسماء,14,0),"")</f>
        <v/>
      </c>
      <c r="V796" s="604" t="str">
        <f t="shared" ref="V796" si="2143">IF(Z796="غائب","راسب",IF(R799&gt;0,"ناجح","مرحل"))</f>
        <v>مرحل</v>
      </c>
      <c r="W796" s="19" t="str">
        <f t="shared" ref="W796:W797" si="2144">LOOKUP(R796,$AC$6:$AD$10)</f>
        <v>ضعيف</v>
      </c>
      <c r="X796" s="639">
        <f t="shared" ref="X796" si="2145">R799/$AC$3</f>
        <v>0</v>
      </c>
      <c r="Y796" s="68"/>
      <c r="Z796" s="597" t="str">
        <f>IFERROR(VLOOKUP($B796,اسماء,48,0),"")</f>
        <v/>
      </c>
      <c r="AK796" s="667" t="str">
        <f t="shared" ref="AK796" si="2146">IF(R799=0,"",R799/1+ROW()*0.00001)</f>
        <v/>
      </c>
      <c r="AL796" s="667">
        <f>B796</f>
        <v>0</v>
      </c>
      <c r="AM796" s="696"/>
      <c r="AN796" s="698">
        <v>172</v>
      </c>
      <c r="AO796" s="699" t="str">
        <f>IFERROR(LARGE($AK$10:$AK$1420,AN796),"")</f>
        <v/>
      </c>
      <c r="AP796" s="698" t="str">
        <f>VLOOKUP(AO796,$AK$10:$AL$1530,2,0)</f>
        <v>امجد عمر عبداللطيف سلطان</v>
      </c>
    </row>
    <row r="797" spans="1:42" ht="14.85" customHeight="1" x14ac:dyDescent="0.25">
      <c r="A797" s="611"/>
      <c r="B797" s="614"/>
      <c r="C797" s="617"/>
      <c r="D797" s="620"/>
      <c r="E797" s="130" t="s">
        <v>31</v>
      </c>
      <c r="F797" s="592">
        <f>IFERROR(VLOOKUP($B796,اسماء,15,0),0)</f>
        <v>0</v>
      </c>
      <c r="G797" s="593"/>
      <c r="H797" s="594">
        <f>IFERROR(VLOOKUP($B796,اسماء,16,0),0)</f>
        <v>0</v>
      </c>
      <c r="I797" s="595"/>
      <c r="J797" s="592">
        <f>IFERROR(VLOOKUP($B796,اسماء,17,0),0)</f>
        <v>0</v>
      </c>
      <c r="K797" s="593"/>
      <c r="L797" s="594">
        <f>IFERROR(VLOOKUP($B796,اسماء,18,0),0)</f>
        <v>0</v>
      </c>
      <c r="M797" s="596"/>
      <c r="N797" s="594">
        <f>IFERROR(VLOOKUP($B796,اسماء,19,0),0)</f>
        <v>0</v>
      </c>
      <c r="O797" s="596"/>
      <c r="P797" s="592">
        <f>IFERROR(VLOOKUP($B796,اسماء,20,0),0)</f>
        <v>0</v>
      </c>
      <c r="Q797" s="595"/>
      <c r="R797" s="372">
        <f t="shared" si="2142"/>
        <v>0</v>
      </c>
      <c r="S797" s="305" t="str">
        <f>IFERROR(VLOOKUP($B796,اسماء,23,0),"")</f>
        <v/>
      </c>
      <c r="T797" s="306" t="str">
        <f>IFERROR(VLOOKUP($B796,اسماء,24,0),"")</f>
        <v/>
      </c>
      <c r="U797" s="122" t="str">
        <f>IFERROR(VLOOKUP($B796,اسماء,25,0),"")</f>
        <v/>
      </c>
      <c r="V797" s="605"/>
      <c r="W797" s="19" t="str">
        <f t="shared" si="2144"/>
        <v>ضعيف</v>
      </c>
      <c r="X797" s="640"/>
      <c r="Y797" s="8"/>
      <c r="Z797" s="598"/>
      <c r="AK797" s="667"/>
      <c r="AL797" s="667"/>
      <c r="AM797" s="696"/>
      <c r="AN797" s="698"/>
      <c r="AO797" s="699"/>
      <c r="AP797" s="698"/>
    </row>
    <row r="798" spans="1:42" ht="14.85" customHeight="1" x14ac:dyDescent="0.25">
      <c r="A798" s="611"/>
      <c r="B798" s="614"/>
      <c r="C798" s="617"/>
      <c r="D798" s="620"/>
      <c r="E798" s="130" t="s">
        <v>32</v>
      </c>
      <c r="F798" s="592">
        <f>IFERROR(VLOOKUP($B796,اسماء,25,0),0)</f>
        <v>0</v>
      </c>
      <c r="G798" s="593"/>
      <c r="H798" s="594">
        <f>IFERROR(VLOOKUP($B796,اسماء,26,0),0)</f>
        <v>0</v>
      </c>
      <c r="I798" s="595"/>
      <c r="J798" s="592">
        <f>IFERROR(VLOOKUP($B796,اسماء,27,0),0)</f>
        <v>0</v>
      </c>
      <c r="K798" s="593"/>
      <c r="L798" s="594">
        <f>IFERROR(VLOOKUP($B796,اسماء,28,0),0)</f>
        <v>0</v>
      </c>
      <c r="M798" s="596"/>
      <c r="N798" s="594">
        <f>IFERROR(VLOOKUP($B796,اسماء,29,0),0)</f>
        <v>0</v>
      </c>
      <c r="O798" s="596"/>
      <c r="P798" s="592">
        <f>IFERROR(VLOOKUP($B796,اسماء,30,0),0)</f>
        <v>0</v>
      </c>
      <c r="Q798" s="595"/>
      <c r="R798" s="372">
        <f t="shared" si="2142"/>
        <v>0</v>
      </c>
      <c r="S798" s="305" t="str">
        <f>IFERROR(VLOOKUP($B796,اسماء,34,0),"")</f>
        <v/>
      </c>
      <c r="T798" s="306" t="str">
        <f>IFERROR(VLOOKUP($B796,اسماء,35,0),"")</f>
        <v/>
      </c>
      <c r="U798" s="122" t="str">
        <f>IFERROR(VLOOKUP($B796,اسماء,36,0),"")</f>
        <v/>
      </c>
      <c r="V798" s="605"/>
      <c r="W798" s="20" t="str">
        <f t="shared" ref="W798" si="2147">LOOKUP(R798,$AF$6:$AG$10)</f>
        <v>ضعيف</v>
      </c>
      <c r="X798" s="640"/>
      <c r="Y798" s="68"/>
      <c r="Z798" s="598"/>
      <c r="AK798" s="667"/>
      <c r="AL798" s="667"/>
      <c r="AM798" s="696"/>
      <c r="AN798" s="698"/>
      <c r="AO798" s="699"/>
      <c r="AP798" s="698"/>
    </row>
    <row r="799" spans="1:42" ht="14.85" customHeight="1" thickBot="1" x14ac:dyDescent="0.3">
      <c r="A799" s="612"/>
      <c r="B799" s="615"/>
      <c r="C799" s="618"/>
      <c r="D799" s="621"/>
      <c r="E799" s="124" t="s">
        <v>33</v>
      </c>
      <c r="F799" s="623">
        <f>SUM(F796:G798)</f>
        <v>0</v>
      </c>
      <c r="G799" s="624"/>
      <c r="H799" s="625">
        <f>SUM(H796:I798)</f>
        <v>0</v>
      </c>
      <c r="I799" s="626"/>
      <c r="J799" s="623">
        <f>SUM(J796:K798)</f>
        <v>0</v>
      </c>
      <c r="K799" s="624"/>
      <c r="L799" s="625">
        <f>SUM(L796:M798)</f>
        <v>0</v>
      </c>
      <c r="M799" s="642"/>
      <c r="N799" s="625">
        <f>SUM(N796:O798)</f>
        <v>0</v>
      </c>
      <c r="O799" s="642"/>
      <c r="P799" s="623">
        <f>SUM(P796:Q798)</f>
        <v>0</v>
      </c>
      <c r="Q799" s="626"/>
      <c r="R799" s="88">
        <f t="shared" ref="R799" si="2148">IF(AND(F799&gt;=$G$8,H799&gt;=$I$8,J799&gt;=$K$8,L799&gt;=$M$8,N799&gt;=$O$8,P799&gt;=$Q$8),SUM(F799:Q799),0)</f>
        <v>0</v>
      </c>
      <c r="S799" s="251"/>
      <c r="T799" s="97"/>
      <c r="U799" s="94"/>
      <c r="V799" s="606"/>
      <c r="W799" s="88" t="str">
        <f t="shared" ref="W799" si="2149">LOOKUP(R799,$AI$6:$AJ$10)</f>
        <v>ضعيف</v>
      </c>
      <c r="X799" s="641"/>
      <c r="Y799" s="68"/>
      <c r="Z799" s="599"/>
      <c r="AK799" s="667"/>
      <c r="AL799" s="667"/>
      <c r="AM799" s="696"/>
      <c r="AN799" s="698"/>
      <c r="AO799" s="699"/>
      <c r="AP799" s="698"/>
    </row>
    <row r="800" spans="1:42" ht="14.85" customHeight="1" thickBot="1" x14ac:dyDescent="0.3">
      <c r="A800" s="610">
        <v>173</v>
      </c>
      <c r="B800" s="613">
        <f>VLOOKUP(A800,مسلسل,2,0)</f>
        <v>0</v>
      </c>
      <c r="C800" s="616" t="str">
        <f>IFERROR(VLOOKUP(B800,اسماء,2,0),"")</f>
        <v/>
      </c>
      <c r="D800" s="619" t="str">
        <f>IFERROR(VLOOKUP($B800,اسماء,3,0),"")</f>
        <v/>
      </c>
      <c r="E800" s="129" t="s">
        <v>30</v>
      </c>
      <c r="F800" s="600">
        <f>IFERROR(VLOOKUP($B800,اسماء,5,0),0)</f>
        <v>0</v>
      </c>
      <c r="G800" s="601"/>
      <c r="H800" s="602">
        <f>IFERROR(VLOOKUP($B800,اسماء,6,0),0)</f>
        <v>0</v>
      </c>
      <c r="I800" s="622"/>
      <c r="J800" s="600">
        <f>IFERROR(VLOOKUP($B800,اسماء,7,0),0)</f>
        <v>0</v>
      </c>
      <c r="K800" s="601"/>
      <c r="L800" s="602">
        <f>IFERROR(VLOOKUP($B800,اسماء,8,0),0)</f>
        <v>0</v>
      </c>
      <c r="M800" s="603"/>
      <c r="N800" s="602">
        <f>IFERROR(VLOOKUP($B800,اسماء,9,0),0)</f>
        <v>0</v>
      </c>
      <c r="O800" s="603"/>
      <c r="P800" s="600">
        <f>IFERROR(VLOOKUP($B800,اسماء,10,0),0)</f>
        <v>0</v>
      </c>
      <c r="Q800" s="622"/>
      <c r="R800" s="371">
        <f t="shared" ref="R800" si="2150">SUM(F800:Q800)</f>
        <v>0</v>
      </c>
      <c r="S800" s="213" t="str">
        <f>IFERROR(VLOOKUP($B800,اسماء,12,0),"")</f>
        <v/>
      </c>
      <c r="T800" s="214" t="str">
        <f>IFERROR(VLOOKUP($B800,اسماء,13,0),"")</f>
        <v/>
      </c>
      <c r="U800" s="364" t="str">
        <f>IFERROR(VLOOKUP($B800,اسماء,14,0),"")</f>
        <v/>
      </c>
      <c r="V800" s="604" t="str">
        <f t="shared" ref="V800" si="2151">IF(Z800="غائب","راسب",IF(R803&gt;0,"ناجح","مرحل"))</f>
        <v>مرحل</v>
      </c>
      <c r="W800" s="19" t="str">
        <f t="shared" ref="W800:W801" si="2152">LOOKUP(R800,$AC$6:$AD$10)</f>
        <v>ضعيف</v>
      </c>
      <c r="X800" s="639">
        <f t="shared" ref="X800" si="2153">R803/$AC$3</f>
        <v>0</v>
      </c>
      <c r="Y800" s="8"/>
      <c r="Z800" s="597" t="str">
        <f>IFERROR(VLOOKUP($B800,اسماء,48,0),"")</f>
        <v/>
      </c>
      <c r="AK800" s="667" t="str">
        <f t="shared" ref="AK800" si="2154">IF(R803=0,"",R803/1+ROW()*0.00001)</f>
        <v/>
      </c>
      <c r="AL800" s="667">
        <f>B800</f>
        <v>0</v>
      </c>
      <c r="AM800" s="696"/>
      <c r="AN800" s="698">
        <v>173</v>
      </c>
      <c r="AO800" s="699" t="str">
        <f>IFERROR(LARGE($AK$10:$AK$1420,AN800),"")</f>
        <v/>
      </c>
      <c r="AP800" s="698" t="str">
        <f>VLOOKUP(AO800,$AK$10:$AL$1530,2,0)</f>
        <v>امجد عمر عبداللطيف سلطان</v>
      </c>
    </row>
    <row r="801" spans="1:42" ht="14.85" customHeight="1" x14ac:dyDescent="0.25">
      <c r="A801" s="611"/>
      <c r="B801" s="614"/>
      <c r="C801" s="617"/>
      <c r="D801" s="620"/>
      <c r="E801" s="130" t="s">
        <v>31</v>
      </c>
      <c r="F801" s="592">
        <f>IFERROR(VLOOKUP($B800,اسماء,15,0),0)</f>
        <v>0</v>
      </c>
      <c r="G801" s="593"/>
      <c r="H801" s="594">
        <f>IFERROR(VLOOKUP($B800,اسماء,16,0),0)</f>
        <v>0</v>
      </c>
      <c r="I801" s="595"/>
      <c r="J801" s="592">
        <f>IFERROR(VLOOKUP($B800,اسماء,17,0),0)</f>
        <v>0</v>
      </c>
      <c r="K801" s="593"/>
      <c r="L801" s="594">
        <f>IFERROR(VLOOKUP($B800,اسماء,18,0),0)</f>
        <v>0</v>
      </c>
      <c r="M801" s="596"/>
      <c r="N801" s="594">
        <f>IFERROR(VLOOKUP($B800,اسماء,19,0),0)</f>
        <v>0</v>
      </c>
      <c r="O801" s="596"/>
      <c r="P801" s="592">
        <f>IFERROR(VLOOKUP($B800,اسماء,20,0),0)</f>
        <v>0</v>
      </c>
      <c r="Q801" s="595"/>
      <c r="R801" s="372">
        <f t="shared" si="2142"/>
        <v>0</v>
      </c>
      <c r="S801" s="305" t="str">
        <f>IFERROR(VLOOKUP($B800,اسماء,23,0),"")</f>
        <v/>
      </c>
      <c r="T801" s="306" t="str">
        <f>IFERROR(VLOOKUP($B800,اسماء,24,0),"")</f>
        <v/>
      </c>
      <c r="U801" s="122" t="str">
        <f>IFERROR(VLOOKUP($B800,اسماء,25,0),"")</f>
        <v/>
      </c>
      <c r="V801" s="605"/>
      <c r="W801" s="19" t="str">
        <f t="shared" si="2152"/>
        <v>ضعيف</v>
      </c>
      <c r="X801" s="640"/>
      <c r="Y801" s="68"/>
      <c r="Z801" s="598"/>
      <c r="AK801" s="667"/>
      <c r="AL801" s="667"/>
      <c r="AM801" s="696"/>
      <c r="AN801" s="698"/>
      <c r="AO801" s="699"/>
      <c r="AP801" s="698"/>
    </row>
    <row r="802" spans="1:42" ht="14.85" customHeight="1" x14ac:dyDescent="0.25">
      <c r="A802" s="611"/>
      <c r="B802" s="614"/>
      <c r="C802" s="617"/>
      <c r="D802" s="620"/>
      <c r="E802" s="130" t="s">
        <v>32</v>
      </c>
      <c r="F802" s="592">
        <f>IFERROR(VLOOKUP($B800,اسماء,25,0),0)</f>
        <v>0</v>
      </c>
      <c r="G802" s="593"/>
      <c r="H802" s="594">
        <f>IFERROR(VLOOKUP($B800,اسماء,26,0),0)</f>
        <v>0</v>
      </c>
      <c r="I802" s="595"/>
      <c r="J802" s="592">
        <f>IFERROR(VLOOKUP($B800,اسماء,27,0),0)</f>
        <v>0</v>
      </c>
      <c r="K802" s="593"/>
      <c r="L802" s="594">
        <f>IFERROR(VLOOKUP($B800,اسماء,28,0),0)</f>
        <v>0</v>
      </c>
      <c r="M802" s="596"/>
      <c r="N802" s="594">
        <f>IFERROR(VLOOKUP($B800,اسماء,29,0),0)</f>
        <v>0</v>
      </c>
      <c r="O802" s="596"/>
      <c r="P802" s="592">
        <f>IFERROR(VLOOKUP($B800,اسماء,30,0),0)</f>
        <v>0</v>
      </c>
      <c r="Q802" s="595"/>
      <c r="R802" s="372">
        <f t="shared" si="2142"/>
        <v>0</v>
      </c>
      <c r="S802" s="305" t="str">
        <f>IFERROR(VLOOKUP($B800,اسماء,34,0),"")</f>
        <v/>
      </c>
      <c r="T802" s="306" t="str">
        <f>IFERROR(VLOOKUP($B800,اسماء,35,0),"")</f>
        <v/>
      </c>
      <c r="U802" s="122" t="str">
        <f>IFERROR(VLOOKUP($B800,اسماء,36,0),"")</f>
        <v/>
      </c>
      <c r="V802" s="605"/>
      <c r="W802" s="20" t="str">
        <f t="shared" ref="W802" si="2155">LOOKUP(R802,$AF$6:$AG$10)</f>
        <v>ضعيف</v>
      </c>
      <c r="X802" s="640"/>
      <c r="Y802" s="68"/>
      <c r="Z802" s="598"/>
      <c r="AK802" s="667"/>
      <c r="AL802" s="667"/>
      <c r="AM802" s="696"/>
      <c r="AN802" s="698"/>
      <c r="AO802" s="699"/>
      <c r="AP802" s="698"/>
    </row>
    <row r="803" spans="1:42" ht="14.85" customHeight="1" thickBot="1" x14ac:dyDescent="0.3">
      <c r="A803" s="612"/>
      <c r="B803" s="615"/>
      <c r="C803" s="618"/>
      <c r="D803" s="621"/>
      <c r="E803" s="124" t="s">
        <v>33</v>
      </c>
      <c r="F803" s="623">
        <f t="shared" ref="F803" si="2156">SUM(F800:G802)</f>
        <v>0</v>
      </c>
      <c r="G803" s="624"/>
      <c r="H803" s="625">
        <f t="shared" ref="H803" si="2157">SUM(H800:I802)</f>
        <v>0</v>
      </c>
      <c r="I803" s="626"/>
      <c r="J803" s="623">
        <f t="shared" ref="J803" si="2158">SUM(J800:K802)</f>
        <v>0</v>
      </c>
      <c r="K803" s="624"/>
      <c r="L803" s="625">
        <f t="shared" ref="L803" si="2159">SUM(L800:M802)</f>
        <v>0</v>
      </c>
      <c r="M803" s="642"/>
      <c r="N803" s="625">
        <f t="shared" ref="N803" si="2160">SUM(N800:O802)</f>
        <v>0</v>
      </c>
      <c r="O803" s="642"/>
      <c r="P803" s="623">
        <f t="shared" ref="P803" si="2161">SUM(P800:Q802)</f>
        <v>0</v>
      </c>
      <c r="Q803" s="626"/>
      <c r="R803" s="88">
        <f t="shared" ref="R803" si="2162">IF(AND(F803&gt;=$G$8,H803&gt;=$I$8,J803&gt;=$K$8,L803&gt;=$M$8,N803&gt;=$O$8,P803&gt;=$Q$8),SUM(F803:Q803),0)</f>
        <v>0</v>
      </c>
      <c r="S803" s="251"/>
      <c r="T803" s="97"/>
      <c r="U803" s="94"/>
      <c r="V803" s="606"/>
      <c r="W803" s="88" t="str">
        <f t="shared" ref="W803" si="2163">LOOKUP(R803,$AI$6:$AJ$10)</f>
        <v>ضعيف</v>
      </c>
      <c r="X803" s="641"/>
      <c r="Y803" s="8"/>
      <c r="Z803" s="599"/>
      <c r="AK803" s="667"/>
      <c r="AL803" s="667"/>
      <c r="AM803" s="696"/>
      <c r="AN803" s="698"/>
      <c r="AO803" s="699"/>
      <c r="AP803" s="698"/>
    </row>
    <row r="804" spans="1:42" ht="14.85" customHeight="1" thickBot="1" x14ac:dyDescent="0.3">
      <c r="A804" s="610">
        <v>174</v>
      </c>
      <c r="B804" s="613">
        <f>VLOOKUP(A804,مسلسل,2,0)</f>
        <v>0</v>
      </c>
      <c r="C804" s="616" t="str">
        <f>IFERROR(VLOOKUP(B804,اسماء,2,0),"")</f>
        <v/>
      </c>
      <c r="D804" s="619" t="str">
        <f>IFERROR(VLOOKUP($B804,اسماء,3,0),"")</f>
        <v/>
      </c>
      <c r="E804" s="129" t="s">
        <v>30</v>
      </c>
      <c r="F804" s="600">
        <f>IFERROR(VLOOKUP($B804,اسماء,5,0),0)</f>
        <v>0</v>
      </c>
      <c r="G804" s="601"/>
      <c r="H804" s="602">
        <f>IFERROR(VLOOKUP($B804,اسماء,6,0),0)</f>
        <v>0</v>
      </c>
      <c r="I804" s="622"/>
      <c r="J804" s="600">
        <f>IFERROR(VLOOKUP($B804,اسماء,7,0),0)</f>
        <v>0</v>
      </c>
      <c r="K804" s="601"/>
      <c r="L804" s="602">
        <f>IFERROR(VLOOKUP($B804,اسماء,8,0),0)</f>
        <v>0</v>
      </c>
      <c r="M804" s="603"/>
      <c r="N804" s="602">
        <f>IFERROR(VLOOKUP($B804,اسماء,9,0),0)</f>
        <v>0</v>
      </c>
      <c r="O804" s="603"/>
      <c r="P804" s="600">
        <f>IFERROR(VLOOKUP($B804,اسماء,10,0),0)</f>
        <v>0</v>
      </c>
      <c r="Q804" s="622"/>
      <c r="R804" s="371">
        <f t="shared" ref="R804" si="2164">SUM(F804:Q804)</f>
        <v>0</v>
      </c>
      <c r="S804" s="213" t="str">
        <f>IFERROR(VLOOKUP($B804,اسماء,12,0),"")</f>
        <v/>
      </c>
      <c r="T804" s="214" t="str">
        <f>IFERROR(VLOOKUP($B804,اسماء,13,0),"")</f>
        <v/>
      </c>
      <c r="U804" s="364" t="str">
        <f>IFERROR(VLOOKUP($B804,اسماء,14,0),"")</f>
        <v/>
      </c>
      <c r="V804" s="604" t="str">
        <f t="shared" ref="V804" si="2165">IF(Z804="غائب","راسب",IF(R807&gt;0,"ناجح","مرحل"))</f>
        <v>مرحل</v>
      </c>
      <c r="W804" s="19" t="str">
        <f t="shared" ref="W804:W805" si="2166">LOOKUP(R804,$AC$6:$AD$10)</f>
        <v>ضعيف</v>
      </c>
      <c r="X804" s="639">
        <f t="shared" ref="X804" si="2167">R807/$AC$3</f>
        <v>0</v>
      </c>
      <c r="Y804" s="68"/>
      <c r="Z804" s="597" t="str">
        <f>IFERROR(VLOOKUP($B804,اسماء,48,0),"")</f>
        <v/>
      </c>
      <c r="AK804" s="667" t="str">
        <f t="shared" ref="AK804" si="2168">IF(R807=0,"",R807/1+ROW()*0.00001)</f>
        <v/>
      </c>
      <c r="AL804" s="667">
        <f>B804</f>
        <v>0</v>
      </c>
      <c r="AM804" s="696"/>
      <c r="AN804" s="698">
        <v>174</v>
      </c>
      <c r="AO804" s="699" t="str">
        <f>IFERROR(LARGE($AK$10:$AK$1420,AN804),"")</f>
        <v/>
      </c>
      <c r="AP804" s="698" t="str">
        <f>VLOOKUP(AO804,$AK$10:$AL$1530,2,0)</f>
        <v>امجد عمر عبداللطيف سلطان</v>
      </c>
    </row>
    <row r="805" spans="1:42" ht="14.85" customHeight="1" x14ac:dyDescent="0.25">
      <c r="A805" s="611"/>
      <c r="B805" s="614"/>
      <c r="C805" s="617"/>
      <c r="D805" s="620"/>
      <c r="E805" s="130" t="s">
        <v>31</v>
      </c>
      <c r="F805" s="592">
        <f>IFERROR(VLOOKUP($B804,اسماء,15,0),0)</f>
        <v>0</v>
      </c>
      <c r="G805" s="593"/>
      <c r="H805" s="594">
        <f>IFERROR(VLOOKUP($B804,اسماء,16,0),0)</f>
        <v>0</v>
      </c>
      <c r="I805" s="595"/>
      <c r="J805" s="592">
        <f>IFERROR(VLOOKUP($B804,اسماء,17,0),0)</f>
        <v>0</v>
      </c>
      <c r="K805" s="593"/>
      <c r="L805" s="594">
        <f>IFERROR(VLOOKUP($B804,اسماء,18,0),0)</f>
        <v>0</v>
      </c>
      <c r="M805" s="596"/>
      <c r="N805" s="594">
        <f>IFERROR(VLOOKUP($B804,اسماء,19,0),0)</f>
        <v>0</v>
      </c>
      <c r="O805" s="596"/>
      <c r="P805" s="592">
        <f>IFERROR(VLOOKUP($B804,اسماء,20,0),0)</f>
        <v>0</v>
      </c>
      <c r="Q805" s="595"/>
      <c r="R805" s="372">
        <f t="shared" si="2142"/>
        <v>0</v>
      </c>
      <c r="S805" s="305" t="str">
        <f>IFERROR(VLOOKUP($B804,اسماء,23,0),"")</f>
        <v/>
      </c>
      <c r="T805" s="306" t="str">
        <f>IFERROR(VLOOKUP($B804,اسماء,24,0),"")</f>
        <v/>
      </c>
      <c r="U805" s="122" t="str">
        <f>IFERROR(VLOOKUP($B804,اسماء,25,0),"")</f>
        <v/>
      </c>
      <c r="V805" s="605"/>
      <c r="W805" s="19" t="str">
        <f t="shared" si="2166"/>
        <v>ضعيف</v>
      </c>
      <c r="X805" s="640"/>
      <c r="Y805" s="68"/>
      <c r="Z805" s="598"/>
      <c r="AK805" s="667"/>
      <c r="AL805" s="667"/>
      <c r="AM805" s="696"/>
      <c r="AN805" s="698"/>
      <c r="AO805" s="699"/>
      <c r="AP805" s="698"/>
    </row>
    <row r="806" spans="1:42" ht="14.85" customHeight="1" x14ac:dyDescent="0.25">
      <c r="A806" s="611"/>
      <c r="B806" s="614"/>
      <c r="C806" s="617"/>
      <c r="D806" s="620"/>
      <c r="E806" s="130" t="s">
        <v>32</v>
      </c>
      <c r="F806" s="592">
        <f>IFERROR(VLOOKUP($B804,اسماء,25,0),0)</f>
        <v>0</v>
      </c>
      <c r="G806" s="593"/>
      <c r="H806" s="594">
        <f>IFERROR(VLOOKUP($B804,اسماء,26,0),0)</f>
        <v>0</v>
      </c>
      <c r="I806" s="595"/>
      <c r="J806" s="592">
        <f>IFERROR(VLOOKUP($B804,اسماء,27,0),0)</f>
        <v>0</v>
      </c>
      <c r="K806" s="593"/>
      <c r="L806" s="594">
        <f>IFERROR(VLOOKUP($B804,اسماء,28,0),0)</f>
        <v>0</v>
      </c>
      <c r="M806" s="596"/>
      <c r="N806" s="594">
        <f>IFERROR(VLOOKUP($B804,اسماء,29,0),0)</f>
        <v>0</v>
      </c>
      <c r="O806" s="596"/>
      <c r="P806" s="592">
        <f>IFERROR(VLOOKUP($B804,اسماء,30,0),0)</f>
        <v>0</v>
      </c>
      <c r="Q806" s="595"/>
      <c r="R806" s="372">
        <f t="shared" si="2142"/>
        <v>0</v>
      </c>
      <c r="S806" s="305" t="str">
        <f>IFERROR(VLOOKUP($B804,اسماء,34,0),"")</f>
        <v/>
      </c>
      <c r="T806" s="306" t="str">
        <f>IFERROR(VLOOKUP($B804,اسماء,35,0),"")</f>
        <v/>
      </c>
      <c r="U806" s="122" t="str">
        <f>IFERROR(VLOOKUP($B804,اسماء,36,0),"")</f>
        <v/>
      </c>
      <c r="V806" s="605"/>
      <c r="W806" s="20" t="str">
        <f t="shared" ref="W806" si="2169">LOOKUP(R806,$AF$6:$AG$10)</f>
        <v>ضعيف</v>
      </c>
      <c r="X806" s="640"/>
      <c r="Y806" s="8"/>
      <c r="Z806" s="598"/>
      <c r="AK806" s="667"/>
      <c r="AL806" s="667"/>
      <c r="AM806" s="696"/>
      <c r="AN806" s="698"/>
      <c r="AO806" s="699"/>
      <c r="AP806" s="698"/>
    </row>
    <row r="807" spans="1:42" ht="14.85" customHeight="1" thickBot="1" x14ac:dyDescent="0.3">
      <c r="A807" s="612"/>
      <c r="B807" s="615"/>
      <c r="C807" s="618"/>
      <c r="D807" s="621"/>
      <c r="E807" s="124" t="s">
        <v>33</v>
      </c>
      <c r="F807" s="623">
        <f t="shared" ref="F807" si="2170">SUM(F804:G806)</f>
        <v>0</v>
      </c>
      <c r="G807" s="624"/>
      <c r="H807" s="625">
        <f t="shared" ref="H807" si="2171">SUM(H804:I806)</f>
        <v>0</v>
      </c>
      <c r="I807" s="626"/>
      <c r="J807" s="623">
        <f t="shared" ref="J807" si="2172">SUM(J804:K806)</f>
        <v>0</v>
      </c>
      <c r="K807" s="624"/>
      <c r="L807" s="625">
        <f t="shared" ref="L807" si="2173">SUM(L804:M806)</f>
        <v>0</v>
      </c>
      <c r="M807" s="642"/>
      <c r="N807" s="625">
        <f t="shared" ref="N807" si="2174">SUM(N804:O806)</f>
        <v>0</v>
      </c>
      <c r="O807" s="642"/>
      <c r="P807" s="623">
        <f t="shared" ref="P807" si="2175">SUM(P804:Q806)</f>
        <v>0</v>
      </c>
      <c r="Q807" s="626"/>
      <c r="R807" s="88">
        <f t="shared" ref="R807" si="2176">IF(AND(F807&gt;=$G$8,H807&gt;=$I$8,J807&gt;=$K$8,L807&gt;=$M$8,N807&gt;=$O$8,P807&gt;=$Q$8),SUM(F807:Q807),0)</f>
        <v>0</v>
      </c>
      <c r="S807" s="251"/>
      <c r="T807" s="97"/>
      <c r="U807" s="94"/>
      <c r="V807" s="606"/>
      <c r="W807" s="88" t="str">
        <f t="shared" ref="W807" si="2177">LOOKUP(R807,$AI$6:$AJ$10)</f>
        <v>ضعيف</v>
      </c>
      <c r="X807" s="641"/>
      <c r="Y807" s="68"/>
      <c r="Z807" s="599"/>
      <c r="AK807" s="667"/>
      <c r="AL807" s="667"/>
      <c r="AM807" s="696"/>
      <c r="AN807" s="698"/>
      <c r="AO807" s="699"/>
      <c r="AP807" s="698"/>
    </row>
    <row r="808" spans="1:42" ht="14.85" customHeight="1" thickBot="1" x14ac:dyDescent="0.3">
      <c r="A808" s="610">
        <v>175</v>
      </c>
      <c r="B808" s="613">
        <f>VLOOKUP(A808,مسلسل,2,0)</f>
        <v>0</v>
      </c>
      <c r="C808" s="616" t="str">
        <f>IFERROR(VLOOKUP(B808,اسماء,2,0),"")</f>
        <v/>
      </c>
      <c r="D808" s="619" t="str">
        <f>IFERROR(VLOOKUP($B808,اسماء,3,0),"")</f>
        <v/>
      </c>
      <c r="E808" s="129" t="s">
        <v>30</v>
      </c>
      <c r="F808" s="600">
        <f>IFERROR(VLOOKUP($B808,اسماء,5,0),0)</f>
        <v>0</v>
      </c>
      <c r="G808" s="601"/>
      <c r="H808" s="602">
        <f>IFERROR(VLOOKUP($B808,اسماء,6,0),0)</f>
        <v>0</v>
      </c>
      <c r="I808" s="622"/>
      <c r="J808" s="600">
        <f>IFERROR(VLOOKUP($B808,اسماء,7,0),0)</f>
        <v>0</v>
      </c>
      <c r="K808" s="601"/>
      <c r="L808" s="602">
        <f>IFERROR(VLOOKUP($B808,اسماء,8,0),0)</f>
        <v>0</v>
      </c>
      <c r="M808" s="603"/>
      <c r="N808" s="602">
        <f>IFERROR(VLOOKUP($B808,اسماء,9,0),0)</f>
        <v>0</v>
      </c>
      <c r="O808" s="603"/>
      <c r="P808" s="600">
        <f>IFERROR(VLOOKUP($B808,اسماء,10,0),0)</f>
        <v>0</v>
      </c>
      <c r="Q808" s="622"/>
      <c r="R808" s="371">
        <f t="shared" ref="R808" si="2178">SUM(F808:Q808)</f>
        <v>0</v>
      </c>
      <c r="S808" s="213" t="str">
        <f>IFERROR(VLOOKUP($B808,اسماء,12,0),"")</f>
        <v/>
      </c>
      <c r="T808" s="214" t="str">
        <f>IFERROR(VLOOKUP($B808,اسماء,13,0),"")</f>
        <v/>
      </c>
      <c r="U808" s="364" t="str">
        <f>IFERROR(VLOOKUP($B808,اسماء,14,0),"")</f>
        <v/>
      </c>
      <c r="V808" s="604" t="str">
        <f t="shared" ref="V808" si="2179">IF(Z808="غائب","راسب",IF(R811&gt;0,"ناجح","مرحل"))</f>
        <v>مرحل</v>
      </c>
      <c r="W808" s="19" t="str">
        <f t="shared" ref="W808:W809" si="2180">LOOKUP(R808,$AC$6:$AD$10)</f>
        <v>ضعيف</v>
      </c>
      <c r="X808" s="639">
        <f t="shared" ref="X808" si="2181">R811/$AC$3</f>
        <v>0</v>
      </c>
      <c r="Y808" s="68"/>
      <c r="Z808" s="597" t="str">
        <f>IFERROR(VLOOKUP($B808,اسماء,48,0),"")</f>
        <v/>
      </c>
      <c r="AK808" s="667" t="str">
        <f t="shared" ref="AK808" si="2182">IF(R811=0,"",R811/1+ROW()*0.00001)</f>
        <v/>
      </c>
      <c r="AL808" s="667">
        <f>B808</f>
        <v>0</v>
      </c>
      <c r="AM808" s="696"/>
      <c r="AN808" s="698">
        <v>175</v>
      </c>
      <c r="AO808" s="699" t="str">
        <f>IFERROR(LARGE($AK$10:$AK$1420,AN808),"")</f>
        <v/>
      </c>
      <c r="AP808" s="698" t="str">
        <f>VLOOKUP(AO808,$AK$10:$AL$1530,2,0)</f>
        <v>امجد عمر عبداللطيف سلطان</v>
      </c>
    </row>
    <row r="809" spans="1:42" ht="14.85" customHeight="1" x14ac:dyDescent="0.25">
      <c r="A809" s="611"/>
      <c r="B809" s="614"/>
      <c r="C809" s="617"/>
      <c r="D809" s="620"/>
      <c r="E809" s="130" t="s">
        <v>31</v>
      </c>
      <c r="F809" s="592">
        <f>IFERROR(VLOOKUP($B808,اسماء,15,0),0)</f>
        <v>0</v>
      </c>
      <c r="G809" s="593"/>
      <c r="H809" s="594">
        <f>IFERROR(VLOOKUP($B808,اسماء,16,0),0)</f>
        <v>0</v>
      </c>
      <c r="I809" s="595"/>
      <c r="J809" s="592">
        <f>IFERROR(VLOOKUP($B808,اسماء,17,0),0)</f>
        <v>0</v>
      </c>
      <c r="K809" s="593"/>
      <c r="L809" s="594">
        <f>IFERROR(VLOOKUP($B808,اسماء,18,0),0)</f>
        <v>0</v>
      </c>
      <c r="M809" s="596"/>
      <c r="N809" s="594">
        <f>IFERROR(VLOOKUP($B808,اسماء,19,0),0)</f>
        <v>0</v>
      </c>
      <c r="O809" s="596"/>
      <c r="P809" s="592">
        <f>IFERROR(VLOOKUP($B808,اسماء,20,0),0)</f>
        <v>0</v>
      </c>
      <c r="Q809" s="595"/>
      <c r="R809" s="372">
        <f t="shared" si="2142"/>
        <v>0</v>
      </c>
      <c r="S809" s="305" t="str">
        <f>IFERROR(VLOOKUP($B808,اسماء,23,0),"")</f>
        <v/>
      </c>
      <c r="T809" s="306" t="str">
        <f>IFERROR(VLOOKUP($B808,اسماء,24,0),"")</f>
        <v/>
      </c>
      <c r="U809" s="122" t="str">
        <f>IFERROR(VLOOKUP($B808,اسماء,25,0),"")</f>
        <v/>
      </c>
      <c r="V809" s="605"/>
      <c r="W809" s="19" t="str">
        <f t="shared" si="2180"/>
        <v>ضعيف</v>
      </c>
      <c r="X809" s="640"/>
      <c r="Y809" s="8"/>
      <c r="Z809" s="598"/>
      <c r="AK809" s="667"/>
      <c r="AL809" s="667"/>
      <c r="AM809" s="696"/>
      <c r="AN809" s="698"/>
      <c r="AO809" s="699"/>
      <c r="AP809" s="698"/>
    </row>
    <row r="810" spans="1:42" ht="14.85" customHeight="1" x14ac:dyDescent="0.25">
      <c r="A810" s="611"/>
      <c r="B810" s="614"/>
      <c r="C810" s="617"/>
      <c r="D810" s="620"/>
      <c r="E810" s="130" t="s">
        <v>32</v>
      </c>
      <c r="F810" s="592">
        <f>IFERROR(VLOOKUP($B808,اسماء,25,0),0)</f>
        <v>0</v>
      </c>
      <c r="G810" s="593"/>
      <c r="H810" s="594">
        <f>IFERROR(VLOOKUP($B808,اسماء,26,0),0)</f>
        <v>0</v>
      </c>
      <c r="I810" s="595"/>
      <c r="J810" s="592">
        <f>IFERROR(VLOOKUP($B808,اسماء,27,0),0)</f>
        <v>0</v>
      </c>
      <c r="K810" s="593"/>
      <c r="L810" s="594">
        <f>IFERROR(VLOOKUP($B808,اسماء,28,0),0)</f>
        <v>0</v>
      </c>
      <c r="M810" s="596"/>
      <c r="N810" s="594">
        <f>IFERROR(VLOOKUP($B808,اسماء,29,0),0)</f>
        <v>0</v>
      </c>
      <c r="O810" s="596"/>
      <c r="P810" s="592">
        <f>IFERROR(VLOOKUP($B808,اسماء,30,0),0)</f>
        <v>0</v>
      </c>
      <c r="Q810" s="595"/>
      <c r="R810" s="372">
        <f t="shared" si="2142"/>
        <v>0</v>
      </c>
      <c r="S810" s="305" t="str">
        <f>IFERROR(VLOOKUP($B808,اسماء,34,0),"")</f>
        <v/>
      </c>
      <c r="T810" s="306" t="str">
        <f>IFERROR(VLOOKUP($B808,اسماء,35,0),"")</f>
        <v/>
      </c>
      <c r="U810" s="122" t="str">
        <f>IFERROR(VLOOKUP($B808,اسماء,36,0),"")</f>
        <v/>
      </c>
      <c r="V810" s="605"/>
      <c r="W810" s="20" t="str">
        <f t="shared" ref="W810" si="2183">LOOKUP(R810,$AF$6:$AG$10)</f>
        <v>ضعيف</v>
      </c>
      <c r="X810" s="640"/>
      <c r="Y810" s="68"/>
      <c r="Z810" s="598"/>
      <c r="AK810" s="667"/>
      <c r="AL810" s="667"/>
      <c r="AM810" s="696"/>
      <c r="AN810" s="698"/>
      <c r="AO810" s="699"/>
      <c r="AP810" s="698"/>
    </row>
    <row r="811" spans="1:42" ht="14.85" customHeight="1" thickBot="1" x14ac:dyDescent="0.3">
      <c r="A811" s="612"/>
      <c r="B811" s="615"/>
      <c r="C811" s="618"/>
      <c r="D811" s="621"/>
      <c r="E811" s="124" t="s">
        <v>33</v>
      </c>
      <c r="F811" s="623">
        <f t="shared" ref="F811" si="2184">SUM(F808:G810)</f>
        <v>0</v>
      </c>
      <c r="G811" s="624"/>
      <c r="H811" s="625">
        <f t="shared" ref="H811" si="2185">SUM(H808:I810)</f>
        <v>0</v>
      </c>
      <c r="I811" s="626"/>
      <c r="J811" s="623">
        <f t="shared" ref="J811" si="2186">SUM(J808:K810)</f>
        <v>0</v>
      </c>
      <c r="K811" s="624"/>
      <c r="L811" s="625">
        <f t="shared" ref="L811" si="2187">SUM(L808:M810)</f>
        <v>0</v>
      </c>
      <c r="M811" s="642"/>
      <c r="N811" s="625">
        <f t="shared" ref="N811" si="2188">SUM(N808:O810)</f>
        <v>0</v>
      </c>
      <c r="O811" s="642"/>
      <c r="P811" s="623">
        <f t="shared" ref="P811" si="2189">SUM(P808:Q810)</f>
        <v>0</v>
      </c>
      <c r="Q811" s="626"/>
      <c r="R811" s="88">
        <f t="shared" ref="R811" si="2190">IF(AND(F811&gt;=$G$8,H811&gt;=$I$8,J811&gt;=$K$8,L811&gt;=$M$8,N811&gt;=$O$8,P811&gt;=$Q$8),SUM(F811:Q811),0)</f>
        <v>0</v>
      </c>
      <c r="S811" s="251"/>
      <c r="T811" s="97"/>
      <c r="U811" s="94"/>
      <c r="V811" s="606"/>
      <c r="W811" s="88" t="str">
        <f t="shared" ref="W811" si="2191">LOOKUP(R811,$AI$6:$AJ$10)</f>
        <v>ضعيف</v>
      </c>
      <c r="X811" s="641"/>
      <c r="Y811" s="68"/>
      <c r="Z811" s="599"/>
      <c r="AK811" s="667"/>
      <c r="AL811" s="667"/>
      <c r="AM811" s="696"/>
      <c r="AN811" s="698"/>
      <c r="AO811" s="699"/>
      <c r="AP811" s="698"/>
    </row>
    <row r="812" spans="1:42" ht="14.85" customHeight="1" thickBot="1" x14ac:dyDescent="0.3">
      <c r="A812" s="610">
        <v>176</v>
      </c>
      <c r="B812" s="613">
        <f>VLOOKUP(A812,مسلسل,2,0)</f>
        <v>0</v>
      </c>
      <c r="C812" s="616" t="str">
        <f>IFERROR(VLOOKUP(B812,اسماء,2,0),"")</f>
        <v/>
      </c>
      <c r="D812" s="619" t="str">
        <f>IFERROR(VLOOKUP($B812,اسماء,3,0),"")</f>
        <v/>
      </c>
      <c r="E812" s="129" t="s">
        <v>30</v>
      </c>
      <c r="F812" s="600">
        <f>IFERROR(VLOOKUP($B812,اسماء,5,0),0)</f>
        <v>0</v>
      </c>
      <c r="G812" s="601"/>
      <c r="H812" s="602">
        <f>IFERROR(VLOOKUP($B812,اسماء,6,0),0)</f>
        <v>0</v>
      </c>
      <c r="I812" s="622"/>
      <c r="J812" s="600">
        <f>IFERROR(VLOOKUP($B812,اسماء,7,0),0)</f>
        <v>0</v>
      </c>
      <c r="K812" s="601"/>
      <c r="L812" s="602">
        <f>IFERROR(VLOOKUP($B812,اسماء,8,0),0)</f>
        <v>0</v>
      </c>
      <c r="M812" s="603"/>
      <c r="N812" s="602">
        <f>IFERROR(VLOOKUP($B812,اسماء,9,0),0)</f>
        <v>0</v>
      </c>
      <c r="O812" s="603"/>
      <c r="P812" s="600">
        <f>IFERROR(VLOOKUP($B812,اسماء,10,0),0)</f>
        <v>0</v>
      </c>
      <c r="Q812" s="622"/>
      <c r="R812" s="371">
        <f t="shared" ref="R812" si="2192">SUM(F812:Q812)</f>
        <v>0</v>
      </c>
      <c r="S812" s="213" t="str">
        <f>IFERROR(VLOOKUP($B812,اسماء,12,0),"")</f>
        <v/>
      </c>
      <c r="T812" s="214" t="str">
        <f>IFERROR(VLOOKUP($B812,اسماء,13,0),"")</f>
        <v/>
      </c>
      <c r="U812" s="364" t="str">
        <f>IFERROR(VLOOKUP($B812,اسماء,14,0),"")</f>
        <v/>
      </c>
      <c r="V812" s="604" t="str">
        <f t="shared" ref="V812" si="2193">IF(Z812="غائب","راسب",IF(R815&gt;0,"ناجح","مرحل"))</f>
        <v>مرحل</v>
      </c>
      <c r="W812" s="19" t="str">
        <f t="shared" ref="W812:W813" si="2194">LOOKUP(R812,$AC$6:$AD$10)</f>
        <v>ضعيف</v>
      </c>
      <c r="X812" s="639">
        <f t="shared" ref="X812" si="2195">R815/$AC$3</f>
        <v>0</v>
      </c>
      <c r="Y812" s="8"/>
      <c r="Z812" s="597" t="str">
        <f>IFERROR(VLOOKUP($B812,اسماء,48,0),"")</f>
        <v/>
      </c>
      <c r="AK812" s="667" t="str">
        <f t="shared" ref="AK812" si="2196">IF(R815=0,"",R815/1+ROW()*0.00001)</f>
        <v/>
      </c>
      <c r="AL812" s="667">
        <f>B812</f>
        <v>0</v>
      </c>
      <c r="AM812" s="696"/>
      <c r="AN812" s="698">
        <v>176</v>
      </c>
      <c r="AO812" s="699" t="str">
        <f>IFERROR(LARGE($AK$10:$AK$1420,AN812),"")</f>
        <v/>
      </c>
      <c r="AP812" s="698" t="str">
        <f>VLOOKUP(AO812,$AK$10:$AL$1530,2,0)</f>
        <v>امجد عمر عبداللطيف سلطان</v>
      </c>
    </row>
    <row r="813" spans="1:42" ht="14.85" customHeight="1" x14ac:dyDescent="0.25">
      <c r="A813" s="611"/>
      <c r="B813" s="614"/>
      <c r="C813" s="617"/>
      <c r="D813" s="620"/>
      <c r="E813" s="130" t="s">
        <v>31</v>
      </c>
      <c r="F813" s="592">
        <f>IFERROR(VLOOKUP($B812,اسماء,15,0),0)</f>
        <v>0</v>
      </c>
      <c r="G813" s="593"/>
      <c r="H813" s="594">
        <f>IFERROR(VLOOKUP($B812,اسماء,16,0),0)</f>
        <v>0</v>
      </c>
      <c r="I813" s="595"/>
      <c r="J813" s="592">
        <f>IFERROR(VLOOKUP($B812,اسماء,17,0),0)</f>
        <v>0</v>
      </c>
      <c r="K813" s="593"/>
      <c r="L813" s="594">
        <f>IFERROR(VLOOKUP($B812,اسماء,18,0),0)</f>
        <v>0</v>
      </c>
      <c r="M813" s="596"/>
      <c r="N813" s="594">
        <f>IFERROR(VLOOKUP($B812,اسماء,19,0),0)</f>
        <v>0</v>
      </c>
      <c r="O813" s="596"/>
      <c r="P813" s="592">
        <f>IFERROR(VLOOKUP($B812,اسماء,20,0),0)</f>
        <v>0</v>
      </c>
      <c r="Q813" s="595"/>
      <c r="R813" s="372">
        <f t="shared" si="2142"/>
        <v>0</v>
      </c>
      <c r="S813" s="305" t="str">
        <f>IFERROR(VLOOKUP($B812,اسماء,23,0),"")</f>
        <v/>
      </c>
      <c r="T813" s="306" t="str">
        <f>IFERROR(VLOOKUP($B812,اسماء,24,0),"")</f>
        <v/>
      </c>
      <c r="U813" s="122" t="str">
        <f>IFERROR(VLOOKUP($B812,اسماء,25,0),"")</f>
        <v/>
      </c>
      <c r="V813" s="605"/>
      <c r="W813" s="19" t="str">
        <f t="shared" si="2194"/>
        <v>ضعيف</v>
      </c>
      <c r="X813" s="640"/>
      <c r="Y813" s="68"/>
      <c r="Z813" s="598"/>
      <c r="AK813" s="667"/>
      <c r="AL813" s="667"/>
      <c r="AM813" s="696"/>
      <c r="AN813" s="698"/>
      <c r="AO813" s="699"/>
      <c r="AP813" s="698"/>
    </row>
    <row r="814" spans="1:42" ht="14.85" customHeight="1" x14ac:dyDescent="0.25">
      <c r="A814" s="611"/>
      <c r="B814" s="614"/>
      <c r="C814" s="617"/>
      <c r="D814" s="620"/>
      <c r="E814" s="130" t="s">
        <v>32</v>
      </c>
      <c r="F814" s="592">
        <f>IFERROR(VLOOKUP($B812,اسماء,25,0),0)</f>
        <v>0</v>
      </c>
      <c r="G814" s="593"/>
      <c r="H814" s="594">
        <f>IFERROR(VLOOKUP($B812,اسماء,26,0),0)</f>
        <v>0</v>
      </c>
      <c r="I814" s="595"/>
      <c r="J814" s="592">
        <f>IFERROR(VLOOKUP($B812,اسماء,27,0),0)</f>
        <v>0</v>
      </c>
      <c r="K814" s="593"/>
      <c r="L814" s="594">
        <f>IFERROR(VLOOKUP($B812,اسماء,28,0),0)</f>
        <v>0</v>
      </c>
      <c r="M814" s="596"/>
      <c r="N814" s="594">
        <f>IFERROR(VLOOKUP($B812,اسماء,29,0),0)</f>
        <v>0</v>
      </c>
      <c r="O814" s="596"/>
      <c r="P814" s="592">
        <f>IFERROR(VLOOKUP($B812,اسماء,30,0),0)</f>
        <v>0</v>
      </c>
      <c r="Q814" s="595"/>
      <c r="R814" s="372">
        <f t="shared" si="2142"/>
        <v>0</v>
      </c>
      <c r="S814" s="305" t="str">
        <f>IFERROR(VLOOKUP($B812,اسماء,34,0),"")</f>
        <v/>
      </c>
      <c r="T814" s="306" t="str">
        <f>IFERROR(VLOOKUP($B812,اسماء,35,0),"")</f>
        <v/>
      </c>
      <c r="U814" s="122" t="str">
        <f>IFERROR(VLOOKUP($B812,اسماء,36,0),"")</f>
        <v/>
      </c>
      <c r="V814" s="605"/>
      <c r="W814" s="20" t="str">
        <f t="shared" ref="W814" si="2197">LOOKUP(R814,$AF$6:$AG$10)</f>
        <v>ضعيف</v>
      </c>
      <c r="X814" s="640"/>
      <c r="Y814" s="68"/>
      <c r="Z814" s="598"/>
      <c r="AK814" s="667"/>
      <c r="AL814" s="667"/>
      <c r="AM814" s="696"/>
      <c r="AN814" s="698"/>
      <c r="AO814" s="699"/>
      <c r="AP814" s="698"/>
    </row>
    <row r="815" spans="1:42" ht="14.85" customHeight="1" thickBot="1" x14ac:dyDescent="0.3">
      <c r="A815" s="612"/>
      <c r="B815" s="615"/>
      <c r="C815" s="618"/>
      <c r="D815" s="621"/>
      <c r="E815" s="124" t="s">
        <v>33</v>
      </c>
      <c r="F815" s="623">
        <f t="shared" ref="F815" si="2198">SUM(F812:G814)</f>
        <v>0</v>
      </c>
      <c r="G815" s="624"/>
      <c r="H815" s="625">
        <f t="shared" ref="H815" si="2199">SUM(H812:I814)</f>
        <v>0</v>
      </c>
      <c r="I815" s="626"/>
      <c r="J815" s="623">
        <f t="shared" ref="J815" si="2200">SUM(J812:K814)</f>
        <v>0</v>
      </c>
      <c r="K815" s="624"/>
      <c r="L815" s="625">
        <f t="shared" ref="L815" si="2201">SUM(L812:M814)</f>
        <v>0</v>
      </c>
      <c r="M815" s="642"/>
      <c r="N815" s="625">
        <f t="shared" ref="N815" si="2202">SUM(N812:O814)</f>
        <v>0</v>
      </c>
      <c r="O815" s="642"/>
      <c r="P815" s="623">
        <f t="shared" ref="P815" si="2203">SUM(P812:Q814)</f>
        <v>0</v>
      </c>
      <c r="Q815" s="626"/>
      <c r="R815" s="88">
        <f t="shared" ref="R815" si="2204">IF(AND(F815&gt;=$G$8,H815&gt;=$I$8,J815&gt;=$K$8,L815&gt;=$M$8,N815&gt;=$O$8,P815&gt;=$Q$8),SUM(F815:Q815),0)</f>
        <v>0</v>
      </c>
      <c r="S815" s="251"/>
      <c r="T815" s="97"/>
      <c r="U815" s="94"/>
      <c r="V815" s="606"/>
      <c r="W815" s="88" t="str">
        <f t="shared" ref="W815" si="2205">LOOKUP(R815,$AI$6:$AJ$10)</f>
        <v>ضعيف</v>
      </c>
      <c r="X815" s="641"/>
      <c r="Y815" s="8"/>
      <c r="Z815" s="599"/>
      <c r="AK815" s="667"/>
      <c r="AL815" s="667"/>
      <c r="AM815" s="696"/>
      <c r="AN815" s="698"/>
      <c r="AO815" s="699"/>
      <c r="AP815" s="698"/>
    </row>
    <row r="816" spans="1:42" ht="14.85" customHeight="1" thickBot="1" x14ac:dyDescent="0.3">
      <c r="A816" s="610">
        <v>177</v>
      </c>
      <c r="B816" s="613">
        <f>VLOOKUP(A816,مسلسل,2,0)</f>
        <v>0</v>
      </c>
      <c r="C816" s="616" t="str">
        <f>IFERROR(VLOOKUP(B816,اسماء,2,0),"")</f>
        <v/>
      </c>
      <c r="D816" s="619" t="str">
        <f>IFERROR(VLOOKUP($B816,اسماء,3,0),"")</f>
        <v/>
      </c>
      <c r="E816" s="129" t="s">
        <v>30</v>
      </c>
      <c r="F816" s="600">
        <f>IFERROR(VLOOKUP($B816,اسماء,5,0),0)</f>
        <v>0</v>
      </c>
      <c r="G816" s="601"/>
      <c r="H816" s="602">
        <f>IFERROR(VLOOKUP($B816,اسماء,6,0),0)</f>
        <v>0</v>
      </c>
      <c r="I816" s="622"/>
      <c r="J816" s="600">
        <f>IFERROR(VLOOKUP($B816,اسماء,7,0),0)</f>
        <v>0</v>
      </c>
      <c r="K816" s="601"/>
      <c r="L816" s="602">
        <f>IFERROR(VLOOKUP($B816,اسماء,8,0),0)</f>
        <v>0</v>
      </c>
      <c r="M816" s="603"/>
      <c r="N816" s="602">
        <f>IFERROR(VLOOKUP($B816,اسماء,9,0),0)</f>
        <v>0</v>
      </c>
      <c r="O816" s="603"/>
      <c r="P816" s="600">
        <f>IFERROR(VLOOKUP($B816,اسماء,10,0),0)</f>
        <v>0</v>
      </c>
      <c r="Q816" s="622"/>
      <c r="R816" s="371">
        <f t="shared" ref="R816" si="2206">SUM(F816:Q816)</f>
        <v>0</v>
      </c>
      <c r="S816" s="213" t="str">
        <f>IFERROR(VLOOKUP($B816,اسماء,12,0),"")</f>
        <v/>
      </c>
      <c r="T816" s="214" t="str">
        <f>IFERROR(VLOOKUP($B816,اسماء,13,0),"")</f>
        <v/>
      </c>
      <c r="U816" s="364" t="str">
        <f>IFERROR(VLOOKUP($B816,اسماء,14,0),"")</f>
        <v/>
      </c>
      <c r="V816" s="604" t="str">
        <f t="shared" ref="V816" si="2207">IF(Z816="غائب","راسب",IF(R819&gt;0,"ناجح","مرحل"))</f>
        <v>مرحل</v>
      </c>
      <c r="W816" s="19" t="str">
        <f t="shared" ref="W816:W817" si="2208">LOOKUP(R816,$AC$6:$AD$10)</f>
        <v>ضعيف</v>
      </c>
      <c r="X816" s="639">
        <f t="shared" ref="X816" si="2209">R819/$AC$3</f>
        <v>0</v>
      </c>
      <c r="Y816" s="68"/>
      <c r="Z816" s="597" t="str">
        <f>IFERROR(VLOOKUP($B816,اسماء,48,0),"")</f>
        <v/>
      </c>
      <c r="AK816" s="667" t="str">
        <f t="shared" ref="AK816" si="2210">IF(R819=0,"",R819/1+ROW()*0.00001)</f>
        <v/>
      </c>
      <c r="AL816" s="667">
        <f>B816</f>
        <v>0</v>
      </c>
      <c r="AM816" s="696"/>
      <c r="AN816" s="698">
        <v>177</v>
      </c>
      <c r="AO816" s="699" t="str">
        <f>IFERROR(LARGE($AK$10:$AK$1420,AN816),"")</f>
        <v/>
      </c>
      <c r="AP816" s="698" t="str">
        <f>VLOOKUP(AO816,$AK$10:$AL$1530,2,0)</f>
        <v>امجد عمر عبداللطيف سلطان</v>
      </c>
    </row>
    <row r="817" spans="1:42" ht="14.85" customHeight="1" x14ac:dyDescent="0.25">
      <c r="A817" s="611"/>
      <c r="B817" s="614"/>
      <c r="C817" s="617"/>
      <c r="D817" s="620"/>
      <c r="E817" s="130" t="s">
        <v>31</v>
      </c>
      <c r="F817" s="592">
        <f>IFERROR(VLOOKUP($B816,اسماء,15,0),0)</f>
        <v>0</v>
      </c>
      <c r="G817" s="593"/>
      <c r="H817" s="594">
        <f>IFERROR(VLOOKUP($B816,اسماء,16,0),0)</f>
        <v>0</v>
      </c>
      <c r="I817" s="595"/>
      <c r="J817" s="592">
        <f>IFERROR(VLOOKUP($B816,اسماء,17,0),0)</f>
        <v>0</v>
      </c>
      <c r="K817" s="593"/>
      <c r="L817" s="594">
        <f>IFERROR(VLOOKUP($B816,اسماء,18,0),0)</f>
        <v>0</v>
      </c>
      <c r="M817" s="596"/>
      <c r="N817" s="594">
        <f>IFERROR(VLOOKUP($B816,اسماء,19,0),0)</f>
        <v>0</v>
      </c>
      <c r="O817" s="596"/>
      <c r="P817" s="592">
        <f>IFERROR(VLOOKUP($B816,اسماء,20,0),0)</f>
        <v>0</v>
      </c>
      <c r="Q817" s="595"/>
      <c r="R817" s="372">
        <f t="shared" si="2142"/>
        <v>0</v>
      </c>
      <c r="S817" s="305" t="str">
        <f>IFERROR(VLOOKUP($B816,اسماء,23,0),"")</f>
        <v/>
      </c>
      <c r="T817" s="306" t="str">
        <f>IFERROR(VLOOKUP($B816,اسماء,24,0),"")</f>
        <v/>
      </c>
      <c r="U817" s="122" t="str">
        <f>IFERROR(VLOOKUP($B816,اسماء,25,0),"")</f>
        <v/>
      </c>
      <c r="V817" s="605"/>
      <c r="W817" s="19" t="str">
        <f t="shared" si="2208"/>
        <v>ضعيف</v>
      </c>
      <c r="X817" s="640"/>
      <c r="Y817" s="68"/>
      <c r="Z817" s="598"/>
      <c r="AK817" s="667"/>
      <c r="AL817" s="667"/>
      <c r="AM817" s="696"/>
      <c r="AN817" s="698"/>
      <c r="AO817" s="699"/>
      <c r="AP817" s="698"/>
    </row>
    <row r="818" spans="1:42" ht="14.85" customHeight="1" x14ac:dyDescent="0.25">
      <c r="A818" s="611"/>
      <c r="B818" s="614"/>
      <c r="C818" s="617"/>
      <c r="D818" s="620"/>
      <c r="E818" s="130" t="s">
        <v>32</v>
      </c>
      <c r="F818" s="592">
        <f>IFERROR(VLOOKUP($B816,اسماء,25,0),0)</f>
        <v>0</v>
      </c>
      <c r="G818" s="593"/>
      <c r="H818" s="594">
        <f>IFERROR(VLOOKUP($B816,اسماء,26,0),0)</f>
        <v>0</v>
      </c>
      <c r="I818" s="595"/>
      <c r="J818" s="592">
        <f>IFERROR(VLOOKUP($B816,اسماء,27,0),0)</f>
        <v>0</v>
      </c>
      <c r="K818" s="593"/>
      <c r="L818" s="594">
        <f>IFERROR(VLOOKUP($B816,اسماء,28,0),0)</f>
        <v>0</v>
      </c>
      <c r="M818" s="596"/>
      <c r="N818" s="594">
        <f>IFERROR(VLOOKUP($B816,اسماء,29,0),0)</f>
        <v>0</v>
      </c>
      <c r="O818" s="596"/>
      <c r="P818" s="592">
        <f>IFERROR(VLOOKUP($B816,اسماء,30,0),0)</f>
        <v>0</v>
      </c>
      <c r="Q818" s="595"/>
      <c r="R818" s="372">
        <f t="shared" si="2142"/>
        <v>0</v>
      </c>
      <c r="S818" s="305" t="str">
        <f>IFERROR(VLOOKUP($B816,اسماء,34,0),"")</f>
        <v/>
      </c>
      <c r="T818" s="306" t="str">
        <f>IFERROR(VLOOKUP($B816,اسماء,35,0),"")</f>
        <v/>
      </c>
      <c r="U818" s="122" t="str">
        <f>IFERROR(VLOOKUP($B816,اسماء,36,0),"")</f>
        <v/>
      </c>
      <c r="V818" s="605"/>
      <c r="W818" s="20" t="str">
        <f t="shared" ref="W818" si="2211">LOOKUP(R818,$AF$6:$AG$10)</f>
        <v>ضعيف</v>
      </c>
      <c r="X818" s="640"/>
      <c r="Y818" s="8"/>
      <c r="Z818" s="598"/>
      <c r="AK818" s="667"/>
      <c r="AL818" s="667"/>
      <c r="AM818" s="696"/>
      <c r="AN818" s="698"/>
      <c r="AO818" s="699"/>
      <c r="AP818" s="698"/>
    </row>
    <row r="819" spans="1:42" ht="14.85" customHeight="1" thickBot="1" x14ac:dyDescent="0.3">
      <c r="A819" s="612"/>
      <c r="B819" s="615"/>
      <c r="C819" s="618"/>
      <c r="D819" s="621"/>
      <c r="E819" s="124" t="s">
        <v>33</v>
      </c>
      <c r="F819" s="623">
        <f t="shared" ref="F819" si="2212">SUM(F816:G818)</f>
        <v>0</v>
      </c>
      <c r="G819" s="624"/>
      <c r="H819" s="625">
        <f t="shared" ref="H819" si="2213">SUM(H816:I818)</f>
        <v>0</v>
      </c>
      <c r="I819" s="626"/>
      <c r="J819" s="623">
        <f t="shared" ref="J819" si="2214">SUM(J816:K818)</f>
        <v>0</v>
      </c>
      <c r="K819" s="624"/>
      <c r="L819" s="625">
        <f t="shared" ref="L819" si="2215">SUM(L816:M818)</f>
        <v>0</v>
      </c>
      <c r="M819" s="642"/>
      <c r="N819" s="625">
        <f t="shared" ref="N819" si="2216">SUM(N816:O818)</f>
        <v>0</v>
      </c>
      <c r="O819" s="642"/>
      <c r="P819" s="623">
        <f t="shared" ref="P819" si="2217">SUM(P816:Q818)</f>
        <v>0</v>
      </c>
      <c r="Q819" s="626"/>
      <c r="R819" s="88">
        <f t="shared" ref="R819" si="2218">IF(AND(F819&gt;=$G$8,H819&gt;=$I$8,J819&gt;=$K$8,L819&gt;=$M$8,N819&gt;=$O$8,P819&gt;=$Q$8),SUM(F819:Q819),0)</f>
        <v>0</v>
      </c>
      <c r="S819" s="251"/>
      <c r="T819" s="97"/>
      <c r="U819" s="94"/>
      <c r="V819" s="606"/>
      <c r="W819" s="88" t="str">
        <f t="shared" ref="W819" si="2219">LOOKUP(R819,$AI$6:$AJ$10)</f>
        <v>ضعيف</v>
      </c>
      <c r="X819" s="641"/>
      <c r="Y819" s="68"/>
      <c r="Z819" s="599"/>
      <c r="AK819" s="667"/>
      <c r="AL819" s="667"/>
      <c r="AM819" s="696"/>
      <c r="AN819" s="698"/>
      <c r="AO819" s="699"/>
      <c r="AP819" s="698"/>
    </row>
    <row r="820" spans="1:42" ht="14.85" customHeight="1" thickBot="1" x14ac:dyDescent="0.3">
      <c r="A820" s="610">
        <v>178</v>
      </c>
      <c r="B820" s="613">
        <f>VLOOKUP(A820,مسلسل,2,0)</f>
        <v>0</v>
      </c>
      <c r="C820" s="616" t="str">
        <f>IFERROR(VLOOKUP(B820,اسماء,2,0),"")</f>
        <v/>
      </c>
      <c r="D820" s="619" t="str">
        <f>IFERROR(VLOOKUP($B820,اسماء,3,0),"")</f>
        <v/>
      </c>
      <c r="E820" s="129" t="s">
        <v>30</v>
      </c>
      <c r="F820" s="600">
        <f>IFERROR(VLOOKUP($B820,اسماء,5,0),0)</f>
        <v>0</v>
      </c>
      <c r="G820" s="601"/>
      <c r="H820" s="602">
        <f>IFERROR(VLOOKUP($B820,اسماء,6,0),0)</f>
        <v>0</v>
      </c>
      <c r="I820" s="622"/>
      <c r="J820" s="600">
        <f>IFERROR(VLOOKUP($B820,اسماء,7,0),0)</f>
        <v>0</v>
      </c>
      <c r="K820" s="601"/>
      <c r="L820" s="602">
        <f>IFERROR(VLOOKUP($B820,اسماء,8,0),0)</f>
        <v>0</v>
      </c>
      <c r="M820" s="603"/>
      <c r="N820" s="602">
        <f>IFERROR(VLOOKUP($B820,اسماء,9,0),0)</f>
        <v>0</v>
      </c>
      <c r="O820" s="603"/>
      <c r="P820" s="600">
        <f>IFERROR(VLOOKUP($B820,اسماء,10,0),0)</f>
        <v>0</v>
      </c>
      <c r="Q820" s="622"/>
      <c r="R820" s="371">
        <f t="shared" ref="R820" si="2220">SUM(F820:Q820)</f>
        <v>0</v>
      </c>
      <c r="S820" s="213" t="str">
        <f>IFERROR(VLOOKUP($B820,اسماء,12,0),"")</f>
        <v/>
      </c>
      <c r="T820" s="214" t="str">
        <f>IFERROR(VLOOKUP($B820,اسماء,13,0),"")</f>
        <v/>
      </c>
      <c r="U820" s="364" t="str">
        <f>IFERROR(VLOOKUP($B820,اسماء,14,0),"")</f>
        <v/>
      </c>
      <c r="V820" s="604" t="str">
        <f t="shared" ref="V820" si="2221">IF(Z820="غائب","راسب",IF(R823&gt;0,"ناجح","مرحل"))</f>
        <v>مرحل</v>
      </c>
      <c r="W820" s="19" t="str">
        <f t="shared" ref="W820:W821" si="2222">LOOKUP(R820,$AC$6:$AD$10)</f>
        <v>ضعيف</v>
      </c>
      <c r="X820" s="639">
        <f t="shared" ref="X820" si="2223">R823/$AC$3</f>
        <v>0</v>
      </c>
      <c r="Y820" s="68"/>
      <c r="Z820" s="597" t="str">
        <f>IFERROR(VLOOKUP($B820,اسماء,48,0),"")</f>
        <v/>
      </c>
      <c r="AK820" s="667" t="str">
        <f t="shared" ref="AK820" si="2224">IF(R823=0,"",R823/1+ROW()*0.00001)</f>
        <v/>
      </c>
      <c r="AL820" s="667">
        <f>B820</f>
        <v>0</v>
      </c>
      <c r="AM820" s="696"/>
      <c r="AN820" s="698">
        <v>178</v>
      </c>
      <c r="AO820" s="699" t="str">
        <f>IFERROR(LARGE($AK$10:$AK$1420,AN820),"")</f>
        <v/>
      </c>
      <c r="AP820" s="698" t="str">
        <f>VLOOKUP(AO820,$AK$10:$AL$1530,2,0)</f>
        <v>امجد عمر عبداللطيف سلطان</v>
      </c>
    </row>
    <row r="821" spans="1:42" ht="14.85" customHeight="1" x14ac:dyDescent="0.25">
      <c r="A821" s="611"/>
      <c r="B821" s="614"/>
      <c r="C821" s="617"/>
      <c r="D821" s="620"/>
      <c r="E821" s="130" t="s">
        <v>31</v>
      </c>
      <c r="F821" s="592">
        <f>IFERROR(VLOOKUP($B820,اسماء,15,0),0)</f>
        <v>0</v>
      </c>
      <c r="G821" s="593"/>
      <c r="H821" s="594">
        <f>IFERROR(VLOOKUP($B820,اسماء,16,0),0)</f>
        <v>0</v>
      </c>
      <c r="I821" s="595"/>
      <c r="J821" s="592">
        <f>IFERROR(VLOOKUP($B820,اسماء,17,0),0)</f>
        <v>0</v>
      </c>
      <c r="K821" s="593"/>
      <c r="L821" s="594">
        <f>IFERROR(VLOOKUP($B820,اسماء,18,0),0)</f>
        <v>0</v>
      </c>
      <c r="M821" s="596"/>
      <c r="N821" s="594">
        <f>IFERROR(VLOOKUP($B820,اسماء,19,0),0)</f>
        <v>0</v>
      </c>
      <c r="O821" s="596"/>
      <c r="P821" s="592">
        <f>IFERROR(VLOOKUP($B820,اسماء,20,0),0)</f>
        <v>0</v>
      </c>
      <c r="Q821" s="595"/>
      <c r="R821" s="372">
        <f t="shared" si="2142"/>
        <v>0</v>
      </c>
      <c r="S821" s="305" t="str">
        <f>IFERROR(VLOOKUP($B820,اسماء,23,0),"")</f>
        <v/>
      </c>
      <c r="T821" s="306" t="str">
        <f>IFERROR(VLOOKUP($B820,اسماء,24,0),"")</f>
        <v/>
      </c>
      <c r="U821" s="122" t="str">
        <f>IFERROR(VLOOKUP($B820,اسماء,25,0),"")</f>
        <v/>
      </c>
      <c r="V821" s="605"/>
      <c r="W821" s="19" t="str">
        <f t="shared" si="2222"/>
        <v>ضعيف</v>
      </c>
      <c r="X821" s="640"/>
      <c r="Y821" s="8"/>
      <c r="Z821" s="598"/>
      <c r="AK821" s="667"/>
      <c r="AL821" s="667"/>
      <c r="AM821" s="696"/>
      <c r="AN821" s="698"/>
      <c r="AO821" s="699"/>
      <c r="AP821" s="698"/>
    </row>
    <row r="822" spans="1:42" ht="14.85" customHeight="1" x14ac:dyDescent="0.25">
      <c r="A822" s="611"/>
      <c r="B822" s="614"/>
      <c r="C822" s="617"/>
      <c r="D822" s="620"/>
      <c r="E822" s="130" t="s">
        <v>32</v>
      </c>
      <c r="F822" s="592">
        <f>IFERROR(VLOOKUP($B820,اسماء,25,0),0)</f>
        <v>0</v>
      </c>
      <c r="G822" s="593"/>
      <c r="H822" s="594">
        <f>IFERROR(VLOOKUP($B820,اسماء,26,0),0)</f>
        <v>0</v>
      </c>
      <c r="I822" s="595"/>
      <c r="J822" s="592">
        <f>IFERROR(VLOOKUP($B820,اسماء,27,0),0)</f>
        <v>0</v>
      </c>
      <c r="K822" s="593"/>
      <c r="L822" s="594">
        <f>IFERROR(VLOOKUP($B820,اسماء,28,0),0)</f>
        <v>0</v>
      </c>
      <c r="M822" s="596"/>
      <c r="N822" s="594">
        <f>IFERROR(VLOOKUP($B820,اسماء,29,0),0)</f>
        <v>0</v>
      </c>
      <c r="O822" s="596"/>
      <c r="P822" s="592">
        <f>IFERROR(VLOOKUP($B820,اسماء,30,0),0)</f>
        <v>0</v>
      </c>
      <c r="Q822" s="595"/>
      <c r="R822" s="372">
        <f t="shared" si="2142"/>
        <v>0</v>
      </c>
      <c r="S822" s="305" t="str">
        <f>IFERROR(VLOOKUP($B820,اسماء,34,0),"")</f>
        <v/>
      </c>
      <c r="T822" s="306" t="str">
        <f>IFERROR(VLOOKUP($B820,اسماء,35,0),"")</f>
        <v/>
      </c>
      <c r="U822" s="122" t="str">
        <f>IFERROR(VLOOKUP($B820,اسماء,36,0),"")</f>
        <v/>
      </c>
      <c r="V822" s="605"/>
      <c r="W822" s="20" t="str">
        <f t="shared" ref="W822" si="2225">LOOKUP(R822,$AF$6:$AG$10)</f>
        <v>ضعيف</v>
      </c>
      <c r="X822" s="640"/>
      <c r="Y822" s="68"/>
      <c r="Z822" s="598"/>
      <c r="AK822" s="667"/>
      <c r="AL822" s="667"/>
      <c r="AM822" s="696"/>
      <c r="AN822" s="698"/>
      <c r="AO822" s="699"/>
      <c r="AP822" s="698"/>
    </row>
    <row r="823" spans="1:42" ht="14.85" customHeight="1" thickBot="1" x14ac:dyDescent="0.3">
      <c r="A823" s="612"/>
      <c r="B823" s="615"/>
      <c r="C823" s="618"/>
      <c r="D823" s="621"/>
      <c r="E823" s="124" t="s">
        <v>33</v>
      </c>
      <c r="F823" s="623">
        <f t="shared" ref="F823" si="2226">SUM(F820:G822)</f>
        <v>0</v>
      </c>
      <c r="G823" s="624"/>
      <c r="H823" s="625">
        <f t="shared" ref="H823" si="2227">SUM(H820:I822)</f>
        <v>0</v>
      </c>
      <c r="I823" s="626"/>
      <c r="J823" s="623">
        <f t="shared" ref="J823" si="2228">SUM(J820:K822)</f>
        <v>0</v>
      </c>
      <c r="K823" s="624"/>
      <c r="L823" s="625">
        <f t="shared" ref="L823" si="2229">SUM(L820:M822)</f>
        <v>0</v>
      </c>
      <c r="M823" s="642"/>
      <c r="N823" s="625">
        <f t="shared" ref="N823" si="2230">SUM(N820:O822)</f>
        <v>0</v>
      </c>
      <c r="O823" s="642"/>
      <c r="P823" s="623">
        <f t="shared" ref="P823" si="2231">SUM(P820:Q822)</f>
        <v>0</v>
      </c>
      <c r="Q823" s="626"/>
      <c r="R823" s="88">
        <f t="shared" ref="R823" si="2232">IF(AND(F823&gt;=$G$8,H823&gt;=$I$8,J823&gt;=$K$8,L823&gt;=$M$8,N823&gt;=$O$8,P823&gt;=$Q$8),SUM(F823:Q823),0)</f>
        <v>0</v>
      </c>
      <c r="S823" s="251"/>
      <c r="T823" s="97"/>
      <c r="U823" s="94"/>
      <c r="V823" s="606"/>
      <c r="W823" s="88" t="str">
        <f t="shared" ref="W823" si="2233">LOOKUP(R823,$AI$6:$AJ$10)</f>
        <v>ضعيف</v>
      </c>
      <c r="X823" s="641"/>
      <c r="Y823" s="68"/>
      <c r="Z823" s="599"/>
      <c r="AK823" s="667"/>
      <c r="AL823" s="667"/>
      <c r="AM823" s="696"/>
      <c r="AN823" s="698"/>
      <c r="AO823" s="699"/>
      <c r="AP823" s="698"/>
    </row>
    <row r="824" spans="1:42" ht="14.85" customHeight="1" thickBot="1" x14ac:dyDescent="0.3">
      <c r="A824" s="610">
        <v>179</v>
      </c>
      <c r="B824" s="613">
        <f>VLOOKUP(A824,مسلسل,2,0)</f>
        <v>0</v>
      </c>
      <c r="C824" s="616" t="str">
        <f>IFERROR(VLOOKUP(B824,اسماء,2,0),"")</f>
        <v/>
      </c>
      <c r="D824" s="619" t="str">
        <f>IFERROR(VLOOKUP($B824,اسماء,3,0),"")</f>
        <v/>
      </c>
      <c r="E824" s="129" t="s">
        <v>30</v>
      </c>
      <c r="F824" s="600">
        <f>IFERROR(VLOOKUP($B824,اسماء,5,0),0)</f>
        <v>0</v>
      </c>
      <c r="G824" s="601"/>
      <c r="H824" s="602">
        <f>IFERROR(VLOOKUP($B824,اسماء,6,0),0)</f>
        <v>0</v>
      </c>
      <c r="I824" s="622"/>
      <c r="J824" s="600">
        <f>IFERROR(VLOOKUP($B824,اسماء,7,0),0)</f>
        <v>0</v>
      </c>
      <c r="K824" s="601"/>
      <c r="L824" s="602">
        <f>IFERROR(VLOOKUP($B824,اسماء,8,0),0)</f>
        <v>0</v>
      </c>
      <c r="M824" s="603"/>
      <c r="N824" s="602">
        <f>IFERROR(VLOOKUP($B824,اسماء,9,0),0)</f>
        <v>0</v>
      </c>
      <c r="O824" s="603"/>
      <c r="P824" s="600">
        <f>IFERROR(VLOOKUP($B824,اسماء,10,0),0)</f>
        <v>0</v>
      </c>
      <c r="Q824" s="622"/>
      <c r="R824" s="371">
        <f t="shared" ref="R824" si="2234">SUM(F824:Q824)</f>
        <v>0</v>
      </c>
      <c r="S824" s="213" t="str">
        <f>IFERROR(VLOOKUP($B824,اسماء,12,0),"")</f>
        <v/>
      </c>
      <c r="T824" s="214" t="str">
        <f>IFERROR(VLOOKUP($B824,اسماء,13,0),"")</f>
        <v/>
      </c>
      <c r="U824" s="364" t="str">
        <f>IFERROR(VLOOKUP($B824,اسماء,14,0),"")</f>
        <v/>
      </c>
      <c r="V824" s="604" t="str">
        <f t="shared" ref="V824" si="2235">IF(Z824="غائب","راسب",IF(R827&gt;0,"ناجح","مرحل"))</f>
        <v>مرحل</v>
      </c>
      <c r="W824" s="19" t="str">
        <f t="shared" ref="W824:W825" si="2236">LOOKUP(R824,$AC$6:$AD$10)</f>
        <v>ضعيف</v>
      </c>
      <c r="X824" s="639">
        <f t="shared" ref="X824" si="2237">R827/$AC$3</f>
        <v>0</v>
      </c>
      <c r="Y824" s="8"/>
      <c r="Z824" s="597" t="str">
        <f>IFERROR(VLOOKUP($B824,اسماء,48,0),"")</f>
        <v/>
      </c>
      <c r="AK824" s="667" t="str">
        <f t="shared" ref="AK824" si="2238">IF(R827=0,"",R827/1+ROW()*0.00001)</f>
        <v/>
      </c>
      <c r="AL824" s="667">
        <f>B824</f>
        <v>0</v>
      </c>
      <c r="AM824" s="696"/>
      <c r="AN824" s="698">
        <v>179</v>
      </c>
      <c r="AO824" s="699" t="str">
        <f>IFERROR(LARGE($AK$10:$AK$1420,AN824),"")</f>
        <v/>
      </c>
      <c r="AP824" s="698" t="str">
        <f>VLOOKUP(AO824,$AK$10:$AL$1530,2,0)</f>
        <v>امجد عمر عبداللطيف سلطان</v>
      </c>
    </row>
    <row r="825" spans="1:42" ht="14.85" customHeight="1" x14ac:dyDescent="0.25">
      <c r="A825" s="611"/>
      <c r="B825" s="614"/>
      <c r="C825" s="617"/>
      <c r="D825" s="620"/>
      <c r="E825" s="130" t="s">
        <v>31</v>
      </c>
      <c r="F825" s="592">
        <f>IFERROR(VLOOKUP($B824,اسماء,15,0),0)</f>
        <v>0</v>
      </c>
      <c r="G825" s="593"/>
      <c r="H825" s="594">
        <f>IFERROR(VLOOKUP($B824,اسماء,16,0),0)</f>
        <v>0</v>
      </c>
      <c r="I825" s="595"/>
      <c r="J825" s="592">
        <f>IFERROR(VLOOKUP($B824,اسماء,17,0),0)</f>
        <v>0</v>
      </c>
      <c r="K825" s="593"/>
      <c r="L825" s="594">
        <f>IFERROR(VLOOKUP($B824,اسماء,18,0),0)</f>
        <v>0</v>
      </c>
      <c r="M825" s="596"/>
      <c r="N825" s="594">
        <f>IFERROR(VLOOKUP($B824,اسماء,19,0),0)</f>
        <v>0</v>
      </c>
      <c r="O825" s="596"/>
      <c r="P825" s="592">
        <f>IFERROR(VLOOKUP($B824,اسماء,20,0),0)</f>
        <v>0</v>
      </c>
      <c r="Q825" s="595"/>
      <c r="R825" s="372">
        <f t="shared" si="2142"/>
        <v>0</v>
      </c>
      <c r="S825" s="305" t="str">
        <f>IFERROR(VLOOKUP($B824,اسماء,23,0),"")</f>
        <v/>
      </c>
      <c r="T825" s="306" t="str">
        <f>IFERROR(VLOOKUP($B824,اسماء,24,0),"")</f>
        <v/>
      </c>
      <c r="U825" s="122" t="str">
        <f>IFERROR(VLOOKUP($B824,اسماء,25,0),"")</f>
        <v/>
      </c>
      <c r="V825" s="605"/>
      <c r="W825" s="19" t="str">
        <f t="shared" si="2236"/>
        <v>ضعيف</v>
      </c>
      <c r="X825" s="640"/>
      <c r="Y825" s="68"/>
      <c r="Z825" s="598"/>
      <c r="AK825" s="667"/>
      <c r="AL825" s="667"/>
      <c r="AM825" s="696"/>
      <c r="AN825" s="698"/>
      <c r="AO825" s="699"/>
      <c r="AP825" s="698"/>
    </row>
    <row r="826" spans="1:42" ht="14.85" customHeight="1" x14ac:dyDescent="0.25">
      <c r="A826" s="611"/>
      <c r="B826" s="614"/>
      <c r="C826" s="617"/>
      <c r="D826" s="620"/>
      <c r="E826" s="130" t="s">
        <v>32</v>
      </c>
      <c r="F826" s="592">
        <f>IFERROR(VLOOKUP($B824,اسماء,25,0),0)</f>
        <v>0</v>
      </c>
      <c r="G826" s="593"/>
      <c r="H826" s="594">
        <f>IFERROR(VLOOKUP($B824,اسماء,26,0),0)</f>
        <v>0</v>
      </c>
      <c r="I826" s="595"/>
      <c r="J826" s="592">
        <f>IFERROR(VLOOKUP($B824,اسماء,27,0),0)</f>
        <v>0</v>
      </c>
      <c r="K826" s="593"/>
      <c r="L826" s="594">
        <f>IFERROR(VLOOKUP($B824,اسماء,28,0),0)</f>
        <v>0</v>
      </c>
      <c r="M826" s="596"/>
      <c r="N826" s="594">
        <f>IFERROR(VLOOKUP($B824,اسماء,29,0),0)</f>
        <v>0</v>
      </c>
      <c r="O826" s="596"/>
      <c r="P826" s="592">
        <f>IFERROR(VLOOKUP($B824,اسماء,30,0),0)</f>
        <v>0</v>
      </c>
      <c r="Q826" s="595"/>
      <c r="R826" s="372">
        <f t="shared" si="2142"/>
        <v>0</v>
      </c>
      <c r="S826" s="305" t="str">
        <f>IFERROR(VLOOKUP($B824,اسماء,34,0),"")</f>
        <v/>
      </c>
      <c r="T826" s="306" t="str">
        <f>IFERROR(VLOOKUP($B824,اسماء,35,0),"")</f>
        <v/>
      </c>
      <c r="U826" s="122" t="str">
        <f>IFERROR(VLOOKUP($B824,اسماء,36,0),"")</f>
        <v/>
      </c>
      <c r="V826" s="605"/>
      <c r="W826" s="20" t="str">
        <f t="shared" ref="W826" si="2239">LOOKUP(R826,$AF$6:$AG$10)</f>
        <v>ضعيف</v>
      </c>
      <c r="X826" s="640"/>
      <c r="Y826" s="68"/>
      <c r="Z826" s="598"/>
      <c r="AK826" s="667"/>
      <c r="AL826" s="667"/>
      <c r="AM826" s="696"/>
      <c r="AN826" s="698"/>
      <c r="AO826" s="699"/>
      <c r="AP826" s="698"/>
    </row>
    <row r="827" spans="1:42" ht="14.85" customHeight="1" thickBot="1" x14ac:dyDescent="0.3">
      <c r="A827" s="612"/>
      <c r="B827" s="615"/>
      <c r="C827" s="618"/>
      <c r="D827" s="621"/>
      <c r="E827" s="124" t="s">
        <v>33</v>
      </c>
      <c r="F827" s="623">
        <f t="shared" ref="F827" si="2240">SUM(F824:G826)</f>
        <v>0</v>
      </c>
      <c r="G827" s="624"/>
      <c r="H827" s="625">
        <f t="shared" ref="H827" si="2241">SUM(H824:I826)</f>
        <v>0</v>
      </c>
      <c r="I827" s="626"/>
      <c r="J827" s="623">
        <f t="shared" ref="J827" si="2242">SUM(J824:K826)</f>
        <v>0</v>
      </c>
      <c r="K827" s="624"/>
      <c r="L827" s="625">
        <f t="shared" ref="L827" si="2243">SUM(L824:M826)</f>
        <v>0</v>
      </c>
      <c r="M827" s="642"/>
      <c r="N827" s="625">
        <f t="shared" ref="N827" si="2244">SUM(N824:O826)</f>
        <v>0</v>
      </c>
      <c r="O827" s="642"/>
      <c r="P827" s="623">
        <f t="shared" ref="P827" si="2245">SUM(P824:Q826)</f>
        <v>0</v>
      </c>
      <c r="Q827" s="626"/>
      <c r="R827" s="88">
        <f t="shared" ref="R827" si="2246">IF(AND(F827&gt;=$G$8,H827&gt;=$I$8,J827&gt;=$K$8,L827&gt;=$M$8,N827&gt;=$O$8,P827&gt;=$Q$8),SUM(F827:Q827),0)</f>
        <v>0</v>
      </c>
      <c r="S827" s="251"/>
      <c r="T827" s="97"/>
      <c r="U827" s="94"/>
      <c r="V827" s="606"/>
      <c r="W827" s="88" t="str">
        <f t="shared" ref="W827" si="2247">LOOKUP(R827,$AI$6:$AJ$10)</f>
        <v>ضعيف</v>
      </c>
      <c r="X827" s="641"/>
      <c r="Y827" s="8"/>
      <c r="Z827" s="599"/>
      <c r="AK827" s="667"/>
      <c r="AL827" s="667"/>
      <c r="AM827" s="696"/>
      <c r="AN827" s="698"/>
      <c r="AO827" s="699"/>
      <c r="AP827" s="698"/>
    </row>
    <row r="828" spans="1:42" ht="14.85" customHeight="1" thickBot="1" x14ac:dyDescent="0.3">
      <c r="A828" s="610">
        <v>180</v>
      </c>
      <c r="B828" s="613">
        <f>VLOOKUP(A828,مسلسل,2,0)</f>
        <v>0</v>
      </c>
      <c r="C828" s="616" t="str">
        <f>IFERROR(VLOOKUP(B828,اسماء,2,0),"")</f>
        <v/>
      </c>
      <c r="D828" s="619" t="str">
        <f>IFERROR(VLOOKUP($B828,اسماء,3,0),"")</f>
        <v/>
      </c>
      <c r="E828" s="129" t="s">
        <v>30</v>
      </c>
      <c r="F828" s="600">
        <f>IFERROR(VLOOKUP($B828,اسماء,5,0),0)</f>
        <v>0</v>
      </c>
      <c r="G828" s="601"/>
      <c r="H828" s="602">
        <f>IFERROR(VLOOKUP($B828,اسماء,6,0),0)</f>
        <v>0</v>
      </c>
      <c r="I828" s="622"/>
      <c r="J828" s="600">
        <f>IFERROR(VLOOKUP($B828,اسماء,7,0),0)</f>
        <v>0</v>
      </c>
      <c r="K828" s="601"/>
      <c r="L828" s="602">
        <f>IFERROR(VLOOKUP($B828,اسماء,8,0),0)</f>
        <v>0</v>
      </c>
      <c r="M828" s="603"/>
      <c r="N828" s="602">
        <f>IFERROR(VLOOKUP($B828,اسماء,9,0),0)</f>
        <v>0</v>
      </c>
      <c r="O828" s="603"/>
      <c r="P828" s="600">
        <f>IFERROR(VLOOKUP($B828,اسماء,10,0),0)</f>
        <v>0</v>
      </c>
      <c r="Q828" s="622"/>
      <c r="R828" s="371">
        <f t="shared" ref="R828" si="2248">SUM(F828:Q828)</f>
        <v>0</v>
      </c>
      <c r="S828" s="213" t="str">
        <f>IFERROR(VLOOKUP($B828,اسماء,12,0),"")</f>
        <v/>
      </c>
      <c r="T828" s="214" t="str">
        <f>IFERROR(VLOOKUP($B828,اسماء,13,0),"")</f>
        <v/>
      </c>
      <c r="U828" s="364" t="str">
        <f>IFERROR(VLOOKUP($B828,اسماء,14,0),"")</f>
        <v/>
      </c>
      <c r="V828" s="604" t="str">
        <f t="shared" ref="V828" si="2249">IF(Z828="غائب","راسب",IF(R831&gt;0,"ناجح","مرحل"))</f>
        <v>مرحل</v>
      </c>
      <c r="W828" s="19" t="str">
        <f t="shared" ref="W828:W829" si="2250">LOOKUP(R828,$AC$6:$AD$10)</f>
        <v>ضعيف</v>
      </c>
      <c r="X828" s="639">
        <f t="shared" ref="X828" si="2251">R831/$AC$3</f>
        <v>0</v>
      </c>
      <c r="Y828" s="68"/>
      <c r="Z828" s="597" t="str">
        <f>IFERROR(VLOOKUP($B828,اسماء,48,0),"")</f>
        <v/>
      </c>
      <c r="AK828" s="667" t="str">
        <f t="shared" ref="AK828" si="2252">IF(R831=0,"",R831/1+ROW()*0.00001)</f>
        <v/>
      </c>
      <c r="AL828" s="667">
        <f>B828</f>
        <v>0</v>
      </c>
      <c r="AM828" s="696"/>
      <c r="AN828" s="698">
        <v>180</v>
      </c>
      <c r="AO828" s="699" t="str">
        <f>IFERROR(LARGE($AK$10:$AK$1420,AN828),"")</f>
        <v/>
      </c>
      <c r="AP828" s="698" t="str">
        <f>VLOOKUP(AO828,$AK$10:$AL$1530,2,0)</f>
        <v>امجد عمر عبداللطيف سلطان</v>
      </c>
    </row>
    <row r="829" spans="1:42" ht="14.85" customHeight="1" x14ac:dyDescent="0.25">
      <c r="A829" s="611"/>
      <c r="B829" s="614"/>
      <c r="C829" s="617"/>
      <c r="D829" s="620"/>
      <c r="E829" s="130" t="s">
        <v>31</v>
      </c>
      <c r="F829" s="592">
        <f>IFERROR(VLOOKUP($B828,اسماء,15,0),0)</f>
        <v>0</v>
      </c>
      <c r="G829" s="593"/>
      <c r="H829" s="594">
        <f>IFERROR(VLOOKUP($B828,اسماء,16,0),0)</f>
        <v>0</v>
      </c>
      <c r="I829" s="595"/>
      <c r="J829" s="592">
        <f>IFERROR(VLOOKUP($B828,اسماء,17,0),0)</f>
        <v>0</v>
      </c>
      <c r="K829" s="593"/>
      <c r="L829" s="594">
        <f>IFERROR(VLOOKUP($B828,اسماء,18,0),0)</f>
        <v>0</v>
      </c>
      <c r="M829" s="596"/>
      <c r="N829" s="594">
        <f>IFERROR(VLOOKUP($B828,اسماء,19,0),0)</f>
        <v>0</v>
      </c>
      <c r="O829" s="596"/>
      <c r="P829" s="592">
        <f>IFERROR(VLOOKUP($B828,اسماء,20,0),0)</f>
        <v>0</v>
      </c>
      <c r="Q829" s="595"/>
      <c r="R829" s="372">
        <f t="shared" si="2142"/>
        <v>0</v>
      </c>
      <c r="S829" s="305" t="str">
        <f>IFERROR(VLOOKUP($B828,اسماء,23,0),"")</f>
        <v/>
      </c>
      <c r="T829" s="306" t="str">
        <f>IFERROR(VLOOKUP($B828,اسماء,24,0),"")</f>
        <v/>
      </c>
      <c r="U829" s="122" t="str">
        <f>IFERROR(VLOOKUP($B828,اسماء,25,0),"")</f>
        <v/>
      </c>
      <c r="V829" s="605"/>
      <c r="W829" s="19" t="str">
        <f t="shared" si="2250"/>
        <v>ضعيف</v>
      </c>
      <c r="X829" s="640"/>
      <c r="Y829" s="68"/>
      <c r="Z829" s="598"/>
      <c r="AK829" s="667"/>
      <c r="AL829" s="667"/>
      <c r="AM829" s="696"/>
      <c r="AN829" s="698"/>
      <c r="AO829" s="699"/>
      <c r="AP829" s="698"/>
    </row>
    <row r="830" spans="1:42" ht="14.85" customHeight="1" x14ac:dyDescent="0.25">
      <c r="A830" s="611"/>
      <c r="B830" s="614"/>
      <c r="C830" s="617"/>
      <c r="D830" s="620"/>
      <c r="E830" s="130" t="s">
        <v>32</v>
      </c>
      <c r="F830" s="592">
        <f>IFERROR(VLOOKUP($B828,اسماء,25,0),0)</f>
        <v>0</v>
      </c>
      <c r="G830" s="593"/>
      <c r="H830" s="594">
        <f>IFERROR(VLOOKUP($B828,اسماء,26,0),0)</f>
        <v>0</v>
      </c>
      <c r="I830" s="595"/>
      <c r="J830" s="592">
        <f>IFERROR(VLOOKUP($B828,اسماء,27,0),0)</f>
        <v>0</v>
      </c>
      <c r="K830" s="593"/>
      <c r="L830" s="594">
        <f>IFERROR(VLOOKUP($B828,اسماء,28,0),0)</f>
        <v>0</v>
      </c>
      <c r="M830" s="596"/>
      <c r="N830" s="594">
        <f>IFERROR(VLOOKUP($B828,اسماء,29,0),0)</f>
        <v>0</v>
      </c>
      <c r="O830" s="596"/>
      <c r="P830" s="592">
        <f>IFERROR(VLOOKUP($B828,اسماء,30,0),0)</f>
        <v>0</v>
      </c>
      <c r="Q830" s="595"/>
      <c r="R830" s="372">
        <f t="shared" si="2142"/>
        <v>0</v>
      </c>
      <c r="S830" s="305" t="str">
        <f>IFERROR(VLOOKUP($B828,اسماء,34,0),"")</f>
        <v/>
      </c>
      <c r="T830" s="306" t="str">
        <f>IFERROR(VLOOKUP($B828,اسماء,35,0),"")</f>
        <v/>
      </c>
      <c r="U830" s="122" t="str">
        <f>IFERROR(VLOOKUP($B828,اسماء,36,0),"")</f>
        <v/>
      </c>
      <c r="V830" s="605"/>
      <c r="W830" s="20" t="str">
        <f t="shared" ref="W830" si="2253">LOOKUP(R830,$AF$6:$AG$10)</f>
        <v>ضعيف</v>
      </c>
      <c r="X830" s="640"/>
      <c r="Y830" s="8"/>
      <c r="Z830" s="598"/>
      <c r="AK830" s="667"/>
      <c r="AL830" s="667"/>
      <c r="AM830" s="696"/>
      <c r="AN830" s="698"/>
      <c r="AO830" s="699"/>
      <c r="AP830" s="698"/>
    </row>
    <row r="831" spans="1:42" ht="14.85" customHeight="1" thickBot="1" x14ac:dyDescent="0.3">
      <c r="A831" s="612"/>
      <c r="B831" s="615"/>
      <c r="C831" s="618"/>
      <c r="D831" s="621"/>
      <c r="E831" s="124" t="s">
        <v>33</v>
      </c>
      <c r="F831" s="623">
        <f t="shared" ref="F831" si="2254">SUM(F828:G830)</f>
        <v>0</v>
      </c>
      <c r="G831" s="624"/>
      <c r="H831" s="625">
        <f t="shared" ref="H831" si="2255">SUM(H828:I830)</f>
        <v>0</v>
      </c>
      <c r="I831" s="626"/>
      <c r="J831" s="623">
        <f t="shared" ref="J831" si="2256">SUM(J828:K830)</f>
        <v>0</v>
      </c>
      <c r="K831" s="624"/>
      <c r="L831" s="625">
        <f t="shared" ref="L831" si="2257">SUM(L828:M830)</f>
        <v>0</v>
      </c>
      <c r="M831" s="642"/>
      <c r="N831" s="625">
        <f t="shared" ref="N831" si="2258">SUM(N828:O830)</f>
        <v>0</v>
      </c>
      <c r="O831" s="642"/>
      <c r="P831" s="623">
        <f t="shared" ref="P831" si="2259">SUM(P828:Q830)</f>
        <v>0</v>
      </c>
      <c r="Q831" s="626"/>
      <c r="R831" s="88">
        <f t="shared" ref="R831" si="2260">IF(AND(F831&gt;=$G$8,H831&gt;=$I$8,J831&gt;=$K$8,L831&gt;=$M$8,N831&gt;=$O$8,P831&gt;=$Q$8),SUM(F831:Q831),0)</f>
        <v>0</v>
      </c>
      <c r="S831" s="251"/>
      <c r="T831" s="97"/>
      <c r="U831" s="94"/>
      <c r="V831" s="606"/>
      <c r="W831" s="88" t="str">
        <f t="shared" ref="W831" si="2261">LOOKUP(R831,$AI$6:$AJ$10)</f>
        <v>ضعيف</v>
      </c>
      <c r="X831" s="641"/>
      <c r="Y831" s="68"/>
      <c r="Z831" s="599"/>
      <c r="AK831" s="667"/>
      <c r="AL831" s="667"/>
      <c r="AM831" s="696"/>
      <c r="AN831" s="698"/>
      <c r="AO831" s="699"/>
      <c r="AP831" s="698"/>
    </row>
    <row r="832" spans="1:42" ht="14.85" customHeight="1" thickBot="1" x14ac:dyDescent="0.3">
      <c r="F832" s="71"/>
      <c r="G832" s="72"/>
      <c r="H832" s="71"/>
      <c r="I832" s="72"/>
      <c r="J832" s="71"/>
      <c r="K832" s="72"/>
      <c r="L832" s="71"/>
      <c r="M832" s="72"/>
      <c r="N832" s="71"/>
      <c r="O832" s="72"/>
      <c r="P832" s="71"/>
      <c r="Q832" s="72"/>
      <c r="R832" s="70"/>
      <c r="S832" s="73"/>
      <c r="T832" s="70"/>
      <c r="U832" s="70"/>
      <c r="V832" s="70"/>
      <c r="W832" s="70"/>
      <c r="X832" s="254"/>
      <c r="Y832" s="68"/>
      <c r="AH832" s="74"/>
    </row>
    <row r="833" spans="1:42" customFormat="1" ht="14.85" customHeight="1" x14ac:dyDescent="0.3">
      <c r="A833" s="668" t="s">
        <v>9</v>
      </c>
      <c r="B833" s="669"/>
      <c r="C833" s="670"/>
      <c r="D833" s="277" t="s">
        <v>11</v>
      </c>
      <c r="E833" s="674" t="s">
        <v>96</v>
      </c>
      <c r="F833" s="663"/>
      <c r="G833" s="663"/>
      <c r="H833" s="663"/>
      <c r="I833" s="663"/>
      <c r="J833" s="7"/>
      <c r="K833" s="7"/>
      <c r="L833" s="7"/>
      <c r="M833" s="7"/>
      <c r="N833" s="7"/>
      <c r="O833" s="7"/>
      <c r="P833" s="7"/>
      <c r="Q833" s="663" t="s">
        <v>156</v>
      </c>
      <c r="R833" s="663"/>
      <c r="S833" s="663"/>
      <c r="T833" s="663"/>
      <c r="U833" s="663"/>
      <c r="V833" s="663"/>
      <c r="W833" s="1"/>
      <c r="X833" s="255"/>
      <c r="Z833" s="75"/>
      <c r="AA833" s="76"/>
      <c r="AB833" s="76"/>
      <c r="AC833" s="76"/>
      <c r="AD833" s="76"/>
    </row>
    <row r="834" spans="1:42" customFormat="1" ht="14.85" customHeight="1" x14ac:dyDescent="0.25">
      <c r="A834" s="77" t="s">
        <v>8</v>
      </c>
      <c r="B834" s="671">
        <f>ادخال1!$BJ$3</f>
        <v>0</v>
      </c>
      <c r="C834" s="672"/>
      <c r="D834" s="278"/>
      <c r="E834" s="7" t="s">
        <v>9</v>
      </c>
      <c r="F834" s="673" t="str">
        <f>ادخال1!$BJ$5</f>
        <v>د. عبدالرحمن خليفة العريبي</v>
      </c>
      <c r="G834" s="673"/>
      <c r="H834" s="673"/>
      <c r="I834" s="673"/>
      <c r="J834" s="673"/>
      <c r="K834" s="673"/>
      <c r="L834" s="673"/>
      <c r="M834" s="673"/>
      <c r="N834" s="673"/>
      <c r="O834" s="673"/>
      <c r="P834" s="7"/>
      <c r="Q834" s="673" t="str">
        <f>ادخال1!$BJ$6</f>
        <v>تاجوراء</v>
      </c>
      <c r="R834" s="673"/>
      <c r="S834" s="673"/>
      <c r="T834" s="673"/>
      <c r="U834" s="673"/>
      <c r="V834" s="673"/>
      <c r="W834" s="673"/>
      <c r="X834" s="63"/>
      <c r="Y834" s="63"/>
      <c r="Z834" s="75"/>
      <c r="AA834" s="75"/>
      <c r="AB834" s="75"/>
      <c r="AC834" s="75"/>
    </row>
    <row r="835" spans="1:42" customFormat="1" ht="14.85" customHeight="1" thickBot="1" x14ac:dyDescent="0.3">
      <c r="A835" s="78" t="s">
        <v>97</v>
      </c>
      <c r="B835" s="665">
        <f>ادخال1!$BJ$4</f>
        <v>0</v>
      </c>
      <c r="C835" s="666"/>
      <c r="D835" s="279"/>
      <c r="E835" s="7" t="s">
        <v>11</v>
      </c>
      <c r="F835" s="667"/>
      <c r="G835" s="667"/>
      <c r="H835" s="667"/>
      <c r="I835" s="667"/>
      <c r="J835" s="667"/>
      <c r="K835" s="667"/>
      <c r="L835" s="667"/>
      <c r="M835" s="667"/>
      <c r="N835" s="667"/>
      <c r="O835" s="667"/>
      <c r="P835" s="7"/>
      <c r="Q835" s="7" t="s">
        <v>11</v>
      </c>
      <c r="R835" s="1"/>
      <c r="S835" s="1"/>
      <c r="T835" s="1"/>
      <c r="U835" s="1"/>
      <c r="V835" s="1"/>
      <c r="W835" s="1"/>
      <c r="X835" s="255"/>
      <c r="Z835" s="75"/>
      <c r="AA835" s="75"/>
      <c r="AB835" s="75"/>
      <c r="AC835" s="75"/>
    </row>
    <row r="836" spans="1:42" customFormat="1" ht="14.85" customHeight="1" x14ac:dyDescent="0.25">
      <c r="A836" s="663" t="s">
        <v>98</v>
      </c>
      <c r="B836" s="663"/>
      <c r="C836" s="663"/>
      <c r="D836" s="663"/>
      <c r="E836" s="663" t="s">
        <v>99</v>
      </c>
      <c r="F836" s="663"/>
      <c r="G836" s="663"/>
      <c r="H836" s="663"/>
      <c r="I836" s="663"/>
      <c r="J836" s="663"/>
      <c r="K836" s="663"/>
      <c r="L836" s="663"/>
      <c r="M836" s="663"/>
      <c r="N836" s="663"/>
      <c r="O836" s="663"/>
      <c r="P836" s="663"/>
      <c r="Q836" s="663"/>
      <c r="R836" s="7"/>
      <c r="S836" s="664">
        <f ca="1">TODAY()</f>
        <v>46009</v>
      </c>
      <c r="T836" s="664"/>
      <c r="U836" s="664"/>
      <c r="V836" s="664"/>
      <c r="W836" s="664"/>
      <c r="X836" s="255"/>
    </row>
    <row r="837" spans="1:42" customFormat="1" ht="14.85" customHeight="1" thickBot="1" x14ac:dyDescent="0.3">
      <c r="A837" s="7"/>
      <c r="B837" s="663" t="s">
        <v>100</v>
      </c>
      <c r="C837" s="663"/>
      <c r="D837" s="663"/>
      <c r="E837" s="663" t="s">
        <v>101</v>
      </c>
      <c r="F837" s="663"/>
      <c r="G837" s="663"/>
      <c r="H837" s="663"/>
      <c r="I837" s="663"/>
      <c r="J837" s="663"/>
      <c r="K837" s="663"/>
      <c r="L837" s="663"/>
      <c r="M837" s="663"/>
      <c r="N837" s="663"/>
      <c r="O837" s="663"/>
      <c r="P837" s="663"/>
      <c r="Q837" s="663"/>
      <c r="R837" s="1"/>
      <c r="S837" s="1"/>
      <c r="T837" s="1"/>
      <c r="U837" s="1"/>
      <c r="V837" s="1"/>
      <c r="W837" s="1"/>
      <c r="X837" s="255"/>
    </row>
    <row r="838" spans="1:42" ht="14.85" customHeight="1" thickBot="1" x14ac:dyDescent="0.3">
      <c r="A838" s="610">
        <v>181</v>
      </c>
      <c r="B838" s="613">
        <f>VLOOKUP(A838,مسلسل,2,0)</f>
        <v>0</v>
      </c>
      <c r="C838" s="616" t="str">
        <f>IFERROR(VLOOKUP(B838,اسماء,2,0),"")</f>
        <v/>
      </c>
      <c r="D838" s="619" t="str">
        <f>IFERROR(VLOOKUP($B838,اسماء,3,0),"")</f>
        <v/>
      </c>
      <c r="E838" s="129" t="s">
        <v>30</v>
      </c>
      <c r="F838" s="600">
        <f>IFERROR(VLOOKUP($B838,اسماء,5,0),0)</f>
        <v>0</v>
      </c>
      <c r="G838" s="601"/>
      <c r="H838" s="602">
        <f>IFERROR(VLOOKUP($B838,اسماء,6,0),0)</f>
        <v>0</v>
      </c>
      <c r="I838" s="622"/>
      <c r="J838" s="600">
        <f>IFERROR(VLOOKUP($B838,اسماء,7,0),0)</f>
        <v>0</v>
      </c>
      <c r="K838" s="601"/>
      <c r="L838" s="602">
        <f>IFERROR(VLOOKUP($B838,اسماء,8,0),0)</f>
        <v>0</v>
      </c>
      <c r="M838" s="603"/>
      <c r="N838" s="602">
        <f>IFERROR(VLOOKUP($B838,اسماء,9,0),0)</f>
        <v>0</v>
      </c>
      <c r="O838" s="603"/>
      <c r="P838" s="600">
        <f>IFERROR(VLOOKUP($B838,اسماء,10,0),0)</f>
        <v>0</v>
      </c>
      <c r="Q838" s="622"/>
      <c r="R838" s="371">
        <f>SUM(F838:Q838)</f>
        <v>0</v>
      </c>
      <c r="S838" s="325" t="str">
        <f>IFERROR(VLOOKUP($B838,اسماء,12,0),"")</f>
        <v/>
      </c>
      <c r="T838" s="326" t="str">
        <f>IFERROR(VLOOKUP($B838,اسماء,13,0),"")</f>
        <v/>
      </c>
      <c r="U838" s="92" t="str">
        <f>IFERROR(VLOOKUP($B838,اسماء,14,0),"")</f>
        <v/>
      </c>
      <c r="V838" s="604" t="str">
        <f t="shared" ref="V838" si="2262">IF(Z838="غائب","راسب",IF(R841&gt;0,"ناجح","مرحل"))</f>
        <v>مرحل</v>
      </c>
      <c r="W838" s="19" t="str">
        <f t="shared" ref="W838:W839" si="2263">LOOKUP(R838,$AC$6:$AD$10)</f>
        <v>ضعيف</v>
      </c>
      <c r="X838" s="639">
        <f t="shared" ref="X838" si="2264">R841/$AC$3</f>
        <v>0</v>
      </c>
      <c r="Y838" s="68"/>
      <c r="Z838" s="597" t="str">
        <f>IFERROR(VLOOKUP($B838,اسماء,48,0),"")</f>
        <v/>
      </c>
      <c r="AK838" s="671" t="str">
        <f>IF(R841=0,"",R841/1+ROW()*0.00001)</f>
        <v/>
      </c>
      <c r="AL838" s="671">
        <f>B838</f>
        <v>0</v>
      </c>
      <c r="AM838" s="696"/>
      <c r="AN838" s="698">
        <v>181</v>
      </c>
      <c r="AO838" s="699" t="str">
        <f>IFERROR(LARGE($AK$10:$AK$1420,AN838),"")</f>
        <v/>
      </c>
      <c r="AP838" s="698" t="str">
        <f>VLOOKUP(AO838,$AK$10:$AL$1530,2,0)</f>
        <v>امجد عمر عبداللطيف سلطان</v>
      </c>
    </row>
    <row r="839" spans="1:42" ht="14.85" customHeight="1" x14ac:dyDescent="0.25">
      <c r="A839" s="611"/>
      <c r="B839" s="614"/>
      <c r="C839" s="617"/>
      <c r="D839" s="620"/>
      <c r="E839" s="130" t="s">
        <v>31</v>
      </c>
      <c r="F839" s="592">
        <f>IFERROR(VLOOKUP($B838,اسماء,16,0),0)</f>
        <v>0</v>
      </c>
      <c r="G839" s="593"/>
      <c r="H839" s="594">
        <f>IFERROR(VLOOKUP($B838,اسماء,17,0),0)</f>
        <v>0</v>
      </c>
      <c r="I839" s="595"/>
      <c r="J839" s="592">
        <f>IFERROR(VLOOKUP($B838,اسماء,18,0),0)</f>
        <v>0</v>
      </c>
      <c r="K839" s="593"/>
      <c r="L839" s="594">
        <f>IFERROR(VLOOKUP($B838,اسماء,19,0),0)</f>
        <v>0</v>
      </c>
      <c r="M839" s="596"/>
      <c r="N839" s="594">
        <f>IFERROR(VLOOKUP($B838,اسماء,20,0),0)</f>
        <v>0</v>
      </c>
      <c r="O839" s="596"/>
      <c r="P839" s="592">
        <f>IFERROR(VLOOKUP($B838,اسماء,21,0),0)</f>
        <v>0</v>
      </c>
      <c r="Q839" s="595"/>
      <c r="R839" s="372">
        <f t="shared" ref="R839:R840" si="2265">SUM(F839:Q839)</f>
        <v>0</v>
      </c>
      <c r="S839" s="305" t="str">
        <f>IFERROR(VLOOKUP($B838,اسماء,23,0),"")</f>
        <v/>
      </c>
      <c r="T839" s="306" t="str">
        <f>IFERROR(VLOOKUP($B838,اسماء,24,0),"")</f>
        <v/>
      </c>
      <c r="U839" s="122" t="str">
        <f>IFERROR(VLOOKUP($B838,اسماء,25,0),"")</f>
        <v/>
      </c>
      <c r="V839" s="605"/>
      <c r="W839" s="19" t="str">
        <f t="shared" si="2263"/>
        <v>ضعيف</v>
      </c>
      <c r="X839" s="640"/>
      <c r="Y839" s="8"/>
      <c r="Z839" s="598"/>
      <c r="AK839" s="671"/>
      <c r="AL839" s="671"/>
      <c r="AM839" s="696"/>
      <c r="AN839" s="698"/>
      <c r="AO839" s="699"/>
      <c r="AP839" s="698"/>
    </row>
    <row r="840" spans="1:42" ht="14.85" customHeight="1" x14ac:dyDescent="0.25">
      <c r="A840" s="611"/>
      <c r="B840" s="614"/>
      <c r="C840" s="617"/>
      <c r="D840" s="620"/>
      <c r="E840" s="130" t="s">
        <v>32</v>
      </c>
      <c r="F840" s="592">
        <f>IFERROR(VLOOKUP($B838,اسماء,27,0),0)</f>
        <v>0</v>
      </c>
      <c r="G840" s="593"/>
      <c r="H840" s="594">
        <f>IFERROR(VLOOKUP($B838,اسماء,28,0),0)</f>
        <v>0</v>
      </c>
      <c r="I840" s="595"/>
      <c r="J840" s="592">
        <f>IFERROR(VLOOKUP($B838,اسماء,29,0),0)</f>
        <v>0</v>
      </c>
      <c r="K840" s="593"/>
      <c r="L840" s="594">
        <f>IFERROR(VLOOKUP($B838,اسماء,30,0),0)</f>
        <v>0</v>
      </c>
      <c r="M840" s="596"/>
      <c r="N840" s="594">
        <f>IFERROR(VLOOKUP($B838,اسماء,31,0),0)</f>
        <v>0</v>
      </c>
      <c r="O840" s="596"/>
      <c r="P840" s="592">
        <f>IFERROR(VLOOKUP($B838,اسماء,32,0),0)</f>
        <v>0</v>
      </c>
      <c r="Q840" s="595"/>
      <c r="R840" s="372">
        <f t="shared" si="2265"/>
        <v>0</v>
      </c>
      <c r="S840" s="305" t="str">
        <f>IFERROR(VLOOKUP($B838,اسماء,34,0),"")</f>
        <v/>
      </c>
      <c r="T840" s="306" t="str">
        <f>IFERROR(VLOOKUP($B838,اسماء,35,0),"")</f>
        <v/>
      </c>
      <c r="U840" s="122" t="str">
        <f>IFERROR(VLOOKUP($B838,اسماء,36,0),"")</f>
        <v/>
      </c>
      <c r="V840" s="605"/>
      <c r="W840" s="20" t="str">
        <f t="shared" ref="W840" si="2266">LOOKUP(R840,$AF$6:$AG$10)</f>
        <v>ضعيف</v>
      </c>
      <c r="X840" s="640"/>
      <c r="Y840" s="68"/>
      <c r="Z840" s="598"/>
      <c r="AK840" s="671"/>
      <c r="AL840" s="671"/>
      <c r="AM840" s="696"/>
      <c r="AN840" s="698"/>
      <c r="AO840" s="699"/>
      <c r="AP840" s="698"/>
    </row>
    <row r="841" spans="1:42" ht="14.85" customHeight="1" thickBot="1" x14ac:dyDescent="0.3">
      <c r="A841" s="612"/>
      <c r="B841" s="615"/>
      <c r="C841" s="618"/>
      <c r="D841" s="621"/>
      <c r="E841" s="124" t="s">
        <v>33</v>
      </c>
      <c r="F841" s="623">
        <f>SUM(F838:G840)</f>
        <v>0</v>
      </c>
      <c r="G841" s="624"/>
      <c r="H841" s="625">
        <f>SUM(H838:I840)</f>
        <v>0</v>
      </c>
      <c r="I841" s="626"/>
      <c r="J841" s="623">
        <f>SUM(J838:K840)</f>
        <v>0</v>
      </c>
      <c r="K841" s="624"/>
      <c r="L841" s="625">
        <f>SUM(L838:M840)</f>
        <v>0</v>
      </c>
      <c r="M841" s="642"/>
      <c r="N841" s="625">
        <f>SUM(N838:O840)</f>
        <v>0</v>
      </c>
      <c r="O841" s="642"/>
      <c r="P841" s="623">
        <f>SUM(P838:Q840)</f>
        <v>0</v>
      </c>
      <c r="Q841" s="626"/>
      <c r="R841" s="88">
        <f>IF(AND(F841&gt;=$G$8,H841&gt;=$I$8,J841&gt;=$K$8,L841&gt;=$M$8,N841&gt;=$O$8,P841&gt;=$Q$8),SUM(F841:Q841),0)</f>
        <v>0</v>
      </c>
      <c r="S841" s="251"/>
      <c r="T841" s="97"/>
      <c r="U841" s="94"/>
      <c r="V841" s="606"/>
      <c r="W841" s="88" t="str">
        <f t="shared" ref="W841" si="2267">LOOKUP(R841,$AI$6:$AJ$10)</f>
        <v>ضعيف</v>
      </c>
      <c r="X841" s="641"/>
      <c r="Y841" s="68"/>
      <c r="Z841" s="599"/>
      <c r="AK841" s="671"/>
      <c r="AL841" s="671"/>
      <c r="AM841" s="696"/>
      <c r="AN841" s="698"/>
      <c r="AO841" s="699"/>
      <c r="AP841" s="698"/>
    </row>
    <row r="842" spans="1:42" ht="14.85" customHeight="1" thickBot="1" x14ac:dyDescent="0.3">
      <c r="A842" s="610">
        <v>182</v>
      </c>
      <c r="B842" s="613">
        <f>VLOOKUP(A842,مسلسل,2,0)</f>
        <v>0</v>
      </c>
      <c r="C842" s="616" t="str">
        <f>IFERROR(VLOOKUP(B842,اسماء,2,0),"")</f>
        <v/>
      </c>
      <c r="D842" s="619" t="str">
        <f>IFERROR(VLOOKUP($B842,اسماء,3,0),"")</f>
        <v/>
      </c>
      <c r="E842" s="129" t="s">
        <v>30</v>
      </c>
      <c r="F842" s="600">
        <f>IFERROR(VLOOKUP($B842,اسماء,5,0),0)</f>
        <v>0</v>
      </c>
      <c r="G842" s="601"/>
      <c r="H842" s="602">
        <f>IFERROR(VLOOKUP($B842,اسماء,6,0),0)</f>
        <v>0</v>
      </c>
      <c r="I842" s="622"/>
      <c r="J842" s="600">
        <f>IFERROR(VLOOKUP($B842,اسماء,7,0),0)</f>
        <v>0</v>
      </c>
      <c r="K842" s="601"/>
      <c r="L842" s="602">
        <f>IFERROR(VLOOKUP($B842,اسماء,8,0),0)</f>
        <v>0</v>
      </c>
      <c r="M842" s="603"/>
      <c r="N842" s="602">
        <f>IFERROR(VLOOKUP($B842,اسماء,9,0),0)</f>
        <v>0</v>
      </c>
      <c r="O842" s="603"/>
      <c r="P842" s="600">
        <f>IFERROR(VLOOKUP($B842,اسماء,10,0),0)</f>
        <v>0</v>
      </c>
      <c r="Q842" s="622"/>
      <c r="R842" s="371">
        <f t="shared" ref="R842:R876" si="2268">SUM(F842:Q842)</f>
        <v>0</v>
      </c>
      <c r="S842" s="213" t="str">
        <f>IFERROR(VLOOKUP($B842,اسماء,12,0),"")</f>
        <v/>
      </c>
      <c r="T842" s="214" t="str">
        <f>IFERROR(VLOOKUP($B842,اسماء,13,0),"")</f>
        <v/>
      </c>
      <c r="U842" s="364" t="str">
        <f>IFERROR(VLOOKUP($B842,اسماء,14,0),"")</f>
        <v/>
      </c>
      <c r="V842" s="604" t="str">
        <f t="shared" ref="V842" si="2269">IF(Z842="غائب","راسب",IF(R845&gt;0,"ناجح","مرحل"))</f>
        <v>مرحل</v>
      </c>
      <c r="W842" s="19" t="str">
        <f t="shared" ref="W842:W843" si="2270">LOOKUP(R842,$AC$6:$AD$10)</f>
        <v>ضعيف</v>
      </c>
      <c r="X842" s="639">
        <f t="shared" ref="X842" si="2271">R845/$AC$3</f>
        <v>0</v>
      </c>
      <c r="Y842" s="8"/>
      <c r="Z842" s="597" t="str">
        <f>IFERROR(VLOOKUP($B842,اسماء,48,0),"")</f>
        <v/>
      </c>
      <c r="AK842" s="667" t="str">
        <f t="shared" ref="AK842" si="2272">IF(R845=0,"",R845/1+ROW()*0.00001)</f>
        <v/>
      </c>
      <c r="AL842" s="667">
        <f>B842</f>
        <v>0</v>
      </c>
      <c r="AM842" s="696"/>
      <c r="AN842" s="698">
        <v>182</v>
      </c>
      <c r="AO842" s="699" t="str">
        <f>IFERROR(LARGE($AK$10:$AK$1420,AN842),"")</f>
        <v/>
      </c>
      <c r="AP842" s="698" t="str">
        <f>VLOOKUP(AO842,$AK$10:$AL$1530,2,0)</f>
        <v>امجد عمر عبداللطيف سلطان</v>
      </c>
    </row>
    <row r="843" spans="1:42" ht="14.85" customHeight="1" x14ac:dyDescent="0.25">
      <c r="A843" s="611"/>
      <c r="B843" s="614"/>
      <c r="C843" s="617"/>
      <c r="D843" s="620"/>
      <c r="E843" s="130" t="s">
        <v>31</v>
      </c>
      <c r="F843" s="592">
        <f>IFERROR(VLOOKUP($B842,اسماء,15,0),0)</f>
        <v>0</v>
      </c>
      <c r="G843" s="593"/>
      <c r="H843" s="594">
        <f>IFERROR(VLOOKUP($B842,اسماء,16,0),0)</f>
        <v>0</v>
      </c>
      <c r="I843" s="595"/>
      <c r="J843" s="592">
        <f>IFERROR(VLOOKUP($B842,اسماء,17,0),0)</f>
        <v>0</v>
      </c>
      <c r="K843" s="593"/>
      <c r="L843" s="594">
        <f>IFERROR(VLOOKUP($B842,اسماء,18,0),0)</f>
        <v>0</v>
      </c>
      <c r="M843" s="596"/>
      <c r="N843" s="594">
        <f>IFERROR(VLOOKUP($B842,اسماء,19,0),0)</f>
        <v>0</v>
      </c>
      <c r="O843" s="596"/>
      <c r="P843" s="592">
        <f>IFERROR(VLOOKUP($B842,اسماء,20,0),0)</f>
        <v>0</v>
      </c>
      <c r="Q843" s="595"/>
      <c r="R843" s="372">
        <f t="shared" si="2268"/>
        <v>0</v>
      </c>
      <c r="S843" s="305" t="str">
        <f>IFERROR(VLOOKUP($B842,اسماء,23,0),"")</f>
        <v/>
      </c>
      <c r="T843" s="306" t="str">
        <f>IFERROR(VLOOKUP($B842,اسماء,24,0),"")</f>
        <v/>
      </c>
      <c r="U843" s="122" t="str">
        <f>IFERROR(VLOOKUP($B842,اسماء,25,0),"")</f>
        <v/>
      </c>
      <c r="V843" s="605"/>
      <c r="W843" s="19" t="str">
        <f t="shared" si="2270"/>
        <v>ضعيف</v>
      </c>
      <c r="X843" s="640"/>
      <c r="Y843" s="68"/>
      <c r="Z843" s="598"/>
      <c r="AK843" s="667"/>
      <c r="AL843" s="667"/>
      <c r="AM843" s="696"/>
      <c r="AN843" s="698"/>
      <c r="AO843" s="699"/>
      <c r="AP843" s="698"/>
    </row>
    <row r="844" spans="1:42" ht="14.85" customHeight="1" x14ac:dyDescent="0.25">
      <c r="A844" s="611"/>
      <c r="B844" s="614"/>
      <c r="C844" s="617"/>
      <c r="D844" s="620"/>
      <c r="E844" s="130" t="s">
        <v>32</v>
      </c>
      <c r="F844" s="592">
        <f>IFERROR(VLOOKUP($B842,اسماء,25,0),0)</f>
        <v>0</v>
      </c>
      <c r="G844" s="593"/>
      <c r="H844" s="594">
        <f>IFERROR(VLOOKUP($B842,اسماء,26,0),0)</f>
        <v>0</v>
      </c>
      <c r="I844" s="595"/>
      <c r="J844" s="592">
        <f>IFERROR(VLOOKUP($B842,اسماء,27,0),0)</f>
        <v>0</v>
      </c>
      <c r="K844" s="593"/>
      <c r="L844" s="594">
        <f>IFERROR(VLOOKUP($B842,اسماء,28,0),0)</f>
        <v>0</v>
      </c>
      <c r="M844" s="596"/>
      <c r="N844" s="594">
        <f>IFERROR(VLOOKUP($B842,اسماء,29,0),0)</f>
        <v>0</v>
      </c>
      <c r="O844" s="596"/>
      <c r="P844" s="592">
        <f>IFERROR(VLOOKUP($B842,اسماء,30,0),0)</f>
        <v>0</v>
      </c>
      <c r="Q844" s="595"/>
      <c r="R844" s="372">
        <f t="shared" si="2268"/>
        <v>0</v>
      </c>
      <c r="S844" s="305" t="str">
        <f>IFERROR(VLOOKUP($B842,اسماء,34,0),"")</f>
        <v/>
      </c>
      <c r="T844" s="306" t="str">
        <f>IFERROR(VLOOKUP($B842,اسماء,35,0),"")</f>
        <v/>
      </c>
      <c r="U844" s="122" t="str">
        <f>IFERROR(VLOOKUP($B842,اسماء,36,0),"")</f>
        <v/>
      </c>
      <c r="V844" s="605"/>
      <c r="W844" s="20" t="str">
        <f t="shared" ref="W844" si="2273">LOOKUP(R844,$AF$6:$AG$10)</f>
        <v>ضعيف</v>
      </c>
      <c r="X844" s="640"/>
      <c r="Y844" s="68"/>
      <c r="Z844" s="598"/>
      <c r="AK844" s="667"/>
      <c r="AL844" s="667"/>
      <c r="AM844" s="696"/>
      <c r="AN844" s="698"/>
      <c r="AO844" s="699"/>
      <c r="AP844" s="698"/>
    </row>
    <row r="845" spans="1:42" ht="14.85" customHeight="1" thickBot="1" x14ac:dyDescent="0.3">
      <c r="A845" s="612"/>
      <c r="B845" s="615"/>
      <c r="C845" s="618"/>
      <c r="D845" s="621"/>
      <c r="E845" s="124" t="s">
        <v>33</v>
      </c>
      <c r="F845" s="623">
        <f>SUM(F842:G844)</f>
        <v>0</v>
      </c>
      <c r="G845" s="624"/>
      <c r="H845" s="625">
        <f>SUM(H842:I844)</f>
        <v>0</v>
      </c>
      <c r="I845" s="626"/>
      <c r="J845" s="623">
        <f>SUM(J842:K844)</f>
        <v>0</v>
      </c>
      <c r="K845" s="624"/>
      <c r="L845" s="625">
        <f>SUM(L842:M844)</f>
        <v>0</v>
      </c>
      <c r="M845" s="642"/>
      <c r="N845" s="625">
        <f>SUM(N842:O844)</f>
        <v>0</v>
      </c>
      <c r="O845" s="642"/>
      <c r="P845" s="623">
        <f>SUM(P842:Q844)</f>
        <v>0</v>
      </c>
      <c r="Q845" s="626"/>
      <c r="R845" s="88">
        <f t="shared" ref="R845" si="2274">IF(AND(F845&gt;=$G$8,H845&gt;=$I$8,J845&gt;=$K$8,L845&gt;=$M$8,N845&gt;=$O$8,P845&gt;=$Q$8),SUM(F845:Q845),0)</f>
        <v>0</v>
      </c>
      <c r="S845" s="251"/>
      <c r="T845" s="97"/>
      <c r="U845" s="94"/>
      <c r="V845" s="606"/>
      <c r="W845" s="88" t="str">
        <f t="shared" ref="W845" si="2275">LOOKUP(R845,$AI$6:$AJ$10)</f>
        <v>ضعيف</v>
      </c>
      <c r="X845" s="641"/>
      <c r="Y845" s="8"/>
      <c r="Z845" s="599"/>
      <c r="AK845" s="667"/>
      <c r="AL845" s="667"/>
      <c r="AM845" s="696"/>
      <c r="AN845" s="698"/>
      <c r="AO845" s="699"/>
      <c r="AP845" s="698"/>
    </row>
    <row r="846" spans="1:42" ht="14.85" customHeight="1" thickBot="1" x14ac:dyDescent="0.3">
      <c r="A846" s="610">
        <v>183</v>
      </c>
      <c r="B846" s="613">
        <f>VLOOKUP(A846,مسلسل,2,0)</f>
        <v>0</v>
      </c>
      <c r="C846" s="616" t="str">
        <f>IFERROR(VLOOKUP(B846,اسماء,2,0),"")</f>
        <v/>
      </c>
      <c r="D846" s="619" t="str">
        <f>IFERROR(VLOOKUP($B846,اسماء,3,0),"")</f>
        <v/>
      </c>
      <c r="E846" s="129" t="s">
        <v>30</v>
      </c>
      <c r="F846" s="600">
        <f>IFERROR(VLOOKUP($B846,اسماء,5,0),0)</f>
        <v>0</v>
      </c>
      <c r="G846" s="601"/>
      <c r="H846" s="602">
        <f>IFERROR(VLOOKUP($B846,اسماء,6,0),0)</f>
        <v>0</v>
      </c>
      <c r="I846" s="622"/>
      <c r="J846" s="600">
        <f>IFERROR(VLOOKUP($B846,اسماء,7,0),0)</f>
        <v>0</v>
      </c>
      <c r="K846" s="601"/>
      <c r="L846" s="602">
        <f>IFERROR(VLOOKUP($B846,اسماء,8,0),0)</f>
        <v>0</v>
      </c>
      <c r="M846" s="603"/>
      <c r="N846" s="602">
        <f>IFERROR(VLOOKUP($B846,اسماء,9,0),0)</f>
        <v>0</v>
      </c>
      <c r="O846" s="603"/>
      <c r="P846" s="600">
        <f>IFERROR(VLOOKUP($B846,اسماء,10,0),0)</f>
        <v>0</v>
      </c>
      <c r="Q846" s="622"/>
      <c r="R846" s="371">
        <f t="shared" ref="R846" si="2276">SUM(F846:Q846)</f>
        <v>0</v>
      </c>
      <c r="S846" s="213" t="str">
        <f>IFERROR(VLOOKUP($B846,اسماء,12,0),"")</f>
        <v/>
      </c>
      <c r="T846" s="214" t="str">
        <f>IFERROR(VLOOKUP($B846,اسماء,13,0),"")</f>
        <v/>
      </c>
      <c r="U846" s="364" t="str">
        <f>IFERROR(VLOOKUP($B846,اسماء,14,0),"")</f>
        <v/>
      </c>
      <c r="V846" s="604" t="str">
        <f t="shared" ref="V846" si="2277">IF(Z846="غائب","راسب",IF(R849&gt;0,"ناجح","مرحل"))</f>
        <v>مرحل</v>
      </c>
      <c r="W846" s="19" t="str">
        <f t="shared" ref="W846:W847" si="2278">LOOKUP(R846,$AC$6:$AD$10)</f>
        <v>ضعيف</v>
      </c>
      <c r="X846" s="639">
        <f t="shared" ref="X846" si="2279">R849/$AC$3</f>
        <v>0</v>
      </c>
      <c r="Y846" s="68"/>
      <c r="Z846" s="597" t="str">
        <f>IFERROR(VLOOKUP($B846,اسماء,48,0),"")</f>
        <v/>
      </c>
      <c r="AK846" s="667" t="str">
        <f t="shared" ref="AK846" si="2280">IF(R849=0,"",R849/1+ROW()*0.00001)</f>
        <v/>
      </c>
      <c r="AL846" s="667">
        <f>B846</f>
        <v>0</v>
      </c>
      <c r="AM846" s="696"/>
      <c r="AN846" s="698">
        <v>183</v>
      </c>
      <c r="AO846" s="699" t="str">
        <f>IFERROR(LARGE($AK$10:$AK$1420,AN846),"")</f>
        <v/>
      </c>
      <c r="AP846" s="698" t="str">
        <f>VLOOKUP(AO846,$AK$10:$AL$1530,2,0)</f>
        <v>امجد عمر عبداللطيف سلطان</v>
      </c>
    </row>
    <row r="847" spans="1:42" ht="14.85" customHeight="1" x14ac:dyDescent="0.25">
      <c r="A847" s="611"/>
      <c r="B847" s="614"/>
      <c r="C847" s="617"/>
      <c r="D847" s="620"/>
      <c r="E847" s="130" t="s">
        <v>31</v>
      </c>
      <c r="F847" s="592">
        <f>IFERROR(VLOOKUP($B846,اسماء,15,0),0)</f>
        <v>0</v>
      </c>
      <c r="G847" s="593"/>
      <c r="H847" s="594">
        <f>IFERROR(VLOOKUP($B846,اسماء,16,0),0)</f>
        <v>0</v>
      </c>
      <c r="I847" s="595"/>
      <c r="J847" s="592">
        <f>IFERROR(VLOOKUP($B846,اسماء,17,0),0)</f>
        <v>0</v>
      </c>
      <c r="K847" s="593"/>
      <c r="L847" s="594">
        <f>IFERROR(VLOOKUP($B846,اسماء,18,0),0)</f>
        <v>0</v>
      </c>
      <c r="M847" s="596"/>
      <c r="N847" s="594">
        <f>IFERROR(VLOOKUP($B846,اسماء,19,0),0)</f>
        <v>0</v>
      </c>
      <c r="O847" s="596"/>
      <c r="P847" s="592">
        <f>IFERROR(VLOOKUP($B846,اسماء,20,0),0)</f>
        <v>0</v>
      </c>
      <c r="Q847" s="595"/>
      <c r="R847" s="372">
        <f t="shared" si="2268"/>
        <v>0</v>
      </c>
      <c r="S847" s="305" t="str">
        <f>IFERROR(VLOOKUP($B846,اسماء,23,0),"")</f>
        <v/>
      </c>
      <c r="T847" s="306" t="str">
        <f>IFERROR(VLOOKUP($B846,اسماء,24,0),"")</f>
        <v/>
      </c>
      <c r="U847" s="122" t="str">
        <f>IFERROR(VLOOKUP($B846,اسماء,25,0),"")</f>
        <v/>
      </c>
      <c r="V847" s="605"/>
      <c r="W847" s="19" t="str">
        <f t="shared" si="2278"/>
        <v>ضعيف</v>
      </c>
      <c r="X847" s="640"/>
      <c r="Y847" s="68"/>
      <c r="Z847" s="598"/>
      <c r="AK847" s="667"/>
      <c r="AL847" s="667"/>
      <c r="AM847" s="696"/>
      <c r="AN847" s="698"/>
      <c r="AO847" s="699"/>
      <c r="AP847" s="698"/>
    </row>
    <row r="848" spans="1:42" ht="14.85" customHeight="1" x14ac:dyDescent="0.25">
      <c r="A848" s="611"/>
      <c r="B848" s="614"/>
      <c r="C848" s="617"/>
      <c r="D848" s="620"/>
      <c r="E848" s="130" t="s">
        <v>32</v>
      </c>
      <c r="F848" s="592">
        <f>IFERROR(VLOOKUP($B846,اسماء,25,0),0)</f>
        <v>0</v>
      </c>
      <c r="G848" s="593"/>
      <c r="H848" s="594">
        <f>IFERROR(VLOOKUP($B846,اسماء,26,0),0)</f>
        <v>0</v>
      </c>
      <c r="I848" s="595"/>
      <c r="J848" s="592">
        <f>IFERROR(VLOOKUP($B846,اسماء,27,0),0)</f>
        <v>0</v>
      </c>
      <c r="K848" s="593"/>
      <c r="L848" s="594">
        <f>IFERROR(VLOOKUP($B846,اسماء,28,0),0)</f>
        <v>0</v>
      </c>
      <c r="M848" s="596"/>
      <c r="N848" s="594">
        <f>IFERROR(VLOOKUP($B846,اسماء,29,0),0)</f>
        <v>0</v>
      </c>
      <c r="O848" s="596"/>
      <c r="P848" s="592">
        <f>IFERROR(VLOOKUP($B846,اسماء,30,0),0)</f>
        <v>0</v>
      </c>
      <c r="Q848" s="595"/>
      <c r="R848" s="372">
        <f t="shared" si="2268"/>
        <v>0</v>
      </c>
      <c r="S848" s="305" t="str">
        <f>IFERROR(VLOOKUP($B846,اسماء,34,0),"")</f>
        <v/>
      </c>
      <c r="T848" s="306" t="str">
        <f>IFERROR(VLOOKUP($B846,اسماء,35,0),"")</f>
        <v/>
      </c>
      <c r="U848" s="122" t="str">
        <f>IFERROR(VLOOKUP($B846,اسماء,36,0),"")</f>
        <v/>
      </c>
      <c r="V848" s="605"/>
      <c r="W848" s="20" t="str">
        <f t="shared" ref="W848" si="2281">LOOKUP(R848,$AF$6:$AG$10)</f>
        <v>ضعيف</v>
      </c>
      <c r="X848" s="640"/>
      <c r="Y848" s="8"/>
      <c r="Z848" s="598"/>
      <c r="AK848" s="667"/>
      <c r="AL848" s="667"/>
      <c r="AM848" s="696"/>
      <c r="AN848" s="698"/>
      <c r="AO848" s="699"/>
      <c r="AP848" s="698"/>
    </row>
    <row r="849" spans="1:42" ht="14.85" customHeight="1" thickBot="1" x14ac:dyDescent="0.3">
      <c r="A849" s="612"/>
      <c r="B849" s="615"/>
      <c r="C849" s="618"/>
      <c r="D849" s="621"/>
      <c r="E849" s="124" t="s">
        <v>33</v>
      </c>
      <c r="F849" s="623">
        <f t="shared" ref="F849" si="2282">SUM(F846:G848)</f>
        <v>0</v>
      </c>
      <c r="G849" s="624"/>
      <c r="H849" s="625">
        <f t="shared" ref="H849" si="2283">SUM(H846:I848)</f>
        <v>0</v>
      </c>
      <c r="I849" s="626"/>
      <c r="J849" s="623">
        <f t="shared" ref="J849" si="2284">SUM(J846:K848)</f>
        <v>0</v>
      </c>
      <c r="K849" s="624"/>
      <c r="L849" s="625">
        <f t="shared" ref="L849" si="2285">SUM(L846:M848)</f>
        <v>0</v>
      </c>
      <c r="M849" s="642"/>
      <c r="N849" s="625">
        <f t="shared" ref="N849" si="2286">SUM(N846:O848)</f>
        <v>0</v>
      </c>
      <c r="O849" s="642"/>
      <c r="P849" s="623">
        <f t="shared" ref="P849" si="2287">SUM(P846:Q848)</f>
        <v>0</v>
      </c>
      <c r="Q849" s="626"/>
      <c r="R849" s="88">
        <f t="shared" ref="R849" si="2288">IF(AND(F849&gt;=$G$8,H849&gt;=$I$8,J849&gt;=$K$8,L849&gt;=$M$8,N849&gt;=$O$8,P849&gt;=$Q$8),SUM(F849:Q849),0)</f>
        <v>0</v>
      </c>
      <c r="S849" s="251"/>
      <c r="T849" s="97"/>
      <c r="U849" s="94"/>
      <c r="V849" s="606"/>
      <c r="W849" s="88" t="str">
        <f t="shared" ref="W849" si="2289">LOOKUP(R849,$AI$6:$AJ$10)</f>
        <v>ضعيف</v>
      </c>
      <c r="X849" s="641"/>
      <c r="Y849" s="68"/>
      <c r="Z849" s="599"/>
      <c r="AK849" s="667"/>
      <c r="AL849" s="667"/>
      <c r="AM849" s="696"/>
      <c r="AN849" s="698"/>
      <c r="AO849" s="699"/>
      <c r="AP849" s="698"/>
    </row>
    <row r="850" spans="1:42" ht="14.85" customHeight="1" thickBot="1" x14ac:dyDescent="0.3">
      <c r="A850" s="610">
        <v>184</v>
      </c>
      <c r="B850" s="613">
        <f>VLOOKUP(A850,مسلسل,2,0)</f>
        <v>0</v>
      </c>
      <c r="C850" s="616" t="str">
        <f>IFERROR(VLOOKUP(B850,اسماء,2,0),"")</f>
        <v/>
      </c>
      <c r="D850" s="619" t="str">
        <f>IFERROR(VLOOKUP($B850,اسماء,3,0),"")</f>
        <v/>
      </c>
      <c r="E850" s="129" t="s">
        <v>30</v>
      </c>
      <c r="F850" s="600">
        <f>IFERROR(VLOOKUP($B850,اسماء,5,0),0)</f>
        <v>0</v>
      </c>
      <c r="G850" s="601"/>
      <c r="H850" s="602">
        <f>IFERROR(VLOOKUP($B850,اسماء,6,0),0)</f>
        <v>0</v>
      </c>
      <c r="I850" s="622"/>
      <c r="J850" s="600">
        <f>IFERROR(VLOOKUP($B850,اسماء,7,0),0)</f>
        <v>0</v>
      </c>
      <c r="K850" s="601"/>
      <c r="L850" s="602">
        <f>IFERROR(VLOOKUP($B850,اسماء,8,0),0)</f>
        <v>0</v>
      </c>
      <c r="M850" s="603"/>
      <c r="N850" s="602">
        <f>IFERROR(VLOOKUP($B850,اسماء,9,0),0)</f>
        <v>0</v>
      </c>
      <c r="O850" s="603"/>
      <c r="P850" s="600">
        <f>IFERROR(VLOOKUP($B850,اسماء,10,0),0)</f>
        <v>0</v>
      </c>
      <c r="Q850" s="622"/>
      <c r="R850" s="371">
        <f t="shared" ref="R850" si="2290">SUM(F850:Q850)</f>
        <v>0</v>
      </c>
      <c r="S850" s="213" t="str">
        <f>IFERROR(VLOOKUP($B850,اسماء,12,0),"")</f>
        <v/>
      </c>
      <c r="T850" s="214" t="str">
        <f>IFERROR(VLOOKUP($B850,اسماء,13,0),"")</f>
        <v/>
      </c>
      <c r="U850" s="364" t="str">
        <f>IFERROR(VLOOKUP($B850,اسماء,14,0),"")</f>
        <v/>
      </c>
      <c r="V850" s="604" t="str">
        <f t="shared" ref="V850" si="2291">IF(Z850="غائب","راسب",IF(R853&gt;0,"ناجح","مرحل"))</f>
        <v>مرحل</v>
      </c>
      <c r="W850" s="19" t="str">
        <f t="shared" ref="W850:W851" si="2292">LOOKUP(R850,$AC$6:$AD$10)</f>
        <v>ضعيف</v>
      </c>
      <c r="X850" s="639">
        <f t="shared" ref="X850" si="2293">R853/$AC$3</f>
        <v>0</v>
      </c>
      <c r="Y850" s="68"/>
      <c r="Z850" s="597" t="str">
        <f>IFERROR(VLOOKUP($B850,اسماء,48,0),"")</f>
        <v/>
      </c>
      <c r="AK850" s="667" t="str">
        <f t="shared" ref="AK850" si="2294">IF(R853=0,"",R853/1+ROW()*0.00001)</f>
        <v/>
      </c>
      <c r="AL850" s="667">
        <f>B850</f>
        <v>0</v>
      </c>
      <c r="AM850" s="696"/>
      <c r="AN850" s="698">
        <v>184</v>
      </c>
      <c r="AO850" s="699" t="str">
        <f>IFERROR(LARGE($AK$10:$AK$1420,AN850),"")</f>
        <v/>
      </c>
      <c r="AP850" s="698" t="str">
        <f>VLOOKUP(AO850,$AK$10:$AL$1530,2,0)</f>
        <v>امجد عمر عبداللطيف سلطان</v>
      </c>
    </row>
    <row r="851" spans="1:42" ht="14.85" customHeight="1" x14ac:dyDescent="0.25">
      <c r="A851" s="611"/>
      <c r="B851" s="614"/>
      <c r="C851" s="617"/>
      <c r="D851" s="620"/>
      <c r="E851" s="130" t="s">
        <v>31</v>
      </c>
      <c r="F851" s="592">
        <f>IFERROR(VLOOKUP($B850,اسماء,15,0),0)</f>
        <v>0</v>
      </c>
      <c r="G851" s="593"/>
      <c r="H851" s="594">
        <f>IFERROR(VLOOKUP($B850,اسماء,16,0),0)</f>
        <v>0</v>
      </c>
      <c r="I851" s="595"/>
      <c r="J851" s="592">
        <f>IFERROR(VLOOKUP($B850,اسماء,17,0),0)</f>
        <v>0</v>
      </c>
      <c r="K851" s="593"/>
      <c r="L851" s="594">
        <f>IFERROR(VLOOKUP($B850,اسماء,18,0),0)</f>
        <v>0</v>
      </c>
      <c r="M851" s="596"/>
      <c r="N851" s="594">
        <f>IFERROR(VLOOKUP($B850,اسماء,19,0),0)</f>
        <v>0</v>
      </c>
      <c r="O851" s="596"/>
      <c r="P851" s="592">
        <f>IFERROR(VLOOKUP($B850,اسماء,20,0),0)</f>
        <v>0</v>
      </c>
      <c r="Q851" s="595"/>
      <c r="R851" s="372">
        <f t="shared" si="2268"/>
        <v>0</v>
      </c>
      <c r="S851" s="305" t="str">
        <f>IFERROR(VLOOKUP($B850,اسماء,23,0),"")</f>
        <v/>
      </c>
      <c r="T851" s="306" t="str">
        <f>IFERROR(VLOOKUP($B850,اسماء,24,0),"")</f>
        <v/>
      </c>
      <c r="U851" s="122" t="str">
        <f>IFERROR(VLOOKUP($B850,اسماء,25,0),"")</f>
        <v/>
      </c>
      <c r="V851" s="605"/>
      <c r="W851" s="19" t="str">
        <f t="shared" si="2292"/>
        <v>ضعيف</v>
      </c>
      <c r="X851" s="640"/>
      <c r="Y851" s="8"/>
      <c r="Z851" s="598"/>
      <c r="AK851" s="667"/>
      <c r="AL851" s="667"/>
      <c r="AM851" s="696"/>
      <c r="AN851" s="698"/>
      <c r="AO851" s="699"/>
      <c r="AP851" s="698"/>
    </row>
    <row r="852" spans="1:42" ht="14.85" customHeight="1" x14ac:dyDescent="0.25">
      <c r="A852" s="611"/>
      <c r="B852" s="614"/>
      <c r="C852" s="617"/>
      <c r="D852" s="620"/>
      <c r="E852" s="130" t="s">
        <v>32</v>
      </c>
      <c r="F852" s="592">
        <f>IFERROR(VLOOKUP($B850,اسماء,25,0),0)</f>
        <v>0</v>
      </c>
      <c r="G852" s="593"/>
      <c r="H852" s="594">
        <f>IFERROR(VLOOKUP($B850,اسماء,26,0),0)</f>
        <v>0</v>
      </c>
      <c r="I852" s="595"/>
      <c r="J852" s="592">
        <f>IFERROR(VLOOKUP($B850,اسماء,27,0),0)</f>
        <v>0</v>
      </c>
      <c r="K852" s="593"/>
      <c r="L852" s="594">
        <f>IFERROR(VLOOKUP($B850,اسماء,28,0),0)</f>
        <v>0</v>
      </c>
      <c r="M852" s="596"/>
      <c r="N852" s="594">
        <f>IFERROR(VLOOKUP($B850,اسماء,29,0),0)</f>
        <v>0</v>
      </c>
      <c r="O852" s="596"/>
      <c r="P852" s="592">
        <f>IFERROR(VLOOKUP($B850,اسماء,30,0),0)</f>
        <v>0</v>
      </c>
      <c r="Q852" s="595"/>
      <c r="R852" s="372">
        <f t="shared" si="2268"/>
        <v>0</v>
      </c>
      <c r="S852" s="305" t="str">
        <f>IFERROR(VLOOKUP($B850,اسماء,34,0),"")</f>
        <v/>
      </c>
      <c r="T852" s="306" t="str">
        <f>IFERROR(VLOOKUP($B850,اسماء,35,0),"")</f>
        <v/>
      </c>
      <c r="U852" s="122" t="str">
        <f>IFERROR(VLOOKUP($B850,اسماء,36,0),"")</f>
        <v/>
      </c>
      <c r="V852" s="605"/>
      <c r="W852" s="20" t="str">
        <f t="shared" ref="W852" si="2295">LOOKUP(R852,$AF$6:$AG$10)</f>
        <v>ضعيف</v>
      </c>
      <c r="X852" s="640"/>
      <c r="Y852" s="68"/>
      <c r="Z852" s="598"/>
      <c r="AK852" s="667"/>
      <c r="AL852" s="667"/>
      <c r="AM852" s="696"/>
      <c r="AN852" s="698"/>
      <c r="AO852" s="699"/>
      <c r="AP852" s="698"/>
    </row>
    <row r="853" spans="1:42" ht="14.85" customHeight="1" thickBot="1" x14ac:dyDescent="0.3">
      <c r="A853" s="612"/>
      <c r="B853" s="615"/>
      <c r="C853" s="618"/>
      <c r="D853" s="621"/>
      <c r="E853" s="124" t="s">
        <v>33</v>
      </c>
      <c r="F853" s="623">
        <f t="shared" ref="F853" si="2296">SUM(F850:G852)</f>
        <v>0</v>
      </c>
      <c r="G853" s="624"/>
      <c r="H853" s="625">
        <f t="shared" ref="H853" si="2297">SUM(H850:I852)</f>
        <v>0</v>
      </c>
      <c r="I853" s="626"/>
      <c r="J853" s="623">
        <f t="shared" ref="J853" si="2298">SUM(J850:K852)</f>
        <v>0</v>
      </c>
      <c r="K853" s="624"/>
      <c r="L853" s="625">
        <f t="shared" ref="L853" si="2299">SUM(L850:M852)</f>
        <v>0</v>
      </c>
      <c r="M853" s="642"/>
      <c r="N853" s="625">
        <f t="shared" ref="N853" si="2300">SUM(N850:O852)</f>
        <v>0</v>
      </c>
      <c r="O853" s="642"/>
      <c r="P853" s="623">
        <f t="shared" ref="P853" si="2301">SUM(P850:Q852)</f>
        <v>0</v>
      </c>
      <c r="Q853" s="626"/>
      <c r="R853" s="88">
        <f t="shared" ref="R853" si="2302">IF(AND(F853&gt;=$G$8,H853&gt;=$I$8,J853&gt;=$K$8,L853&gt;=$M$8,N853&gt;=$O$8,P853&gt;=$Q$8),SUM(F853:Q853),0)</f>
        <v>0</v>
      </c>
      <c r="S853" s="251"/>
      <c r="T853" s="97"/>
      <c r="U853" s="94"/>
      <c r="V853" s="606"/>
      <c r="W853" s="88" t="str">
        <f t="shared" ref="W853" si="2303">LOOKUP(R853,$AI$6:$AJ$10)</f>
        <v>ضعيف</v>
      </c>
      <c r="X853" s="641"/>
      <c r="Y853" s="68"/>
      <c r="Z853" s="599"/>
      <c r="AK853" s="667"/>
      <c r="AL853" s="667"/>
      <c r="AM853" s="696"/>
      <c r="AN853" s="698"/>
      <c r="AO853" s="699"/>
      <c r="AP853" s="698"/>
    </row>
    <row r="854" spans="1:42" ht="14.85" customHeight="1" thickBot="1" x14ac:dyDescent="0.3">
      <c r="A854" s="610">
        <v>185</v>
      </c>
      <c r="B854" s="613">
        <f>VLOOKUP(A854,مسلسل,2,0)</f>
        <v>0</v>
      </c>
      <c r="C854" s="616" t="str">
        <f>IFERROR(VLOOKUP(B854,اسماء,2,0),"")</f>
        <v/>
      </c>
      <c r="D854" s="619" t="str">
        <f>IFERROR(VLOOKUP($B854,اسماء,3,0),"")</f>
        <v/>
      </c>
      <c r="E854" s="129" t="s">
        <v>30</v>
      </c>
      <c r="F854" s="600">
        <f>IFERROR(VLOOKUP($B854,اسماء,5,0),0)</f>
        <v>0</v>
      </c>
      <c r="G854" s="601"/>
      <c r="H854" s="602">
        <f>IFERROR(VLOOKUP($B854,اسماء,6,0),0)</f>
        <v>0</v>
      </c>
      <c r="I854" s="622"/>
      <c r="J854" s="600">
        <f>IFERROR(VLOOKUP($B854,اسماء,7,0),0)</f>
        <v>0</v>
      </c>
      <c r="K854" s="601"/>
      <c r="L854" s="602">
        <f>IFERROR(VLOOKUP($B854,اسماء,8,0),0)</f>
        <v>0</v>
      </c>
      <c r="M854" s="603"/>
      <c r="N854" s="602">
        <f>IFERROR(VLOOKUP($B854,اسماء,9,0),0)</f>
        <v>0</v>
      </c>
      <c r="O854" s="603"/>
      <c r="P854" s="600">
        <f>IFERROR(VLOOKUP($B854,اسماء,10,0),0)</f>
        <v>0</v>
      </c>
      <c r="Q854" s="622"/>
      <c r="R854" s="371">
        <f t="shared" ref="R854" si="2304">SUM(F854:Q854)</f>
        <v>0</v>
      </c>
      <c r="S854" s="213" t="str">
        <f>IFERROR(VLOOKUP($B854,اسماء,12,0),"")</f>
        <v/>
      </c>
      <c r="T854" s="214" t="str">
        <f>IFERROR(VLOOKUP($B854,اسماء,13,0),"")</f>
        <v/>
      </c>
      <c r="U854" s="364" t="str">
        <f>IFERROR(VLOOKUP($B854,اسماء,14,0),"")</f>
        <v/>
      </c>
      <c r="V854" s="604" t="str">
        <f t="shared" ref="V854" si="2305">IF(Z854="غائب","راسب",IF(R857&gt;0,"ناجح","مرحل"))</f>
        <v>مرحل</v>
      </c>
      <c r="W854" s="19" t="str">
        <f t="shared" ref="W854:W855" si="2306">LOOKUP(R854,$AC$6:$AD$10)</f>
        <v>ضعيف</v>
      </c>
      <c r="X854" s="639">
        <f t="shared" ref="X854" si="2307">R857/$AC$3</f>
        <v>0</v>
      </c>
      <c r="Y854" s="8"/>
      <c r="Z854" s="597" t="str">
        <f>IFERROR(VLOOKUP($B854,اسماء,48,0),"")</f>
        <v/>
      </c>
      <c r="AK854" s="667" t="str">
        <f t="shared" ref="AK854" si="2308">IF(R857=0,"",R857/1+ROW()*0.00001)</f>
        <v/>
      </c>
      <c r="AL854" s="667">
        <f>B854</f>
        <v>0</v>
      </c>
      <c r="AM854" s="696"/>
      <c r="AN854" s="698">
        <v>185</v>
      </c>
      <c r="AO854" s="699" t="str">
        <f>IFERROR(LARGE($AK$10:$AK$1420,AN854),"")</f>
        <v/>
      </c>
      <c r="AP854" s="698" t="str">
        <f>VLOOKUP(AO854,$AK$10:$AL$1530,2,0)</f>
        <v>امجد عمر عبداللطيف سلطان</v>
      </c>
    </row>
    <row r="855" spans="1:42" ht="14.85" customHeight="1" x14ac:dyDescent="0.25">
      <c r="A855" s="611"/>
      <c r="B855" s="614"/>
      <c r="C855" s="617"/>
      <c r="D855" s="620"/>
      <c r="E855" s="130" t="s">
        <v>31</v>
      </c>
      <c r="F855" s="592">
        <f>IFERROR(VLOOKUP($B854,اسماء,15,0),0)</f>
        <v>0</v>
      </c>
      <c r="G855" s="593"/>
      <c r="H855" s="594">
        <f>IFERROR(VLOOKUP($B854,اسماء,16,0),0)</f>
        <v>0</v>
      </c>
      <c r="I855" s="595"/>
      <c r="J855" s="592">
        <f>IFERROR(VLOOKUP($B854,اسماء,17,0),0)</f>
        <v>0</v>
      </c>
      <c r="K855" s="593"/>
      <c r="L855" s="594">
        <f>IFERROR(VLOOKUP($B854,اسماء,18,0),0)</f>
        <v>0</v>
      </c>
      <c r="M855" s="596"/>
      <c r="N855" s="594">
        <f>IFERROR(VLOOKUP($B854,اسماء,19,0),0)</f>
        <v>0</v>
      </c>
      <c r="O855" s="596"/>
      <c r="P855" s="592">
        <f>IFERROR(VLOOKUP($B854,اسماء,20,0),0)</f>
        <v>0</v>
      </c>
      <c r="Q855" s="595"/>
      <c r="R855" s="372">
        <f t="shared" si="2268"/>
        <v>0</v>
      </c>
      <c r="S855" s="305" t="str">
        <f>IFERROR(VLOOKUP($B854,اسماء,23,0),"")</f>
        <v/>
      </c>
      <c r="T855" s="306" t="str">
        <f>IFERROR(VLOOKUP($B854,اسماء,24,0),"")</f>
        <v/>
      </c>
      <c r="U855" s="122" t="str">
        <f>IFERROR(VLOOKUP($B854,اسماء,25,0),"")</f>
        <v/>
      </c>
      <c r="V855" s="605"/>
      <c r="W855" s="19" t="str">
        <f t="shared" si="2306"/>
        <v>ضعيف</v>
      </c>
      <c r="X855" s="640"/>
      <c r="Y855" s="68"/>
      <c r="Z855" s="598"/>
      <c r="AK855" s="667"/>
      <c r="AL855" s="667"/>
      <c r="AM855" s="696"/>
      <c r="AN855" s="698"/>
      <c r="AO855" s="699"/>
      <c r="AP855" s="698"/>
    </row>
    <row r="856" spans="1:42" ht="14.85" customHeight="1" x14ac:dyDescent="0.25">
      <c r="A856" s="611"/>
      <c r="B856" s="614"/>
      <c r="C856" s="617"/>
      <c r="D856" s="620"/>
      <c r="E856" s="130" t="s">
        <v>32</v>
      </c>
      <c r="F856" s="592">
        <f>IFERROR(VLOOKUP($B854,اسماء,25,0),0)</f>
        <v>0</v>
      </c>
      <c r="G856" s="593"/>
      <c r="H856" s="594">
        <f>IFERROR(VLOOKUP($B854,اسماء,26,0),0)</f>
        <v>0</v>
      </c>
      <c r="I856" s="595"/>
      <c r="J856" s="592">
        <f>IFERROR(VLOOKUP($B854,اسماء,27,0),0)</f>
        <v>0</v>
      </c>
      <c r="K856" s="593"/>
      <c r="L856" s="594">
        <f>IFERROR(VLOOKUP($B854,اسماء,28,0),0)</f>
        <v>0</v>
      </c>
      <c r="M856" s="596"/>
      <c r="N856" s="594">
        <f>IFERROR(VLOOKUP($B854,اسماء,29,0),0)</f>
        <v>0</v>
      </c>
      <c r="O856" s="596"/>
      <c r="P856" s="592">
        <f>IFERROR(VLOOKUP($B854,اسماء,30,0),0)</f>
        <v>0</v>
      </c>
      <c r="Q856" s="595"/>
      <c r="R856" s="372">
        <f t="shared" si="2268"/>
        <v>0</v>
      </c>
      <c r="S856" s="305" t="str">
        <f>IFERROR(VLOOKUP($B854,اسماء,34,0),"")</f>
        <v/>
      </c>
      <c r="T856" s="306" t="str">
        <f>IFERROR(VLOOKUP($B854,اسماء,35,0),"")</f>
        <v/>
      </c>
      <c r="U856" s="122" t="str">
        <f>IFERROR(VLOOKUP($B854,اسماء,36,0),"")</f>
        <v/>
      </c>
      <c r="V856" s="605"/>
      <c r="W856" s="20" t="str">
        <f t="shared" ref="W856" si="2309">LOOKUP(R856,$AF$6:$AG$10)</f>
        <v>ضعيف</v>
      </c>
      <c r="X856" s="640"/>
      <c r="Y856" s="68"/>
      <c r="Z856" s="598"/>
      <c r="AK856" s="667"/>
      <c r="AL856" s="667"/>
      <c r="AM856" s="696"/>
      <c r="AN856" s="698"/>
      <c r="AO856" s="699"/>
      <c r="AP856" s="698"/>
    </row>
    <row r="857" spans="1:42" ht="14.85" customHeight="1" thickBot="1" x14ac:dyDescent="0.3">
      <c r="A857" s="612"/>
      <c r="B857" s="615"/>
      <c r="C857" s="618"/>
      <c r="D857" s="621"/>
      <c r="E857" s="124" t="s">
        <v>33</v>
      </c>
      <c r="F857" s="623">
        <f t="shared" ref="F857" si="2310">SUM(F854:G856)</f>
        <v>0</v>
      </c>
      <c r="G857" s="624"/>
      <c r="H857" s="625">
        <f t="shared" ref="H857" si="2311">SUM(H854:I856)</f>
        <v>0</v>
      </c>
      <c r="I857" s="626"/>
      <c r="J857" s="623">
        <f t="shared" ref="J857" si="2312">SUM(J854:K856)</f>
        <v>0</v>
      </c>
      <c r="K857" s="624"/>
      <c r="L857" s="625">
        <f t="shared" ref="L857" si="2313">SUM(L854:M856)</f>
        <v>0</v>
      </c>
      <c r="M857" s="642"/>
      <c r="N857" s="625">
        <f t="shared" ref="N857" si="2314">SUM(N854:O856)</f>
        <v>0</v>
      </c>
      <c r="O857" s="642"/>
      <c r="P857" s="623">
        <f t="shared" ref="P857" si="2315">SUM(P854:Q856)</f>
        <v>0</v>
      </c>
      <c r="Q857" s="626"/>
      <c r="R857" s="88">
        <f t="shared" ref="R857" si="2316">IF(AND(F857&gt;=$G$8,H857&gt;=$I$8,J857&gt;=$K$8,L857&gt;=$M$8,N857&gt;=$O$8,P857&gt;=$Q$8),SUM(F857:Q857),0)</f>
        <v>0</v>
      </c>
      <c r="S857" s="251"/>
      <c r="T857" s="97"/>
      <c r="U857" s="94"/>
      <c r="V857" s="606"/>
      <c r="W857" s="88" t="str">
        <f t="shared" ref="W857" si="2317">LOOKUP(R857,$AI$6:$AJ$10)</f>
        <v>ضعيف</v>
      </c>
      <c r="X857" s="641"/>
      <c r="Y857" s="8"/>
      <c r="Z857" s="599"/>
      <c r="AK857" s="667"/>
      <c r="AL857" s="667"/>
      <c r="AM857" s="696"/>
      <c r="AN857" s="698"/>
      <c r="AO857" s="699"/>
      <c r="AP857" s="698"/>
    </row>
    <row r="858" spans="1:42" ht="14.85" customHeight="1" thickBot="1" x14ac:dyDescent="0.3">
      <c r="A858" s="610">
        <v>186</v>
      </c>
      <c r="B858" s="613">
        <f>VLOOKUP(A858,مسلسل,2,0)</f>
        <v>0</v>
      </c>
      <c r="C858" s="616" t="str">
        <f>IFERROR(VLOOKUP(B858,اسماء,2,0),"")</f>
        <v/>
      </c>
      <c r="D858" s="619" t="str">
        <f>IFERROR(VLOOKUP($B858,اسماء,3,0),"")</f>
        <v/>
      </c>
      <c r="E858" s="129" t="s">
        <v>30</v>
      </c>
      <c r="F858" s="600">
        <f>IFERROR(VLOOKUP($B858,اسماء,5,0),0)</f>
        <v>0</v>
      </c>
      <c r="G858" s="601"/>
      <c r="H858" s="602">
        <f>IFERROR(VLOOKUP($B858,اسماء,6,0),0)</f>
        <v>0</v>
      </c>
      <c r="I858" s="622"/>
      <c r="J858" s="600">
        <f>IFERROR(VLOOKUP($B858,اسماء,7,0),0)</f>
        <v>0</v>
      </c>
      <c r="K858" s="601"/>
      <c r="L858" s="602">
        <f>IFERROR(VLOOKUP($B858,اسماء,8,0),0)</f>
        <v>0</v>
      </c>
      <c r="M858" s="603"/>
      <c r="N858" s="602">
        <f>IFERROR(VLOOKUP($B858,اسماء,9,0),0)</f>
        <v>0</v>
      </c>
      <c r="O858" s="603"/>
      <c r="P858" s="600">
        <f>IFERROR(VLOOKUP($B858,اسماء,10,0),0)</f>
        <v>0</v>
      </c>
      <c r="Q858" s="622"/>
      <c r="R858" s="371">
        <f t="shared" ref="R858" si="2318">SUM(F858:Q858)</f>
        <v>0</v>
      </c>
      <c r="S858" s="213" t="str">
        <f>IFERROR(VLOOKUP($B858,اسماء,12,0),"")</f>
        <v/>
      </c>
      <c r="T858" s="214" t="str">
        <f>IFERROR(VLOOKUP($B858,اسماء,13,0),"")</f>
        <v/>
      </c>
      <c r="U858" s="364" t="str">
        <f>IFERROR(VLOOKUP($B858,اسماء,14,0),"")</f>
        <v/>
      </c>
      <c r="V858" s="604" t="str">
        <f t="shared" ref="V858" si="2319">IF(Z858="غائب","راسب",IF(R861&gt;0,"ناجح","مرحل"))</f>
        <v>مرحل</v>
      </c>
      <c r="W858" s="19" t="str">
        <f t="shared" ref="W858:W859" si="2320">LOOKUP(R858,$AC$6:$AD$10)</f>
        <v>ضعيف</v>
      </c>
      <c r="X858" s="639">
        <f t="shared" ref="X858" si="2321">R861/$AC$3</f>
        <v>0</v>
      </c>
      <c r="Y858" s="68"/>
      <c r="Z858" s="597" t="str">
        <f>IFERROR(VLOOKUP($B858,اسماء,48,0),"")</f>
        <v/>
      </c>
      <c r="AK858" s="667" t="str">
        <f t="shared" ref="AK858" si="2322">IF(R861=0,"",R861/1+ROW()*0.00001)</f>
        <v/>
      </c>
      <c r="AL858" s="667">
        <f>B858</f>
        <v>0</v>
      </c>
      <c r="AM858" s="696"/>
      <c r="AN858" s="698">
        <v>186</v>
      </c>
      <c r="AO858" s="699" t="str">
        <f>IFERROR(LARGE($AK$10:$AK$1420,AN858),"")</f>
        <v/>
      </c>
      <c r="AP858" s="698" t="str">
        <f>VLOOKUP(AO858,$AK$10:$AL$1530,2,0)</f>
        <v>امجد عمر عبداللطيف سلطان</v>
      </c>
    </row>
    <row r="859" spans="1:42" ht="14.85" customHeight="1" x14ac:dyDescent="0.25">
      <c r="A859" s="611"/>
      <c r="B859" s="614"/>
      <c r="C859" s="617"/>
      <c r="D859" s="620"/>
      <c r="E859" s="130" t="s">
        <v>31</v>
      </c>
      <c r="F859" s="592">
        <f>IFERROR(VLOOKUP($B858,اسماء,15,0),0)</f>
        <v>0</v>
      </c>
      <c r="G859" s="593"/>
      <c r="H859" s="594">
        <f>IFERROR(VLOOKUP($B858,اسماء,16,0),0)</f>
        <v>0</v>
      </c>
      <c r="I859" s="595"/>
      <c r="J859" s="592">
        <f>IFERROR(VLOOKUP($B858,اسماء,17,0),0)</f>
        <v>0</v>
      </c>
      <c r="K859" s="593"/>
      <c r="L859" s="594">
        <f>IFERROR(VLOOKUP($B858,اسماء,18,0),0)</f>
        <v>0</v>
      </c>
      <c r="M859" s="596"/>
      <c r="N859" s="594">
        <f>IFERROR(VLOOKUP($B858,اسماء,19,0),0)</f>
        <v>0</v>
      </c>
      <c r="O859" s="596"/>
      <c r="P859" s="592">
        <f>IFERROR(VLOOKUP($B858,اسماء,20,0),0)</f>
        <v>0</v>
      </c>
      <c r="Q859" s="595"/>
      <c r="R859" s="372">
        <f t="shared" si="2268"/>
        <v>0</v>
      </c>
      <c r="S859" s="305" t="str">
        <f>IFERROR(VLOOKUP($B858,اسماء,23,0),"")</f>
        <v/>
      </c>
      <c r="T859" s="306" t="str">
        <f>IFERROR(VLOOKUP($B858,اسماء,24,0),"")</f>
        <v/>
      </c>
      <c r="U859" s="122" t="str">
        <f>IFERROR(VLOOKUP($B858,اسماء,25,0),"")</f>
        <v/>
      </c>
      <c r="V859" s="605"/>
      <c r="W859" s="19" t="str">
        <f t="shared" si="2320"/>
        <v>ضعيف</v>
      </c>
      <c r="X859" s="640"/>
      <c r="Y859" s="68"/>
      <c r="Z859" s="598"/>
      <c r="AK859" s="667"/>
      <c r="AL859" s="667"/>
      <c r="AM859" s="696"/>
      <c r="AN859" s="698"/>
      <c r="AO859" s="699"/>
      <c r="AP859" s="698"/>
    </row>
    <row r="860" spans="1:42" ht="14.85" customHeight="1" x14ac:dyDescent="0.25">
      <c r="A860" s="611"/>
      <c r="B860" s="614"/>
      <c r="C860" s="617"/>
      <c r="D860" s="620"/>
      <c r="E860" s="130" t="s">
        <v>32</v>
      </c>
      <c r="F860" s="592">
        <f>IFERROR(VLOOKUP($B858,اسماء,25,0),0)</f>
        <v>0</v>
      </c>
      <c r="G860" s="593"/>
      <c r="H860" s="594">
        <f>IFERROR(VLOOKUP($B858,اسماء,26,0),0)</f>
        <v>0</v>
      </c>
      <c r="I860" s="595"/>
      <c r="J860" s="592">
        <f>IFERROR(VLOOKUP($B858,اسماء,27,0),0)</f>
        <v>0</v>
      </c>
      <c r="K860" s="593"/>
      <c r="L860" s="594">
        <f>IFERROR(VLOOKUP($B858,اسماء,28,0),0)</f>
        <v>0</v>
      </c>
      <c r="M860" s="596"/>
      <c r="N860" s="594">
        <f>IFERROR(VLOOKUP($B858,اسماء,29,0),0)</f>
        <v>0</v>
      </c>
      <c r="O860" s="596"/>
      <c r="P860" s="592">
        <f>IFERROR(VLOOKUP($B858,اسماء,30,0),0)</f>
        <v>0</v>
      </c>
      <c r="Q860" s="595"/>
      <c r="R860" s="372">
        <f t="shared" si="2268"/>
        <v>0</v>
      </c>
      <c r="S860" s="305" t="str">
        <f>IFERROR(VLOOKUP($B858,اسماء,34,0),"")</f>
        <v/>
      </c>
      <c r="T860" s="306" t="str">
        <f>IFERROR(VLOOKUP($B858,اسماء,35,0),"")</f>
        <v/>
      </c>
      <c r="U860" s="122" t="str">
        <f>IFERROR(VLOOKUP($B858,اسماء,36,0),"")</f>
        <v/>
      </c>
      <c r="V860" s="605"/>
      <c r="W860" s="20" t="str">
        <f t="shared" ref="W860" si="2323">LOOKUP(R860,$AF$6:$AG$10)</f>
        <v>ضعيف</v>
      </c>
      <c r="X860" s="640"/>
      <c r="Y860" s="8"/>
      <c r="Z860" s="598"/>
      <c r="AK860" s="667"/>
      <c r="AL860" s="667"/>
      <c r="AM860" s="696"/>
      <c r="AN860" s="698"/>
      <c r="AO860" s="699"/>
      <c r="AP860" s="698"/>
    </row>
    <row r="861" spans="1:42" ht="14.85" customHeight="1" thickBot="1" x14ac:dyDescent="0.3">
      <c r="A861" s="612"/>
      <c r="B861" s="615"/>
      <c r="C861" s="618"/>
      <c r="D861" s="621"/>
      <c r="E861" s="124" t="s">
        <v>33</v>
      </c>
      <c r="F861" s="623">
        <f t="shared" ref="F861" si="2324">SUM(F858:G860)</f>
        <v>0</v>
      </c>
      <c r="G861" s="624"/>
      <c r="H861" s="625">
        <f t="shared" ref="H861" si="2325">SUM(H858:I860)</f>
        <v>0</v>
      </c>
      <c r="I861" s="626"/>
      <c r="J861" s="623">
        <f t="shared" ref="J861" si="2326">SUM(J858:K860)</f>
        <v>0</v>
      </c>
      <c r="K861" s="624"/>
      <c r="L861" s="625">
        <f t="shared" ref="L861" si="2327">SUM(L858:M860)</f>
        <v>0</v>
      </c>
      <c r="M861" s="642"/>
      <c r="N861" s="625">
        <f t="shared" ref="N861" si="2328">SUM(N858:O860)</f>
        <v>0</v>
      </c>
      <c r="O861" s="642"/>
      <c r="P861" s="623">
        <f t="shared" ref="P861" si="2329">SUM(P858:Q860)</f>
        <v>0</v>
      </c>
      <c r="Q861" s="626"/>
      <c r="R861" s="88">
        <f t="shared" ref="R861" si="2330">IF(AND(F861&gt;=$G$8,H861&gt;=$I$8,J861&gt;=$K$8,L861&gt;=$M$8,N861&gt;=$O$8,P861&gt;=$Q$8),SUM(F861:Q861),0)</f>
        <v>0</v>
      </c>
      <c r="S861" s="251"/>
      <c r="T861" s="97"/>
      <c r="U861" s="94"/>
      <c r="V861" s="606"/>
      <c r="W861" s="88" t="str">
        <f t="shared" ref="W861" si="2331">LOOKUP(R861,$AI$6:$AJ$10)</f>
        <v>ضعيف</v>
      </c>
      <c r="X861" s="641"/>
      <c r="Y861" s="68"/>
      <c r="Z861" s="599"/>
      <c r="AK861" s="667"/>
      <c r="AL861" s="667"/>
      <c r="AM861" s="696"/>
      <c r="AN861" s="698"/>
      <c r="AO861" s="699"/>
      <c r="AP861" s="698"/>
    </row>
    <row r="862" spans="1:42" ht="14.85" customHeight="1" thickBot="1" x14ac:dyDescent="0.3">
      <c r="A862" s="610">
        <v>187</v>
      </c>
      <c r="B862" s="613">
        <f>VLOOKUP(A862,مسلسل,2,0)</f>
        <v>0</v>
      </c>
      <c r="C862" s="616" t="str">
        <f>IFERROR(VLOOKUP(B862,اسماء,2,0),"")</f>
        <v/>
      </c>
      <c r="D862" s="619" t="str">
        <f>IFERROR(VLOOKUP($B862,اسماء,3,0),"")</f>
        <v/>
      </c>
      <c r="E862" s="129" t="s">
        <v>30</v>
      </c>
      <c r="F862" s="600">
        <f>IFERROR(VLOOKUP($B862,اسماء,5,0),0)</f>
        <v>0</v>
      </c>
      <c r="G862" s="601"/>
      <c r="H862" s="602">
        <f>IFERROR(VLOOKUP($B862,اسماء,6,0),0)</f>
        <v>0</v>
      </c>
      <c r="I862" s="622"/>
      <c r="J862" s="600">
        <f>IFERROR(VLOOKUP($B862,اسماء,7,0),0)</f>
        <v>0</v>
      </c>
      <c r="K862" s="601"/>
      <c r="L862" s="602">
        <f>IFERROR(VLOOKUP($B862,اسماء,8,0),0)</f>
        <v>0</v>
      </c>
      <c r="M862" s="603"/>
      <c r="N862" s="602">
        <f>IFERROR(VLOOKUP($B862,اسماء,9,0),0)</f>
        <v>0</v>
      </c>
      <c r="O862" s="603"/>
      <c r="P862" s="600">
        <f>IFERROR(VLOOKUP($B862,اسماء,10,0),0)</f>
        <v>0</v>
      </c>
      <c r="Q862" s="622"/>
      <c r="R862" s="371">
        <f t="shared" ref="R862" si="2332">SUM(F862:Q862)</f>
        <v>0</v>
      </c>
      <c r="S862" s="213" t="str">
        <f>IFERROR(VLOOKUP($B862,اسماء,12,0),"")</f>
        <v/>
      </c>
      <c r="T862" s="214" t="str">
        <f>IFERROR(VLOOKUP($B862,اسماء,13,0),"")</f>
        <v/>
      </c>
      <c r="U862" s="364" t="str">
        <f>IFERROR(VLOOKUP($B862,اسماء,14,0),"")</f>
        <v/>
      </c>
      <c r="V862" s="604" t="str">
        <f t="shared" ref="V862" si="2333">IF(Z862="غائب","راسب",IF(R865&gt;0,"ناجح","مرحل"))</f>
        <v>مرحل</v>
      </c>
      <c r="W862" s="19" t="str">
        <f t="shared" ref="W862:W863" si="2334">LOOKUP(R862,$AC$6:$AD$10)</f>
        <v>ضعيف</v>
      </c>
      <c r="X862" s="639">
        <f t="shared" ref="X862" si="2335">R865/$AC$3</f>
        <v>0</v>
      </c>
      <c r="Y862" s="68"/>
      <c r="Z862" s="597" t="str">
        <f>IFERROR(VLOOKUP($B862,اسماء,48,0),"")</f>
        <v/>
      </c>
      <c r="AK862" s="667" t="str">
        <f t="shared" ref="AK862" si="2336">IF(R865=0,"",R865/1+ROW()*0.00001)</f>
        <v/>
      </c>
      <c r="AL862" s="667">
        <f>B862</f>
        <v>0</v>
      </c>
      <c r="AM862" s="696"/>
      <c r="AN862" s="698">
        <v>187</v>
      </c>
      <c r="AO862" s="699" t="str">
        <f>IFERROR(LARGE($AK$10:$AK$1420,AN862),"")</f>
        <v/>
      </c>
      <c r="AP862" s="698" t="str">
        <f>VLOOKUP(AO862,$AK$10:$AL$1530,2,0)</f>
        <v>امجد عمر عبداللطيف سلطان</v>
      </c>
    </row>
    <row r="863" spans="1:42" ht="14.85" customHeight="1" x14ac:dyDescent="0.25">
      <c r="A863" s="611"/>
      <c r="B863" s="614"/>
      <c r="C863" s="617"/>
      <c r="D863" s="620"/>
      <c r="E863" s="130" t="s">
        <v>31</v>
      </c>
      <c r="F863" s="592">
        <f>IFERROR(VLOOKUP($B862,اسماء,15,0),0)</f>
        <v>0</v>
      </c>
      <c r="G863" s="593"/>
      <c r="H863" s="594">
        <f>IFERROR(VLOOKUP($B862,اسماء,16,0),0)</f>
        <v>0</v>
      </c>
      <c r="I863" s="595"/>
      <c r="J863" s="592">
        <f>IFERROR(VLOOKUP($B862,اسماء,17,0),0)</f>
        <v>0</v>
      </c>
      <c r="K863" s="593"/>
      <c r="L863" s="594">
        <f>IFERROR(VLOOKUP($B862,اسماء,18,0),0)</f>
        <v>0</v>
      </c>
      <c r="M863" s="596"/>
      <c r="N863" s="594">
        <f>IFERROR(VLOOKUP($B862,اسماء,19,0),0)</f>
        <v>0</v>
      </c>
      <c r="O863" s="596"/>
      <c r="P863" s="592">
        <f>IFERROR(VLOOKUP($B862,اسماء,20,0),0)</f>
        <v>0</v>
      </c>
      <c r="Q863" s="595"/>
      <c r="R863" s="372">
        <f t="shared" si="2268"/>
        <v>0</v>
      </c>
      <c r="S863" s="305" t="str">
        <f>IFERROR(VLOOKUP($B862,اسماء,23,0),"")</f>
        <v/>
      </c>
      <c r="T863" s="306" t="str">
        <f>IFERROR(VLOOKUP($B862,اسماء,24,0),"")</f>
        <v/>
      </c>
      <c r="U863" s="122" t="str">
        <f>IFERROR(VLOOKUP($B862,اسماء,25,0),"")</f>
        <v/>
      </c>
      <c r="V863" s="605"/>
      <c r="W863" s="19" t="str">
        <f t="shared" si="2334"/>
        <v>ضعيف</v>
      </c>
      <c r="X863" s="640"/>
      <c r="Y863" s="8"/>
      <c r="Z863" s="598"/>
      <c r="AK863" s="667"/>
      <c r="AL863" s="667"/>
      <c r="AM863" s="696"/>
      <c r="AN863" s="698"/>
      <c r="AO863" s="699"/>
      <c r="AP863" s="698"/>
    </row>
    <row r="864" spans="1:42" ht="14.85" customHeight="1" x14ac:dyDescent="0.25">
      <c r="A864" s="611"/>
      <c r="B864" s="614"/>
      <c r="C864" s="617"/>
      <c r="D864" s="620"/>
      <c r="E864" s="130" t="s">
        <v>32</v>
      </c>
      <c r="F864" s="592">
        <f>IFERROR(VLOOKUP($B862,اسماء,25,0),0)</f>
        <v>0</v>
      </c>
      <c r="G864" s="593"/>
      <c r="H864" s="594">
        <f>IFERROR(VLOOKUP($B862,اسماء,26,0),0)</f>
        <v>0</v>
      </c>
      <c r="I864" s="595"/>
      <c r="J864" s="592">
        <f>IFERROR(VLOOKUP($B862,اسماء,27,0),0)</f>
        <v>0</v>
      </c>
      <c r="K864" s="593"/>
      <c r="L864" s="594">
        <f>IFERROR(VLOOKUP($B862,اسماء,28,0),0)</f>
        <v>0</v>
      </c>
      <c r="M864" s="596"/>
      <c r="N864" s="594">
        <f>IFERROR(VLOOKUP($B862,اسماء,29,0),0)</f>
        <v>0</v>
      </c>
      <c r="O864" s="596"/>
      <c r="P864" s="592">
        <f>IFERROR(VLOOKUP($B862,اسماء,30,0),0)</f>
        <v>0</v>
      </c>
      <c r="Q864" s="595"/>
      <c r="R864" s="372">
        <f t="shared" si="2268"/>
        <v>0</v>
      </c>
      <c r="S864" s="305" t="str">
        <f>IFERROR(VLOOKUP($B862,اسماء,34,0),"")</f>
        <v/>
      </c>
      <c r="T864" s="306" t="str">
        <f>IFERROR(VLOOKUP($B862,اسماء,35,0),"")</f>
        <v/>
      </c>
      <c r="U864" s="122" t="str">
        <f>IFERROR(VLOOKUP($B862,اسماء,36,0),"")</f>
        <v/>
      </c>
      <c r="V864" s="605"/>
      <c r="W864" s="20" t="str">
        <f t="shared" ref="W864" si="2337">LOOKUP(R864,$AF$6:$AG$10)</f>
        <v>ضعيف</v>
      </c>
      <c r="X864" s="640"/>
      <c r="Y864" s="68"/>
      <c r="Z864" s="598"/>
      <c r="AK864" s="667"/>
      <c r="AL864" s="667"/>
      <c r="AM864" s="696"/>
      <c r="AN864" s="698"/>
      <c r="AO864" s="699"/>
      <c r="AP864" s="698"/>
    </row>
    <row r="865" spans="1:42" ht="14.85" customHeight="1" thickBot="1" x14ac:dyDescent="0.3">
      <c r="A865" s="612"/>
      <c r="B865" s="615"/>
      <c r="C865" s="618"/>
      <c r="D865" s="621"/>
      <c r="E865" s="124" t="s">
        <v>33</v>
      </c>
      <c r="F865" s="623">
        <f t="shared" ref="F865" si="2338">SUM(F862:G864)</f>
        <v>0</v>
      </c>
      <c r="G865" s="624"/>
      <c r="H865" s="625">
        <f t="shared" ref="H865" si="2339">SUM(H862:I864)</f>
        <v>0</v>
      </c>
      <c r="I865" s="626"/>
      <c r="J865" s="623">
        <f t="shared" ref="J865" si="2340">SUM(J862:K864)</f>
        <v>0</v>
      </c>
      <c r="K865" s="624"/>
      <c r="L865" s="625">
        <f t="shared" ref="L865" si="2341">SUM(L862:M864)</f>
        <v>0</v>
      </c>
      <c r="M865" s="642"/>
      <c r="N865" s="625">
        <f t="shared" ref="N865" si="2342">SUM(N862:O864)</f>
        <v>0</v>
      </c>
      <c r="O865" s="642"/>
      <c r="P865" s="623">
        <f t="shared" ref="P865" si="2343">SUM(P862:Q864)</f>
        <v>0</v>
      </c>
      <c r="Q865" s="626"/>
      <c r="R865" s="88">
        <f t="shared" ref="R865" si="2344">IF(AND(F865&gt;=$G$8,H865&gt;=$I$8,J865&gt;=$K$8,L865&gt;=$M$8,N865&gt;=$O$8,P865&gt;=$Q$8),SUM(F865:Q865),0)</f>
        <v>0</v>
      </c>
      <c r="S865" s="251"/>
      <c r="T865" s="97"/>
      <c r="U865" s="94"/>
      <c r="V865" s="606"/>
      <c r="W865" s="88" t="str">
        <f t="shared" ref="W865" si="2345">LOOKUP(R865,$AI$6:$AJ$10)</f>
        <v>ضعيف</v>
      </c>
      <c r="X865" s="641"/>
      <c r="Y865" s="68"/>
      <c r="Z865" s="599"/>
      <c r="AK865" s="667"/>
      <c r="AL865" s="667"/>
      <c r="AM865" s="696"/>
      <c r="AN865" s="698"/>
      <c r="AO865" s="699"/>
      <c r="AP865" s="698"/>
    </row>
    <row r="866" spans="1:42" ht="14.85" customHeight="1" thickBot="1" x14ac:dyDescent="0.3">
      <c r="A866" s="610">
        <v>188</v>
      </c>
      <c r="B866" s="613">
        <f>VLOOKUP(A866,مسلسل,2,0)</f>
        <v>0</v>
      </c>
      <c r="C866" s="616" t="str">
        <f>IFERROR(VLOOKUP(B866,اسماء,2,0),"")</f>
        <v/>
      </c>
      <c r="D866" s="619" t="str">
        <f>IFERROR(VLOOKUP($B866,اسماء,3,0),"")</f>
        <v/>
      </c>
      <c r="E866" s="129" t="s">
        <v>30</v>
      </c>
      <c r="F866" s="600">
        <f>IFERROR(VLOOKUP($B866,اسماء,5,0),0)</f>
        <v>0</v>
      </c>
      <c r="G866" s="601"/>
      <c r="H866" s="602">
        <f>IFERROR(VLOOKUP($B866,اسماء,6,0),0)</f>
        <v>0</v>
      </c>
      <c r="I866" s="622"/>
      <c r="J866" s="600">
        <f>IFERROR(VLOOKUP($B866,اسماء,7,0),0)</f>
        <v>0</v>
      </c>
      <c r="K866" s="601"/>
      <c r="L866" s="602">
        <f>IFERROR(VLOOKUP($B866,اسماء,8,0),0)</f>
        <v>0</v>
      </c>
      <c r="M866" s="603"/>
      <c r="N866" s="602">
        <f>IFERROR(VLOOKUP($B866,اسماء,9,0),0)</f>
        <v>0</v>
      </c>
      <c r="O866" s="603"/>
      <c r="P866" s="600">
        <f>IFERROR(VLOOKUP($B866,اسماء,10,0),0)</f>
        <v>0</v>
      </c>
      <c r="Q866" s="622"/>
      <c r="R866" s="371">
        <f t="shared" ref="R866" si="2346">SUM(F866:Q866)</f>
        <v>0</v>
      </c>
      <c r="S866" s="213" t="str">
        <f>IFERROR(VLOOKUP($B866,اسماء,12,0),"")</f>
        <v/>
      </c>
      <c r="T866" s="214" t="str">
        <f>IFERROR(VLOOKUP($B866,اسماء,13,0),"")</f>
        <v/>
      </c>
      <c r="U866" s="364" t="str">
        <f>IFERROR(VLOOKUP($B866,اسماء,14,0),"")</f>
        <v/>
      </c>
      <c r="V866" s="604" t="str">
        <f t="shared" ref="V866" si="2347">IF(Z866="غائب","راسب",IF(R869&gt;0,"ناجح","مرحل"))</f>
        <v>مرحل</v>
      </c>
      <c r="W866" s="19" t="str">
        <f t="shared" ref="W866:W867" si="2348">LOOKUP(R866,$AC$6:$AD$10)</f>
        <v>ضعيف</v>
      </c>
      <c r="X866" s="639">
        <f t="shared" ref="X866" si="2349">R869/$AC$3</f>
        <v>0</v>
      </c>
      <c r="Y866" s="8"/>
      <c r="Z866" s="597" t="str">
        <f>IFERROR(VLOOKUP($B866,اسماء,48,0),"")</f>
        <v/>
      </c>
      <c r="AK866" s="667" t="str">
        <f t="shared" ref="AK866" si="2350">IF(R869=0,"",R869/1+ROW()*0.00001)</f>
        <v/>
      </c>
      <c r="AL866" s="667">
        <f>B866</f>
        <v>0</v>
      </c>
      <c r="AM866" s="696"/>
      <c r="AN866" s="698">
        <v>188</v>
      </c>
      <c r="AO866" s="699" t="str">
        <f>IFERROR(LARGE($AK$10:$AK$1420,AN866),"")</f>
        <v/>
      </c>
      <c r="AP866" s="698" t="str">
        <f>VLOOKUP(AO866,$AK$10:$AL$1530,2,0)</f>
        <v>امجد عمر عبداللطيف سلطان</v>
      </c>
    </row>
    <row r="867" spans="1:42" ht="14.85" customHeight="1" x14ac:dyDescent="0.25">
      <c r="A867" s="611"/>
      <c r="B867" s="614"/>
      <c r="C867" s="617"/>
      <c r="D867" s="620"/>
      <c r="E867" s="130" t="s">
        <v>31</v>
      </c>
      <c r="F867" s="592">
        <f>IFERROR(VLOOKUP($B866,اسماء,15,0),0)</f>
        <v>0</v>
      </c>
      <c r="G867" s="593"/>
      <c r="H867" s="594">
        <f>IFERROR(VLOOKUP($B866,اسماء,16,0),0)</f>
        <v>0</v>
      </c>
      <c r="I867" s="595"/>
      <c r="J867" s="592">
        <f>IFERROR(VLOOKUP($B866,اسماء,17,0),0)</f>
        <v>0</v>
      </c>
      <c r="K867" s="593"/>
      <c r="L867" s="594">
        <f>IFERROR(VLOOKUP($B866,اسماء,18,0),0)</f>
        <v>0</v>
      </c>
      <c r="M867" s="596"/>
      <c r="N867" s="594">
        <f>IFERROR(VLOOKUP($B866,اسماء,19,0),0)</f>
        <v>0</v>
      </c>
      <c r="O867" s="596"/>
      <c r="P867" s="592">
        <f>IFERROR(VLOOKUP($B866,اسماء,20,0),0)</f>
        <v>0</v>
      </c>
      <c r="Q867" s="595"/>
      <c r="R867" s="372">
        <f t="shared" si="2268"/>
        <v>0</v>
      </c>
      <c r="S867" s="305" t="str">
        <f>IFERROR(VLOOKUP($B866,اسماء,23,0),"")</f>
        <v/>
      </c>
      <c r="T867" s="306" t="str">
        <f>IFERROR(VLOOKUP($B866,اسماء,24,0),"")</f>
        <v/>
      </c>
      <c r="U867" s="122" t="str">
        <f>IFERROR(VLOOKUP($B866,اسماء,25,0),"")</f>
        <v/>
      </c>
      <c r="V867" s="605"/>
      <c r="W867" s="19" t="str">
        <f t="shared" si="2348"/>
        <v>ضعيف</v>
      </c>
      <c r="X867" s="640"/>
      <c r="Y867" s="68"/>
      <c r="Z867" s="598"/>
      <c r="AK867" s="667"/>
      <c r="AL867" s="667"/>
      <c r="AM867" s="696"/>
      <c r="AN867" s="698"/>
      <c r="AO867" s="699"/>
      <c r="AP867" s="698"/>
    </row>
    <row r="868" spans="1:42" ht="14.85" customHeight="1" x14ac:dyDescent="0.25">
      <c r="A868" s="611"/>
      <c r="B868" s="614"/>
      <c r="C868" s="617"/>
      <c r="D868" s="620"/>
      <c r="E868" s="130" t="s">
        <v>32</v>
      </c>
      <c r="F868" s="592">
        <f>IFERROR(VLOOKUP($B866,اسماء,25,0),0)</f>
        <v>0</v>
      </c>
      <c r="G868" s="593"/>
      <c r="H868" s="594">
        <f>IFERROR(VLOOKUP($B866,اسماء,26,0),0)</f>
        <v>0</v>
      </c>
      <c r="I868" s="595"/>
      <c r="J868" s="592">
        <f>IFERROR(VLOOKUP($B866,اسماء,27,0),0)</f>
        <v>0</v>
      </c>
      <c r="K868" s="593"/>
      <c r="L868" s="594">
        <f>IFERROR(VLOOKUP($B866,اسماء,28,0),0)</f>
        <v>0</v>
      </c>
      <c r="M868" s="596"/>
      <c r="N868" s="594">
        <f>IFERROR(VLOOKUP($B866,اسماء,29,0),0)</f>
        <v>0</v>
      </c>
      <c r="O868" s="596"/>
      <c r="P868" s="592">
        <f>IFERROR(VLOOKUP($B866,اسماء,30,0),0)</f>
        <v>0</v>
      </c>
      <c r="Q868" s="595"/>
      <c r="R868" s="372">
        <f t="shared" si="2268"/>
        <v>0</v>
      </c>
      <c r="S868" s="305" t="str">
        <f>IFERROR(VLOOKUP($B866,اسماء,34,0),"")</f>
        <v/>
      </c>
      <c r="T868" s="306" t="str">
        <f>IFERROR(VLOOKUP($B866,اسماء,35,0),"")</f>
        <v/>
      </c>
      <c r="U868" s="122" t="str">
        <f>IFERROR(VLOOKUP($B866,اسماء,36,0),"")</f>
        <v/>
      </c>
      <c r="V868" s="605"/>
      <c r="W868" s="20" t="str">
        <f t="shared" ref="W868" si="2351">LOOKUP(R868,$AF$6:$AG$10)</f>
        <v>ضعيف</v>
      </c>
      <c r="X868" s="640"/>
      <c r="Y868" s="68"/>
      <c r="Z868" s="598"/>
      <c r="AK868" s="667"/>
      <c r="AL868" s="667"/>
      <c r="AM868" s="696"/>
      <c r="AN868" s="698"/>
      <c r="AO868" s="699"/>
      <c r="AP868" s="698"/>
    </row>
    <row r="869" spans="1:42" ht="14.85" customHeight="1" thickBot="1" x14ac:dyDescent="0.3">
      <c r="A869" s="612"/>
      <c r="B869" s="615"/>
      <c r="C869" s="618"/>
      <c r="D869" s="621"/>
      <c r="E869" s="124" t="s">
        <v>33</v>
      </c>
      <c r="F869" s="623">
        <f t="shared" ref="F869" si="2352">SUM(F866:G868)</f>
        <v>0</v>
      </c>
      <c r="G869" s="624"/>
      <c r="H869" s="625">
        <f t="shared" ref="H869" si="2353">SUM(H866:I868)</f>
        <v>0</v>
      </c>
      <c r="I869" s="626"/>
      <c r="J869" s="623">
        <f t="shared" ref="J869" si="2354">SUM(J866:K868)</f>
        <v>0</v>
      </c>
      <c r="K869" s="624"/>
      <c r="L869" s="625">
        <f t="shared" ref="L869" si="2355">SUM(L866:M868)</f>
        <v>0</v>
      </c>
      <c r="M869" s="642"/>
      <c r="N869" s="625">
        <f t="shared" ref="N869" si="2356">SUM(N866:O868)</f>
        <v>0</v>
      </c>
      <c r="O869" s="642"/>
      <c r="P869" s="623">
        <f t="shared" ref="P869" si="2357">SUM(P866:Q868)</f>
        <v>0</v>
      </c>
      <c r="Q869" s="626"/>
      <c r="R869" s="88">
        <f t="shared" ref="R869" si="2358">IF(AND(F869&gt;=$G$8,H869&gt;=$I$8,J869&gt;=$K$8,L869&gt;=$M$8,N869&gt;=$O$8,P869&gt;=$Q$8),SUM(F869:Q869),0)</f>
        <v>0</v>
      </c>
      <c r="S869" s="251"/>
      <c r="T869" s="97"/>
      <c r="U869" s="94"/>
      <c r="V869" s="606"/>
      <c r="W869" s="88" t="str">
        <f t="shared" ref="W869" si="2359">LOOKUP(R869,$AI$6:$AJ$10)</f>
        <v>ضعيف</v>
      </c>
      <c r="X869" s="641"/>
      <c r="Y869" s="8"/>
      <c r="Z869" s="599"/>
      <c r="AK869" s="667"/>
      <c r="AL869" s="667"/>
      <c r="AM869" s="696"/>
      <c r="AN869" s="698"/>
      <c r="AO869" s="699"/>
      <c r="AP869" s="698"/>
    </row>
    <row r="870" spans="1:42" ht="14.85" customHeight="1" thickBot="1" x14ac:dyDescent="0.3">
      <c r="A870" s="610">
        <v>189</v>
      </c>
      <c r="B870" s="613">
        <f>VLOOKUP(A870,مسلسل,2,0)</f>
        <v>0</v>
      </c>
      <c r="C870" s="616" t="str">
        <f>IFERROR(VLOOKUP(B870,اسماء,2,0),"")</f>
        <v/>
      </c>
      <c r="D870" s="619" t="str">
        <f>IFERROR(VLOOKUP($B870,اسماء,3,0),"")</f>
        <v/>
      </c>
      <c r="E870" s="129" t="s">
        <v>30</v>
      </c>
      <c r="F870" s="600">
        <f>IFERROR(VLOOKUP($B870,اسماء,5,0),0)</f>
        <v>0</v>
      </c>
      <c r="G870" s="601"/>
      <c r="H870" s="602">
        <f>IFERROR(VLOOKUP($B870,اسماء,6,0),0)</f>
        <v>0</v>
      </c>
      <c r="I870" s="622"/>
      <c r="J870" s="600">
        <f>IFERROR(VLOOKUP($B870,اسماء,7,0),0)</f>
        <v>0</v>
      </c>
      <c r="K870" s="601"/>
      <c r="L870" s="602">
        <f>IFERROR(VLOOKUP($B870,اسماء,8,0),0)</f>
        <v>0</v>
      </c>
      <c r="M870" s="603"/>
      <c r="N870" s="602">
        <f>IFERROR(VLOOKUP($B870,اسماء,9,0),0)</f>
        <v>0</v>
      </c>
      <c r="O870" s="603"/>
      <c r="P870" s="600">
        <f>IFERROR(VLOOKUP($B870,اسماء,10,0),0)</f>
        <v>0</v>
      </c>
      <c r="Q870" s="622"/>
      <c r="R870" s="371">
        <f t="shared" ref="R870" si="2360">SUM(F870:Q870)</f>
        <v>0</v>
      </c>
      <c r="S870" s="213" t="str">
        <f>IFERROR(VLOOKUP($B870,اسماء,12,0),"")</f>
        <v/>
      </c>
      <c r="T870" s="214" t="str">
        <f>IFERROR(VLOOKUP($B870,اسماء,13,0),"")</f>
        <v/>
      </c>
      <c r="U870" s="364" t="str">
        <f>IFERROR(VLOOKUP($B870,اسماء,14,0),"")</f>
        <v/>
      </c>
      <c r="V870" s="604" t="str">
        <f t="shared" ref="V870" si="2361">IF(Z870="غائب","راسب",IF(R873&gt;0,"ناجح","مرحل"))</f>
        <v>مرحل</v>
      </c>
      <c r="W870" s="19" t="str">
        <f t="shared" ref="W870:W871" si="2362">LOOKUP(R870,$AC$6:$AD$10)</f>
        <v>ضعيف</v>
      </c>
      <c r="X870" s="639">
        <f t="shared" ref="X870" si="2363">R873/$AC$3</f>
        <v>0</v>
      </c>
      <c r="Y870" s="68"/>
      <c r="Z870" s="597" t="str">
        <f>IFERROR(VLOOKUP($B870,اسماء,48,0),"")</f>
        <v/>
      </c>
      <c r="AK870" s="667" t="str">
        <f t="shared" ref="AK870" si="2364">IF(R873=0,"",R873/1+ROW()*0.00001)</f>
        <v/>
      </c>
      <c r="AL870" s="667">
        <f>B870</f>
        <v>0</v>
      </c>
      <c r="AM870" s="696"/>
      <c r="AN870" s="698">
        <v>189</v>
      </c>
      <c r="AO870" s="699" t="str">
        <f>IFERROR(LARGE($AK$10:$AK$1420,AN870),"")</f>
        <v/>
      </c>
      <c r="AP870" s="698" t="str">
        <f>VLOOKUP(AO870,$AK$10:$AL$1530,2,0)</f>
        <v>امجد عمر عبداللطيف سلطان</v>
      </c>
    </row>
    <row r="871" spans="1:42" ht="14.85" customHeight="1" x14ac:dyDescent="0.25">
      <c r="A871" s="611"/>
      <c r="B871" s="614"/>
      <c r="C871" s="617"/>
      <c r="D871" s="620"/>
      <c r="E871" s="130" t="s">
        <v>31</v>
      </c>
      <c r="F871" s="592">
        <f>IFERROR(VLOOKUP($B870,اسماء,15,0),0)</f>
        <v>0</v>
      </c>
      <c r="G871" s="593"/>
      <c r="H871" s="594">
        <f>IFERROR(VLOOKUP($B870,اسماء,16,0),0)</f>
        <v>0</v>
      </c>
      <c r="I871" s="595"/>
      <c r="J871" s="592">
        <f>IFERROR(VLOOKUP($B870,اسماء,17,0),0)</f>
        <v>0</v>
      </c>
      <c r="K871" s="593"/>
      <c r="L871" s="594">
        <f>IFERROR(VLOOKUP($B870,اسماء,18,0),0)</f>
        <v>0</v>
      </c>
      <c r="M871" s="596"/>
      <c r="N871" s="594">
        <f>IFERROR(VLOOKUP($B870,اسماء,19,0),0)</f>
        <v>0</v>
      </c>
      <c r="O871" s="596"/>
      <c r="P871" s="592">
        <f>IFERROR(VLOOKUP($B870,اسماء,20,0),0)</f>
        <v>0</v>
      </c>
      <c r="Q871" s="595"/>
      <c r="R871" s="372">
        <f t="shared" si="2268"/>
        <v>0</v>
      </c>
      <c r="S871" s="305" t="str">
        <f>IFERROR(VLOOKUP($B870,اسماء,23,0),"")</f>
        <v/>
      </c>
      <c r="T871" s="306" t="str">
        <f>IFERROR(VLOOKUP($B870,اسماء,24,0),"")</f>
        <v/>
      </c>
      <c r="U871" s="122" t="str">
        <f>IFERROR(VLOOKUP($B870,اسماء,25,0),"")</f>
        <v/>
      </c>
      <c r="V871" s="605"/>
      <c r="W871" s="19" t="str">
        <f t="shared" si="2362"/>
        <v>ضعيف</v>
      </c>
      <c r="X871" s="640"/>
      <c r="Y871" s="68"/>
      <c r="Z871" s="598"/>
      <c r="AK871" s="667"/>
      <c r="AL871" s="667"/>
      <c r="AM871" s="696"/>
      <c r="AN871" s="698"/>
      <c r="AO871" s="699"/>
      <c r="AP871" s="698"/>
    </row>
    <row r="872" spans="1:42" ht="14.85" customHeight="1" x14ac:dyDescent="0.25">
      <c r="A872" s="611"/>
      <c r="B872" s="614"/>
      <c r="C872" s="617"/>
      <c r="D872" s="620"/>
      <c r="E872" s="130" t="s">
        <v>32</v>
      </c>
      <c r="F872" s="592">
        <f>IFERROR(VLOOKUP($B870,اسماء,25,0),0)</f>
        <v>0</v>
      </c>
      <c r="G872" s="593"/>
      <c r="H872" s="594">
        <f>IFERROR(VLOOKUP($B870,اسماء,26,0),0)</f>
        <v>0</v>
      </c>
      <c r="I872" s="595"/>
      <c r="J872" s="592">
        <f>IFERROR(VLOOKUP($B870,اسماء,27,0),0)</f>
        <v>0</v>
      </c>
      <c r="K872" s="593"/>
      <c r="L872" s="594">
        <f>IFERROR(VLOOKUP($B870,اسماء,28,0),0)</f>
        <v>0</v>
      </c>
      <c r="M872" s="596"/>
      <c r="N872" s="594">
        <f>IFERROR(VLOOKUP($B870,اسماء,29,0),0)</f>
        <v>0</v>
      </c>
      <c r="O872" s="596"/>
      <c r="P872" s="592">
        <f>IFERROR(VLOOKUP($B870,اسماء,30,0),0)</f>
        <v>0</v>
      </c>
      <c r="Q872" s="595"/>
      <c r="R872" s="372">
        <f t="shared" si="2268"/>
        <v>0</v>
      </c>
      <c r="S872" s="305" t="str">
        <f>IFERROR(VLOOKUP($B870,اسماء,34,0),"")</f>
        <v/>
      </c>
      <c r="T872" s="306" t="str">
        <f>IFERROR(VLOOKUP($B870,اسماء,35,0),"")</f>
        <v/>
      </c>
      <c r="U872" s="122" t="str">
        <f>IFERROR(VLOOKUP($B870,اسماء,36,0),"")</f>
        <v/>
      </c>
      <c r="V872" s="605"/>
      <c r="W872" s="20" t="str">
        <f t="shared" ref="W872" si="2365">LOOKUP(R872,$AF$6:$AG$10)</f>
        <v>ضعيف</v>
      </c>
      <c r="X872" s="640"/>
      <c r="Y872" s="8"/>
      <c r="Z872" s="598"/>
      <c r="AK872" s="667"/>
      <c r="AL872" s="667"/>
      <c r="AM872" s="696"/>
      <c r="AN872" s="698"/>
      <c r="AO872" s="699"/>
      <c r="AP872" s="698"/>
    </row>
    <row r="873" spans="1:42" ht="14.85" customHeight="1" thickBot="1" x14ac:dyDescent="0.3">
      <c r="A873" s="612"/>
      <c r="B873" s="615"/>
      <c r="C873" s="618"/>
      <c r="D873" s="621"/>
      <c r="E873" s="124" t="s">
        <v>33</v>
      </c>
      <c r="F873" s="623">
        <f t="shared" ref="F873" si="2366">SUM(F870:G872)</f>
        <v>0</v>
      </c>
      <c r="G873" s="624"/>
      <c r="H873" s="625">
        <f t="shared" ref="H873" si="2367">SUM(H870:I872)</f>
        <v>0</v>
      </c>
      <c r="I873" s="626"/>
      <c r="J873" s="623">
        <f t="shared" ref="J873" si="2368">SUM(J870:K872)</f>
        <v>0</v>
      </c>
      <c r="K873" s="624"/>
      <c r="L873" s="625">
        <f t="shared" ref="L873" si="2369">SUM(L870:M872)</f>
        <v>0</v>
      </c>
      <c r="M873" s="642"/>
      <c r="N873" s="625">
        <f t="shared" ref="N873" si="2370">SUM(N870:O872)</f>
        <v>0</v>
      </c>
      <c r="O873" s="642"/>
      <c r="P873" s="623">
        <f t="shared" ref="P873" si="2371">SUM(P870:Q872)</f>
        <v>0</v>
      </c>
      <c r="Q873" s="626"/>
      <c r="R873" s="88">
        <f t="shared" ref="R873" si="2372">IF(AND(F873&gt;=$G$8,H873&gt;=$I$8,J873&gt;=$K$8,L873&gt;=$M$8,N873&gt;=$O$8,P873&gt;=$Q$8),SUM(F873:Q873),0)</f>
        <v>0</v>
      </c>
      <c r="S873" s="251"/>
      <c r="T873" s="97"/>
      <c r="U873" s="94"/>
      <c r="V873" s="606"/>
      <c r="W873" s="88" t="str">
        <f t="shared" ref="W873" si="2373">LOOKUP(R873,$AI$6:$AJ$10)</f>
        <v>ضعيف</v>
      </c>
      <c r="X873" s="641"/>
      <c r="Y873" s="68"/>
      <c r="Z873" s="599"/>
      <c r="AK873" s="667"/>
      <c r="AL873" s="667"/>
      <c r="AM873" s="696"/>
      <c r="AN873" s="698"/>
      <c r="AO873" s="699"/>
      <c r="AP873" s="698"/>
    </row>
    <row r="874" spans="1:42" ht="14.85" customHeight="1" thickBot="1" x14ac:dyDescent="0.3">
      <c r="A874" s="610">
        <v>190</v>
      </c>
      <c r="B874" s="613">
        <f>VLOOKUP(A874,مسلسل,2,0)</f>
        <v>0</v>
      </c>
      <c r="C874" s="616" t="str">
        <f>IFERROR(VLOOKUP(B874,اسماء,2,0),"")</f>
        <v/>
      </c>
      <c r="D874" s="619" t="str">
        <f>IFERROR(VLOOKUP($B874,اسماء,3,0),"")</f>
        <v/>
      </c>
      <c r="E874" s="129" t="s">
        <v>30</v>
      </c>
      <c r="F874" s="600">
        <f>IFERROR(VLOOKUP($B874,اسماء,5,0),0)</f>
        <v>0</v>
      </c>
      <c r="G874" s="601"/>
      <c r="H874" s="602">
        <f>IFERROR(VLOOKUP($B874,اسماء,6,0),0)</f>
        <v>0</v>
      </c>
      <c r="I874" s="622"/>
      <c r="J874" s="600">
        <f>IFERROR(VLOOKUP($B874,اسماء,7,0),0)</f>
        <v>0</v>
      </c>
      <c r="K874" s="601"/>
      <c r="L874" s="602">
        <f>IFERROR(VLOOKUP($B874,اسماء,8,0),0)</f>
        <v>0</v>
      </c>
      <c r="M874" s="603"/>
      <c r="N874" s="602">
        <f>IFERROR(VLOOKUP($B874,اسماء,9,0),0)</f>
        <v>0</v>
      </c>
      <c r="O874" s="603"/>
      <c r="P874" s="600">
        <f>IFERROR(VLOOKUP($B874,اسماء,10,0),0)</f>
        <v>0</v>
      </c>
      <c r="Q874" s="622"/>
      <c r="R874" s="371">
        <f t="shared" ref="R874" si="2374">SUM(F874:Q874)</f>
        <v>0</v>
      </c>
      <c r="S874" s="213" t="str">
        <f>IFERROR(VLOOKUP($B874,اسماء,12,0),"")</f>
        <v/>
      </c>
      <c r="T874" s="214" t="str">
        <f>IFERROR(VLOOKUP($B874,اسماء,13,0),"")</f>
        <v/>
      </c>
      <c r="U874" s="364" t="str">
        <f>IFERROR(VLOOKUP($B874,اسماء,14,0),"")</f>
        <v/>
      </c>
      <c r="V874" s="604" t="str">
        <f t="shared" ref="V874" si="2375">IF(Z874="غائب","راسب",IF(R877&gt;0,"ناجح","مرحل"))</f>
        <v>مرحل</v>
      </c>
      <c r="W874" s="19" t="str">
        <f t="shared" ref="W874:W875" si="2376">LOOKUP(R874,$AC$6:$AD$10)</f>
        <v>ضعيف</v>
      </c>
      <c r="X874" s="639">
        <f t="shared" ref="X874" si="2377">R877/$AC$3</f>
        <v>0</v>
      </c>
      <c r="Y874" s="68"/>
      <c r="Z874" s="597" t="str">
        <f>IFERROR(VLOOKUP($B874,اسماء,48,0),"")</f>
        <v/>
      </c>
      <c r="AK874" s="667" t="str">
        <f t="shared" ref="AK874" si="2378">IF(R877=0,"",R877/1+ROW()*0.00001)</f>
        <v/>
      </c>
      <c r="AL874" s="667">
        <f>B874</f>
        <v>0</v>
      </c>
      <c r="AM874" s="696"/>
      <c r="AN874" s="698">
        <v>190</v>
      </c>
      <c r="AO874" s="699" t="str">
        <f>IFERROR(LARGE($AK$10:$AK$1420,AN874),"")</f>
        <v/>
      </c>
      <c r="AP874" s="698" t="str">
        <f>VLOOKUP(AO874,$AK$10:$AL$1530,2,0)</f>
        <v>امجد عمر عبداللطيف سلطان</v>
      </c>
    </row>
    <row r="875" spans="1:42" ht="14.85" customHeight="1" x14ac:dyDescent="0.25">
      <c r="A875" s="611"/>
      <c r="B875" s="614"/>
      <c r="C875" s="617"/>
      <c r="D875" s="620"/>
      <c r="E875" s="130" t="s">
        <v>31</v>
      </c>
      <c r="F875" s="592">
        <f>IFERROR(VLOOKUP($B874,اسماء,15,0),0)</f>
        <v>0</v>
      </c>
      <c r="G875" s="593"/>
      <c r="H875" s="594">
        <f>IFERROR(VLOOKUP($B874,اسماء,16,0),0)</f>
        <v>0</v>
      </c>
      <c r="I875" s="595"/>
      <c r="J875" s="592">
        <f>IFERROR(VLOOKUP($B874,اسماء,17,0),0)</f>
        <v>0</v>
      </c>
      <c r="K875" s="593"/>
      <c r="L875" s="594">
        <f>IFERROR(VLOOKUP($B874,اسماء,18,0),0)</f>
        <v>0</v>
      </c>
      <c r="M875" s="596"/>
      <c r="N875" s="594">
        <f>IFERROR(VLOOKUP($B874,اسماء,19,0),0)</f>
        <v>0</v>
      </c>
      <c r="O875" s="596"/>
      <c r="P875" s="592">
        <f>IFERROR(VLOOKUP($B874,اسماء,20,0),0)</f>
        <v>0</v>
      </c>
      <c r="Q875" s="595"/>
      <c r="R875" s="372">
        <f t="shared" si="2268"/>
        <v>0</v>
      </c>
      <c r="S875" s="305" t="str">
        <f>IFERROR(VLOOKUP($B874,اسماء,23,0),"")</f>
        <v/>
      </c>
      <c r="T875" s="306" t="str">
        <f>IFERROR(VLOOKUP($B874,اسماء,24,0),"")</f>
        <v/>
      </c>
      <c r="U875" s="122" t="str">
        <f>IFERROR(VLOOKUP($B874,اسماء,25,0),"")</f>
        <v/>
      </c>
      <c r="V875" s="605"/>
      <c r="W875" s="19" t="str">
        <f t="shared" si="2376"/>
        <v>ضعيف</v>
      </c>
      <c r="X875" s="640"/>
      <c r="Y875" s="8"/>
      <c r="Z875" s="598"/>
      <c r="AK875" s="667"/>
      <c r="AL875" s="667"/>
      <c r="AM875" s="696"/>
      <c r="AN875" s="698"/>
      <c r="AO875" s="699"/>
      <c r="AP875" s="698"/>
    </row>
    <row r="876" spans="1:42" ht="14.85" customHeight="1" x14ac:dyDescent="0.25">
      <c r="A876" s="611"/>
      <c r="B876" s="614"/>
      <c r="C876" s="617"/>
      <c r="D876" s="620"/>
      <c r="E876" s="130" t="s">
        <v>32</v>
      </c>
      <c r="F876" s="592">
        <f>IFERROR(VLOOKUP($B874,اسماء,25,0),0)</f>
        <v>0</v>
      </c>
      <c r="G876" s="593"/>
      <c r="H876" s="594">
        <f>IFERROR(VLOOKUP($B874,اسماء,26,0),0)</f>
        <v>0</v>
      </c>
      <c r="I876" s="595"/>
      <c r="J876" s="592">
        <f>IFERROR(VLOOKUP($B874,اسماء,27,0),0)</f>
        <v>0</v>
      </c>
      <c r="K876" s="593"/>
      <c r="L876" s="594">
        <f>IFERROR(VLOOKUP($B874,اسماء,28,0),0)</f>
        <v>0</v>
      </c>
      <c r="M876" s="596"/>
      <c r="N876" s="594">
        <f>IFERROR(VLOOKUP($B874,اسماء,29,0),0)</f>
        <v>0</v>
      </c>
      <c r="O876" s="596"/>
      <c r="P876" s="592">
        <f>IFERROR(VLOOKUP($B874,اسماء,30,0),0)</f>
        <v>0</v>
      </c>
      <c r="Q876" s="595"/>
      <c r="R876" s="372">
        <f t="shared" si="2268"/>
        <v>0</v>
      </c>
      <c r="S876" s="305" t="str">
        <f>IFERROR(VLOOKUP($B874,اسماء,34,0),"")</f>
        <v/>
      </c>
      <c r="T876" s="306" t="str">
        <f>IFERROR(VLOOKUP($B874,اسماء,35,0),"")</f>
        <v/>
      </c>
      <c r="U876" s="122" t="str">
        <f>IFERROR(VLOOKUP($B874,اسماء,36,0),"")</f>
        <v/>
      </c>
      <c r="V876" s="605"/>
      <c r="W876" s="20" t="str">
        <f t="shared" ref="W876" si="2379">LOOKUP(R876,$AF$6:$AG$10)</f>
        <v>ضعيف</v>
      </c>
      <c r="X876" s="640"/>
      <c r="Y876" s="68"/>
      <c r="Z876" s="598"/>
      <c r="AK876" s="667"/>
      <c r="AL876" s="667"/>
      <c r="AM876" s="696"/>
      <c r="AN876" s="698"/>
      <c r="AO876" s="699"/>
      <c r="AP876" s="698"/>
    </row>
    <row r="877" spans="1:42" ht="14.85" customHeight="1" thickBot="1" x14ac:dyDescent="0.3">
      <c r="A877" s="612"/>
      <c r="B877" s="615"/>
      <c r="C877" s="618"/>
      <c r="D877" s="621"/>
      <c r="E877" s="124" t="s">
        <v>33</v>
      </c>
      <c r="F877" s="623">
        <f t="shared" ref="F877" si="2380">SUM(F874:G876)</f>
        <v>0</v>
      </c>
      <c r="G877" s="624"/>
      <c r="H877" s="625">
        <f t="shared" ref="H877" si="2381">SUM(H874:I876)</f>
        <v>0</v>
      </c>
      <c r="I877" s="626"/>
      <c r="J877" s="623">
        <f t="shared" ref="J877" si="2382">SUM(J874:K876)</f>
        <v>0</v>
      </c>
      <c r="K877" s="624"/>
      <c r="L877" s="625">
        <f t="shared" ref="L877" si="2383">SUM(L874:M876)</f>
        <v>0</v>
      </c>
      <c r="M877" s="642"/>
      <c r="N877" s="625">
        <f t="shared" ref="N877" si="2384">SUM(N874:O876)</f>
        <v>0</v>
      </c>
      <c r="O877" s="642"/>
      <c r="P877" s="623">
        <f t="shared" ref="P877" si="2385">SUM(P874:Q876)</f>
        <v>0</v>
      </c>
      <c r="Q877" s="626"/>
      <c r="R877" s="88">
        <f t="shared" ref="R877" si="2386">IF(AND(F877&gt;=$G$8,H877&gt;=$I$8,J877&gt;=$K$8,L877&gt;=$M$8,N877&gt;=$O$8,P877&gt;=$Q$8),SUM(F877:Q877),0)</f>
        <v>0</v>
      </c>
      <c r="S877" s="251"/>
      <c r="T877" s="97"/>
      <c r="U877" s="94"/>
      <c r="V877" s="606"/>
      <c r="W877" s="88" t="str">
        <f t="shared" ref="W877" si="2387">LOOKUP(R877,$AI$6:$AJ$10)</f>
        <v>ضعيف</v>
      </c>
      <c r="X877" s="641"/>
      <c r="Y877" s="68"/>
      <c r="Z877" s="599"/>
      <c r="AK877" s="667"/>
      <c r="AL877" s="667"/>
      <c r="AM877" s="696"/>
      <c r="AN877" s="698"/>
      <c r="AO877" s="699"/>
      <c r="AP877" s="698"/>
    </row>
    <row r="878" spans="1:42" ht="14.85" customHeight="1" thickBot="1" x14ac:dyDescent="0.3">
      <c r="F878" s="71"/>
      <c r="G878" s="72"/>
      <c r="H878" s="71"/>
      <c r="I878" s="72"/>
      <c r="J878" s="71"/>
      <c r="K878" s="72"/>
      <c r="L878" s="71"/>
      <c r="M878" s="72"/>
      <c r="N878" s="71"/>
      <c r="O878" s="72"/>
      <c r="P878" s="71"/>
      <c r="Q878" s="72"/>
      <c r="R878" s="70"/>
      <c r="S878" s="73"/>
      <c r="T878" s="70"/>
      <c r="U878" s="70"/>
      <c r="V878" s="70"/>
      <c r="W878" s="70"/>
      <c r="X878" s="254"/>
      <c r="Y878" s="68"/>
      <c r="AH878" s="74"/>
    </row>
    <row r="879" spans="1:42" customFormat="1" ht="14.85" customHeight="1" x14ac:dyDescent="0.3">
      <c r="A879" s="668" t="s">
        <v>9</v>
      </c>
      <c r="B879" s="669"/>
      <c r="C879" s="670"/>
      <c r="D879" s="277" t="s">
        <v>11</v>
      </c>
      <c r="E879" s="674" t="s">
        <v>96</v>
      </c>
      <c r="F879" s="663"/>
      <c r="G879" s="663"/>
      <c r="H879" s="663"/>
      <c r="I879" s="663"/>
      <c r="J879" s="7"/>
      <c r="K879" s="7"/>
      <c r="L879" s="7"/>
      <c r="M879" s="7"/>
      <c r="N879" s="7"/>
      <c r="O879" s="7"/>
      <c r="P879" s="7"/>
      <c r="Q879" s="663" t="s">
        <v>156</v>
      </c>
      <c r="R879" s="663"/>
      <c r="S879" s="663"/>
      <c r="T879" s="663"/>
      <c r="U879" s="663"/>
      <c r="V879" s="663"/>
      <c r="W879" s="1"/>
      <c r="X879" s="255"/>
      <c r="Z879" s="75"/>
      <c r="AA879" s="76"/>
      <c r="AB879" s="76"/>
      <c r="AC879" s="76"/>
      <c r="AD879" s="76"/>
    </row>
    <row r="880" spans="1:42" customFormat="1" ht="14.85" customHeight="1" x14ac:dyDescent="0.25">
      <c r="A880" s="77" t="s">
        <v>8</v>
      </c>
      <c r="B880" s="671">
        <f>ادخال1!$BJ$3</f>
        <v>0</v>
      </c>
      <c r="C880" s="672"/>
      <c r="D880" s="278"/>
      <c r="E880" s="7" t="s">
        <v>9</v>
      </c>
      <c r="F880" s="673" t="str">
        <f>ادخال1!$BJ$5</f>
        <v>د. عبدالرحمن خليفة العريبي</v>
      </c>
      <c r="G880" s="673"/>
      <c r="H880" s="673"/>
      <c r="I880" s="673"/>
      <c r="J880" s="673"/>
      <c r="K880" s="673"/>
      <c r="L880" s="673"/>
      <c r="M880" s="673"/>
      <c r="N880" s="673"/>
      <c r="O880" s="673"/>
      <c r="P880" s="7"/>
      <c r="Q880" s="673" t="str">
        <f>ادخال1!$BJ$6</f>
        <v>تاجوراء</v>
      </c>
      <c r="R880" s="673"/>
      <c r="S880" s="673"/>
      <c r="T880" s="673"/>
      <c r="U880" s="673"/>
      <c r="V880" s="673"/>
      <c r="W880" s="673"/>
      <c r="X880" s="63"/>
      <c r="Y880" s="63"/>
      <c r="Z880" s="75"/>
      <c r="AA880" s="75"/>
      <c r="AB880" s="75"/>
      <c r="AC880" s="75"/>
    </row>
    <row r="881" spans="1:42" customFormat="1" ht="14.85" customHeight="1" thickBot="1" x14ac:dyDescent="0.3">
      <c r="A881" s="78" t="s">
        <v>97</v>
      </c>
      <c r="B881" s="665">
        <f>ادخال1!$BJ$4</f>
        <v>0</v>
      </c>
      <c r="C881" s="666"/>
      <c r="D881" s="279"/>
      <c r="E881" s="7" t="s">
        <v>11</v>
      </c>
      <c r="F881" s="667"/>
      <c r="G881" s="667"/>
      <c r="H881" s="667"/>
      <c r="I881" s="667"/>
      <c r="J881" s="667"/>
      <c r="K881" s="667"/>
      <c r="L881" s="667"/>
      <c r="M881" s="667"/>
      <c r="N881" s="667"/>
      <c r="O881" s="667"/>
      <c r="P881" s="7"/>
      <c r="Q881" s="7" t="s">
        <v>11</v>
      </c>
      <c r="R881" s="1"/>
      <c r="S881" s="1"/>
      <c r="T881" s="1"/>
      <c r="U881" s="1"/>
      <c r="V881" s="1"/>
      <c r="W881" s="1"/>
      <c r="X881" s="255"/>
      <c r="Z881" s="75"/>
      <c r="AA881" s="75"/>
      <c r="AB881" s="75"/>
      <c r="AC881" s="75"/>
    </row>
    <row r="882" spans="1:42" customFormat="1" ht="14.85" customHeight="1" x14ac:dyDescent="0.25">
      <c r="A882" s="663" t="s">
        <v>98</v>
      </c>
      <c r="B882" s="663"/>
      <c r="C882" s="663"/>
      <c r="D882" s="663"/>
      <c r="E882" s="663" t="s">
        <v>99</v>
      </c>
      <c r="F882" s="663"/>
      <c r="G882" s="663"/>
      <c r="H882" s="663"/>
      <c r="I882" s="663"/>
      <c r="J882" s="663"/>
      <c r="K882" s="663"/>
      <c r="L882" s="663"/>
      <c r="M882" s="663"/>
      <c r="N882" s="663"/>
      <c r="O882" s="663"/>
      <c r="P882" s="663"/>
      <c r="Q882" s="663"/>
      <c r="R882" s="7"/>
      <c r="S882" s="664">
        <f ca="1">TODAY()</f>
        <v>46009</v>
      </c>
      <c r="T882" s="664"/>
      <c r="U882" s="664"/>
      <c r="V882" s="664"/>
      <c r="W882" s="664"/>
      <c r="X882" s="255"/>
    </row>
    <row r="883" spans="1:42" customFormat="1" ht="14.85" customHeight="1" thickBot="1" x14ac:dyDescent="0.3">
      <c r="A883" s="7"/>
      <c r="B883" s="663" t="s">
        <v>100</v>
      </c>
      <c r="C883" s="663"/>
      <c r="D883" s="663"/>
      <c r="E883" s="663" t="s">
        <v>101</v>
      </c>
      <c r="F883" s="663"/>
      <c r="G883" s="663"/>
      <c r="H883" s="663"/>
      <c r="I883" s="663"/>
      <c r="J883" s="663"/>
      <c r="K883" s="663"/>
      <c r="L883" s="663"/>
      <c r="M883" s="663"/>
      <c r="N883" s="663"/>
      <c r="O883" s="663"/>
      <c r="P883" s="663"/>
      <c r="Q883" s="663"/>
      <c r="R883" s="1"/>
      <c r="S883" s="1"/>
      <c r="T883" s="1"/>
      <c r="U883" s="1"/>
      <c r="V883" s="1"/>
      <c r="W883" s="1"/>
      <c r="X883" s="255"/>
    </row>
    <row r="884" spans="1:42" ht="14.85" customHeight="1" thickBot="1" x14ac:dyDescent="0.3">
      <c r="A884" s="610">
        <v>191</v>
      </c>
      <c r="B884" s="613">
        <f>VLOOKUP(A884,مسلسل,2,0)</f>
        <v>0</v>
      </c>
      <c r="C884" s="616" t="str">
        <f>IFERROR(VLOOKUP(B884,اسماء,2,0),"")</f>
        <v/>
      </c>
      <c r="D884" s="619" t="str">
        <f>IFERROR(VLOOKUP($B884,اسماء,3,0),"")</f>
        <v/>
      </c>
      <c r="E884" s="129" t="s">
        <v>30</v>
      </c>
      <c r="F884" s="600">
        <f>IFERROR(VLOOKUP($B884,اسماء,5,0),0)</f>
        <v>0</v>
      </c>
      <c r="G884" s="601"/>
      <c r="H884" s="602">
        <f>IFERROR(VLOOKUP($B884,اسماء,6,0),0)</f>
        <v>0</v>
      </c>
      <c r="I884" s="622"/>
      <c r="J884" s="600">
        <f>IFERROR(VLOOKUP($B884,اسماء,7,0),0)</f>
        <v>0</v>
      </c>
      <c r="K884" s="601"/>
      <c r="L884" s="602">
        <f>IFERROR(VLOOKUP($B884,اسماء,8,0),0)</f>
        <v>0</v>
      </c>
      <c r="M884" s="603"/>
      <c r="N884" s="602">
        <f>IFERROR(VLOOKUP($B884,اسماء,9,0),0)</f>
        <v>0</v>
      </c>
      <c r="O884" s="603"/>
      <c r="P884" s="600">
        <f>IFERROR(VLOOKUP($B884,اسماء,10,0),0)</f>
        <v>0</v>
      </c>
      <c r="Q884" s="622"/>
      <c r="R884" s="371">
        <f>SUM(F884:Q884)</f>
        <v>0</v>
      </c>
      <c r="S884" s="325" t="str">
        <f>IFERROR(VLOOKUP($B884,اسماء,12,0),"")</f>
        <v/>
      </c>
      <c r="T884" s="326" t="str">
        <f>IFERROR(VLOOKUP($B884,اسماء,13,0),"")</f>
        <v/>
      </c>
      <c r="U884" s="92" t="str">
        <f>IFERROR(VLOOKUP($B884,اسماء,14,0),"")</f>
        <v/>
      </c>
      <c r="V884" s="604" t="str">
        <f t="shared" ref="V884" si="2388">IF(Z884="غائب","راسب",IF(R887&gt;0,"ناجح","مرحل"))</f>
        <v>مرحل</v>
      </c>
      <c r="W884" s="19" t="str">
        <f t="shared" ref="W884:W885" si="2389">LOOKUP(R884,$AC$6:$AD$10)</f>
        <v>ضعيف</v>
      </c>
      <c r="X884" s="639">
        <f t="shared" ref="X884" si="2390">R887/$AC$3</f>
        <v>0</v>
      </c>
      <c r="Y884" s="8"/>
      <c r="Z884" s="597" t="str">
        <f>IFERROR(VLOOKUP($B884,اسماء,48,0),"")</f>
        <v/>
      </c>
      <c r="AK884" s="671" t="str">
        <f>IF(R887=0,"",R887/1+ROW()*0.00001)</f>
        <v/>
      </c>
      <c r="AL884" s="671">
        <f>B884</f>
        <v>0</v>
      </c>
      <c r="AM884" s="696"/>
      <c r="AN884" s="698">
        <v>191</v>
      </c>
      <c r="AO884" s="699" t="str">
        <f>IFERROR(LARGE($AK$10:$AK$1420,AN884),"")</f>
        <v/>
      </c>
      <c r="AP884" s="698" t="str">
        <f>VLOOKUP(AO884,$AK$10:$AL$1530,2,0)</f>
        <v>امجد عمر عبداللطيف سلطان</v>
      </c>
    </row>
    <row r="885" spans="1:42" ht="14.85" customHeight="1" x14ac:dyDescent="0.25">
      <c r="A885" s="611"/>
      <c r="B885" s="614"/>
      <c r="C885" s="617"/>
      <c r="D885" s="620"/>
      <c r="E885" s="130" t="s">
        <v>31</v>
      </c>
      <c r="F885" s="592">
        <f>IFERROR(VLOOKUP($B884,اسماء,16,0),0)</f>
        <v>0</v>
      </c>
      <c r="G885" s="593"/>
      <c r="H885" s="594">
        <f>IFERROR(VLOOKUP($B884,اسماء,17,0),0)</f>
        <v>0</v>
      </c>
      <c r="I885" s="595"/>
      <c r="J885" s="592">
        <f>IFERROR(VLOOKUP($B884,اسماء,18,0),0)</f>
        <v>0</v>
      </c>
      <c r="K885" s="593"/>
      <c r="L885" s="594">
        <f>IFERROR(VLOOKUP($B884,اسماء,19,0),0)</f>
        <v>0</v>
      </c>
      <c r="M885" s="596"/>
      <c r="N885" s="594">
        <f>IFERROR(VLOOKUP($B884,اسماء,20,0),0)</f>
        <v>0</v>
      </c>
      <c r="O885" s="596"/>
      <c r="P885" s="592">
        <f>IFERROR(VLOOKUP($B884,اسماء,21,0),0)</f>
        <v>0</v>
      </c>
      <c r="Q885" s="595"/>
      <c r="R885" s="372">
        <f t="shared" ref="R885:R886" si="2391">SUM(F885:Q885)</f>
        <v>0</v>
      </c>
      <c r="S885" s="305" t="str">
        <f>IFERROR(VLOOKUP($B884,اسماء,23,0),"")</f>
        <v/>
      </c>
      <c r="T885" s="306" t="str">
        <f>IFERROR(VLOOKUP($B884,اسماء,24,0),"")</f>
        <v/>
      </c>
      <c r="U885" s="122" t="str">
        <f>IFERROR(VLOOKUP($B884,اسماء,25,0),"")</f>
        <v/>
      </c>
      <c r="V885" s="605"/>
      <c r="W885" s="19" t="str">
        <f t="shared" si="2389"/>
        <v>ضعيف</v>
      </c>
      <c r="X885" s="640"/>
      <c r="Y885" s="68"/>
      <c r="Z885" s="598"/>
      <c r="AK885" s="671"/>
      <c r="AL885" s="671"/>
      <c r="AM885" s="696"/>
      <c r="AN885" s="698"/>
      <c r="AO885" s="699"/>
      <c r="AP885" s="698"/>
    </row>
    <row r="886" spans="1:42" ht="14.85" customHeight="1" x14ac:dyDescent="0.25">
      <c r="A886" s="611"/>
      <c r="B886" s="614"/>
      <c r="C886" s="617"/>
      <c r="D886" s="620"/>
      <c r="E886" s="130" t="s">
        <v>32</v>
      </c>
      <c r="F886" s="592">
        <f>IFERROR(VLOOKUP($B884,اسماء,27,0),0)</f>
        <v>0</v>
      </c>
      <c r="G886" s="593"/>
      <c r="H886" s="594">
        <f>IFERROR(VLOOKUP($B884,اسماء,28,0),0)</f>
        <v>0</v>
      </c>
      <c r="I886" s="595"/>
      <c r="J886" s="592">
        <f>IFERROR(VLOOKUP($B884,اسماء,29,0),0)</f>
        <v>0</v>
      </c>
      <c r="K886" s="593"/>
      <c r="L886" s="594">
        <f>IFERROR(VLOOKUP($B884,اسماء,30,0),0)</f>
        <v>0</v>
      </c>
      <c r="M886" s="596"/>
      <c r="N886" s="594">
        <f>IFERROR(VLOOKUP($B884,اسماء,31,0),0)</f>
        <v>0</v>
      </c>
      <c r="O886" s="596"/>
      <c r="P886" s="592">
        <f>IFERROR(VLOOKUP($B884,اسماء,32,0),0)</f>
        <v>0</v>
      </c>
      <c r="Q886" s="595"/>
      <c r="R886" s="372">
        <f t="shared" si="2391"/>
        <v>0</v>
      </c>
      <c r="S886" s="305" t="str">
        <f>IFERROR(VLOOKUP($B884,اسماء,34,0),"")</f>
        <v/>
      </c>
      <c r="T886" s="306" t="str">
        <f>IFERROR(VLOOKUP($B884,اسماء,35,0),"")</f>
        <v/>
      </c>
      <c r="U886" s="122" t="str">
        <f>IFERROR(VLOOKUP($B884,اسماء,36,0),"")</f>
        <v/>
      </c>
      <c r="V886" s="605"/>
      <c r="W886" s="20" t="str">
        <f t="shared" ref="W886" si="2392">LOOKUP(R886,$AF$6:$AG$10)</f>
        <v>ضعيف</v>
      </c>
      <c r="X886" s="640"/>
      <c r="Y886" s="68"/>
      <c r="Z886" s="598"/>
      <c r="AK886" s="671"/>
      <c r="AL886" s="671"/>
      <c r="AM886" s="696"/>
      <c r="AN886" s="698"/>
      <c r="AO886" s="699"/>
      <c r="AP886" s="698"/>
    </row>
    <row r="887" spans="1:42" ht="14.85" customHeight="1" thickBot="1" x14ac:dyDescent="0.3">
      <c r="A887" s="612"/>
      <c r="B887" s="615"/>
      <c r="C887" s="618"/>
      <c r="D887" s="621"/>
      <c r="E887" s="124" t="s">
        <v>33</v>
      </c>
      <c r="F887" s="623">
        <f>SUM(F884:G886)</f>
        <v>0</v>
      </c>
      <c r="G887" s="624"/>
      <c r="H887" s="625">
        <f>SUM(H884:I886)</f>
        <v>0</v>
      </c>
      <c r="I887" s="626"/>
      <c r="J887" s="623">
        <f>SUM(J884:K886)</f>
        <v>0</v>
      </c>
      <c r="K887" s="624"/>
      <c r="L887" s="625">
        <f>SUM(L884:M886)</f>
        <v>0</v>
      </c>
      <c r="M887" s="642"/>
      <c r="N887" s="625">
        <f>SUM(N884:O886)</f>
        <v>0</v>
      </c>
      <c r="O887" s="642"/>
      <c r="P887" s="623">
        <f>SUM(P884:Q886)</f>
        <v>0</v>
      </c>
      <c r="Q887" s="626"/>
      <c r="R887" s="88">
        <f>IF(AND(F887&gt;=$G$8,H887&gt;=$I$8,J887&gt;=$K$8,L887&gt;=$M$8,N887&gt;=$O$8,P887&gt;=$Q$8),SUM(F887:Q887),0)</f>
        <v>0</v>
      </c>
      <c r="S887" s="251"/>
      <c r="T887" s="97"/>
      <c r="U887" s="94"/>
      <c r="V887" s="606"/>
      <c r="W887" s="88" t="str">
        <f t="shared" ref="W887" si="2393">LOOKUP(R887,$AI$6:$AJ$10)</f>
        <v>ضعيف</v>
      </c>
      <c r="X887" s="641"/>
      <c r="Y887" s="8"/>
      <c r="Z887" s="599"/>
      <c r="AK887" s="671"/>
      <c r="AL887" s="671"/>
      <c r="AM887" s="696"/>
      <c r="AN887" s="698"/>
      <c r="AO887" s="699"/>
      <c r="AP887" s="698"/>
    </row>
    <row r="888" spans="1:42" ht="14.85" customHeight="1" thickBot="1" x14ac:dyDescent="0.3">
      <c r="A888" s="610">
        <v>192</v>
      </c>
      <c r="B888" s="613">
        <f>VLOOKUP(A888,مسلسل,2,0)</f>
        <v>0</v>
      </c>
      <c r="C888" s="616" t="str">
        <f>IFERROR(VLOOKUP(B888,اسماء,2,0),"")</f>
        <v/>
      </c>
      <c r="D888" s="619" t="str">
        <f>IFERROR(VLOOKUP($B888,اسماء,3,0),"")</f>
        <v/>
      </c>
      <c r="E888" s="129" t="s">
        <v>30</v>
      </c>
      <c r="F888" s="600">
        <f>IFERROR(VLOOKUP($B888,اسماء,5,0),0)</f>
        <v>0</v>
      </c>
      <c r="G888" s="601"/>
      <c r="H888" s="602">
        <f>IFERROR(VLOOKUP($B888,اسماء,6,0),0)</f>
        <v>0</v>
      </c>
      <c r="I888" s="622"/>
      <c r="J888" s="600">
        <f>IFERROR(VLOOKUP($B888,اسماء,7,0),0)</f>
        <v>0</v>
      </c>
      <c r="K888" s="601"/>
      <c r="L888" s="602">
        <f>IFERROR(VLOOKUP($B888,اسماء,8,0),0)</f>
        <v>0</v>
      </c>
      <c r="M888" s="603"/>
      <c r="N888" s="602">
        <f>IFERROR(VLOOKUP($B888,اسماء,9,0),0)</f>
        <v>0</v>
      </c>
      <c r="O888" s="603"/>
      <c r="P888" s="600">
        <f>IFERROR(VLOOKUP($B888,اسماء,10,0),0)</f>
        <v>0</v>
      </c>
      <c r="Q888" s="622"/>
      <c r="R888" s="371">
        <f t="shared" ref="R888:R922" si="2394">SUM(F888:Q888)</f>
        <v>0</v>
      </c>
      <c r="S888" s="213" t="str">
        <f>IFERROR(VLOOKUP($B888,اسماء,12,0),"")</f>
        <v/>
      </c>
      <c r="T888" s="214" t="str">
        <f>IFERROR(VLOOKUP($B888,اسماء,13,0),"")</f>
        <v/>
      </c>
      <c r="U888" s="364" t="str">
        <f>IFERROR(VLOOKUP($B888,اسماء,14,0),"")</f>
        <v/>
      </c>
      <c r="V888" s="604" t="str">
        <f t="shared" ref="V888" si="2395">IF(Z888="غائب","راسب",IF(R891&gt;0,"ناجح","مرحل"))</f>
        <v>مرحل</v>
      </c>
      <c r="W888" s="19" t="str">
        <f t="shared" ref="W888:W889" si="2396">LOOKUP(R888,$AC$6:$AD$10)</f>
        <v>ضعيف</v>
      </c>
      <c r="X888" s="639">
        <f t="shared" ref="X888" si="2397">R891/$AC$3</f>
        <v>0</v>
      </c>
      <c r="Y888" s="68"/>
      <c r="Z888" s="597" t="str">
        <f>IFERROR(VLOOKUP($B888,اسماء,48,0),"")</f>
        <v/>
      </c>
      <c r="AK888" s="667" t="str">
        <f t="shared" ref="AK888" si="2398">IF(R891=0,"",R891/1+ROW()*0.00001)</f>
        <v/>
      </c>
      <c r="AL888" s="667">
        <f>B888</f>
        <v>0</v>
      </c>
      <c r="AM888" s="696"/>
      <c r="AN888" s="698">
        <v>192</v>
      </c>
      <c r="AO888" s="699" t="str">
        <f>IFERROR(LARGE($AK$10:$AK$1420,AN888),"")</f>
        <v/>
      </c>
      <c r="AP888" s="698" t="str">
        <f>VLOOKUP(AO888,$AK$10:$AL$1530,2,0)</f>
        <v>امجد عمر عبداللطيف سلطان</v>
      </c>
    </row>
    <row r="889" spans="1:42" ht="14.85" customHeight="1" x14ac:dyDescent="0.25">
      <c r="A889" s="611"/>
      <c r="B889" s="614"/>
      <c r="C889" s="617"/>
      <c r="D889" s="620"/>
      <c r="E889" s="130" t="s">
        <v>31</v>
      </c>
      <c r="F889" s="592">
        <f>IFERROR(VLOOKUP($B888,اسماء,15,0),0)</f>
        <v>0</v>
      </c>
      <c r="G889" s="593"/>
      <c r="H889" s="594">
        <f>IFERROR(VLOOKUP($B888,اسماء,16,0),0)</f>
        <v>0</v>
      </c>
      <c r="I889" s="595"/>
      <c r="J889" s="592">
        <f>IFERROR(VLOOKUP($B888,اسماء,17,0),0)</f>
        <v>0</v>
      </c>
      <c r="K889" s="593"/>
      <c r="L889" s="594">
        <f>IFERROR(VLOOKUP($B888,اسماء,18,0),0)</f>
        <v>0</v>
      </c>
      <c r="M889" s="596"/>
      <c r="N889" s="594">
        <f>IFERROR(VLOOKUP($B888,اسماء,19,0),0)</f>
        <v>0</v>
      </c>
      <c r="O889" s="596"/>
      <c r="P889" s="592">
        <f>IFERROR(VLOOKUP($B888,اسماء,20,0),0)</f>
        <v>0</v>
      </c>
      <c r="Q889" s="595"/>
      <c r="R889" s="372">
        <f t="shared" si="2394"/>
        <v>0</v>
      </c>
      <c r="S889" s="305" t="str">
        <f>IFERROR(VLOOKUP($B888,اسماء,23,0),"")</f>
        <v/>
      </c>
      <c r="T889" s="306" t="str">
        <f>IFERROR(VLOOKUP($B888,اسماء,24,0),"")</f>
        <v/>
      </c>
      <c r="U889" s="122" t="str">
        <f>IFERROR(VLOOKUP($B888,اسماء,25,0),"")</f>
        <v/>
      </c>
      <c r="V889" s="605"/>
      <c r="W889" s="19" t="str">
        <f t="shared" si="2396"/>
        <v>ضعيف</v>
      </c>
      <c r="X889" s="640"/>
      <c r="Y889" s="68"/>
      <c r="Z889" s="598"/>
      <c r="AK889" s="667"/>
      <c r="AL889" s="667"/>
      <c r="AM889" s="696"/>
      <c r="AN889" s="698"/>
      <c r="AO889" s="699"/>
      <c r="AP889" s="698"/>
    </row>
    <row r="890" spans="1:42" ht="14.85" customHeight="1" x14ac:dyDescent="0.25">
      <c r="A890" s="611"/>
      <c r="B890" s="614"/>
      <c r="C890" s="617"/>
      <c r="D890" s="620"/>
      <c r="E890" s="130" t="s">
        <v>32</v>
      </c>
      <c r="F890" s="592">
        <f>IFERROR(VLOOKUP($B888,اسماء,25,0),0)</f>
        <v>0</v>
      </c>
      <c r="G890" s="593"/>
      <c r="H890" s="594">
        <f>IFERROR(VLOOKUP($B888,اسماء,26,0),0)</f>
        <v>0</v>
      </c>
      <c r="I890" s="595"/>
      <c r="J890" s="592">
        <f>IFERROR(VLOOKUP($B888,اسماء,27,0),0)</f>
        <v>0</v>
      </c>
      <c r="K890" s="593"/>
      <c r="L890" s="594">
        <f>IFERROR(VLOOKUP($B888,اسماء,28,0),0)</f>
        <v>0</v>
      </c>
      <c r="M890" s="596"/>
      <c r="N890" s="594">
        <f>IFERROR(VLOOKUP($B888,اسماء,29,0),0)</f>
        <v>0</v>
      </c>
      <c r="O890" s="596"/>
      <c r="P890" s="592">
        <f>IFERROR(VLOOKUP($B888,اسماء,30,0),0)</f>
        <v>0</v>
      </c>
      <c r="Q890" s="595"/>
      <c r="R890" s="372">
        <f t="shared" si="2394"/>
        <v>0</v>
      </c>
      <c r="S890" s="305" t="str">
        <f>IFERROR(VLOOKUP($B888,اسماء,34,0),"")</f>
        <v/>
      </c>
      <c r="T890" s="306" t="str">
        <f>IFERROR(VLOOKUP($B888,اسماء,35,0),"")</f>
        <v/>
      </c>
      <c r="U890" s="122" t="str">
        <f>IFERROR(VLOOKUP($B888,اسماء,36,0),"")</f>
        <v/>
      </c>
      <c r="V890" s="605"/>
      <c r="W890" s="20" t="str">
        <f t="shared" ref="W890" si="2399">LOOKUP(R890,$AF$6:$AG$10)</f>
        <v>ضعيف</v>
      </c>
      <c r="X890" s="640"/>
      <c r="Y890" s="8"/>
      <c r="Z890" s="598"/>
      <c r="AK890" s="667"/>
      <c r="AL890" s="667"/>
      <c r="AM890" s="696"/>
      <c r="AN890" s="698"/>
      <c r="AO890" s="699"/>
      <c r="AP890" s="698"/>
    </row>
    <row r="891" spans="1:42" ht="14.85" customHeight="1" thickBot="1" x14ac:dyDescent="0.3">
      <c r="A891" s="612"/>
      <c r="B891" s="615"/>
      <c r="C891" s="618"/>
      <c r="D891" s="621"/>
      <c r="E891" s="124" t="s">
        <v>33</v>
      </c>
      <c r="F891" s="623">
        <f>SUM(F888:G890)</f>
        <v>0</v>
      </c>
      <c r="G891" s="624"/>
      <c r="H891" s="625">
        <f>SUM(H888:I890)</f>
        <v>0</v>
      </c>
      <c r="I891" s="626"/>
      <c r="J891" s="623">
        <f>SUM(J888:K890)</f>
        <v>0</v>
      </c>
      <c r="K891" s="624"/>
      <c r="L891" s="625">
        <f>SUM(L888:M890)</f>
        <v>0</v>
      </c>
      <c r="M891" s="642"/>
      <c r="N891" s="625">
        <f>SUM(N888:O890)</f>
        <v>0</v>
      </c>
      <c r="O891" s="642"/>
      <c r="P891" s="623">
        <f>SUM(P888:Q890)</f>
        <v>0</v>
      </c>
      <c r="Q891" s="626"/>
      <c r="R891" s="88">
        <f t="shared" ref="R891" si="2400">IF(AND(F891&gt;=$G$8,H891&gt;=$I$8,J891&gt;=$K$8,L891&gt;=$M$8,N891&gt;=$O$8,P891&gt;=$Q$8),SUM(F891:Q891),0)</f>
        <v>0</v>
      </c>
      <c r="S891" s="251"/>
      <c r="T891" s="97"/>
      <c r="U891" s="94"/>
      <c r="V891" s="606"/>
      <c r="W891" s="88" t="str">
        <f t="shared" ref="W891" si="2401">LOOKUP(R891,$AI$6:$AJ$10)</f>
        <v>ضعيف</v>
      </c>
      <c r="X891" s="641"/>
      <c r="Y891" s="68"/>
      <c r="Z891" s="599"/>
      <c r="AK891" s="667"/>
      <c r="AL891" s="667"/>
      <c r="AM891" s="696"/>
      <c r="AN891" s="698"/>
      <c r="AO891" s="699"/>
      <c r="AP891" s="698"/>
    </row>
    <row r="892" spans="1:42" ht="14.85" customHeight="1" thickBot="1" x14ac:dyDescent="0.3">
      <c r="A892" s="610">
        <v>193</v>
      </c>
      <c r="B892" s="613">
        <f>VLOOKUP(A892,مسلسل,2,0)</f>
        <v>0</v>
      </c>
      <c r="C892" s="616" t="str">
        <f>IFERROR(VLOOKUP(B892,اسماء,2,0),"")</f>
        <v/>
      </c>
      <c r="D892" s="619" t="str">
        <f>IFERROR(VLOOKUP($B892,اسماء,3,0),"")</f>
        <v/>
      </c>
      <c r="E892" s="129" t="s">
        <v>30</v>
      </c>
      <c r="F892" s="600">
        <f>IFERROR(VLOOKUP($B892,اسماء,5,0),0)</f>
        <v>0</v>
      </c>
      <c r="G892" s="601"/>
      <c r="H892" s="602">
        <f>IFERROR(VLOOKUP($B892,اسماء,6,0),0)</f>
        <v>0</v>
      </c>
      <c r="I892" s="622"/>
      <c r="J892" s="600">
        <f>IFERROR(VLOOKUP($B892,اسماء,7,0),0)</f>
        <v>0</v>
      </c>
      <c r="K892" s="601"/>
      <c r="L892" s="602">
        <f>IFERROR(VLOOKUP($B892,اسماء,8,0),0)</f>
        <v>0</v>
      </c>
      <c r="M892" s="603"/>
      <c r="N892" s="602">
        <f>IFERROR(VLOOKUP($B892,اسماء,9,0),0)</f>
        <v>0</v>
      </c>
      <c r="O892" s="603"/>
      <c r="P892" s="600">
        <f>IFERROR(VLOOKUP($B892,اسماء,10,0),0)</f>
        <v>0</v>
      </c>
      <c r="Q892" s="622"/>
      <c r="R892" s="371">
        <f t="shared" ref="R892" si="2402">SUM(F892:Q892)</f>
        <v>0</v>
      </c>
      <c r="S892" s="213" t="str">
        <f>IFERROR(VLOOKUP($B892,اسماء,12,0),"")</f>
        <v/>
      </c>
      <c r="T892" s="214" t="str">
        <f>IFERROR(VLOOKUP($B892,اسماء,13,0),"")</f>
        <v/>
      </c>
      <c r="U892" s="364" t="str">
        <f>IFERROR(VLOOKUP($B892,اسماء,14,0),"")</f>
        <v/>
      </c>
      <c r="V892" s="604" t="str">
        <f t="shared" ref="V892" si="2403">IF(Z892="غائب","راسب",IF(R895&gt;0,"ناجح","مرحل"))</f>
        <v>مرحل</v>
      </c>
      <c r="W892" s="19" t="str">
        <f t="shared" ref="W892:W893" si="2404">LOOKUP(R892,$AC$6:$AD$10)</f>
        <v>ضعيف</v>
      </c>
      <c r="X892" s="639">
        <f t="shared" ref="X892" si="2405">R895/$AC$3</f>
        <v>0</v>
      </c>
      <c r="Y892" s="68"/>
      <c r="Z892" s="597" t="str">
        <f>IFERROR(VLOOKUP($B892,اسماء,48,0),"")</f>
        <v/>
      </c>
      <c r="AK892" s="667" t="str">
        <f t="shared" ref="AK892" si="2406">IF(R895=0,"",R895/1+ROW()*0.00001)</f>
        <v/>
      </c>
      <c r="AL892" s="667">
        <f>B892</f>
        <v>0</v>
      </c>
      <c r="AM892" s="696"/>
      <c r="AN892" s="698">
        <v>193</v>
      </c>
      <c r="AO892" s="699" t="str">
        <f>IFERROR(LARGE($AK$10:$AK$1420,AN892),"")</f>
        <v/>
      </c>
      <c r="AP892" s="698" t="str">
        <f>VLOOKUP(AO892,$AK$10:$AL$1530,2,0)</f>
        <v>امجد عمر عبداللطيف سلطان</v>
      </c>
    </row>
    <row r="893" spans="1:42" ht="14.85" customHeight="1" x14ac:dyDescent="0.25">
      <c r="A893" s="611"/>
      <c r="B893" s="614"/>
      <c r="C893" s="617"/>
      <c r="D893" s="620"/>
      <c r="E893" s="130" t="s">
        <v>31</v>
      </c>
      <c r="F893" s="592">
        <f>IFERROR(VLOOKUP($B892,اسماء,15,0),0)</f>
        <v>0</v>
      </c>
      <c r="G893" s="593"/>
      <c r="H893" s="594">
        <f>IFERROR(VLOOKUP($B892,اسماء,16,0),0)</f>
        <v>0</v>
      </c>
      <c r="I893" s="595"/>
      <c r="J893" s="592">
        <f>IFERROR(VLOOKUP($B892,اسماء,17,0),0)</f>
        <v>0</v>
      </c>
      <c r="K893" s="593"/>
      <c r="L893" s="594">
        <f>IFERROR(VLOOKUP($B892,اسماء,18,0),0)</f>
        <v>0</v>
      </c>
      <c r="M893" s="596"/>
      <c r="N893" s="594">
        <f>IFERROR(VLOOKUP($B892,اسماء,19,0),0)</f>
        <v>0</v>
      </c>
      <c r="O893" s="596"/>
      <c r="P893" s="592">
        <f>IFERROR(VLOOKUP($B892,اسماء,20,0),0)</f>
        <v>0</v>
      </c>
      <c r="Q893" s="595"/>
      <c r="R893" s="372">
        <f t="shared" si="2394"/>
        <v>0</v>
      </c>
      <c r="S893" s="305" t="str">
        <f>IFERROR(VLOOKUP($B892,اسماء,23,0),"")</f>
        <v/>
      </c>
      <c r="T893" s="306" t="str">
        <f>IFERROR(VLOOKUP($B892,اسماء,24,0),"")</f>
        <v/>
      </c>
      <c r="U893" s="122" t="str">
        <f>IFERROR(VLOOKUP($B892,اسماء,25,0),"")</f>
        <v/>
      </c>
      <c r="V893" s="605"/>
      <c r="W893" s="19" t="str">
        <f t="shared" si="2404"/>
        <v>ضعيف</v>
      </c>
      <c r="X893" s="640"/>
      <c r="Y893" s="8"/>
      <c r="Z893" s="598"/>
      <c r="AK893" s="667"/>
      <c r="AL893" s="667"/>
      <c r="AM893" s="696"/>
      <c r="AN893" s="698"/>
      <c r="AO893" s="699"/>
      <c r="AP893" s="698"/>
    </row>
    <row r="894" spans="1:42" ht="14.85" customHeight="1" x14ac:dyDescent="0.25">
      <c r="A894" s="611"/>
      <c r="B894" s="614"/>
      <c r="C894" s="617"/>
      <c r="D894" s="620"/>
      <c r="E894" s="130" t="s">
        <v>32</v>
      </c>
      <c r="F894" s="592">
        <f>IFERROR(VLOOKUP($B892,اسماء,25,0),0)</f>
        <v>0</v>
      </c>
      <c r="G894" s="593"/>
      <c r="H894" s="594">
        <f>IFERROR(VLOOKUP($B892,اسماء,26,0),0)</f>
        <v>0</v>
      </c>
      <c r="I894" s="595"/>
      <c r="J894" s="592">
        <f>IFERROR(VLOOKUP($B892,اسماء,27,0),0)</f>
        <v>0</v>
      </c>
      <c r="K894" s="593"/>
      <c r="L894" s="594">
        <f>IFERROR(VLOOKUP($B892,اسماء,28,0),0)</f>
        <v>0</v>
      </c>
      <c r="M894" s="596"/>
      <c r="N894" s="594">
        <f>IFERROR(VLOOKUP($B892,اسماء,29,0),0)</f>
        <v>0</v>
      </c>
      <c r="O894" s="596"/>
      <c r="P894" s="592">
        <f>IFERROR(VLOOKUP($B892,اسماء,30,0),0)</f>
        <v>0</v>
      </c>
      <c r="Q894" s="595"/>
      <c r="R894" s="372">
        <f t="shared" si="2394"/>
        <v>0</v>
      </c>
      <c r="S894" s="305" t="str">
        <f>IFERROR(VLOOKUP($B892,اسماء,34,0),"")</f>
        <v/>
      </c>
      <c r="T894" s="306" t="str">
        <f>IFERROR(VLOOKUP($B892,اسماء,35,0),"")</f>
        <v/>
      </c>
      <c r="U894" s="122" t="str">
        <f>IFERROR(VLOOKUP($B892,اسماء,36,0),"")</f>
        <v/>
      </c>
      <c r="V894" s="605"/>
      <c r="W894" s="20" t="str">
        <f t="shared" ref="W894" si="2407">LOOKUP(R894,$AF$6:$AG$10)</f>
        <v>ضعيف</v>
      </c>
      <c r="X894" s="640"/>
      <c r="Y894" s="68"/>
      <c r="Z894" s="598"/>
      <c r="AK894" s="667"/>
      <c r="AL894" s="667"/>
      <c r="AM894" s="696"/>
      <c r="AN894" s="698"/>
      <c r="AO894" s="699"/>
      <c r="AP894" s="698"/>
    </row>
    <row r="895" spans="1:42" ht="14.85" customHeight="1" thickBot="1" x14ac:dyDescent="0.3">
      <c r="A895" s="612"/>
      <c r="B895" s="615"/>
      <c r="C895" s="618"/>
      <c r="D895" s="621"/>
      <c r="E895" s="124" t="s">
        <v>33</v>
      </c>
      <c r="F895" s="623">
        <f t="shared" ref="F895" si="2408">SUM(F892:G894)</f>
        <v>0</v>
      </c>
      <c r="G895" s="624"/>
      <c r="H895" s="625">
        <f t="shared" ref="H895" si="2409">SUM(H892:I894)</f>
        <v>0</v>
      </c>
      <c r="I895" s="626"/>
      <c r="J895" s="623">
        <f t="shared" ref="J895" si="2410">SUM(J892:K894)</f>
        <v>0</v>
      </c>
      <c r="K895" s="624"/>
      <c r="L895" s="625">
        <f t="shared" ref="L895" si="2411">SUM(L892:M894)</f>
        <v>0</v>
      </c>
      <c r="M895" s="642"/>
      <c r="N895" s="625">
        <f t="shared" ref="N895" si="2412">SUM(N892:O894)</f>
        <v>0</v>
      </c>
      <c r="O895" s="642"/>
      <c r="P895" s="623">
        <f t="shared" ref="P895" si="2413">SUM(P892:Q894)</f>
        <v>0</v>
      </c>
      <c r="Q895" s="626"/>
      <c r="R895" s="88">
        <f t="shared" ref="R895" si="2414">IF(AND(F895&gt;=$G$8,H895&gt;=$I$8,J895&gt;=$K$8,L895&gt;=$M$8,N895&gt;=$O$8,P895&gt;=$Q$8),SUM(F895:Q895),0)</f>
        <v>0</v>
      </c>
      <c r="S895" s="251"/>
      <c r="T895" s="97"/>
      <c r="U895" s="94"/>
      <c r="V895" s="606"/>
      <c r="W895" s="88" t="str">
        <f t="shared" ref="W895" si="2415">LOOKUP(R895,$AI$6:$AJ$10)</f>
        <v>ضعيف</v>
      </c>
      <c r="X895" s="641"/>
      <c r="Y895" s="68"/>
      <c r="Z895" s="599"/>
      <c r="AK895" s="667"/>
      <c r="AL895" s="667"/>
      <c r="AM895" s="696"/>
      <c r="AN895" s="698"/>
      <c r="AO895" s="699"/>
      <c r="AP895" s="698"/>
    </row>
    <row r="896" spans="1:42" ht="14.85" customHeight="1" thickBot="1" x14ac:dyDescent="0.3">
      <c r="A896" s="610">
        <v>194</v>
      </c>
      <c r="B896" s="613">
        <f>VLOOKUP(A896,مسلسل,2,0)</f>
        <v>0</v>
      </c>
      <c r="C896" s="616" t="str">
        <f>IFERROR(VLOOKUP(B896,اسماء,2,0),"")</f>
        <v/>
      </c>
      <c r="D896" s="619" t="str">
        <f>IFERROR(VLOOKUP($B896,اسماء,3,0),"")</f>
        <v/>
      </c>
      <c r="E896" s="129" t="s">
        <v>30</v>
      </c>
      <c r="F896" s="600">
        <f>IFERROR(VLOOKUP($B896,اسماء,5,0),0)</f>
        <v>0</v>
      </c>
      <c r="G896" s="601"/>
      <c r="H896" s="602">
        <f>IFERROR(VLOOKUP($B896,اسماء,6,0),0)</f>
        <v>0</v>
      </c>
      <c r="I896" s="622"/>
      <c r="J896" s="600">
        <f>IFERROR(VLOOKUP($B896,اسماء,7,0),0)</f>
        <v>0</v>
      </c>
      <c r="K896" s="601"/>
      <c r="L896" s="602">
        <f>IFERROR(VLOOKUP($B896,اسماء,8,0),0)</f>
        <v>0</v>
      </c>
      <c r="M896" s="603"/>
      <c r="N896" s="602">
        <f>IFERROR(VLOOKUP($B896,اسماء,9,0),0)</f>
        <v>0</v>
      </c>
      <c r="O896" s="603"/>
      <c r="P896" s="600">
        <f>IFERROR(VLOOKUP($B896,اسماء,10,0),0)</f>
        <v>0</v>
      </c>
      <c r="Q896" s="622"/>
      <c r="R896" s="371">
        <f t="shared" ref="R896" si="2416">SUM(F896:Q896)</f>
        <v>0</v>
      </c>
      <c r="S896" s="213" t="str">
        <f>IFERROR(VLOOKUP($B896,اسماء,12,0),"")</f>
        <v/>
      </c>
      <c r="T896" s="214" t="str">
        <f>IFERROR(VLOOKUP($B896,اسماء,13,0),"")</f>
        <v/>
      </c>
      <c r="U896" s="364" t="str">
        <f>IFERROR(VLOOKUP($B896,اسماء,14,0),"")</f>
        <v/>
      </c>
      <c r="V896" s="604" t="str">
        <f t="shared" ref="V896" si="2417">IF(Z896="غائب","راسب",IF(R899&gt;0,"ناجح","مرحل"))</f>
        <v>مرحل</v>
      </c>
      <c r="W896" s="19" t="str">
        <f t="shared" ref="W896:W897" si="2418">LOOKUP(R896,$AC$6:$AD$10)</f>
        <v>ضعيف</v>
      </c>
      <c r="X896" s="639">
        <f t="shared" ref="X896" si="2419">R899/$AC$3</f>
        <v>0</v>
      </c>
      <c r="Y896" s="8"/>
      <c r="Z896" s="597" t="str">
        <f>IFERROR(VLOOKUP($B896,اسماء,48,0),"")</f>
        <v/>
      </c>
      <c r="AK896" s="667" t="str">
        <f t="shared" ref="AK896" si="2420">IF(R899=0,"",R899/1+ROW()*0.00001)</f>
        <v/>
      </c>
      <c r="AL896" s="667">
        <f>B896</f>
        <v>0</v>
      </c>
      <c r="AM896" s="696"/>
      <c r="AN896" s="698">
        <v>194</v>
      </c>
      <c r="AO896" s="699" t="str">
        <f>IFERROR(LARGE($AK$10:$AK$1420,AN896),"")</f>
        <v/>
      </c>
      <c r="AP896" s="698" t="str">
        <f>VLOOKUP(AO896,$AK$10:$AL$1530,2,0)</f>
        <v>امجد عمر عبداللطيف سلطان</v>
      </c>
    </row>
    <row r="897" spans="1:42" ht="14.85" customHeight="1" x14ac:dyDescent="0.25">
      <c r="A897" s="611"/>
      <c r="B897" s="614"/>
      <c r="C897" s="617"/>
      <c r="D897" s="620"/>
      <c r="E897" s="130" t="s">
        <v>31</v>
      </c>
      <c r="F897" s="592">
        <f>IFERROR(VLOOKUP($B896,اسماء,15,0),0)</f>
        <v>0</v>
      </c>
      <c r="G897" s="593"/>
      <c r="H897" s="594">
        <f>IFERROR(VLOOKUP($B896,اسماء,16,0),0)</f>
        <v>0</v>
      </c>
      <c r="I897" s="595"/>
      <c r="J897" s="592">
        <f>IFERROR(VLOOKUP($B896,اسماء,17,0),0)</f>
        <v>0</v>
      </c>
      <c r="K897" s="593"/>
      <c r="L897" s="594">
        <f>IFERROR(VLOOKUP($B896,اسماء,18,0),0)</f>
        <v>0</v>
      </c>
      <c r="M897" s="596"/>
      <c r="N897" s="594">
        <f>IFERROR(VLOOKUP($B896,اسماء,19,0),0)</f>
        <v>0</v>
      </c>
      <c r="O897" s="596"/>
      <c r="P897" s="592">
        <f>IFERROR(VLOOKUP($B896,اسماء,20,0),0)</f>
        <v>0</v>
      </c>
      <c r="Q897" s="595"/>
      <c r="R897" s="372">
        <f t="shared" si="2394"/>
        <v>0</v>
      </c>
      <c r="S897" s="305" t="str">
        <f>IFERROR(VLOOKUP($B896,اسماء,23,0),"")</f>
        <v/>
      </c>
      <c r="T897" s="306" t="str">
        <f>IFERROR(VLOOKUP($B896,اسماء,24,0),"")</f>
        <v/>
      </c>
      <c r="U897" s="122" t="str">
        <f>IFERROR(VLOOKUP($B896,اسماء,25,0),"")</f>
        <v/>
      </c>
      <c r="V897" s="605"/>
      <c r="W897" s="19" t="str">
        <f t="shared" si="2418"/>
        <v>ضعيف</v>
      </c>
      <c r="X897" s="640"/>
      <c r="Y897" s="68"/>
      <c r="Z897" s="598"/>
      <c r="AK897" s="667"/>
      <c r="AL897" s="667"/>
      <c r="AM897" s="696"/>
      <c r="AN897" s="698"/>
      <c r="AO897" s="699"/>
      <c r="AP897" s="698"/>
    </row>
    <row r="898" spans="1:42" ht="14.85" customHeight="1" x14ac:dyDescent="0.25">
      <c r="A898" s="611"/>
      <c r="B898" s="614"/>
      <c r="C898" s="617"/>
      <c r="D898" s="620"/>
      <c r="E898" s="130" t="s">
        <v>32</v>
      </c>
      <c r="F898" s="592">
        <f>IFERROR(VLOOKUP($B896,اسماء,25,0),0)</f>
        <v>0</v>
      </c>
      <c r="G898" s="593"/>
      <c r="H898" s="594">
        <f>IFERROR(VLOOKUP($B896,اسماء,26,0),0)</f>
        <v>0</v>
      </c>
      <c r="I898" s="595"/>
      <c r="J898" s="592">
        <f>IFERROR(VLOOKUP($B896,اسماء,27,0),0)</f>
        <v>0</v>
      </c>
      <c r="K898" s="593"/>
      <c r="L898" s="594">
        <f>IFERROR(VLOOKUP($B896,اسماء,28,0),0)</f>
        <v>0</v>
      </c>
      <c r="M898" s="596"/>
      <c r="N898" s="594">
        <f>IFERROR(VLOOKUP($B896,اسماء,29,0),0)</f>
        <v>0</v>
      </c>
      <c r="O898" s="596"/>
      <c r="P898" s="592">
        <f>IFERROR(VLOOKUP($B896,اسماء,30,0),0)</f>
        <v>0</v>
      </c>
      <c r="Q898" s="595"/>
      <c r="R898" s="372">
        <f t="shared" si="2394"/>
        <v>0</v>
      </c>
      <c r="S898" s="305" t="str">
        <f>IFERROR(VLOOKUP($B896,اسماء,34,0),"")</f>
        <v/>
      </c>
      <c r="T898" s="306" t="str">
        <f>IFERROR(VLOOKUP($B896,اسماء,35,0),"")</f>
        <v/>
      </c>
      <c r="U898" s="122" t="str">
        <f>IFERROR(VLOOKUP($B896,اسماء,36,0),"")</f>
        <v/>
      </c>
      <c r="V898" s="605"/>
      <c r="W898" s="20" t="str">
        <f t="shared" ref="W898" si="2421">LOOKUP(R898,$AF$6:$AG$10)</f>
        <v>ضعيف</v>
      </c>
      <c r="X898" s="640"/>
      <c r="Y898" s="68"/>
      <c r="Z898" s="598"/>
      <c r="AK898" s="667"/>
      <c r="AL898" s="667"/>
      <c r="AM898" s="696"/>
      <c r="AN898" s="698"/>
      <c r="AO898" s="699"/>
      <c r="AP898" s="698"/>
    </row>
    <row r="899" spans="1:42" ht="14.85" customHeight="1" thickBot="1" x14ac:dyDescent="0.3">
      <c r="A899" s="612"/>
      <c r="B899" s="615"/>
      <c r="C899" s="618"/>
      <c r="D899" s="621"/>
      <c r="E899" s="124" t="s">
        <v>33</v>
      </c>
      <c r="F899" s="623">
        <f t="shared" ref="F899" si="2422">SUM(F896:G898)</f>
        <v>0</v>
      </c>
      <c r="G899" s="624"/>
      <c r="H899" s="625">
        <f t="shared" ref="H899" si="2423">SUM(H896:I898)</f>
        <v>0</v>
      </c>
      <c r="I899" s="626"/>
      <c r="J899" s="623">
        <f t="shared" ref="J899" si="2424">SUM(J896:K898)</f>
        <v>0</v>
      </c>
      <c r="K899" s="624"/>
      <c r="L899" s="625">
        <f t="shared" ref="L899" si="2425">SUM(L896:M898)</f>
        <v>0</v>
      </c>
      <c r="M899" s="642"/>
      <c r="N899" s="625">
        <f t="shared" ref="N899" si="2426">SUM(N896:O898)</f>
        <v>0</v>
      </c>
      <c r="O899" s="642"/>
      <c r="P899" s="623">
        <f t="shared" ref="P899" si="2427">SUM(P896:Q898)</f>
        <v>0</v>
      </c>
      <c r="Q899" s="626"/>
      <c r="R899" s="88">
        <f t="shared" ref="R899" si="2428">IF(AND(F899&gt;=$G$8,H899&gt;=$I$8,J899&gt;=$K$8,L899&gt;=$M$8,N899&gt;=$O$8,P899&gt;=$Q$8),SUM(F899:Q899),0)</f>
        <v>0</v>
      </c>
      <c r="S899" s="251"/>
      <c r="T899" s="97"/>
      <c r="U899" s="94"/>
      <c r="V899" s="606"/>
      <c r="W899" s="88" t="str">
        <f t="shared" ref="W899" si="2429">LOOKUP(R899,$AI$6:$AJ$10)</f>
        <v>ضعيف</v>
      </c>
      <c r="X899" s="641"/>
      <c r="Y899" s="8"/>
      <c r="Z899" s="599"/>
      <c r="AK899" s="667"/>
      <c r="AL899" s="667"/>
      <c r="AM899" s="696"/>
      <c r="AN899" s="698"/>
      <c r="AO899" s="699"/>
      <c r="AP899" s="698"/>
    </row>
    <row r="900" spans="1:42" ht="14.85" customHeight="1" thickBot="1" x14ac:dyDescent="0.3">
      <c r="A900" s="610">
        <v>195</v>
      </c>
      <c r="B900" s="613">
        <f>VLOOKUP(A900,مسلسل,2,0)</f>
        <v>0</v>
      </c>
      <c r="C900" s="616" t="str">
        <f>IFERROR(VLOOKUP(B900,اسماء,2,0),"")</f>
        <v/>
      </c>
      <c r="D900" s="619" t="str">
        <f>IFERROR(VLOOKUP($B900,اسماء,3,0),"")</f>
        <v/>
      </c>
      <c r="E900" s="129" t="s">
        <v>30</v>
      </c>
      <c r="F900" s="600">
        <f>IFERROR(VLOOKUP($B900,اسماء,5,0),0)</f>
        <v>0</v>
      </c>
      <c r="G900" s="601"/>
      <c r="H900" s="602">
        <f>IFERROR(VLOOKUP($B900,اسماء,6,0),0)</f>
        <v>0</v>
      </c>
      <c r="I900" s="622"/>
      <c r="J900" s="600">
        <f>IFERROR(VLOOKUP($B900,اسماء,7,0),0)</f>
        <v>0</v>
      </c>
      <c r="K900" s="601"/>
      <c r="L900" s="602">
        <f>IFERROR(VLOOKUP($B900,اسماء,8,0),0)</f>
        <v>0</v>
      </c>
      <c r="M900" s="603"/>
      <c r="N900" s="602">
        <f>IFERROR(VLOOKUP($B900,اسماء,9,0),0)</f>
        <v>0</v>
      </c>
      <c r="O900" s="603"/>
      <c r="P900" s="600">
        <f>IFERROR(VLOOKUP($B900,اسماء,10,0),0)</f>
        <v>0</v>
      </c>
      <c r="Q900" s="622"/>
      <c r="R900" s="371">
        <f t="shared" ref="R900" si="2430">SUM(F900:Q900)</f>
        <v>0</v>
      </c>
      <c r="S900" s="213" t="str">
        <f>IFERROR(VLOOKUP($B900,اسماء,12,0),"")</f>
        <v/>
      </c>
      <c r="T900" s="214" t="str">
        <f>IFERROR(VLOOKUP($B900,اسماء,13,0),"")</f>
        <v/>
      </c>
      <c r="U900" s="364" t="str">
        <f>IFERROR(VLOOKUP($B900,اسماء,14,0),"")</f>
        <v/>
      </c>
      <c r="V900" s="604" t="str">
        <f t="shared" ref="V900" si="2431">IF(Z900="غائب","راسب",IF(R903&gt;0,"ناجح","مرحل"))</f>
        <v>مرحل</v>
      </c>
      <c r="W900" s="19" t="str">
        <f t="shared" ref="W900:W901" si="2432">LOOKUP(R900,$AC$6:$AD$10)</f>
        <v>ضعيف</v>
      </c>
      <c r="X900" s="639">
        <f t="shared" ref="X900" si="2433">R903/$AC$3</f>
        <v>0</v>
      </c>
      <c r="Y900" s="68"/>
      <c r="Z900" s="597" t="str">
        <f>IFERROR(VLOOKUP($B900,اسماء,48,0),"")</f>
        <v/>
      </c>
      <c r="AK900" s="667" t="str">
        <f t="shared" ref="AK900" si="2434">IF(R903=0,"",R903/1+ROW()*0.00001)</f>
        <v/>
      </c>
      <c r="AL900" s="667">
        <f>B900</f>
        <v>0</v>
      </c>
      <c r="AM900" s="696"/>
      <c r="AN900" s="698">
        <v>195</v>
      </c>
      <c r="AO900" s="699" t="str">
        <f>IFERROR(LARGE($AK$10:$AK$1420,AN900),"")</f>
        <v/>
      </c>
      <c r="AP900" s="698" t="str">
        <f>VLOOKUP(AO900,$AK$10:$AL$1530,2,0)</f>
        <v>امجد عمر عبداللطيف سلطان</v>
      </c>
    </row>
    <row r="901" spans="1:42" ht="14.85" customHeight="1" x14ac:dyDescent="0.25">
      <c r="A901" s="611"/>
      <c r="B901" s="614"/>
      <c r="C901" s="617"/>
      <c r="D901" s="620"/>
      <c r="E901" s="130" t="s">
        <v>31</v>
      </c>
      <c r="F901" s="592">
        <f>IFERROR(VLOOKUP($B900,اسماء,15,0),0)</f>
        <v>0</v>
      </c>
      <c r="G901" s="593"/>
      <c r="H901" s="594">
        <f>IFERROR(VLOOKUP($B900,اسماء,16,0),0)</f>
        <v>0</v>
      </c>
      <c r="I901" s="595"/>
      <c r="J901" s="592">
        <f>IFERROR(VLOOKUP($B900,اسماء,17,0),0)</f>
        <v>0</v>
      </c>
      <c r="K901" s="593"/>
      <c r="L901" s="594">
        <f>IFERROR(VLOOKUP($B900,اسماء,18,0),0)</f>
        <v>0</v>
      </c>
      <c r="M901" s="596"/>
      <c r="N901" s="594">
        <f>IFERROR(VLOOKUP($B900,اسماء,19,0),0)</f>
        <v>0</v>
      </c>
      <c r="O901" s="596"/>
      <c r="P901" s="592">
        <f>IFERROR(VLOOKUP($B900,اسماء,20,0),0)</f>
        <v>0</v>
      </c>
      <c r="Q901" s="595"/>
      <c r="R901" s="372">
        <f t="shared" si="2394"/>
        <v>0</v>
      </c>
      <c r="S901" s="305" t="str">
        <f>IFERROR(VLOOKUP($B900,اسماء,23,0),"")</f>
        <v/>
      </c>
      <c r="T901" s="306" t="str">
        <f>IFERROR(VLOOKUP($B900,اسماء,24,0),"")</f>
        <v/>
      </c>
      <c r="U901" s="122" t="str">
        <f>IFERROR(VLOOKUP($B900,اسماء,25,0),"")</f>
        <v/>
      </c>
      <c r="V901" s="605"/>
      <c r="W901" s="19" t="str">
        <f t="shared" si="2432"/>
        <v>ضعيف</v>
      </c>
      <c r="X901" s="640"/>
      <c r="Y901" s="68"/>
      <c r="Z901" s="598"/>
      <c r="AK901" s="667"/>
      <c r="AL901" s="667"/>
      <c r="AM901" s="696"/>
      <c r="AN901" s="698"/>
      <c r="AO901" s="699"/>
      <c r="AP901" s="698"/>
    </row>
    <row r="902" spans="1:42" ht="14.85" customHeight="1" x14ac:dyDescent="0.25">
      <c r="A902" s="611"/>
      <c r="B902" s="614"/>
      <c r="C902" s="617"/>
      <c r="D902" s="620"/>
      <c r="E902" s="130" t="s">
        <v>32</v>
      </c>
      <c r="F902" s="592">
        <f>IFERROR(VLOOKUP($B900,اسماء,25,0),0)</f>
        <v>0</v>
      </c>
      <c r="G902" s="593"/>
      <c r="H902" s="594">
        <f>IFERROR(VLOOKUP($B900,اسماء,26,0),0)</f>
        <v>0</v>
      </c>
      <c r="I902" s="595"/>
      <c r="J902" s="592">
        <f>IFERROR(VLOOKUP($B900,اسماء,27,0),0)</f>
        <v>0</v>
      </c>
      <c r="K902" s="593"/>
      <c r="L902" s="594">
        <f>IFERROR(VLOOKUP($B900,اسماء,28,0),0)</f>
        <v>0</v>
      </c>
      <c r="M902" s="596"/>
      <c r="N902" s="594">
        <f>IFERROR(VLOOKUP($B900,اسماء,29,0),0)</f>
        <v>0</v>
      </c>
      <c r="O902" s="596"/>
      <c r="P902" s="592">
        <f>IFERROR(VLOOKUP($B900,اسماء,30,0),0)</f>
        <v>0</v>
      </c>
      <c r="Q902" s="595"/>
      <c r="R902" s="372">
        <f t="shared" si="2394"/>
        <v>0</v>
      </c>
      <c r="S902" s="305" t="str">
        <f>IFERROR(VLOOKUP($B900,اسماء,34,0),"")</f>
        <v/>
      </c>
      <c r="T902" s="306" t="str">
        <f>IFERROR(VLOOKUP($B900,اسماء,35,0),"")</f>
        <v/>
      </c>
      <c r="U902" s="122" t="str">
        <f>IFERROR(VLOOKUP($B900,اسماء,36,0),"")</f>
        <v/>
      </c>
      <c r="V902" s="605"/>
      <c r="W902" s="20" t="str">
        <f t="shared" ref="W902" si="2435">LOOKUP(R902,$AF$6:$AG$10)</f>
        <v>ضعيف</v>
      </c>
      <c r="X902" s="640"/>
      <c r="Y902" s="8"/>
      <c r="Z902" s="598"/>
      <c r="AK902" s="667"/>
      <c r="AL902" s="667"/>
      <c r="AM902" s="696"/>
      <c r="AN902" s="698"/>
      <c r="AO902" s="699"/>
      <c r="AP902" s="698"/>
    </row>
    <row r="903" spans="1:42" ht="14.85" customHeight="1" thickBot="1" x14ac:dyDescent="0.3">
      <c r="A903" s="612"/>
      <c r="B903" s="615"/>
      <c r="C903" s="618"/>
      <c r="D903" s="621"/>
      <c r="E903" s="124" t="s">
        <v>33</v>
      </c>
      <c r="F903" s="623">
        <f t="shared" ref="F903" si="2436">SUM(F900:G902)</f>
        <v>0</v>
      </c>
      <c r="G903" s="624"/>
      <c r="H903" s="625">
        <f t="shared" ref="H903" si="2437">SUM(H900:I902)</f>
        <v>0</v>
      </c>
      <c r="I903" s="626"/>
      <c r="J903" s="623">
        <f t="shared" ref="J903" si="2438">SUM(J900:K902)</f>
        <v>0</v>
      </c>
      <c r="K903" s="624"/>
      <c r="L903" s="625">
        <f t="shared" ref="L903" si="2439">SUM(L900:M902)</f>
        <v>0</v>
      </c>
      <c r="M903" s="642"/>
      <c r="N903" s="625">
        <f t="shared" ref="N903" si="2440">SUM(N900:O902)</f>
        <v>0</v>
      </c>
      <c r="O903" s="642"/>
      <c r="P903" s="623">
        <f t="shared" ref="P903" si="2441">SUM(P900:Q902)</f>
        <v>0</v>
      </c>
      <c r="Q903" s="626"/>
      <c r="R903" s="88">
        <f t="shared" ref="R903" si="2442">IF(AND(F903&gt;=$G$8,H903&gt;=$I$8,J903&gt;=$K$8,L903&gt;=$M$8,N903&gt;=$O$8,P903&gt;=$Q$8),SUM(F903:Q903),0)</f>
        <v>0</v>
      </c>
      <c r="S903" s="251"/>
      <c r="T903" s="97"/>
      <c r="U903" s="94"/>
      <c r="V903" s="606"/>
      <c r="W903" s="88" t="str">
        <f t="shared" ref="W903" si="2443">LOOKUP(R903,$AI$6:$AJ$10)</f>
        <v>ضعيف</v>
      </c>
      <c r="X903" s="641"/>
      <c r="Y903" s="68"/>
      <c r="Z903" s="599"/>
      <c r="AK903" s="667"/>
      <c r="AL903" s="667"/>
      <c r="AM903" s="696"/>
      <c r="AN903" s="698"/>
      <c r="AO903" s="699"/>
      <c r="AP903" s="698"/>
    </row>
    <row r="904" spans="1:42" ht="14.85" customHeight="1" thickBot="1" x14ac:dyDescent="0.3">
      <c r="A904" s="610">
        <v>196</v>
      </c>
      <c r="B904" s="613">
        <f>VLOOKUP(A904,مسلسل,2,0)</f>
        <v>0</v>
      </c>
      <c r="C904" s="616" t="str">
        <f>IFERROR(VLOOKUP(B904,اسماء,2,0),"")</f>
        <v/>
      </c>
      <c r="D904" s="619" t="str">
        <f>IFERROR(VLOOKUP($B904,اسماء,3,0),"")</f>
        <v/>
      </c>
      <c r="E904" s="129" t="s">
        <v>30</v>
      </c>
      <c r="F904" s="600">
        <f>IFERROR(VLOOKUP($B904,اسماء,5,0),0)</f>
        <v>0</v>
      </c>
      <c r="G904" s="601"/>
      <c r="H904" s="602">
        <f>IFERROR(VLOOKUP($B904,اسماء,6,0),0)</f>
        <v>0</v>
      </c>
      <c r="I904" s="622"/>
      <c r="J904" s="600">
        <f>IFERROR(VLOOKUP($B904,اسماء,7,0),0)</f>
        <v>0</v>
      </c>
      <c r="K904" s="601"/>
      <c r="L904" s="602">
        <f>IFERROR(VLOOKUP($B904,اسماء,8,0),0)</f>
        <v>0</v>
      </c>
      <c r="M904" s="603"/>
      <c r="N904" s="602">
        <f>IFERROR(VLOOKUP($B904,اسماء,9,0),0)</f>
        <v>0</v>
      </c>
      <c r="O904" s="603"/>
      <c r="P904" s="600">
        <f>IFERROR(VLOOKUP($B904,اسماء,10,0),0)</f>
        <v>0</v>
      </c>
      <c r="Q904" s="622"/>
      <c r="R904" s="371">
        <f t="shared" ref="R904" si="2444">SUM(F904:Q904)</f>
        <v>0</v>
      </c>
      <c r="S904" s="213" t="str">
        <f>IFERROR(VLOOKUP($B904,اسماء,12,0),"")</f>
        <v/>
      </c>
      <c r="T904" s="214" t="str">
        <f>IFERROR(VLOOKUP($B904,اسماء,13,0),"")</f>
        <v/>
      </c>
      <c r="U904" s="364" t="str">
        <f>IFERROR(VLOOKUP($B904,اسماء,14,0),"")</f>
        <v/>
      </c>
      <c r="V904" s="604" t="str">
        <f t="shared" ref="V904" si="2445">IF(Z904="غائب","راسب",IF(R907&gt;0,"ناجح","مرحل"))</f>
        <v>مرحل</v>
      </c>
      <c r="W904" s="19" t="str">
        <f t="shared" ref="W904:W905" si="2446">LOOKUP(R904,$AC$6:$AD$10)</f>
        <v>ضعيف</v>
      </c>
      <c r="X904" s="639">
        <f t="shared" ref="X904" si="2447">R907/$AC$3</f>
        <v>0</v>
      </c>
      <c r="Y904" s="68"/>
      <c r="Z904" s="597" t="str">
        <f>IFERROR(VLOOKUP($B904,اسماء,48,0),"")</f>
        <v/>
      </c>
      <c r="AK904" s="667" t="str">
        <f t="shared" ref="AK904" si="2448">IF(R907=0,"",R907/1+ROW()*0.00001)</f>
        <v/>
      </c>
      <c r="AL904" s="667">
        <f>B904</f>
        <v>0</v>
      </c>
      <c r="AM904" s="696"/>
      <c r="AN904" s="698">
        <v>196</v>
      </c>
      <c r="AO904" s="699" t="str">
        <f>IFERROR(LARGE($AK$10:$AK$1420,AN904),"")</f>
        <v/>
      </c>
      <c r="AP904" s="698" t="str">
        <f>VLOOKUP(AO904,$AK$10:$AL$1530,2,0)</f>
        <v>امجد عمر عبداللطيف سلطان</v>
      </c>
    </row>
    <row r="905" spans="1:42" ht="14.85" customHeight="1" x14ac:dyDescent="0.25">
      <c r="A905" s="611"/>
      <c r="B905" s="614"/>
      <c r="C905" s="617"/>
      <c r="D905" s="620"/>
      <c r="E905" s="130" t="s">
        <v>31</v>
      </c>
      <c r="F905" s="592">
        <f>IFERROR(VLOOKUP($B904,اسماء,15,0),0)</f>
        <v>0</v>
      </c>
      <c r="G905" s="593"/>
      <c r="H905" s="594">
        <f>IFERROR(VLOOKUP($B904,اسماء,16,0),0)</f>
        <v>0</v>
      </c>
      <c r="I905" s="595"/>
      <c r="J905" s="592">
        <f>IFERROR(VLOOKUP($B904,اسماء,17,0),0)</f>
        <v>0</v>
      </c>
      <c r="K905" s="593"/>
      <c r="L905" s="594">
        <f>IFERROR(VLOOKUP($B904,اسماء,18,0),0)</f>
        <v>0</v>
      </c>
      <c r="M905" s="596"/>
      <c r="N905" s="594">
        <f>IFERROR(VLOOKUP($B904,اسماء,19,0),0)</f>
        <v>0</v>
      </c>
      <c r="O905" s="596"/>
      <c r="P905" s="592">
        <f>IFERROR(VLOOKUP($B904,اسماء,20,0),0)</f>
        <v>0</v>
      </c>
      <c r="Q905" s="595"/>
      <c r="R905" s="372">
        <f t="shared" si="2394"/>
        <v>0</v>
      </c>
      <c r="S905" s="305" t="str">
        <f>IFERROR(VLOOKUP($B904,اسماء,23,0),"")</f>
        <v/>
      </c>
      <c r="T905" s="306" t="str">
        <f>IFERROR(VLOOKUP($B904,اسماء,24,0),"")</f>
        <v/>
      </c>
      <c r="U905" s="122" t="str">
        <f>IFERROR(VLOOKUP($B904,اسماء,25,0),"")</f>
        <v/>
      </c>
      <c r="V905" s="605"/>
      <c r="W905" s="19" t="str">
        <f t="shared" si="2446"/>
        <v>ضعيف</v>
      </c>
      <c r="X905" s="640"/>
      <c r="Y905" s="8"/>
      <c r="Z905" s="598"/>
      <c r="AK905" s="667"/>
      <c r="AL905" s="667"/>
      <c r="AM905" s="696"/>
      <c r="AN905" s="698"/>
      <c r="AO905" s="699"/>
      <c r="AP905" s="698"/>
    </row>
    <row r="906" spans="1:42" ht="14.85" customHeight="1" x14ac:dyDescent="0.25">
      <c r="A906" s="611"/>
      <c r="B906" s="614"/>
      <c r="C906" s="617"/>
      <c r="D906" s="620"/>
      <c r="E906" s="130" t="s">
        <v>32</v>
      </c>
      <c r="F906" s="592">
        <f>IFERROR(VLOOKUP($B904,اسماء,25,0),0)</f>
        <v>0</v>
      </c>
      <c r="G906" s="593"/>
      <c r="H906" s="594">
        <f>IFERROR(VLOOKUP($B904,اسماء,26,0),0)</f>
        <v>0</v>
      </c>
      <c r="I906" s="595"/>
      <c r="J906" s="592">
        <f>IFERROR(VLOOKUP($B904,اسماء,27,0),0)</f>
        <v>0</v>
      </c>
      <c r="K906" s="593"/>
      <c r="L906" s="594">
        <f>IFERROR(VLOOKUP($B904,اسماء,28,0),0)</f>
        <v>0</v>
      </c>
      <c r="M906" s="596"/>
      <c r="N906" s="594">
        <f>IFERROR(VLOOKUP($B904,اسماء,29,0),0)</f>
        <v>0</v>
      </c>
      <c r="O906" s="596"/>
      <c r="P906" s="592">
        <f>IFERROR(VLOOKUP($B904,اسماء,30,0),0)</f>
        <v>0</v>
      </c>
      <c r="Q906" s="595"/>
      <c r="R906" s="372">
        <f t="shared" si="2394"/>
        <v>0</v>
      </c>
      <c r="S906" s="305" t="str">
        <f>IFERROR(VLOOKUP($B904,اسماء,34,0),"")</f>
        <v/>
      </c>
      <c r="T906" s="306" t="str">
        <f>IFERROR(VLOOKUP($B904,اسماء,35,0),"")</f>
        <v/>
      </c>
      <c r="U906" s="122" t="str">
        <f>IFERROR(VLOOKUP($B904,اسماء,36,0),"")</f>
        <v/>
      </c>
      <c r="V906" s="605"/>
      <c r="W906" s="20" t="str">
        <f t="shared" ref="W906" si="2449">LOOKUP(R906,$AF$6:$AG$10)</f>
        <v>ضعيف</v>
      </c>
      <c r="X906" s="640"/>
      <c r="Y906" s="68"/>
      <c r="Z906" s="598"/>
      <c r="AK906" s="667"/>
      <c r="AL906" s="667"/>
      <c r="AM906" s="696"/>
      <c r="AN906" s="698"/>
      <c r="AO906" s="699"/>
      <c r="AP906" s="698"/>
    </row>
    <row r="907" spans="1:42" ht="14.85" customHeight="1" thickBot="1" x14ac:dyDescent="0.3">
      <c r="A907" s="612"/>
      <c r="B907" s="615"/>
      <c r="C907" s="618"/>
      <c r="D907" s="621"/>
      <c r="E907" s="124" t="s">
        <v>33</v>
      </c>
      <c r="F907" s="623">
        <f t="shared" ref="F907" si="2450">SUM(F904:G906)</f>
        <v>0</v>
      </c>
      <c r="G907" s="624"/>
      <c r="H907" s="625">
        <f t="shared" ref="H907" si="2451">SUM(H904:I906)</f>
        <v>0</v>
      </c>
      <c r="I907" s="626"/>
      <c r="J907" s="623">
        <f t="shared" ref="J907" si="2452">SUM(J904:K906)</f>
        <v>0</v>
      </c>
      <c r="K907" s="624"/>
      <c r="L907" s="625">
        <f t="shared" ref="L907" si="2453">SUM(L904:M906)</f>
        <v>0</v>
      </c>
      <c r="M907" s="642"/>
      <c r="N907" s="625">
        <f t="shared" ref="N907" si="2454">SUM(N904:O906)</f>
        <v>0</v>
      </c>
      <c r="O907" s="642"/>
      <c r="P907" s="623">
        <f t="shared" ref="P907" si="2455">SUM(P904:Q906)</f>
        <v>0</v>
      </c>
      <c r="Q907" s="626"/>
      <c r="R907" s="88">
        <f t="shared" ref="R907" si="2456">IF(AND(F907&gt;=$G$8,H907&gt;=$I$8,J907&gt;=$K$8,L907&gt;=$M$8,N907&gt;=$O$8,P907&gt;=$Q$8),SUM(F907:Q907),0)</f>
        <v>0</v>
      </c>
      <c r="S907" s="251"/>
      <c r="T907" s="97"/>
      <c r="U907" s="94"/>
      <c r="V907" s="606"/>
      <c r="W907" s="88" t="str">
        <f t="shared" ref="W907" si="2457">LOOKUP(R907,$AI$6:$AJ$10)</f>
        <v>ضعيف</v>
      </c>
      <c r="X907" s="641"/>
      <c r="Y907" s="68"/>
      <c r="Z907" s="599"/>
      <c r="AK907" s="667"/>
      <c r="AL907" s="667"/>
      <c r="AM907" s="696"/>
      <c r="AN907" s="698"/>
      <c r="AO907" s="699"/>
      <c r="AP907" s="698"/>
    </row>
    <row r="908" spans="1:42" ht="14.85" customHeight="1" thickBot="1" x14ac:dyDescent="0.3">
      <c r="A908" s="610">
        <v>197</v>
      </c>
      <c r="B908" s="613">
        <f>VLOOKUP(A908,مسلسل,2,0)</f>
        <v>0</v>
      </c>
      <c r="C908" s="616" t="str">
        <f>IFERROR(VLOOKUP(B908,اسماء,2,0),"")</f>
        <v/>
      </c>
      <c r="D908" s="619" t="str">
        <f>IFERROR(VLOOKUP($B908,اسماء,3,0),"")</f>
        <v/>
      </c>
      <c r="E908" s="129" t="s">
        <v>30</v>
      </c>
      <c r="F908" s="600">
        <f>IFERROR(VLOOKUP($B908,اسماء,5,0),0)</f>
        <v>0</v>
      </c>
      <c r="G908" s="601"/>
      <c r="H908" s="602">
        <f>IFERROR(VLOOKUP($B908,اسماء,6,0),0)</f>
        <v>0</v>
      </c>
      <c r="I908" s="622"/>
      <c r="J908" s="600">
        <f>IFERROR(VLOOKUP($B908,اسماء,7,0),0)</f>
        <v>0</v>
      </c>
      <c r="K908" s="601"/>
      <c r="L908" s="602">
        <f>IFERROR(VLOOKUP($B908,اسماء,8,0),0)</f>
        <v>0</v>
      </c>
      <c r="M908" s="603"/>
      <c r="N908" s="602">
        <f>IFERROR(VLOOKUP($B908,اسماء,9,0),0)</f>
        <v>0</v>
      </c>
      <c r="O908" s="603"/>
      <c r="P908" s="600">
        <f>IFERROR(VLOOKUP($B908,اسماء,10,0),0)</f>
        <v>0</v>
      </c>
      <c r="Q908" s="622"/>
      <c r="R908" s="371">
        <f t="shared" ref="R908" si="2458">SUM(F908:Q908)</f>
        <v>0</v>
      </c>
      <c r="S908" s="213" t="str">
        <f>IFERROR(VLOOKUP($B908,اسماء,12,0),"")</f>
        <v/>
      </c>
      <c r="T908" s="214" t="str">
        <f>IFERROR(VLOOKUP($B908,اسماء,13,0),"")</f>
        <v/>
      </c>
      <c r="U908" s="364" t="str">
        <f>IFERROR(VLOOKUP($B908,اسماء,14,0),"")</f>
        <v/>
      </c>
      <c r="V908" s="604" t="str">
        <f t="shared" ref="V908" si="2459">IF(Z908="غائب","راسب",IF(R911&gt;0,"ناجح","مرحل"))</f>
        <v>مرحل</v>
      </c>
      <c r="W908" s="19" t="str">
        <f t="shared" ref="W908:W909" si="2460">LOOKUP(R908,$AC$6:$AD$10)</f>
        <v>ضعيف</v>
      </c>
      <c r="X908" s="639">
        <f t="shared" ref="X908" si="2461">R911/$AC$3</f>
        <v>0</v>
      </c>
      <c r="Y908" s="8"/>
      <c r="Z908" s="597" t="str">
        <f>IFERROR(VLOOKUP($B908,اسماء,48,0),"")</f>
        <v/>
      </c>
      <c r="AK908" s="667" t="str">
        <f t="shared" ref="AK908" si="2462">IF(R911=0,"",R911/1+ROW()*0.00001)</f>
        <v/>
      </c>
      <c r="AL908" s="667">
        <f>B908</f>
        <v>0</v>
      </c>
      <c r="AM908" s="696"/>
      <c r="AN908" s="698">
        <v>197</v>
      </c>
      <c r="AO908" s="699" t="str">
        <f>IFERROR(LARGE($AK$10:$AK$1420,AN908),"")</f>
        <v/>
      </c>
      <c r="AP908" s="698" t="str">
        <f>VLOOKUP(AO908,$AK$10:$AL$1530,2,0)</f>
        <v>امجد عمر عبداللطيف سلطان</v>
      </c>
    </row>
    <row r="909" spans="1:42" ht="14.85" customHeight="1" x14ac:dyDescent="0.25">
      <c r="A909" s="611"/>
      <c r="B909" s="614"/>
      <c r="C909" s="617"/>
      <c r="D909" s="620"/>
      <c r="E909" s="130" t="s">
        <v>31</v>
      </c>
      <c r="F909" s="592">
        <f>IFERROR(VLOOKUP($B908,اسماء,15,0),0)</f>
        <v>0</v>
      </c>
      <c r="G909" s="593"/>
      <c r="H909" s="594">
        <f>IFERROR(VLOOKUP($B908,اسماء,16,0),0)</f>
        <v>0</v>
      </c>
      <c r="I909" s="595"/>
      <c r="J909" s="592">
        <f>IFERROR(VLOOKUP($B908,اسماء,17,0),0)</f>
        <v>0</v>
      </c>
      <c r="K909" s="593"/>
      <c r="L909" s="594">
        <f>IFERROR(VLOOKUP($B908,اسماء,18,0),0)</f>
        <v>0</v>
      </c>
      <c r="M909" s="596"/>
      <c r="N909" s="594">
        <f>IFERROR(VLOOKUP($B908,اسماء,19,0),0)</f>
        <v>0</v>
      </c>
      <c r="O909" s="596"/>
      <c r="P909" s="592">
        <f>IFERROR(VLOOKUP($B908,اسماء,20,0),0)</f>
        <v>0</v>
      </c>
      <c r="Q909" s="595"/>
      <c r="R909" s="372">
        <f t="shared" si="2394"/>
        <v>0</v>
      </c>
      <c r="S909" s="305" t="str">
        <f>IFERROR(VLOOKUP($B908,اسماء,23,0),"")</f>
        <v/>
      </c>
      <c r="T909" s="306" t="str">
        <f>IFERROR(VLOOKUP($B908,اسماء,24,0),"")</f>
        <v/>
      </c>
      <c r="U909" s="122" t="str">
        <f>IFERROR(VLOOKUP($B908,اسماء,25,0),"")</f>
        <v/>
      </c>
      <c r="V909" s="605"/>
      <c r="W909" s="19" t="str">
        <f t="shared" si="2460"/>
        <v>ضعيف</v>
      </c>
      <c r="X909" s="640"/>
      <c r="Y909" s="68"/>
      <c r="Z909" s="598"/>
      <c r="AK909" s="667"/>
      <c r="AL909" s="667"/>
      <c r="AM909" s="696"/>
      <c r="AN909" s="698"/>
      <c r="AO909" s="699"/>
      <c r="AP909" s="698"/>
    </row>
    <row r="910" spans="1:42" ht="14.85" customHeight="1" x14ac:dyDescent="0.25">
      <c r="A910" s="611"/>
      <c r="B910" s="614"/>
      <c r="C910" s="617"/>
      <c r="D910" s="620"/>
      <c r="E910" s="130" t="s">
        <v>32</v>
      </c>
      <c r="F910" s="592">
        <f>IFERROR(VLOOKUP($B908,اسماء,25,0),0)</f>
        <v>0</v>
      </c>
      <c r="G910" s="593"/>
      <c r="H910" s="594">
        <f>IFERROR(VLOOKUP($B908,اسماء,26,0),0)</f>
        <v>0</v>
      </c>
      <c r="I910" s="595"/>
      <c r="J910" s="592">
        <f>IFERROR(VLOOKUP($B908,اسماء,27,0),0)</f>
        <v>0</v>
      </c>
      <c r="K910" s="593"/>
      <c r="L910" s="594">
        <f>IFERROR(VLOOKUP($B908,اسماء,28,0),0)</f>
        <v>0</v>
      </c>
      <c r="M910" s="596"/>
      <c r="N910" s="594">
        <f>IFERROR(VLOOKUP($B908,اسماء,29,0),0)</f>
        <v>0</v>
      </c>
      <c r="O910" s="596"/>
      <c r="P910" s="592">
        <f>IFERROR(VLOOKUP($B908,اسماء,30,0),0)</f>
        <v>0</v>
      </c>
      <c r="Q910" s="595"/>
      <c r="R910" s="372">
        <f t="shared" si="2394"/>
        <v>0</v>
      </c>
      <c r="S910" s="305" t="str">
        <f>IFERROR(VLOOKUP($B908,اسماء,34,0),"")</f>
        <v/>
      </c>
      <c r="T910" s="306" t="str">
        <f>IFERROR(VLOOKUP($B908,اسماء,35,0),"")</f>
        <v/>
      </c>
      <c r="U910" s="122" t="str">
        <f>IFERROR(VLOOKUP($B908,اسماء,36,0),"")</f>
        <v/>
      </c>
      <c r="V910" s="605"/>
      <c r="W910" s="20" t="str">
        <f t="shared" ref="W910" si="2463">LOOKUP(R910,$AF$6:$AG$10)</f>
        <v>ضعيف</v>
      </c>
      <c r="X910" s="640"/>
      <c r="Y910" s="68"/>
      <c r="Z910" s="598"/>
      <c r="AK910" s="667"/>
      <c r="AL910" s="667"/>
      <c r="AM910" s="696"/>
      <c r="AN910" s="698"/>
      <c r="AO910" s="699"/>
      <c r="AP910" s="698"/>
    </row>
    <row r="911" spans="1:42" ht="14.85" customHeight="1" thickBot="1" x14ac:dyDescent="0.3">
      <c r="A911" s="612"/>
      <c r="B911" s="615"/>
      <c r="C911" s="618"/>
      <c r="D911" s="621"/>
      <c r="E911" s="124" t="s">
        <v>33</v>
      </c>
      <c r="F911" s="623">
        <f t="shared" ref="F911" si="2464">SUM(F908:G910)</f>
        <v>0</v>
      </c>
      <c r="G911" s="624"/>
      <c r="H911" s="625">
        <f t="shared" ref="H911" si="2465">SUM(H908:I910)</f>
        <v>0</v>
      </c>
      <c r="I911" s="626"/>
      <c r="J911" s="623">
        <f t="shared" ref="J911" si="2466">SUM(J908:K910)</f>
        <v>0</v>
      </c>
      <c r="K911" s="624"/>
      <c r="L911" s="625">
        <f t="shared" ref="L911" si="2467">SUM(L908:M910)</f>
        <v>0</v>
      </c>
      <c r="M911" s="642"/>
      <c r="N911" s="625">
        <f t="shared" ref="N911" si="2468">SUM(N908:O910)</f>
        <v>0</v>
      </c>
      <c r="O911" s="642"/>
      <c r="P911" s="623">
        <f t="shared" ref="P911" si="2469">SUM(P908:Q910)</f>
        <v>0</v>
      </c>
      <c r="Q911" s="626"/>
      <c r="R911" s="88">
        <f t="shared" ref="R911" si="2470">IF(AND(F911&gt;=$G$8,H911&gt;=$I$8,J911&gt;=$K$8,L911&gt;=$M$8,N911&gt;=$O$8,P911&gt;=$Q$8),SUM(F911:Q911),0)</f>
        <v>0</v>
      </c>
      <c r="S911" s="251"/>
      <c r="T911" s="97"/>
      <c r="U911" s="94"/>
      <c r="V911" s="606"/>
      <c r="W911" s="88" t="str">
        <f t="shared" ref="W911" si="2471">LOOKUP(R911,$AI$6:$AJ$10)</f>
        <v>ضعيف</v>
      </c>
      <c r="X911" s="641"/>
      <c r="Y911" s="8"/>
      <c r="Z911" s="599"/>
      <c r="AK911" s="667"/>
      <c r="AL911" s="667"/>
      <c r="AM911" s="696"/>
      <c r="AN911" s="698"/>
      <c r="AO911" s="699"/>
      <c r="AP911" s="698"/>
    </row>
    <row r="912" spans="1:42" ht="14.85" customHeight="1" thickBot="1" x14ac:dyDescent="0.3">
      <c r="A912" s="610">
        <v>198</v>
      </c>
      <c r="B912" s="613">
        <f>VLOOKUP(A912,مسلسل,2,0)</f>
        <v>0</v>
      </c>
      <c r="C912" s="616" t="str">
        <f>IFERROR(VLOOKUP(B912,اسماء,2,0),"")</f>
        <v/>
      </c>
      <c r="D912" s="619" t="str">
        <f>IFERROR(VLOOKUP($B912,اسماء,3,0),"")</f>
        <v/>
      </c>
      <c r="E912" s="129" t="s">
        <v>30</v>
      </c>
      <c r="F912" s="600">
        <f>IFERROR(VLOOKUP($B912,اسماء,5,0),0)</f>
        <v>0</v>
      </c>
      <c r="G912" s="601"/>
      <c r="H912" s="602">
        <f>IFERROR(VLOOKUP($B912,اسماء,6,0),0)</f>
        <v>0</v>
      </c>
      <c r="I912" s="622"/>
      <c r="J912" s="600">
        <f>IFERROR(VLOOKUP($B912,اسماء,7,0),0)</f>
        <v>0</v>
      </c>
      <c r="K912" s="601"/>
      <c r="L912" s="602">
        <f>IFERROR(VLOOKUP($B912,اسماء,8,0),0)</f>
        <v>0</v>
      </c>
      <c r="M912" s="603"/>
      <c r="N912" s="602">
        <f>IFERROR(VLOOKUP($B912,اسماء,9,0),0)</f>
        <v>0</v>
      </c>
      <c r="O912" s="603"/>
      <c r="P912" s="600">
        <f>IFERROR(VLOOKUP($B912,اسماء,10,0),0)</f>
        <v>0</v>
      </c>
      <c r="Q912" s="622"/>
      <c r="R912" s="371">
        <f t="shared" ref="R912" si="2472">SUM(F912:Q912)</f>
        <v>0</v>
      </c>
      <c r="S912" s="213" t="str">
        <f>IFERROR(VLOOKUP($B912,اسماء,12,0),"")</f>
        <v/>
      </c>
      <c r="T912" s="214" t="str">
        <f>IFERROR(VLOOKUP($B912,اسماء,13,0),"")</f>
        <v/>
      </c>
      <c r="U912" s="364" t="str">
        <f>IFERROR(VLOOKUP($B912,اسماء,14,0),"")</f>
        <v/>
      </c>
      <c r="V912" s="604" t="str">
        <f t="shared" ref="V912" si="2473">IF(Z912="غائب","راسب",IF(R915&gt;0,"ناجح","مرحل"))</f>
        <v>مرحل</v>
      </c>
      <c r="W912" s="19" t="str">
        <f t="shared" ref="W912:W913" si="2474">LOOKUP(R912,$AC$6:$AD$10)</f>
        <v>ضعيف</v>
      </c>
      <c r="X912" s="639">
        <f t="shared" ref="X912" si="2475">R915/$AC$3</f>
        <v>0</v>
      </c>
      <c r="Y912" s="68"/>
      <c r="Z912" s="597" t="str">
        <f>IFERROR(VLOOKUP($B912,اسماء,48,0),"")</f>
        <v/>
      </c>
      <c r="AK912" s="667" t="str">
        <f t="shared" ref="AK912" si="2476">IF(R915=0,"",R915/1+ROW()*0.00001)</f>
        <v/>
      </c>
      <c r="AL912" s="667">
        <f>B912</f>
        <v>0</v>
      </c>
      <c r="AM912" s="696"/>
      <c r="AN912" s="698">
        <v>198</v>
      </c>
      <c r="AO912" s="699" t="str">
        <f>IFERROR(LARGE($AK$10:$AK$1420,AN912),"")</f>
        <v/>
      </c>
      <c r="AP912" s="698" t="str">
        <f>VLOOKUP(AO912,$AK$10:$AL$1530,2,0)</f>
        <v>امجد عمر عبداللطيف سلطان</v>
      </c>
    </row>
    <row r="913" spans="1:42" ht="14.85" customHeight="1" x14ac:dyDescent="0.25">
      <c r="A913" s="611"/>
      <c r="B913" s="614"/>
      <c r="C913" s="617"/>
      <c r="D913" s="620"/>
      <c r="E913" s="130" t="s">
        <v>31</v>
      </c>
      <c r="F913" s="592">
        <f>IFERROR(VLOOKUP($B912,اسماء,15,0),0)</f>
        <v>0</v>
      </c>
      <c r="G913" s="593"/>
      <c r="H913" s="594">
        <f>IFERROR(VLOOKUP($B912,اسماء,16,0),0)</f>
        <v>0</v>
      </c>
      <c r="I913" s="595"/>
      <c r="J913" s="592">
        <f>IFERROR(VLOOKUP($B912,اسماء,17,0),0)</f>
        <v>0</v>
      </c>
      <c r="K913" s="593"/>
      <c r="L913" s="594">
        <f>IFERROR(VLOOKUP($B912,اسماء,18,0),0)</f>
        <v>0</v>
      </c>
      <c r="M913" s="596"/>
      <c r="N913" s="594">
        <f>IFERROR(VLOOKUP($B912,اسماء,19,0),0)</f>
        <v>0</v>
      </c>
      <c r="O913" s="596"/>
      <c r="P913" s="592">
        <f>IFERROR(VLOOKUP($B912,اسماء,20,0),0)</f>
        <v>0</v>
      </c>
      <c r="Q913" s="595"/>
      <c r="R913" s="372">
        <f t="shared" si="2394"/>
        <v>0</v>
      </c>
      <c r="S913" s="305" t="str">
        <f>IFERROR(VLOOKUP($B912,اسماء,23,0),"")</f>
        <v/>
      </c>
      <c r="T913" s="306" t="str">
        <f>IFERROR(VLOOKUP($B912,اسماء,24,0),"")</f>
        <v/>
      </c>
      <c r="U913" s="122" t="str">
        <f>IFERROR(VLOOKUP($B912,اسماء,25,0),"")</f>
        <v/>
      </c>
      <c r="V913" s="605"/>
      <c r="W913" s="19" t="str">
        <f t="shared" si="2474"/>
        <v>ضعيف</v>
      </c>
      <c r="X913" s="640"/>
      <c r="Y913" s="68"/>
      <c r="Z913" s="598"/>
      <c r="AK913" s="667"/>
      <c r="AL913" s="667"/>
      <c r="AM913" s="696"/>
      <c r="AN913" s="698"/>
      <c r="AO913" s="699"/>
      <c r="AP913" s="698"/>
    </row>
    <row r="914" spans="1:42" ht="14.85" customHeight="1" x14ac:dyDescent="0.25">
      <c r="A914" s="611"/>
      <c r="B914" s="614"/>
      <c r="C914" s="617"/>
      <c r="D914" s="620"/>
      <c r="E914" s="130" t="s">
        <v>32</v>
      </c>
      <c r="F914" s="592">
        <f>IFERROR(VLOOKUP($B912,اسماء,25,0),0)</f>
        <v>0</v>
      </c>
      <c r="G914" s="593"/>
      <c r="H914" s="594">
        <f>IFERROR(VLOOKUP($B912,اسماء,26,0),0)</f>
        <v>0</v>
      </c>
      <c r="I914" s="595"/>
      <c r="J914" s="592">
        <f>IFERROR(VLOOKUP($B912,اسماء,27,0),0)</f>
        <v>0</v>
      </c>
      <c r="K914" s="593"/>
      <c r="L914" s="594">
        <f>IFERROR(VLOOKUP($B912,اسماء,28,0),0)</f>
        <v>0</v>
      </c>
      <c r="M914" s="596"/>
      <c r="N914" s="594">
        <f>IFERROR(VLOOKUP($B912,اسماء,29,0),0)</f>
        <v>0</v>
      </c>
      <c r="O914" s="596"/>
      <c r="P914" s="592">
        <f>IFERROR(VLOOKUP($B912,اسماء,30,0),0)</f>
        <v>0</v>
      </c>
      <c r="Q914" s="595"/>
      <c r="R914" s="372">
        <f t="shared" si="2394"/>
        <v>0</v>
      </c>
      <c r="S914" s="305" t="str">
        <f>IFERROR(VLOOKUP($B912,اسماء,34,0),"")</f>
        <v/>
      </c>
      <c r="T914" s="306" t="str">
        <f>IFERROR(VLOOKUP($B912,اسماء,35,0),"")</f>
        <v/>
      </c>
      <c r="U914" s="122" t="str">
        <f>IFERROR(VLOOKUP($B912,اسماء,36,0),"")</f>
        <v/>
      </c>
      <c r="V914" s="605"/>
      <c r="W914" s="20" t="str">
        <f t="shared" ref="W914" si="2477">LOOKUP(R914,$AF$6:$AG$10)</f>
        <v>ضعيف</v>
      </c>
      <c r="X914" s="640"/>
      <c r="Y914" s="8"/>
      <c r="Z914" s="598"/>
      <c r="AK914" s="667"/>
      <c r="AL914" s="667"/>
      <c r="AM914" s="696"/>
      <c r="AN914" s="698"/>
      <c r="AO914" s="699"/>
      <c r="AP914" s="698"/>
    </row>
    <row r="915" spans="1:42" ht="14.85" customHeight="1" thickBot="1" x14ac:dyDescent="0.3">
      <c r="A915" s="612"/>
      <c r="B915" s="615"/>
      <c r="C915" s="618"/>
      <c r="D915" s="621"/>
      <c r="E915" s="124" t="s">
        <v>33</v>
      </c>
      <c r="F915" s="623">
        <f t="shared" ref="F915" si="2478">SUM(F912:G914)</f>
        <v>0</v>
      </c>
      <c r="G915" s="624"/>
      <c r="H915" s="625">
        <f t="shared" ref="H915" si="2479">SUM(H912:I914)</f>
        <v>0</v>
      </c>
      <c r="I915" s="626"/>
      <c r="J915" s="623">
        <f t="shared" ref="J915" si="2480">SUM(J912:K914)</f>
        <v>0</v>
      </c>
      <c r="K915" s="624"/>
      <c r="L915" s="625">
        <f t="shared" ref="L915" si="2481">SUM(L912:M914)</f>
        <v>0</v>
      </c>
      <c r="M915" s="642"/>
      <c r="N915" s="625">
        <f t="shared" ref="N915" si="2482">SUM(N912:O914)</f>
        <v>0</v>
      </c>
      <c r="O915" s="642"/>
      <c r="P915" s="623">
        <f t="shared" ref="P915" si="2483">SUM(P912:Q914)</f>
        <v>0</v>
      </c>
      <c r="Q915" s="626"/>
      <c r="R915" s="88">
        <f t="shared" ref="R915" si="2484">IF(AND(F915&gt;=$G$8,H915&gt;=$I$8,J915&gt;=$K$8,L915&gt;=$M$8,N915&gt;=$O$8,P915&gt;=$Q$8),SUM(F915:Q915),0)</f>
        <v>0</v>
      </c>
      <c r="S915" s="251"/>
      <c r="T915" s="97"/>
      <c r="U915" s="94"/>
      <c r="V915" s="606"/>
      <c r="W915" s="88" t="str">
        <f t="shared" ref="W915" si="2485">LOOKUP(R915,$AI$6:$AJ$10)</f>
        <v>ضعيف</v>
      </c>
      <c r="X915" s="641"/>
      <c r="Y915" s="68"/>
      <c r="Z915" s="599"/>
      <c r="AK915" s="667"/>
      <c r="AL915" s="667"/>
      <c r="AM915" s="696"/>
      <c r="AN915" s="698"/>
      <c r="AO915" s="699"/>
      <c r="AP915" s="698"/>
    </row>
    <row r="916" spans="1:42" ht="14.85" customHeight="1" thickBot="1" x14ac:dyDescent="0.3">
      <c r="A916" s="610">
        <v>199</v>
      </c>
      <c r="B916" s="613">
        <f>VLOOKUP(A916,مسلسل,2,0)</f>
        <v>0</v>
      </c>
      <c r="C916" s="616" t="str">
        <f>IFERROR(VLOOKUP(B916,اسماء,2,0),"")</f>
        <v/>
      </c>
      <c r="D916" s="619" t="str">
        <f>IFERROR(VLOOKUP($B916,اسماء,3,0),"")</f>
        <v/>
      </c>
      <c r="E916" s="129" t="s">
        <v>30</v>
      </c>
      <c r="F916" s="600">
        <f>IFERROR(VLOOKUP($B916,اسماء,5,0),0)</f>
        <v>0</v>
      </c>
      <c r="G916" s="601"/>
      <c r="H916" s="602">
        <f>IFERROR(VLOOKUP($B916,اسماء,6,0),0)</f>
        <v>0</v>
      </c>
      <c r="I916" s="622"/>
      <c r="J916" s="600">
        <f>IFERROR(VLOOKUP($B916,اسماء,7,0),0)</f>
        <v>0</v>
      </c>
      <c r="K916" s="601"/>
      <c r="L916" s="602">
        <f>IFERROR(VLOOKUP($B916,اسماء,8,0),0)</f>
        <v>0</v>
      </c>
      <c r="M916" s="603"/>
      <c r="N916" s="602">
        <f>IFERROR(VLOOKUP($B916,اسماء,9,0),0)</f>
        <v>0</v>
      </c>
      <c r="O916" s="603"/>
      <c r="P916" s="600">
        <f>IFERROR(VLOOKUP($B916,اسماء,10,0),0)</f>
        <v>0</v>
      </c>
      <c r="Q916" s="622"/>
      <c r="R916" s="371">
        <f t="shared" ref="R916" si="2486">SUM(F916:Q916)</f>
        <v>0</v>
      </c>
      <c r="S916" s="213" t="str">
        <f>IFERROR(VLOOKUP($B916,اسماء,12,0),"")</f>
        <v/>
      </c>
      <c r="T916" s="214" t="str">
        <f>IFERROR(VLOOKUP($B916,اسماء,13,0),"")</f>
        <v/>
      </c>
      <c r="U916" s="364" t="str">
        <f>IFERROR(VLOOKUP($B916,اسماء,14,0),"")</f>
        <v/>
      </c>
      <c r="V916" s="604" t="str">
        <f t="shared" ref="V916" si="2487">IF(Z916="غائب","راسب",IF(R919&gt;0,"ناجح","مرحل"))</f>
        <v>مرحل</v>
      </c>
      <c r="W916" s="19" t="str">
        <f t="shared" ref="W916:W917" si="2488">LOOKUP(R916,$AC$6:$AD$10)</f>
        <v>ضعيف</v>
      </c>
      <c r="X916" s="639">
        <f t="shared" ref="X916" si="2489">R919/$AC$3</f>
        <v>0</v>
      </c>
      <c r="Y916" s="68"/>
      <c r="Z916" s="597" t="str">
        <f>IFERROR(VLOOKUP($B916,اسماء,48,0),"")</f>
        <v/>
      </c>
      <c r="AK916" s="667" t="str">
        <f t="shared" ref="AK916" si="2490">IF(R919=0,"",R919/1+ROW()*0.00001)</f>
        <v/>
      </c>
      <c r="AL916" s="667">
        <f>B916</f>
        <v>0</v>
      </c>
      <c r="AM916" s="696"/>
      <c r="AN916" s="698">
        <v>199</v>
      </c>
      <c r="AO916" s="699" t="str">
        <f>IFERROR(LARGE($AK$10:$AK$1420,AN916),"")</f>
        <v/>
      </c>
      <c r="AP916" s="698" t="str">
        <f>VLOOKUP(AO916,$AK$10:$AL$1530,2,0)</f>
        <v>امجد عمر عبداللطيف سلطان</v>
      </c>
    </row>
    <row r="917" spans="1:42" ht="14.85" customHeight="1" x14ac:dyDescent="0.25">
      <c r="A917" s="611"/>
      <c r="B917" s="614"/>
      <c r="C917" s="617"/>
      <c r="D917" s="620"/>
      <c r="E917" s="130" t="s">
        <v>31</v>
      </c>
      <c r="F917" s="592">
        <f>IFERROR(VLOOKUP($B916,اسماء,15,0),0)</f>
        <v>0</v>
      </c>
      <c r="G917" s="593"/>
      <c r="H917" s="594">
        <f>IFERROR(VLOOKUP($B916,اسماء,16,0),0)</f>
        <v>0</v>
      </c>
      <c r="I917" s="595"/>
      <c r="J917" s="592">
        <f>IFERROR(VLOOKUP($B916,اسماء,17,0),0)</f>
        <v>0</v>
      </c>
      <c r="K917" s="593"/>
      <c r="L917" s="594">
        <f>IFERROR(VLOOKUP($B916,اسماء,18,0),0)</f>
        <v>0</v>
      </c>
      <c r="M917" s="596"/>
      <c r="N917" s="594">
        <f>IFERROR(VLOOKUP($B916,اسماء,19,0),0)</f>
        <v>0</v>
      </c>
      <c r="O917" s="596"/>
      <c r="P917" s="592">
        <f>IFERROR(VLOOKUP($B916,اسماء,20,0),0)</f>
        <v>0</v>
      </c>
      <c r="Q917" s="595"/>
      <c r="R917" s="372">
        <f t="shared" si="2394"/>
        <v>0</v>
      </c>
      <c r="S917" s="305" t="str">
        <f>IFERROR(VLOOKUP($B916,اسماء,23,0),"")</f>
        <v/>
      </c>
      <c r="T917" s="306" t="str">
        <f>IFERROR(VLOOKUP($B916,اسماء,24,0),"")</f>
        <v/>
      </c>
      <c r="U917" s="122" t="str">
        <f>IFERROR(VLOOKUP($B916,اسماء,25,0),"")</f>
        <v/>
      </c>
      <c r="V917" s="605"/>
      <c r="W917" s="19" t="str">
        <f t="shared" si="2488"/>
        <v>ضعيف</v>
      </c>
      <c r="X917" s="640"/>
      <c r="Y917" s="8"/>
      <c r="Z917" s="598"/>
      <c r="AK917" s="667"/>
      <c r="AL917" s="667"/>
      <c r="AM917" s="696"/>
      <c r="AN917" s="698"/>
      <c r="AO917" s="699"/>
      <c r="AP917" s="698"/>
    </row>
    <row r="918" spans="1:42" ht="14.85" customHeight="1" x14ac:dyDescent="0.25">
      <c r="A918" s="611"/>
      <c r="B918" s="614"/>
      <c r="C918" s="617"/>
      <c r="D918" s="620"/>
      <c r="E918" s="130" t="s">
        <v>32</v>
      </c>
      <c r="F918" s="592">
        <f>IFERROR(VLOOKUP($B916,اسماء,25,0),0)</f>
        <v>0</v>
      </c>
      <c r="G918" s="593"/>
      <c r="H918" s="594">
        <f>IFERROR(VLOOKUP($B916,اسماء,26,0),0)</f>
        <v>0</v>
      </c>
      <c r="I918" s="595"/>
      <c r="J918" s="592">
        <f>IFERROR(VLOOKUP($B916,اسماء,27,0),0)</f>
        <v>0</v>
      </c>
      <c r="K918" s="593"/>
      <c r="L918" s="594">
        <f>IFERROR(VLOOKUP($B916,اسماء,28,0),0)</f>
        <v>0</v>
      </c>
      <c r="M918" s="596"/>
      <c r="N918" s="594">
        <f>IFERROR(VLOOKUP($B916,اسماء,29,0),0)</f>
        <v>0</v>
      </c>
      <c r="O918" s="596"/>
      <c r="P918" s="592">
        <f>IFERROR(VLOOKUP($B916,اسماء,30,0),0)</f>
        <v>0</v>
      </c>
      <c r="Q918" s="595"/>
      <c r="R918" s="372">
        <f t="shared" si="2394"/>
        <v>0</v>
      </c>
      <c r="S918" s="305" t="str">
        <f>IFERROR(VLOOKUP($B916,اسماء,34,0),"")</f>
        <v/>
      </c>
      <c r="T918" s="306" t="str">
        <f>IFERROR(VLOOKUP($B916,اسماء,35,0),"")</f>
        <v/>
      </c>
      <c r="U918" s="122" t="str">
        <f>IFERROR(VLOOKUP($B916,اسماء,36,0),"")</f>
        <v/>
      </c>
      <c r="V918" s="605"/>
      <c r="W918" s="20" t="str">
        <f t="shared" ref="W918" si="2491">LOOKUP(R918,$AF$6:$AG$10)</f>
        <v>ضعيف</v>
      </c>
      <c r="X918" s="640"/>
      <c r="Y918" s="68"/>
      <c r="Z918" s="598"/>
      <c r="AK918" s="667"/>
      <c r="AL918" s="667"/>
      <c r="AM918" s="696"/>
      <c r="AN918" s="698"/>
      <c r="AO918" s="699"/>
      <c r="AP918" s="698"/>
    </row>
    <row r="919" spans="1:42" ht="14.85" customHeight="1" thickBot="1" x14ac:dyDescent="0.3">
      <c r="A919" s="612"/>
      <c r="B919" s="615"/>
      <c r="C919" s="618"/>
      <c r="D919" s="621"/>
      <c r="E919" s="124" t="s">
        <v>33</v>
      </c>
      <c r="F919" s="623">
        <f t="shared" ref="F919" si="2492">SUM(F916:G918)</f>
        <v>0</v>
      </c>
      <c r="G919" s="624"/>
      <c r="H919" s="625">
        <f t="shared" ref="H919" si="2493">SUM(H916:I918)</f>
        <v>0</v>
      </c>
      <c r="I919" s="626"/>
      <c r="J919" s="623">
        <f t="shared" ref="J919" si="2494">SUM(J916:K918)</f>
        <v>0</v>
      </c>
      <c r="K919" s="624"/>
      <c r="L919" s="625">
        <f t="shared" ref="L919" si="2495">SUM(L916:M918)</f>
        <v>0</v>
      </c>
      <c r="M919" s="642"/>
      <c r="N919" s="625">
        <f t="shared" ref="N919" si="2496">SUM(N916:O918)</f>
        <v>0</v>
      </c>
      <c r="O919" s="642"/>
      <c r="P919" s="623">
        <f t="shared" ref="P919" si="2497">SUM(P916:Q918)</f>
        <v>0</v>
      </c>
      <c r="Q919" s="626"/>
      <c r="R919" s="88">
        <f t="shared" ref="R919" si="2498">IF(AND(F919&gt;=$G$8,H919&gt;=$I$8,J919&gt;=$K$8,L919&gt;=$M$8,N919&gt;=$O$8,P919&gt;=$Q$8),SUM(F919:Q919),0)</f>
        <v>0</v>
      </c>
      <c r="S919" s="251"/>
      <c r="T919" s="97"/>
      <c r="U919" s="94"/>
      <c r="V919" s="606"/>
      <c r="W919" s="88" t="str">
        <f t="shared" ref="W919" si="2499">LOOKUP(R919,$AI$6:$AJ$10)</f>
        <v>ضعيف</v>
      </c>
      <c r="X919" s="641"/>
      <c r="Y919" s="68"/>
      <c r="Z919" s="599"/>
      <c r="AK919" s="667"/>
      <c r="AL919" s="667"/>
      <c r="AM919" s="696"/>
      <c r="AN919" s="698"/>
      <c r="AO919" s="699"/>
      <c r="AP919" s="698"/>
    </row>
    <row r="920" spans="1:42" ht="14.85" customHeight="1" thickBot="1" x14ac:dyDescent="0.3">
      <c r="A920" s="610">
        <v>200</v>
      </c>
      <c r="B920" s="613">
        <f>VLOOKUP(A920,مسلسل,2,0)</f>
        <v>0</v>
      </c>
      <c r="C920" s="616" t="str">
        <f>IFERROR(VLOOKUP(B920,اسماء,2,0),"")</f>
        <v/>
      </c>
      <c r="D920" s="619" t="str">
        <f>IFERROR(VLOOKUP($B920,اسماء,3,0),"")</f>
        <v/>
      </c>
      <c r="E920" s="129" t="s">
        <v>30</v>
      </c>
      <c r="F920" s="600">
        <f>IFERROR(VLOOKUP($B920,اسماء,5,0),0)</f>
        <v>0</v>
      </c>
      <c r="G920" s="601"/>
      <c r="H920" s="602">
        <f>IFERROR(VLOOKUP($B920,اسماء,6,0),0)</f>
        <v>0</v>
      </c>
      <c r="I920" s="622"/>
      <c r="J920" s="600">
        <f>IFERROR(VLOOKUP($B920,اسماء,7,0),0)</f>
        <v>0</v>
      </c>
      <c r="K920" s="601"/>
      <c r="L920" s="602">
        <f>IFERROR(VLOOKUP($B920,اسماء,8,0),0)</f>
        <v>0</v>
      </c>
      <c r="M920" s="603"/>
      <c r="N920" s="602">
        <f>IFERROR(VLOOKUP($B920,اسماء,9,0),0)</f>
        <v>0</v>
      </c>
      <c r="O920" s="603"/>
      <c r="P920" s="600">
        <f>IFERROR(VLOOKUP($B920,اسماء,10,0),0)</f>
        <v>0</v>
      </c>
      <c r="Q920" s="622"/>
      <c r="R920" s="371">
        <f t="shared" ref="R920" si="2500">SUM(F920:Q920)</f>
        <v>0</v>
      </c>
      <c r="S920" s="213" t="str">
        <f>IFERROR(VLOOKUP($B920,اسماء,12,0),"")</f>
        <v/>
      </c>
      <c r="T920" s="214" t="str">
        <f>IFERROR(VLOOKUP($B920,اسماء,13,0),"")</f>
        <v/>
      </c>
      <c r="U920" s="364" t="str">
        <f>IFERROR(VLOOKUP($B920,اسماء,14,0),"")</f>
        <v/>
      </c>
      <c r="V920" s="604" t="str">
        <f t="shared" ref="V920" si="2501">IF(Z920="غائب","راسب",IF(R923&gt;0,"ناجح","مرحل"))</f>
        <v>مرحل</v>
      </c>
      <c r="W920" s="19" t="str">
        <f t="shared" ref="W920:W921" si="2502">LOOKUP(R920,$AC$6:$AD$10)</f>
        <v>ضعيف</v>
      </c>
      <c r="X920" s="639">
        <f t="shared" ref="X920" si="2503">R923/$AC$3</f>
        <v>0</v>
      </c>
      <c r="Y920" s="8"/>
      <c r="Z920" s="597" t="str">
        <f>IFERROR(VLOOKUP($B920,اسماء,48,0),"")</f>
        <v/>
      </c>
      <c r="AK920" s="667" t="str">
        <f t="shared" ref="AK920" si="2504">IF(R923=0,"",R923/1+ROW()*0.00001)</f>
        <v/>
      </c>
      <c r="AL920" s="667">
        <f>B920</f>
        <v>0</v>
      </c>
      <c r="AM920" s="696"/>
      <c r="AN920" s="698">
        <v>200</v>
      </c>
      <c r="AO920" s="699" t="str">
        <f>IFERROR(LARGE($AK$10:$AK$1420,AN920),"")</f>
        <v/>
      </c>
      <c r="AP920" s="698" t="str">
        <f>VLOOKUP(AO920,$AK$10:$AL$1530,2,0)</f>
        <v>امجد عمر عبداللطيف سلطان</v>
      </c>
    </row>
    <row r="921" spans="1:42" ht="14.85" customHeight="1" x14ac:dyDescent="0.25">
      <c r="A921" s="611"/>
      <c r="B921" s="614"/>
      <c r="C921" s="617"/>
      <c r="D921" s="620"/>
      <c r="E921" s="130" t="s">
        <v>31</v>
      </c>
      <c r="F921" s="592">
        <f>IFERROR(VLOOKUP($B920,اسماء,15,0),0)</f>
        <v>0</v>
      </c>
      <c r="G921" s="593"/>
      <c r="H921" s="594">
        <f>IFERROR(VLOOKUP($B920,اسماء,16,0),0)</f>
        <v>0</v>
      </c>
      <c r="I921" s="595"/>
      <c r="J921" s="592">
        <f>IFERROR(VLOOKUP($B920,اسماء,17,0),0)</f>
        <v>0</v>
      </c>
      <c r="K921" s="593"/>
      <c r="L921" s="594">
        <f>IFERROR(VLOOKUP($B920,اسماء,18,0),0)</f>
        <v>0</v>
      </c>
      <c r="M921" s="596"/>
      <c r="N921" s="594">
        <f>IFERROR(VLOOKUP($B920,اسماء,19,0),0)</f>
        <v>0</v>
      </c>
      <c r="O921" s="596"/>
      <c r="P921" s="592">
        <f>IFERROR(VLOOKUP($B920,اسماء,20,0),0)</f>
        <v>0</v>
      </c>
      <c r="Q921" s="595"/>
      <c r="R921" s="372">
        <f t="shared" si="2394"/>
        <v>0</v>
      </c>
      <c r="S921" s="305" t="str">
        <f>IFERROR(VLOOKUP($B920,اسماء,23,0),"")</f>
        <v/>
      </c>
      <c r="T921" s="306" t="str">
        <f>IFERROR(VLOOKUP($B920,اسماء,24,0),"")</f>
        <v/>
      </c>
      <c r="U921" s="122" t="str">
        <f>IFERROR(VLOOKUP($B920,اسماء,25,0),"")</f>
        <v/>
      </c>
      <c r="V921" s="605"/>
      <c r="W921" s="19" t="str">
        <f t="shared" si="2502"/>
        <v>ضعيف</v>
      </c>
      <c r="X921" s="640"/>
      <c r="Y921" s="68"/>
      <c r="Z921" s="598"/>
      <c r="AK921" s="667"/>
      <c r="AL921" s="667"/>
      <c r="AM921" s="696"/>
      <c r="AN921" s="698"/>
      <c r="AO921" s="699"/>
      <c r="AP921" s="698"/>
    </row>
    <row r="922" spans="1:42" ht="14.85" customHeight="1" x14ac:dyDescent="0.25">
      <c r="A922" s="611"/>
      <c r="B922" s="614"/>
      <c r="C922" s="617"/>
      <c r="D922" s="620"/>
      <c r="E922" s="130" t="s">
        <v>32</v>
      </c>
      <c r="F922" s="592">
        <f>IFERROR(VLOOKUP($B920,اسماء,25,0),0)</f>
        <v>0</v>
      </c>
      <c r="G922" s="593"/>
      <c r="H922" s="594">
        <f>IFERROR(VLOOKUP($B920,اسماء,26,0),0)</f>
        <v>0</v>
      </c>
      <c r="I922" s="595"/>
      <c r="J922" s="592">
        <f>IFERROR(VLOOKUP($B920,اسماء,27,0),0)</f>
        <v>0</v>
      </c>
      <c r="K922" s="593"/>
      <c r="L922" s="594">
        <f>IFERROR(VLOOKUP($B920,اسماء,28,0),0)</f>
        <v>0</v>
      </c>
      <c r="M922" s="596"/>
      <c r="N922" s="594">
        <f>IFERROR(VLOOKUP($B920,اسماء,29,0),0)</f>
        <v>0</v>
      </c>
      <c r="O922" s="596"/>
      <c r="P922" s="592">
        <f>IFERROR(VLOOKUP($B920,اسماء,30,0),0)</f>
        <v>0</v>
      </c>
      <c r="Q922" s="595"/>
      <c r="R922" s="372">
        <f t="shared" si="2394"/>
        <v>0</v>
      </c>
      <c r="S922" s="305" t="str">
        <f>IFERROR(VLOOKUP($B920,اسماء,34,0),"")</f>
        <v/>
      </c>
      <c r="T922" s="306" t="str">
        <f>IFERROR(VLOOKUP($B920,اسماء,35,0),"")</f>
        <v/>
      </c>
      <c r="U922" s="122" t="str">
        <f>IFERROR(VLOOKUP($B920,اسماء,36,0),"")</f>
        <v/>
      </c>
      <c r="V922" s="605"/>
      <c r="W922" s="20" t="str">
        <f t="shared" ref="W922" si="2505">LOOKUP(R922,$AF$6:$AG$10)</f>
        <v>ضعيف</v>
      </c>
      <c r="X922" s="640"/>
      <c r="Y922" s="68"/>
      <c r="Z922" s="598"/>
      <c r="AK922" s="667"/>
      <c r="AL922" s="667"/>
      <c r="AM922" s="696"/>
      <c r="AN922" s="698"/>
      <c r="AO922" s="699"/>
      <c r="AP922" s="698"/>
    </row>
    <row r="923" spans="1:42" ht="14.85" customHeight="1" thickBot="1" x14ac:dyDescent="0.3">
      <c r="A923" s="612"/>
      <c r="B923" s="615"/>
      <c r="C923" s="618"/>
      <c r="D923" s="621"/>
      <c r="E923" s="124" t="s">
        <v>33</v>
      </c>
      <c r="F923" s="623">
        <f t="shared" ref="F923" si="2506">SUM(F920:G922)</f>
        <v>0</v>
      </c>
      <c r="G923" s="624"/>
      <c r="H923" s="625">
        <f t="shared" ref="H923" si="2507">SUM(H920:I922)</f>
        <v>0</v>
      </c>
      <c r="I923" s="626"/>
      <c r="J923" s="623">
        <f t="shared" ref="J923" si="2508">SUM(J920:K922)</f>
        <v>0</v>
      </c>
      <c r="K923" s="624"/>
      <c r="L923" s="625">
        <f t="shared" ref="L923" si="2509">SUM(L920:M922)</f>
        <v>0</v>
      </c>
      <c r="M923" s="642"/>
      <c r="N923" s="625">
        <f t="shared" ref="N923" si="2510">SUM(N920:O922)</f>
        <v>0</v>
      </c>
      <c r="O923" s="642"/>
      <c r="P923" s="623">
        <f t="shared" ref="P923" si="2511">SUM(P920:Q922)</f>
        <v>0</v>
      </c>
      <c r="Q923" s="626"/>
      <c r="R923" s="88">
        <f t="shared" ref="R923" si="2512">IF(AND(F923&gt;=$G$8,H923&gt;=$I$8,J923&gt;=$K$8,L923&gt;=$M$8,N923&gt;=$O$8,P923&gt;=$Q$8),SUM(F923:Q923),0)</f>
        <v>0</v>
      </c>
      <c r="S923" s="251"/>
      <c r="T923" s="97"/>
      <c r="U923" s="94"/>
      <c r="V923" s="606"/>
      <c r="W923" s="88" t="str">
        <f t="shared" ref="W923" si="2513">LOOKUP(R923,$AI$6:$AJ$10)</f>
        <v>ضعيف</v>
      </c>
      <c r="X923" s="641"/>
      <c r="Y923" s="8"/>
      <c r="Z923" s="599"/>
      <c r="AK923" s="667"/>
      <c r="AL923" s="667"/>
      <c r="AM923" s="696"/>
      <c r="AN923" s="698"/>
      <c r="AO923" s="699"/>
      <c r="AP923" s="698"/>
    </row>
    <row r="924" spans="1:42" ht="14.85" customHeight="1" thickBot="1" x14ac:dyDescent="0.3">
      <c r="F924" s="71"/>
      <c r="G924" s="72"/>
      <c r="H924" s="71"/>
      <c r="I924" s="72"/>
      <c r="J924" s="71"/>
      <c r="K924" s="72"/>
      <c r="L924" s="71"/>
      <c r="M924" s="72"/>
      <c r="N924" s="71"/>
      <c r="O924" s="72"/>
      <c r="P924" s="71"/>
      <c r="Q924" s="72"/>
      <c r="R924" s="70"/>
      <c r="S924" s="73"/>
      <c r="T924" s="70"/>
      <c r="U924" s="70"/>
      <c r="V924" s="70"/>
      <c r="W924" s="70"/>
      <c r="X924" s="254"/>
      <c r="Y924" s="68"/>
      <c r="AH924" s="74"/>
    </row>
    <row r="925" spans="1:42" customFormat="1" ht="14.85" customHeight="1" x14ac:dyDescent="0.3">
      <c r="A925" s="668" t="s">
        <v>9</v>
      </c>
      <c r="B925" s="669"/>
      <c r="C925" s="670"/>
      <c r="D925" s="277" t="s">
        <v>11</v>
      </c>
      <c r="E925" s="674" t="s">
        <v>96</v>
      </c>
      <c r="F925" s="663"/>
      <c r="G925" s="663"/>
      <c r="H925" s="663"/>
      <c r="I925" s="663"/>
      <c r="J925" s="7"/>
      <c r="K925" s="7"/>
      <c r="L925" s="7"/>
      <c r="M925" s="7"/>
      <c r="N925" s="7"/>
      <c r="O925" s="7"/>
      <c r="P925" s="7"/>
      <c r="Q925" s="663" t="s">
        <v>156</v>
      </c>
      <c r="R925" s="663"/>
      <c r="S925" s="663"/>
      <c r="T925" s="663"/>
      <c r="U925" s="663"/>
      <c r="V925" s="663"/>
      <c r="W925" s="1"/>
      <c r="X925" s="255"/>
      <c r="Z925" s="75"/>
      <c r="AA925" s="76"/>
      <c r="AB925" s="76"/>
      <c r="AC925" s="76"/>
      <c r="AD925" s="76"/>
    </row>
    <row r="926" spans="1:42" customFormat="1" ht="14.85" customHeight="1" x14ac:dyDescent="0.25">
      <c r="A926" s="77" t="s">
        <v>8</v>
      </c>
      <c r="B926" s="671">
        <f>ادخال1!$BJ$3</f>
        <v>0</v>
      </c>
      <c r="C926" s="672"/>
      <c r="D926" s="278"/>
      <c r="E926" s="7" t="s">
        <v>9</v>
      </c>
      <c r="F926" s="673" t="str">
        <f>ادخال1!$BJ$5</f>
        <v>د. عبدالرحمن خليفة العريبي</v>
      </c>
      <c r="G926" s="673"/>
      <c r="H926" s="673"/>
      <c r="I926" s="673"/>
      <c r="J926" s="673"/>
      <c r="K926" s="673"/>
      <c r="L926" s="673"/>
      <c r="M926" s="673"/>
      <c r="N926" s="673"/>
      <c r="O926" s="673"/>
      <c r="P926" s="7"/>
      <c r="Q926" s="673" t="str">
        <f>ادخال1!$BJ$6</f>
        <v>تاجوراء</v>
      </c>
      <c r="R926" s="673"/>
      <c r="S926" s="673"/>
      <c r="T926" s="673"/>
      <c r="U926" s="673"/>
      <c r="V926" s="673"/>
      <c r="W926" s="673"/>
      <c r="X926" s="63"/>
      <c r="Y926" s="63"/>
      <c r="Z926" s="75"/>
      <c r="AA926" s="75"/>
      <c r="AB926" s="75"/>
      <c r="AC926" s="75"/>
    </row>
    <row r="927" spans="1:42" customFormat="1" ht="14.85" customHeight="1" thickBot="1" x14ac:dyDescent="0.3">
      <c r="A927" s="78" t="s">
        <v>97</v>
      </c>
      <c r="B927" s="665">
        <f>ادخال1!$BJ$4</f>
        <v>0</v>
      </c>
      <c r="C927" s="666"/>
      <c r="D927" s="279"/>
      <c r="E927" s="7" t="s">
        <v>11</v>
      </c>
      <c r="F927" s="667"/>
      <c r="G927" s="667"/>
      <c r="H927" s="667"/>
      <c r="I927" s="667"/>
      <c r="J927" s="667"/>
      <c r="K927" s="667"/>
      <c r="L927" s="667"/>
      <c r="M927" s="667"/>
      <c r="N927" s="667"/>
      <c r="O927" s="667"/>
      <c r="P927" s="7"/>
      <c r="Q927" s="7" t="s">
        <v>11</v>
      </c>
      <c r="R927" s="1"/>
      <c r="S927" s="1"/>
      <c r="T927" s="1"/>
      <c r="U927" s="1"/>
      <c r="V927" s="1"/>
      <c r="W927" s="1"/>
      <c r="X927" s="255"/>
      <c r="Z927" s="75"/>
      <c r="AA927" s="75"/>
      <c r="AB927" s="75"/>
      <c r="AC927" s="75"/>
    </row>
    <row r="928" spans="1:42" customFormat="1" ht="14.85" customHeight="1" x14ac:dyDescent="0.25">
      <c r="A928" s="663" t="s">
        <v>98</v>
      </c>
      <c r="B928" s="663"/>
      <c r="C928" s="663"/>
      <c r="D928" s="663"/>
      <c r="E928" s="663" t="s">
        <v>99</v>
      </c>
      <c r="F928" s="663"/>
      <c r="G928" s="663"/>
      <c r="H928" s="663"/>
      <c r="I928" s="663"/>
      <c r="J928" s="663"/>
      <c r="K928" s="663"/>
      <c r="L928" s="663"/>
      <c r="M928" s="663"/>
      <c r="N928" s="663"/>
      <c r="O928" s="663"/>
      <c r="P928" s="663"/>
      <c r="Q928" s="663"/>
      <c r="R928" s="7"/>
      <c r="S928" s="664">
        <f ca="1">TODAY()</f>
        <v>46009</v>
      </c>
      <c r="T928" s="664"/>
      <c r="U928" s="664"/>
      <c r="V928" s="664"/>
      <c r="W928" s="664"/>
      <c r="X928" s="255"/>
    </row>
    <row r="929" spans="1:42" customFormat="1" ht="14.85" customHeight="1" thickBot="1" x14ac:dyDescent="0.3">
      <c r="A929" s="7"/>
      <c r="B929" s="663" t="s">
        <v>100</v>
      </c>
      <c r="C929" s="663"/>
      <c r="D929" s="663"/>
      <c r="E929" s="663" t="s">
        <v>101</v>
      </c>
      <c r="F929" s="663"/>
      <c r="G929" s="663"/>
      <c r="H929" s="663"/>
      <c r="I929" s="663"/>
      <c r="J929" s="663"/>
      <c r="K929" s="663"/>
      <c r="L929" s="663"/>
      <c r="M929" s="663"/>
      <c r="N929" s="663"/>
      <c r="O929" s="663"/>
      <c r="P929" s="663"/>
      <c r="Q929" s="663"/>
      <c r="R929" s="1"/>
      <c r="S929" s="1"/>
      <c r="T929" s="1"/>
      <c r="U929" s="1"/>
      <c r="V929" s="1"/>
      <c r="W929" s="1"/>
      <c r="X929" s="255"/>
    </row>
    <row r="930" spans="1:42" ht="14.85" customHeight="1" thickBot="1" x14ac:dyDescent="0.3">
      <c r="A930" s="610">
        <v>201</v>
      </c>
      <c r="B930" s="613">
        <f>VLOOKUP(A930,مسلسل,2,0)</f>
        <v>0</v>
      </c>
      <c r="C930" s="616" t="str">
        <f>IFERROR(VLOOKUP(B930,اسماء,2,0),"")</f>
        <v/>
      </c>
      <c r="D930" s="619" t="str">
        <f>IFERROR(VLOOKUP($B930,اسماء,3,0),"")</f>
        <v/>
      </c>
      <c r="E930" s="129" t="s">
        <v>30</v>
      </c>
      <c r="F930" s="600">
        <f>IFERROR(VLOOKUP($B930,اسماء,5,0),0)</f>
        <v>0</v>
      </c>
      <c r="G930" s="601"/>
      <c r="H930" s="602">
        <f>IFERROR(VLOOKUP($B930,اسماء,6,0),0)</f>
        <v>0</v>
      </c>
      <c r="I930" s="622"/>
      <c r="J930" s="600">
        <f>IFERROR(VLOOKUP($B930,اسماء,7,0),0)</f>
        <v>0</v>
      </c>
      <c r="K930" s="601"/>
      <c r="L930" s="602">
        <f>IFERROR(VLOOKUP($B930,اسماء,8,0),0)</f>
        <v>0</v>
      </c>
      <c r="M930" s="603"/>
      <c r="N930" s="602">
        <f>IFERROR(VLOOKUP($B930,اسماء,9,0),0)</f>
        <v>0</v>
      </c>
      <c r="O930" s="603"/>
      <c r="P930" s="600">
        <f>IFERROR(VLOOKUP($B930,اسماء,10,0),0)</f>
        <v>0</v>
      </c>
      <c r="Q930" s="622"/>
      <c r="R930" s="371">
        <f>SUM(F930:Q930)</f>
        <v>0</v>
      </c>
      <c r="S930" s="325" t="str">
        <f>IFERROR(VLOOKUP($B930,اسماء,12,0),"")</f>
        <v/>
      </c>
      <c r="T930" s="326" t="str">
        <f>IFERROR(VLOOKUP($B930,اسماء,13,0),"")</f>
        <v/>
      </c>
      <c r="U930" s="92" t="str">
        <f>IFERROR(VLOOKUP($B930,اسماء,14,0),"")</f>
        <v/>
      </c>
      <c r="V930" s="604" t="str">
        <f t="shared" ref="V930" si="2514">IF(Z930="غائب","راسب",IF(R933&gt;0,"ناجح","مرحل"))</f>
        <v>مرحل</v>
      </c>
      <c r="W930" s="19" t="str">
        <f t="shared" ref="W930:W931" si="2515">LOOKUP(R930,$AC$6:$AD$10)</f>
        <v>ضعيف</v>
      </c>
      <c r="X930" s="639">
        <f t="shared" ref="X930" si="2516">R933/$AC$3</f>
        <v>0</v>
      </c>
      <c r="Y930" s="68"/>
      <c r="Z930" s="597" t="str">
        <f>IFERROR(VLOOKUP($B930,اسماء,48,0),"")</f>
        <v/>
      </c>
      <c r="AK930" s="671" t="str">
        <f>IF(R933=0,"",R933/1+ROW()*0.00001)</f>
        <v/>
      </c>
      <c r="AL930" s="671">
        <f>B930</f>
        <v>0</v>
      </c>
      <c r="AM930" s="696"/>
      <c r="AN930" s="698">
        <v>201</v>
      </c>
      <c r="AO930" s="699" t="str">
        <f>IFERROR(LARGE($AK$10:$AK$1420,AN930),"")</f>
        <v/>
      </c>
      <c r="AP930" s="698" t="str">
        <f>VLOOKUP(AO930,$AK$10:$AL$1530,2,0)</f>
        <v>امجد عمر عبداللطيف سلطان</v>
      </c>
    </row>
    <row r="931" spans="1:42" ht="14.85" customHeight="1" x14ac:dyDescent="0.25">
      <c r="A931" s="611"/>
      <c r="B931" s="614"/>
      <c r="C931" s="617"/>
      <c r="D931" s="620"/>
      <c r="E931" s="130" t="s">
        <v>31</v>
      </c>
      <c r="F931" s="592">
        <f>IFERROR(VLOOKUP($B930,اسماء,16,0),0)</f>
        <v>0</v>
      </c>
      <c r="G931" s="593"/>
      <c r="H931" s="594">
        <f>IFERROR(VLOOKUP($B930,اسماء,17,0),0)</f>
        <v>0</v>
      </c>
      <c r="I931" s="595"/>
      <c r="J931" s="592">
        <f>IFERROR(VLOOKUP($B930,اسماء,18,0),0)</f>
        <v>0</v>
      </c>
      <c r="K931" s="593"/>
      <c r="L931" s="594">
        <f>IFERROR(VLOOKUP($B930,اسماء,19,0),0)</f>
        <v>0</v>
      </c>
      <c r="M931" s="596"/>
      <c r="N931" s="594">
        <f>IFERROR(VLOOKUP($B930,اسماء,20,0),0)</f>
        <v>0</v>
      </c>
      <c r="O931" s="596"/>
      <c r="P931" s="592">
        <f>IFERROR(VLOOKUP($B930,اسماء,21,0),0)</f>
        <v>0</v>
      </c>
      <c r="Q931" s="595"/>
      <c r="R931" s="372">
        <f t="shared" ref="R931:R932" si="2517">SUM(F931:Q931)</f>
        <v>0</v>
      </c>
      <c r="S931" s="305" t="str">
        <f>IFERROR(VLOOKUP($B930,اسماء,23,0),"")</f>
        <v/>
      </c>
      <c r="T931" s="306" t="str">
        <f>IFERROR(VLOOKUP($B930,اسماء,24,0),"")</f>
        <v/>
      </c>
      <c r="U931" s="122" t="str">
        <f>IFERROR(VLOOKUP($B930,اسماء,25,0),"")</f>
        <v/>
      </c>
      <c r="V931" s="605"/>
      <c r="W931" s="19" t="str">
        <f t="shared" si="2515"/>
        <v>ضعيف</v>
      </c>
      <c r="X931" s="640"/>
      <c r="Y931" s="68"/>
      <c r="Z931" s="598"/>
      <c r="AK931" s="671"/>
      <c r="AL931" s="671"/>
      <c r="AM931" s="696"/>
      <c r="AN931" s="698"/>
      <c r="AO931" s="699"/>
      <c r="AP931" s="698"/>
    </row>
    <row r="932" spans="1:42" ht="14.85" customHeight="1" x14ac:dyDescent="0.25">
      <c r="A932" s="611"/>
      <c r="B932" s="614"/>
      <c r="C932" s="617"/>
      <c r="D932" s="620"/>
      <c r="E932" s="130" t="s">
        <v>32</v>
      </c>
      <c r="F932" s="592">
        <f>IFERROR(VLOOKUP($B930,اسماء,27,0),0)</f>
        <v>0</v>
      </c>
      <c r="G932" s="593"/>
      <c r="H932" s="594">
        <f>IFERROR(VLOOKUP($B930,اسماء,28,0),0)</f>
        <v>0</v>
      </c>
      <c r="I932" s="595"/>
      <c r="J932" s="592">
        <f>IFERROR(VLOOKUP($B930,اسماء,29,0),0)</f>
        <v>0</v>
      </c>
      <c r="K932" s="593"/>
      <c r="L932" s="594">
        <f>IFERROR(VLOOKUP($B930,اسماء,30,0),0)</f>
        <v>0</v>
      </c>
      <c r="M932" s="596"/>
      <c r="N932" s="594">
        <f>IFERROR(VLOOKUP($B930,اسماء,31,0),0)</f>
        <v>0</v>
      </c>
      <c r="O932" s="596"/>
      <c r="P932" s="592">
        <f>IFERROR(VLOOKUP($B930,اسماء,32,0),0)</f>
        <v>0</v>
      </c>
      <c r="Q932" s="595"/>
      <c r="R932" s="372">
        <f t="shared" si="2517"/>
        <v>0</v>
      </c>
      <c r="S932" s="305" t="str">
        <f>IFERROR(VLOOKUP($B930,اسماء,34,0),"")</f>
        <v/>
      </c>
      <c r="T932" s="306" t="str">
        <f>IFERROR(VLOOKUP($B930,اسماء,35,0),"")</f>
        <v/>
      </c>
      <c r="U932" s="122" t="str">
        <f>IFERROR(VLOOKUP($B930,اسماء,36,0),"")</f>
        <v/>
      </c>
      <c r="V932" s="605"/>
      <c r="W932" s="20" t="str">
        <f t="shared" ref="W932" si="2518">LOOKUP(R932,$AF$6:$AG$10)</f>
        <v>ضعيف</v>
      </c>
      <c r="X932" s="640"/>
      <c r="Y932" s="8"/>
      <c r="Z932" s="598"/>
      <c r="AK932" s="671"/>
      <c r="AL932" s="671"/>
      <c r="AM932" s="696"/>
      <c r="AN932" s="698"/>
      <c r="AO932" s="699"/>
      <c r="AP932" s="698"/>
    </row>
    <row r="933" spans="1:42" ht="14.85" customHeight="1" thickBot="1" x14ac:dyDescent="0.3">
      <c r="A933" s="612"/>
      <c r="B933" s="615"/>
      <c r="C933" s="618"/>
      <c r="D933" s="621"/>
      <c r="E933" s="124" t="s">
        <v>33</v>
      </c>
      <c r="F933" s="623">
        <f>SUM(F930:G932)</f>
        <v>0</v>
      </c>
      <c r="G933" s="624"/>
      <c r="H933" s="625">
        <f>SUM(H930:I932)</f>
        <v>0</v>
      </c>
      <c r="I933" s="626"/>
      <c r="J933" s="623">
        <f>SUM(J930:K932)</f>
        <v>0</v>
      </c>
      <c r="K933" s="624"/>
      <c r="L933" s="625">
        <f>SUM(L930:M932)</f>
        <v>0</v>
      </c>
      <c r="M933" s="642"/>
      <c r="N933" s="625">
        <f>SUM(N930:O932)</f>
        <v>0</v>
      </c>
      <c r="O933" s="642"/>
      <c r="P933" s="623">
        <f>SUM(P930:Q932)</f>
        <v>0</v>
      </c>
      <c r="Q933" s="626"/>
      <c r="R933" s="88">
        <f>IF(AND(F933&gt;=$G$8,H933&gt;=$I$8,J933&gt;=$K$8,L933&gt;=$M$8,N933&gt;=$O$8,P933&gt;=$Q$8),SUM(F933:Q933),0)</f>
        <v>0</v>
      </c>
      <c r="S933" s="251"/>
      <c r="T933" s="97"/>
      <c r="U933" s="94"/>
      <c r="V933" s="606"/>
      <c r="W933" s="88" t="str">
        <f t="shared" ref="W933" si="2519">LOOKUP(R933,$AI$6:$AJ$10)</f>
        <v>ضعيف</v>
      </c>
      <c r="X933" s="641"/>
      <c r="Y933" s="68"/>
      <c r="Z933" s="599"/>
      <c r="AK933" s="671"/>
      <c r="AL933" s="671"/>
      <c r="AM933" s="696"/>
      <c r="AN933" s="698"/>
      <c r="AO933" s="699"/>
      <c r="AP933" s="698"/>
    </row>
    <row r="934" spans="1:42" ht="14.85" customHeight="1" thickBot="1" x14ac:dyDescent="0.3">
      <c r="A934" s="610">
        <v>202</v>
      </c>
      <c r="B934" s="613">
        <f>VLOOKUP(A934,مسلسل,2,0)</f>
        <v>0</v>
      </c>
      <c r="C934" s="616" t="str">
        <f>IFERROR(VLOOKUP(B934,اسماء,2,0),"")</f>
        <v/>
      </c>
      <c r="D934" s="619" t="str">
        <f>IFERROR(VLOOKUP($B934,اسماء,3,0),"")</f>
        <v/>
      </c>
      <c r="E934" s="129" t="s">
        <v>30</v>
      </c>
      <c r="F934" s="600">
        <f>IFERROR(VLOOKUP($B934,اسماء,5,0),0)</f>
        <v>0</v>
      </c>
      <c r="G934" s="601"/>
      <c r="H934" s="602">
        <f>IFERROR(VLOOKUP($B934,اسماء,6,0),0)</f>
        <v>0</v>
      </c>
      <c r="I934" s="622"/>
      <c r="J934" s="600">
        <f>IFERROR(VLOOKUP($B934,اسماء,7,0),0)</f>
        <v>0</v>
      </c>
      <c r="K934" s="601"/>
      <c r="L934" s="602">
        <f>IFERROR(VLOOKUP($B934,اسماء,8,0),0)</f>
        <v>0</v>
      </c>
      <c r="M934" s="603"/>
      <c r="N934" s="602">
        <f>IFERROR(VLOOKUP($B934,اسماء,9,0),0)</f>
        <v>0</v>
      </c>
      <c r="O934" s="603"/>
      <c r="P934" s="600">
        <f>IFERROR(VLOOKUP($B934,اسماء,10,0),0)</f>
        <v>0</v>
      </c>
      <c r="Q934" s="622"/>
      <c r="R934" s="371">
        <f t="shared" ref="R934:R968" si="2520">SUM(F934:Q934)</f>
        <v>0</v>
      </c>
      <c r="S934" s="213" t="str">
        <f>IFERROR(VLOOKUP($B934,اسماء,12,0),"")</f>
        <v/>
      </c>
      <c r="T934" s="214" t="str">
        <f>IFERROR(VLOOKUP($B934,اسماء,13,0),"")</f>
        <v/>
      </c>
      <c r="U934" s="364" t="str">
        <f>IFERROR(VLOOKUP($B934,اسماء,14,0),"")</f>
        <v/>
      </c>
      <c r="V934" s="604" t="str">
        <f t="shared" ref="V934" si="2521">IF(Z934="غائب","راسب",IF(R937&gt;0,"ناجح","مرحل"))</f>
        <v>مرحل</v>
      </c>
      <c r="W934" s="19" t="str">
        <f t="shared" ref="W934:W935" si="2522">LOOKUP(R934,$AC$6:$AD$10)</f>
        <v>ضعيف</v>
      </c>
      <c r="X934" s="639">
        <f t="shared" ref="X934" si="2523">R937/$AC$3</f>
        <v>0</v>
      </c>
      <c r="Y934" s="68"/>
      <c r="Z934" s="597" t="str">
        <f>IFERROR(VLOOKUP($B934,اسماء,48,0),"")</f>
        <v/>
      </c>
      <c r="AK934" s="667" t="str">
        <f t="shared" ref="AK934" si="2524">IF(R937=0,"",R937/1+ROW()*0.00001)</f>
        <v/>
      </c>
      <c r="AL934" s="667">
        <f>B934</f>
        <v>0</v>
      </c>
      <c r="AM934" s="696"/>
      <c r="AN934" s="698">
        <v>202</v>
      </c>
      <c r="AO934" s="699" t="str">
        <f>IFERROR(LARGE($AK$10:$AK$1420,AN934),"")</f>
        <v/>
      </c>
      <c r="AP934" s="698" t="str">
        <f>VLOOKUP(AO934,$AK$10:$AL$1530,2,0)</f>
        <v>امجد عمر عبداللطيف سلطان</v>
      </c>
    </row>
    <row r="935" spans="1:42" ht="14.85" customHeight="1" x14ac:dyDescent="0.25">
      <c r="A935" s="611"/>
      <c r="B935" s="614"/>
      <c r="C935" s="617"/>
      <c r="D935" s="620"/>
      <c r="E935" s="130" t="s">
        <v>31</v>
      </c>
      <c r="F935" s="592">
        <f>IFERROR(VLOOKUP($B934,اسماء,15,0),0)</f>
        <v>0</v>
      </c>
      <c r="G935" s="593"/>
      <c r="H935" s="594">
        <f>IFERROR(VLOOKUP($B934,اسماء,16,0),0)</f>
        <v>0</v>
      </c>
      <c r="I935" s="595"/>
      <c r="J935" s="592">
        <f>IFERROR(VLOOKUP($B934,اسماء,17,0),0)</f>
        <v>0</v>
      </c>
      <c r="K935" s="593"/>
      <c r="L935" s="594">
        <f>IFERROR(VLOOKUP($B934,اسماء,18,0),0)</f>
        <v>0</v>
      </c>
      <c r="M935" s="596"/>
      <c r="N935" s="594">
        <f>IFERROR(VLOOKUP($B934,اسماء,19,0),0)</f>
        <v>0</v>
      </c>
      <c r="O935" s="596"/>
      <c r="P935" s="592">
        <f>IFERROR(VLOOKUP($B934,اسماء,20,0),0)</f>
        <v>0</v>
      </c>
      <c r="Q935" s="595"/>
      <c r="R935" s="372">
        <f t="shared" si="2520"/>
        <v>0</v>
      </c>
      <c r="S935" s="305" t="str">
        <f>IFERROR(VLOOKUP($B934,اسماء,23,0),"")</f>
        <v/>
      </c>
      <c r="T935" s="306" t="str">
        <f>IFERROR(VLOOKUP($B934,اسماء,24,0),"")</f>
        <v/>
      </c>
      <c r="U935" s="122" t="str">
        <f>IFERROR(VLOOKUP($B934,اسماء,25,0),"")</f>
        <v/>
      </c>
      <c r="V935" s="605"/>
      <c r="W935" s="19" t="str">
        <f t="shared" si="2522"/>
        <v>ضعيف</v>
      </c>
      <c r="X935" s="640"/>
      <c r="Y935" s="8"/>
      <c r="Z935" s="598"/>
      <c r="AK935" s="667"/>
      <c r="AL935" s="667"/>
      <c r="AM935" s="696"/>
      <c r="AN935" s="698"/>
      <c r="AO935" s="699"/>
      <c r="AP935" s="698"/>
    </row>
    <row r="936" spans="1:42" ht="14.85" customHeight="1" x14ac:dyDescent="0.25">
      <c r="A936" s="611"/>
      <c r="B936" s="614"/>
      <c r="C936" s="617"/>
      <c r="D936" s="620"/>
      <c r="E936" s="130" t="s">
        <v>32</v>
      </c>
      <c r="F936" s="592">
        <f>IFERROR(VLOOKUP($B934,اسماء,25,0),0)</f>
        <v>0</v>
      </c>
      <c r="G936" s="593"/>
      <c r="H936" s="594">
        <f>IFERROR(VLOOKUP($B934,اسماء,26,0),0)</f>
        <v>0</v>
      </c>
      <c r="I936" s="595"/>
      <c r="J936" s="592">
        <f>IFERROR(VLOOKUP($B934,اسماء,27,0),0)</f>
        <v>0</v>
      </c>
      <c r="K936" s="593"/>
      <c r="L936" s="594">
        <f>IFERROR(VLOOKUP($B934,اسماء,28,0),0)</f>
        <v>0</v>
      </c>
      <c r="M936" s="596"/>
      <c r="N936" s="594">
        <f>IFERROR(VLOOKUP($B934,اسماء,29,0),0)</f>
        <v>0</v>
      </c>
      <c r="O936" s="596"/>
      <c r="P936" s="592">
        <f>IFERROR(VLOOKUP($B934,اسماء,30,0),0)</f>
        <v>0</v>
      </c>
      <c r="Q936" s="595"/>
      <c r="R936" s="372">
        <f t="shared" si="2520"/>
        <v>0</v>
      </c>
      <c r="S936" s="305" t="str">
        <f>IFERROR(VLOOKUP($B934,اسماء,34,0),"")</f>
        <v/>
      </c>
      <c r="T936" s="306" t="str">
        <f>IFERROR(VLOOKUP($B934,اسماء,35,0),"")</f>
        <v/>
      </c>
      <c r="U936" s="122" t="str">
        <f>IFERROR(VLOOKUP($B934,اسماء,36,0),"")</f>
        <v/>
      </c>
      <c r="V936" s="605"/>
      <c r="W936" s="20" t="str">
        <f t="shared" ref="W936" si="2525">LOOKUP(R936,$AF$6:$AG$10)</f>
        <v>ضعيف</v>
      </c>
      <c r="X936" s="640"/>
      <c r="Y936" s="68"/>
      <c r="Z936" s="598"/>
      <c r="AK936" s="667"/>
      <c r="AL936" s="667"/>
      <c r="AM936" s="696"/>
      <c r="AN936" s="698"/>
      <c r="AO936" s="699"/>
      <c r="AP936" s="698"/>
    </row>
    <row r="937" spans="1:42" ht="14.85" customHeight="1" thickBot="1" x14ac:dyDescent="0.3">
      <c r="A937" s="612"/>
      <c r="B937" s="615"/>
      <c r="C937" s="618"/>
      <c r="D937" s="621"/>
      <c r="E937" s="124" t="s">
        <v>33</v>
      </c>
      <c r="F937" s="623">
        <f>SUM(F934:G936)</f>
        <v>0</v>
      </c>
      <c r="G937" s="624"/>
      <c r="H937" s="625">
        <f>SUM(H934:I936)</f>
        <v>0</v>
      </c>
      <c r="I937" s="626"/>
      <c r="J937" s="623">
        <f>SUM(J934:K936)</f>
        <v>0</v>
      </c>
      <c r="K937" s="624"/>
      <c r="L937" s="625">
        <f>SUM(L934:M936)</f>
        <v>0</v>
      </c>
      <c r="M937" s="642"/>
      <c r="N937" s="625">
        <f>SUM(N934:O936)</f>
        <v>0</v>
      </c>
      <c r="O937" s="642"/>
      <c r="P937" s="623">
        <f>SUM(P934:Q936)</f>
        <v>0</v>
      </c>
      <c r="Q937" s="626"/>
      <c r="R937" s="88">
        <f t="shared" ref="R937" si="2526">IF(AND(F937&gt;=$G$8,H937&gt;=$I$8,J937&gt;=$K$8,L937&gt;=$M$8,N937&gt;=$O$8,P937&gt;=$Q$8),SUM(F937:Q937),0)</f>
        <v>0</v>
      </c>
      <c r="S937" s="251"/>
      <c r="T937" s="97"/>
      <c r="U937" s="94"/>
      <c r="V937" s="606"/>
      <c r="W937" s="88" t="str">
        <f t="shared" ref="W937" si="2527">LOOKUP(R937,$AI$6:$AJ$10)</f>
        <v>ضعيف</v>
      </c>
      <c r="X937" s="641"/>
      <c r="Y937" s="68"/>
      <c r="Z937" s="599"/>
      <c r="AK937" s="667"/>
      <c r="AL937" s="667"/>
      <c r="AM937" s="696"/>
      <c r="AN937" s="698"/>
      <c r="AO937" s="699"/>
      <c r="AP937" s="698"/>
    </row>
    <row r="938" spans="1:42" ht="14.85" customHeight="1" thickBot="1" x14ac:dyDescent="0.3">
      <c r="A938" s="610">
        <v>203</v>
      </c>
      <c r="B938" s="613">
        <f>VLOOKUP(A938,مسلسل,2,0)</f>
        <v>0</v>
      </c>
      <c r="C938" s="616" t="str">
        <f>IFERROR(VLOOKUP(B938,اسماء,2,0),"")</f>
        <v/>
      </c>
      <c r="D938" s="619" t="str">
        <f>IFERROR(VLOOKUP($B938,اسماء,3,0),"")</f>
        <v/>
      </c>
      <c r="E938" s="129" t="s">
        <v>30</v>
      </c>
      <c r="F938" s="600">
        <f>IFERROR(VLOOKUP($B938,اسماء,5,0),0)</f>
        <v>0</v>
      </c>
      <c r="G938" s="601"/>
      <c r="H938" s="602">
        <f>IFERROR(VLOOKUP($B938,اسماء,6,0),0)</f>
        <v>0</v>
      </c>
      <c r="I938" s="622"/>
      <c r="J938" s="600">
        <f>IFERROR(VLOOKUP($B938,اسماء,7,0),0)</f>
        <v>0</v>
      </c>
      <c r="K938" s="601"/>
      <c r="L938" s="602">
        <f>IFERROR(VLOOKUP($B938,اسماء,8,0),0)</f>
        <v>0</v>
      </c>
      <c r="M938" s="603"/>
      <c r="N938" s="602">
        <f>IFERROR(VLOOKUP($B938,اسماء,9,0),0)</f>
        <v>0</v>
      </c>
      <c r="O938" s="603"/>
      <c r="P938" s="600">
        <f>IFERROR(VLOOKUP($B938,اسماء,10,0),0)</f>
        <v>0</v>
      </c>
      <c r="Q938" s="622"/>
      <c r="R938" s="371">
        <f t="shared" ref="R938" si="2528">SUM(F938:Q938)</f>
        <v>0</v>
      </c>
      <c r="S938" s="213" t="str">
        <f>IFERROR(VLOOKUP($B938,اسماء,12,0),"")</f>
        <v/>
      </c>
      <c r="T938" s="214" t="str">
        <f>IFERROR(VLOOKUP($B938,اسماء,13,0),"")</f>
        <v/>
      </c>
      <c r="U938" s="364" t="str">
        <f>IFERROR(VLOOKUP($B938,اسماء,14,0),"")</f>
        <v/>
      </c>
      <c r="V938" s="604" t="str">
        <f t="shared" ref="V938" si="2529">IF(Z938="غائب","راسب",IF(R941&gt;0,"ناجح","مرحل"))</f>
        <v>مرحل</v>
      </c>
      <c r="W938" s="19" t="str">
        <f t="shared" ref="W938:W939" si="2530">LOOKUP(R938,$AC$6:$AD$10)</f>
        <v>ضعيف</v>
      </c>
      <c r="X938" s="639">
        <f t="shared" ref="X938" si="2531">R941/$AC$3</f>
        <v>0</v>
      </c>
      <c r="Y938" s="8"/>
      <c r="Z938" s="597" t="str">
        <f>IFERROR(VLOOKUP($B938,اسماء,48,0),"")</f>
        <v/>
      </c>
      <c r="AK938" s="667" t="str">
        <f t="shared" ref="AK938" si="2532">IF(R941=0,"",R941/1+ROW()*0.00001)</f>
        <v/>
      </c>
      <c r="AL938" s="667">
        <f>B938</f>
        <v>0</v>
      </c>
      <c r="AM938" s="696"/>
      <c r="AN938" s="698">
        <v>203</v>
      </c>
      <c r="AO938" s="699" t="str">
        <f>IFERROR(LARGE($AK$10:$AK$1420,AN938),"")</f>
        <v/>
      </c>
      <c r="AP938" s="698" t="str">
        <f>VLOOKUP(AO938,$AK$10:$AL$1530,2,0)</f>
        <v>امجد عمر عبداللطيف سلطان</v>
      </c>
    </row>
    <row r="939" spans="1:42" ht="14.85" customHeight="1" x14ac:dyDescent="0.25">
      <c r="A939" s="611"/>
      <c r="B939" s="614"/>
      <c r="C939" s="617"/>
      <c r="D939" s="620"/>
      <c r="E939" s="130" t="s">
        <v>31</v>
      </c>
      <c r="F939" s="592">
        <f>IFERROR(VLOOKUP($B938,اسماء,15,0),0)</f>
        <v>0</v>
      </c>
      <c r="G939" s="593"/>
      <c r="H939" s="594">
        <f>IFERROR(VLOOKUP($B938,اسماء,16,0),0)</f>
        <v>0</v>
      </c>
      <c r="I939" s="595"/>
      <c r="J939" s="592">
        <f>IFERROR(VLOOKUP($B938,اسماء,17,0),0)</f>
        <v>0</v>
      </c>
      <c r="K939" s="593"/>
      <c r="L939" s="594">
        <f>IFERROR(VLOOKUP($B938,اسماء,18,0),0)</f>
        <v>0</v>
      </c>
      <c r="M939" s="596"/>
      <c r="N939" s="594">
        <f>IFERROR(VLOOKUP($B938,اسماء,19,0),0)</f>
        <v>0</v>
      </c>
      <c r="O939" s="596"/>
      <c r="P939" s="592">
        <f>IFERROR(VLOOKUP($B938,اسماء,20,0),0)</f>
        <v>0</v>
      </c>
      <c r="Q939" s="595"/>
      <c r="R939" s="372">
        <f t="shared" si="2520"/>
        <v>0</v>
      </c>
      <c r="S939" s="305" t="str">
        <f>IFERROR(VLOOKUP($B938,اسماء,23,0),"")</f>
        <v/>
      </c>
      <c r="T939" s="306" t="str">
        <f>IFERROR(VLOOKUP($B938,اسماء,24,0),"")</f>
        <v/>
      </c>
      <c r="U939" s="122" t="str">
        <f>IFERROR(VLOOKUP($B938,اسماء,25,0),"")</f>
        <v/>
      </c>
      <c r="V939" s="605"/>
      <c r="W939" s="19" t="str">
        <f t="shared" si="2530"/>
        <v>ضعيف</v>
      </c>
      <c r="X939" s="640"/>
      <c r="Y939" s="68"/>
      <c r="Z939" s="598"/>
      <c r="AK939" s="667"/>
      <c r="AL939" s="667"/>
      <c r="AM939" s="696"/>
      <c r="AN939" s="698"/>
      <c r="AO939" s="699"/>
      <c r="AP939" s="698"/>
    </row>
    <row r="940" spans="1:42" ht="14.85" customHeight="1" x14ac:dyDescent="0.25">
      <c r="A940" s="611"/>
      <c r="B940" s="614"/>
      <c r="C940" s="617"/>
      <c r="D940" s="620"/>
      <c r="E940" s="130" t="s">
        <v>32</v>
      </c>
      <c r="F940" s="592">
        <f>IFERROR(VLOOKUP($B938,اسماء,25,0),0)</f>
        <v>0</v>
      </c>
      <c r="G940" s="593"/>
      <c r="H940" s="594">
        <f>IFERROR(VLOOKUP($B938,اسماء,26,0),0)</f>
        <v>0</v>
      </c>
      <c r="I940" s="595"/>
      <c r="J940" s="592">
        <f>IFERROR(VLOOKUP($B938,اسماء,27,0),0)</f>
        <v>0</v>
      </c>
      <c r="K940" s="593"/>
      <c r="L940" s="594">
        <f>IFERROR(VLOOKUP($B938,اسماء,28,0),0)</f>
        <v>0</v>
      </c>
      <c r="M940" s="596"/>
      <c r="N940" s="594">
        <f>IFERROR(VLOOKUP($B938,اسماء,29,0),0)</f>
        <v>0</v>
      </c>
      <c r="O940" s="596"/>
      <c r="P940" s="592">
        <f>IFERROR(VLOOKUP($B938,اسماء,30,0),0)</f>
        <v>0</v>
      </c>
      <c r="Q940" s="595"/>
      <c r="R940" s="372">
        <f t="shared" si="2520"/>
        <v>0</v>
      </c>
      <c r="S940" s="305" t="str">
        <f>IFERROR(VLOOKUP($B938,اسماء,34,0),"")</f>
        <v/>
      </c>
      <c r="T940" s="306" t="str">
        <f>IFERROR(VLOOKUP($B938,اسماء,35,0),"")</f>
        <v/>
      </c>
      <c r="U940" s="122" t="str">
        <f>IFERROR(VLOOKUP($B938,اسماء,36,0),"")</f>
        <v/>
      </c>
      <c r="V940" s="605"/>
      <c r="W940" s="20" t="str">
        <f t="shared" ref="W940" si="2533">LOOKUP(R940,$AF$6:$AG$10)</f>
        <v>ضعيف</v>
      </c>
      <c r="X940" s="640"/>
      <c r="Y940" s="68"/>
      <c r="Z940" s="598"/>
      <c r="AK940" s="667"/>
      <c r="AL940" s="667"/>
      <c r="AM940" s="696"/>
      <c r="AN940" s="698"/>
      <c r="AO940" s="699"/>
      <c r="AP940" s="698"/>
    </row>
    <row r="941" spans="1:42" ht="14.85" customHeight="1" thickBot="1" x14ac:dyDescent="0.3">
      <c r="A941" s="612"/>
      <c r="B941" s="615"/>
      <c r="C941" s="618"/>
      <c r="D941" s="621"/>
      <c r="E941" s="124" t="s">
        <v>33</v>
      </c>
      <c r="F941" s="623">
        <f t="shared" ref="F941" si="2534">SUM(F938:G940)</f>
        <v>0</v>
      </c>
      <c r="G941" s="624"/>
      <c r="H941" s="625">
        <f t="shared" ref="H941" si="2535">SUM(H938:I940)</f>
        <v>0</v>
      </c>
      <c r="I941" s="626"/>
      <c r="J941" s="623">
        <f t="shared" ref="J941" si="2536">SUM(J938:K940)</f>
        <v>0</v>
      </c>
      <c r="K941" s="624"/>
      <c r="L941" s="625">
        <f t="shared" ref="L941" si="2537">SUM(L938:M940)</f>
        <v>0</v>
      </c>
      <c r="M941" s="642"/>
      <c r="N941" s="625">
        <f t="shared" ref="N941" si="2538">SUM(N938:O940)</f>
        <v>0</v>
      </c>
      <c r="O941" s="642"/>
      <c r="P941" s="623">
        <f t="shared" ref="P941" si="2539">SUM(P938:Q940)</f>
        <v>0</v>
      </c>
      <c r="Q941" s="626"/>
      <c r="R941" s="88">
        <f t="shared" ref="R941" si="2540">IF(AND(F941&gt;=$G$8,H941&gt;=$I$8,J941&gt;=$K$8,L941&gt;=$M$8,N941&gt;=$O$8,P941&gt;=$Q$8),SUM(F941:Q941),0)</f>
        <v>0</v>
      </c>
      <c r="S941" s="251"/>
      <c r="T941" s="97"/>
      <c r="U941" s="94"/>
      <c r="V941" s="606"/>
      <c r="W941" s="88" t="str">
        <f t="shared" ref="W941" si="2541">LOOKUP(R941,$AI$6:$AJ$10)</f>
        <v>ضعيف</v>
      </c>
      <c r="X941" s="641"/>
      <c r="Y941" s="8"/>
      <c r="Z941" s="599"/>
      <c r="AK941" s="667"/>
      <c r="AL941" s="667"/>
      <c r="AM941" s="696"/>
      <c r="AN941" s="698"/>
      <c r="AO941" s="699"/>
      <c r="AP941" s="698"/>
    </row>
    <row r="942" spans="1:42" ht="14.85" customHeight="1" thickBot="1" x14ac:dyDescent="0.3">
      <c r="A942" s="610">
        <v>204</v>
      </c>
      <c r="B942" s="613">
        <f>VLOOKUP(A942,مسلسل,2,0)</f>
        <v>0</v>
      </c>
      <c r="C942" s="616" t="str">
        <f>IFERROR(VLOOKUP(B942,اسماء,2,0),"")</f>
        <v/>
      </c>
      <c r="D942" s="619" t="str">
        <f>IFERROR(VLOOKUP($B942,اسماء,3,0),"")</f>
        <v/>
      </c>
      <c r="E942" s="129" t="s">
        <v>30</v>
      </c>
      <c r="F942" s="600">
        <f>IFERROR(VLOOKUP($B942,اسماء,5,0),0)</f>
        <v>0</v>
      </c>
      <c r="G942" s="601"/>
      <c r="H942" s="602">
        <f>IFERROR(VLOOKUP($B942,اسماء,6,0),0)</f>
        <v>0</v>
      </c>
      <c r="I942" s="622"/>
      <c r="J942" s="600">
        <f>IFERROR(VLOOKUP($B942,اسماء,7,0),0)</f>
        <v>0</v>
      </c>
      <c r="K942" s="601"/>
      <c r="L942" s="602">
        <f>IFERROR(VLOOKUP($B942,اسماء,8,0),0)</f>
        <v>0</v>
      </c>
      <c r="M942" s="603"/>
      <c r="N942" s="602">
        <f>IFERROR(VLOOKUP($B942,اسماء,9,0),0)</f>
        <v>0</v>
      </c>
      <c r="O942" s="603"/>
      <c r="P942" s="600">
        <f>IFERROR(VLOOKUP($B942,اسماء,10,0),0)</f>
        <v>0</v>
      </c>
      <c r="Q942" s="622"/>
      <c r="R942" s="371">
        <f t="shared" ref="R942" si="2542">SUM(F942:Q942)</f>
        <v>0</v>
      </c>
      <c r="S942" s="213" t="str">
        <f>IFERROR(VLOOKUP($B942,اسماء,12,0),"")</f>
        <v/>
      </c>
      <c r="T942" s="214" t="str">
        <f>IFERROR(VLOOKUP($B942,اسماء,13,0),"")</f>
        <v/>
      </c>
      <c r="U942" s="364" t="str">
        <f>IFERROR(VLOOKUP($B942,اسماء,14,0),"")</f>
        <v/>
      </c>
      <c r="V942" s="604" t="str">
        <f t="shared" ref="V942" si="2543">IF(Z942="غائب","راسب",IF(R945&gt;0,"ناجح","مرحل"))</f>
        <v>مرحل</v>
      </c>
      <c r="W942" s="19" t="str">
        <f t="shared" ref="W942:W943" si="2544">LOOKUP(R942,$AC$6:$AD$10)</f>
        <v>ضعيف</v>
      </c>
      <c r="X942" s="639">
        <f t="shared" ref="X942" si="2545">R945/$AC$3</f>
        <v>0</v>
      </c>
      <c r="Y942" s="68"/>
      <c r="Z942" s="597" t="str">
        <f>IFERROR(VLOOKUP($B942,اسماء,48,0),"")</f>
        <v/>
      </c>
      <c r="AK942" s="667" t="str">
        <f t="shared" ref="AK942" si="2546">IF(R945=0,"",R945/1+ROW()*0.00001)</f>
        <v/>
      </c>
      <c r="AL942" s="667">
        <f>B942</f>
        <v>0</v>
      </c>
      <c r="AM942" s="696"/>
      <c r="AN942" s="698">
        <v>204</v>
      </c>
      <c r="AO942" s="699" t="str">
        <f>IFERROR(LARGE($AK$10:$AK$1420,AN942),"")</f>
        <v/>
      </c>
      <c r="AP942" s="698" t="str">
        <f>VLOOKUP(AO942,$AK$10:$AL$1530,2,0)</f>
        <v>امجد عمر عبداللطيف سلطان</v>
      </c>
    </row>
    <row r="943" spans="1:42" ht="14.85" customHeight="1" x14ac:dyDescent="0.25">
      <c r="A943" s="611"/>
      <c r="B943" s="614"/>
      <c r="C943" s="617"/>
      <c r="D943" s="620"/>
      <c r="E943" s="130" t="s">
        <v>31</v>
      </c>
      <c r="F943" s="592">
        <f>IFERROR(VLOOKUP($B942,اسماء,15,0),0)</f>
        <v>0</v>
      </c>
      <c r="G943" s="593"/>
      <c r="H943" s="594">
        <f>IFERROR(VLOOKUP($B942,اسماء,16,0),0)</f>
        <v>0</v>
      </c>
      <c r="I943" s="595"/>
      <c r="J943" s="592">
        <f>IFERROR(VLOOKUP($B942,اسماء,17,0),0)</f>
        <v>0</v>
      </c>
      <c r="K943" s="593"/>
      <c r="L943" s="594">
        <f>IFERROR(VLOOKUP($B942,اسماء,18,0),0)</f>
        <v>0</v>
      </c>
      <c r="M943" s="596"/>
      <c r="N943" s="594">
        <f>IFERROR(VLOOKUP($B942,اسماء,19,0),0)</f>
        <v>0</v>
      </c>
      <c r="O943" s="596"/>
      <c r="P943" s="592">
        <f>IFERROR(VLOOKUP($B942,اسماء,20,0),0)</f>
        <v>0</v>
      </c>
      <c r="Q943" s="595"/>
      <c r="R943" s="372">
        <f t="shared" si="2520"/>
        <v>0</v>
      </c>
      <c r="S943" s="305" t="str">
        <f>IFERROR(VLOOKUP($B942,اسماء,23,0),"")</f>
        <v/>
      </c>
      <c r="T943" s="306" t="str">
        <f>IFERROR(VLOOKUP($B942,اسماء,24,0),"")</f>
        <v/>
      </c>
      <c r="U943" s="122" t="str">
        <f>IFERROR(VLOOKUP($B942,اسماء,25,0),"")</f>
        <v/>
      </c>
      <c r="V943" s="605"/>
      <c r="W943" s="19" t="str">
        <f t="shared" si="2544"/>
        <v>ضعيف</v>
      </c>
      <c r="X943" s="640"/>
      <c r="Y943" s="68"/>
      <c r="Z943" s="598"/>
      <c r="AK943" s="667"/>
      <c r="AL943" s="667"/>
      <c r="AM943" s="696"/>
      <c r="AN943" s="698"/>
      <c r="AO943" s="699"/>
      <c r="AP943" s="698"/>
    </row>
    <row r="944" spans="1:42" ht="14.85" customHeight="1" x14ac:dyDescent="0.25">
      <c r="A944" s="611"/>
      <c r="B944" s="614"/>
      <c r="C944" s="617"/>
      <c r="D944" s="620"/>
      <c r="E944" s="130" t="s">
        <v>32</v>
      </c>
      <c r="F944" s="592">
        <f>IFERROR(VLOOKUP($B942,اسماء,25,0),0)</f>
        <v>0</v>
      </c>
      <c r="G944" s="593"/>
      <c r="H944" s="594">
        <f>IFERROR(VLOOKUP($B942,اسماء,26,0),0)</f>
        <v>0</v>
      </c>
      <c r="I944" s="595"/>
      <c r="J944" s="592">
        <f>IFERROR(VLOOKUP($B942,اسماء,27,0),0)</f>
        <v>0</v>
      </c>
      <c r="K944" s="593"/>
      <c r="L944" s="594">
        <f>IFERROR(VLOOKUP($B942,اسماء,28,0),0)</f>
        <v>0</v>
      </c>
      <c r="M944" s="596"/>
      <c r="N944" s="594">
        <f>IFERROR(VLOOKUP($B942,اسماء,29,0),0)</f>
        <v>0</v>
      </c>
      <c r="O944" s="596"/>
      <c r="P944" s="592">
        <f>IFERROR(VLOOKUP($B942,اسماء,30,0),0)</f>
        <v>0</v>
      </c>
      <c r="Q944" s="595"/>
      <c r="R944" s="372">
        <f t="shared" si="2520"/>
        <v>0</v>
      </c>
      <c r="S944" s="305" t="str">
        <f>IFERROR(VLOOKUP($B942,اسماء,34,0),"")</f>
        <v/>
      </c>
      <c r="T944" s="306" t="str">
        <f>IFERROR(VLOOKUP($B942,اسماء,35,0),"")</f>
        <v/>
      </c>
      <c r="U944" s="122" t="str">
        <f>IFERROR(VLOOKUP($B942,اسماء,36,0),"")</f>
        <v/>
      </c>
      <c r="V944" s="605"/>
      <c r="W944" s="20" t="str">
        <f t="shared" ref="W944" si="2547">LOOKUP(R944,$AF$6:$AG$10)</f>
        <v>ضعيف</v>
      </c>
      <c r="X944" s="640"/>
      <c r="Y944" s="8"/>
      <c r="Z944" s="598"/>
      <c r="AK944" s="667"/>
      <c r="AL944" s="667"/>
      <c r="AM944" s="696"/>
      <c r="AN944" s="698"/>
      <c r="AO944" s="699"/>
      <c r="AP944" s="698"/>
    </row>
    <row r="945" spans="1:42" ht="14.85" customHeight="1" thickBot="1" x14ac:dyDescent="0.3">
      <c r="A945" s="612"/>
      <c r="B945" s="615"/>
      <c r="C945" s="618"/>
      <c r="D945" s="621"/>
      <c r="E945" s="124" t="s">
        <v>33</v>
      </c>
      <c r="F945" s="623">
        <f t="shared" ref="F945" si="2548">SUM(F942:G944)</f>
        <v>0</v>
      </c>
      <c r="G945" s="624"/>
      <c r="H945" s="625">
        <f t="shared" ref="H945" si="2549">SUM(H942:I944)</f>
        <v>0</v>
      </c>
      <c r="I945" s="626"/>
      <c r="J945" s="623">
        <f t="shared" ref="J945" si="2550">SUM(J942:K944)</f>
        <v>0</v>
      </c>
      <c r="K945" s="624"/>
      <c r="L945" s="625">
        <f t="shared" ref="L945" si="2551">SUM(L942:M944)</f>
        <v>0</v>
      </c>
      <c r="M945" s="642"/>
      <c r="N945" s="625">
        <f t="shared" ref="N945" si="2552">SUM(N942:O944)</f>
        <v>0</v>
      </c>
      <c r="O945" s="642"/>
      <c r="P945" s="623">
        <f t="shared" ref="P945" si="2553">SUM(P942:Q944)</f>
        <v>0</v>
      </c>
      <c r="Q945" s="626"/>
      <c r="R945" s="88">
        <f t="shared" ref="R945" si="2554">IF(AND(F945&gt;=$G$8,H945&gt;=$I$8,J945&gt;=$K$8,L945&gt;=$M$8,N945&gt;=$O$8,P945&gt;=$Q$8),SUM(F945:Q945),0)</f>
        <v>0</v>
      </c>
      <c r="S945" s="251"/>
      <c r="T945" s="97"/>
      <c r="U945" s="94"/>
      <c r="V945" s="606"/>
      <c r="W945" s="88" t="str">
        <f t="shared" ref="W945" si="2555">LOOKUP(R945,$AI$6:$AJ$10)</f>
        <v>ضعيف</v>
      </c>
      <c r="X945" s="641"/>
      <c r="Y945" s="68"/>
      <c r="Z945" s="599"/>
      <c r="AK945" s="667"/>
      <c r="AL945" s="667"/>
      <c r="AM945" s="696"/>
      <c r="AN945" s="698"/>
      <c r="AO945" s="699"/>
      <c r="AP945" s="698"/>
    </row>
    <row r="946" spans="1:42" ht="14.85" customHeight="1" thickBot="1" x14ac:dyDescent="0.3">
      <c r="A946" s="610">
        <v>205</v>
      </c>
      <c r="B946" s="613">
        <f>VLOOKUP(A946,مسلسل,2,0)</f>
        <v>0</v>
      </c>
      <c r="C946" s="616" t="str">
        <f>IFERROR(VLOOKUP(B946,اسماء,2,0),"")</f>
        <v/>
      </c>
      <c r="D946" s="619" t="str">
        <f>IFERROR(VLOOKUP($B946,اسماء,3,0),"")</f>
        <v/>
      </c>
      <c r="E946" s="129" t="s">
        <v>30</v>
      </c>
      <c r="F946" s="600">
        <f>IFERROR(VLOOKUP($B946,اسماء,5,0),0)</f>
        <v>0</v>
      </c>
      <c r="G946" s="601"/>
      <c r="H946" s="602">
        <f>IFERROR(VLOOKUP($B946,اسماء,6,0),0)</f>
        <v>0</v>
      </c>
      <c r="I946" s="622"/>
      <c r="J946" s="600">
        <f>IFERROR(VLOOKUP($B946,اسماء,7,0),0)</f>
        <v>0</v>
      </c>
      <c r="K946" s="601"/>
      <c r="L946" s="602">
        <f>IFERROR(VLOOKUP($B946,اسماء,8,0),0)</f>
        <v>0</v>
      </c>
      <c r="M946" s="603"/>
      <c r="N946" s="602">
        <f>IFERROR(VLOOKUP($B946,اسماء,9,0),0)</f>
        <v>0</v>
      </c>
      <c r="O946" s="603"/>
      <c r="P946" s="600">
        <f>IFERROR(VLOOKUP($B946,اسماء,10,0),0)</f>
        <v>0</v>
      </c>
      <c r="Q946" s="622"/>
      <c r="R946" s="371">
        <f t="shared" ref="R946" si="2556">SUM(F946:Q946)</f>
        <v>0</v>
      </c>
      <c r="S946" s="213" t="str">
        <f>IFERROR(VLOOKUP($B946,اسماء,12,0),"")</f>
        <v/>
      </c>
      <c r="T946" s="214" t="str">
        <f>IFERROR(VLOOKUP($B946,اسماء,13,0),"")</f>
        <v/>
      </c>
      <c r="U946" s="364" t="str">
        <f>IFERROR(VLOOKUP($B946,اسماء,14,0),"")</f>
        <v/>
      </c>
      <c r="V946" s="604" t="str">
        <f t="shared" ref="V946" si="2557">IF(Z946="غائب","راسب",IF(R949&gt;0,"ناجح","مرحل"))</f>
        <v>مرحل</v>
      </c>
      <c r="W946" s="19" t="str">
        <f t="shared" ref="W946:W947" si="2558">LOOKUP(R946,$AC$6:$AD$10)</f>
        <v>ضعيف</v>
      </c>
      <c r="X946" s="639">
        <f t="shared" ref="X946" si="2559">R949/$AC$3</f>
        <v>0</v>
      </c>
      <c r="Y946" s="68"/>
      <c r="Z946" s="597" t="str">
        <f>IFERROR(VLOOKUP($B946,اسماء,48,0),"")</f>
        <v/>
      </c>
      <c r="AK946" s="667" t="str">
        <f t="shared" ref="AK946" si="2560">IF(R949=0,"",R949/1+ROW()*0.00001)</f>
        <v/>
      </c>
      <c r="AL946" s="667">
        <f>B946</f>
        <v>0</v>
      </c>
      <c r="AM946" s="696"/>
      <c r="AN946" s="698">
        <v>205</v>
      </c>
      <c r="AO946" s="699" t="str">
        <f>IFERROR(LARGE($AK$10:$AK$1420,AN946),"")</f>
        <v/>
      </c>
      <c r="AP946" s="698" t="str">
        <f>VLOOKUP(AO946,$AK$10:$AL$1530,2,0)</f>
        <v>امجد عمر عبداللطيف سلطان</v>
      </c>
    </row>
    <row r="947" spans="1:42" ht="14.85" customHeight="1" x14ac:dyDescent="0.25">
      <c r="A947" s="611"/>
      <c r="B947" s="614"/>
      <c r="C947" s="617"/>
      <c r="D947" s="620"/>
      <c r="E947" s="130" t="s">
        <v>31</v>
      </c>
      <c r="F947" s="592">
        <f>IFERROR(VLOOKUP($B946,اسماء,15,0),0)</f>
        <v>0</v>
      </c>
      <c r="G947" s="593"/>
      <c r="H947" s="594">
        <f>IFERROR(VLOOKUP($B946,اسماء,16,0),0)</f>
        <v>0</v>
      </c>
      <c r="I947" s="595"/>
      <c r="J947" s="592">
        <f>IFERROR(VLOOKUP($B946,اسماء,17,0),0)</f>
        <v>0</v>
      </c>
      <c r="K947" s="593"/>
      <c r="L947" s="594">
        <f>IFERROR(VLOOKUP($B946,اسماء,18,0),0)</f>
        <v>0</v>
      </c>
      <c r="M947" s="596"/>
      <c r="N947" s="594">
        <f>IFERROR(VLOOKUP($B946,اسماء,19,0),0)</f>
        <v>0</v>
      </c>
      <c r="O947" s="596"/>
      <c r="P947" s="592">
        <f>IFERROR(VLOOKUP($B946,اسماء,20,0),0)</f>
        <v>0</v>
      </c>
      <c r="Q947" s="595"/>
      <c r="R947" s="372">
        <f t="shared" si="2520"/>
        <v>0</v>
      </c>
      <c r="S947" s="305" t="str">
        <f>IFERROR(VLOOKUP($B946,اسماء,23,0),"")</f>
        <v/>
      </c>
      <c r="T947" s="306" t="str">
        <f>IFERROR(VLOOKUP($B946,اسماء,24,0),"")</f>
        <v/>
      </c>
      <c r="U947" s="122" t="str">
        <f>IFERROR(VLOOKUP($B946,اسماء,25,0),"")</f>
        <v/>
      </c>
      <c r="V947" s="605"/>
      <c r="W947" s="19" t="str">
        <f t="shared" si="2558"/>
        <v>ضعيف</v>
      </c>
      <c r="X947" s="640"/>
      <c r="Y947" s="8"/>
      <c r="Z947" s="598"/>
      <c r="AK947" s="667"/>
      <c r="AL947" s="667"/>
      <c r="AM947" s="696"/>
      <c r="AN947" s="698"/>
      <c r="AO947" s="699"/>
      <c r="AP947" s="698"/>
    </row>
    <row r="948" spans="1:42" ht="14.85" customHeight="1" x14ac:dyDescent="0.25">
      <c r="A948" s="611"/>
      <c r="B948" s="614"/>
      <c r="C948" s="617"/>
      <c r="D948" s="620"/>
      <c r="E948" s="130" t="s">
        <v>32</v>
      </c>
      <c r="F948" s="592">
        <f>IFERROR(VLOOKUP($B946,اسماء,25,0),0)</f>
        <v>0</v>
      </c>
      <c r="G948" s="593"/>
      <c r="H948" s="594">
        <f>IFERROR(VLOOKUP($B946,اسماء,26,0),0)</f>
        <v>0</v>
      </c>
      <c r="I948" s="595"/>
      <c r="J948" s="592">
        <f>IFERROR(VLOOKUP($B946,اسماء,27,0),0)</f>
        <v>0</v>
      </c>
      <c r="K948" s="593"/>
      <c r="L948" s="594">
        <f>IFERROR(VLOOKUP($B946,اسماء,28,0),0)</f>
        <v>0</v>
      </c>
      <c r="M948" s="596"/>
      <c r="N948" s="594">
        <f>IFERROR(VLOOKUP($B946,اسماء,29,0),0)</f>
        <v>0</v>
      </c>
      <c r="O948" s="596"/>
      <c r="P948" s="592">
        <f>IFERROR(VLOOKUP($B946,اسماء,30,0),0)</f>
        <v>0</v>
      </c>
      <c r="Q948" s="595"/>
      <c r="R948" s="372">
        <f t="shared" si="2520"/>
        <v>0</v>
      </c>
      <c r="S948" s="305" t="str">
        <f>IFERROR(VLOOKUP($B946,اسماء,34,0),"")</f>
        <v/>
      </c>
      <c r="T948" s="306" t="str">
        <f>IFERROR(VLOOKUP($B946,اسماء,35,0),"")</f>
        <v/>
      </c>
      <c r="U948" s="122" t="str">
        <f>IFERROR(VLOOKUP($B946,اسماء,36,0),"")</f>
        <v/>
      </c>
      <c r="V948" s="605"/>
      <c r="W948" s="20" t="str">
        <f t="shared" ref="W948" si="2561">LOOKUP(R948,$AF$6:$AG$10)</f>
        <v>ضعيف</v>
      </c>
      <c r="X948" s="640"/>
      <c r="Y948" s="68"/>
      <c r="Z948" s="598"/>
      <c r="AK948" s="667"/>
      <c r="AL948" s="667"/>
      <c r="AM948" s="696"/>
      <c r="AN948" s="698"/>
      <c r="AO948" s="699"/>
      <c r="AP948" s="698"/>
    </row>
    <row r="949" spans="1:42" ht="14.85" customHeight="1" thickBot="1" x14ac:dyDescent="0.3">
      <c r="A949" s="612"/>
      <c r="B949" s="615"/>
      <c r="C949" s="618"/>
      <c r="D949" s="621"/>
      <c r="E949" s="124" t="s">
        <v>33</v>
      </c>
      <c r="F949" s="623">
        <f t="shared" ref="F949" si="2562">SUM(F946:G948)</f>
        <v>0</v>
      </c>
      <c r="G949" s="624"/>
      <c r="H949" s="625">
        <f t="shared" ref="H949" si="2563">SUM(H946:I948)</f>
        <v>0</v>
      </c>
      <c r="I949" s="626"/>
      <c r="J949" s="623">
        <f t="shared" ref="J949" si="2564">SUM(J946:K948)</f>
        <v>0</v>
      </c>
      <c r="K949" s="624"/>
      <c r="L949" s="625">
        <f t="shared" ref="L949" si="2565">SUM(L946:M948)</f>
        <v>0</v>
      </c>
      <c r="M949" s="642"/>
      <c r="N949" s="625">
        <f t="shared" ref="N949" si="2566">SUM(N946:O948)</f>
        <v>0</v>
      </c>
      <c r="O949" s="642"/>
      <c r="P949" s="623">
        <f t="shared" ref="P949" si="2567">SUM(P946:Q948)</f>
        <v>0</v>
      </c>
      <c r="Q949" s="626"/>
      <c r="R949" s="88">
        <f t="shared" ref="R949" si="2568">IF(AND(F949&gt;=$G$8,H949&gt;=$I$8,J949&gt;=$K$8,L949&gt;=$M$8,N949&gt;=$O$8,P949&gt;=$Q$8),SUM(F949:Q949),0)</f>
        <v>0</v>
      </c>
      <c r="S949" s="251"/>
      <c r="T949" s="97"/>
      <c r="U949" s="94"/>
      <c r="V949" s="606"/>
      <c r="W949" s="88" t="str">
        <f t="shared" ref="W949" si="2569">LOOKUP(R949,$AI$6:$AJ$10)</f>
        <v>ضعيف</v>
      </c>
      <c r="X949" s="641"/>
      <c r="Y949" s="68"/>
      <c r="Z949" s="599"/>
      <c r="AK949" s="667"/>
      <c r="AL949" s="667"/>
      <c r="AM949" s="696"/>
      <c r="AN949" s="698"/>
      <c r="AO949" s="699"/>
      <c r="AP949" s="698"/>
    </row>
    <row r="950" spans="1:42" ht="14.85" customHeight="1" thickBot="1" x14ac:dyDescent="0.3">
      <c r="A950" s="610">
        <v>206</v>
      </c>
      <c r="B950" s="613">
        <f>VLOOKUP(A950,مسلسل,2,0)</f>
        <v>0</v>
      </c>
      <c r="C950" s="616" t="str">
        <f>IFERROR(VLOOKUP(B950,اسماء,2,0),"")</f>
        <v/>
      </c>
      <c r="D950" s="619" t="str">
        <f>IFERROR(VLOOKUP($B950,اسماء,3,0),"")</f>
        <v/>
      </c>
      <c r="E950" s="129" t="s">
        <v>30</v>
      </c>
      <c r="F950" s="600">
        <f>IFERROR(VLOOKUP($B950,اسماء,5,0),0)</f>
        <v>0</v>
      </c>
      <c r="G950" s="601"/>
      <c r="H950" s="602">
        <f>IFERROR(VLOOKUP($B950,اسماء,6,0),0)</f>
        <v>0</v>
      </c>
      <c r="I950" s="622"/>
      <c r="J950" s="600">
        <f>IFERROR(VLOOKUP($B950,اسماء,7,0),0)</f>
        <v>0</v>
      </c>
      <c r="K950" s="601"/>
      <c r="L950" s="602">
        <f>IFERROR(VLOOKUP($B950,اسماء,8,0),0)</f>
        <v>0</v>
      </c>
      <c r="M950" s="603"/>
      <c r="N950" s="602">
        <f>IFERROR(VLOOKUP($B950,اسماء,9,0),0)</f>
        <v>0</v>
      </c>
      <c r="O950" s="603"/>
      <c r="P950" s="600">
        <f>IFERROR(VLOOKUP($B950,اسماء,10,0),0)</f>
        <v>0</v>
      </c>
      <c r="Q950" s="622"/>
      <c r="R950" s="371">
        <f t="shared" ref="R950" si="2570">SUM(F950:Q950)</f>
        <v>0</v>
      </c>
      <c r="S950" s="213" t="str">
        <f>IFERROR(VLOOKUP($B950,اسماء,12,0),"")</f>
        <v/>
      </c>
      <c r="T950" s="214" t="str">
        <f>IFERROR(VLOOKUP($B950,اسماء,13,0),"")</f>
        <v/>
      </c>
      <c r="U950" s="364" t="str">
        <f>IFERROR(VLOOKUP($B950,اسماء,14,0),"")</f>
        <v/>
      </c>
      <c r="V950" s="604" t="str">
        <f t="shared" ref="V950" si="2571">IF(Z950="غائب","راسب",IF(R953&gt;0,"ناجح","مرحل"))</f>
        <v>مرحل</v>
      </c>
      <c r="W950" s="19" t="str">
        <f t="shared" ref="W950:W951" si="2572">LOOKUP(R950,$AC$6:$AD$10)</f>
        <v>ضعيف</v>
      </c>
      <c r="X950" s="639">
        <f t="shared" ref="X950" si="2573">R953/$AC$3</f>
        <v>0</v>
      </c>
      <c r="Y950" s="8"/>
      <c r="Z950" s="597" t="str">
        <f>IFERROR(VLOOKUP($B950,اسماء,48,0),"")</f>
        <v/>
      </c>
      <c r="AK950" s="667" t="str">
        <f t="shared" ref="AK950" si="2574">IF(R953=0,"",R953/1+ROW()*0.00001)</f>
        <v/>
      </c>
      <c r="AL950" s="667">
        <f>B950</f>
        <v>0</v>
      </c>
      <c r="AM950" s="696"/>
      <c r="AN950" s="698">
        <v>206</v>
      </c>
      <c r="AO950" s="699" t="str">
        <f>IFERROR(LARGE($AK$10:$AK$1420,AN950),"")</f>
        <v/>
      </c>
      <c r="AP950" s="698" t="str">
        <f>VLOOKUP(AO950,$AK$10:$AL$1530,2,0)</f>
        <v>امجد عمر عبداللطيف سلطان</v>
      </c>
    </row>
    <row r="951" spans="1:42" ht="14.85" customHeight="1" x14ac:dyDescent="0.25">
      <c r="A951" s="611"/>
      <c r="B951" s="614"/>
      <c r="C951" s="617"/>
      <c r="D951" s="620"/>
      <c r="E951" s="130" t="s">
        <v>31</v>
      </c>
      <c r="F951" s="592">
        <f>IFERROR(VLOOKUP($B950,اسماء,15,0),0)</f>
        <v>0</v>
      </c>
      <c r="G951" s="593"/>
      <c r="H951" s="594">
        <f>IFERROR(VLOOKUP($B950,اسماء,16,0),0)</f>
        <v>0</v>
      </c>
      <c r="I951" s="595"/>
      <c r="J951" s="592">
        <f>IFERROR(VLOOKUP($B950,اسماء,17,0),0)</f>
        <v>0</v>
      </c>
      <c r="K951" s="593"/>
      <c r="L951" s="594">
        <f>IFERROR(VLOOKUP($B950,اسماء,18,0),0)</f>
        <v>0</v>
      </c>
      <c r="M951" s="596"/>
      <c r="N951" s="594">
        <f>IFERROR(VLOOKUP($B950,اسماء,19,0),0)</f>
        <v>0</v>
      </c>
      <c r="O951" s="596"/>
      <c r="P951" s="592">
        <f>IFERROR(VLOOKUP($B950,اسماء,20,0),0)</f>
        <v>0</v>
      </c>
      <c r="Q951" s="595"/>
      <c r="R951" s="372">
        <f t="shared" si="2520"/>
        <v>0</v>
      </c>
      <c r="S951" s="305" t="str">
        <f>IFERROR(VLOOKUP($B950,اسماء,23,0),"")</f>
        <v/>
      </c>
      <c r="T951" s="306" t="str">
        <f>IFERROR(VLOOKUP($B950,اسماء,24,0),"")</f>
        <v/>
      </c>
      <c r="U951" s="122" t="str">
        <f>IFERROR(VLOOKUP($B950,اسماء,25,0),"")</f>
        <v/>
      </c>
      <c r="V951" s="605"/>
      <c r="W951" s="19" t="str">
        <f t="shared" si="2572"/>
        <v>ضعيف</v>
      </c>
      <c r="X951" s="640"/>
      <c r="Y951" s="68"/>
      <c r="Z951" s="598"/>
      <c r="AK951" s="667"/>
      <c r="AL951" s="667"/>
      <c r="AM951" s="696"/>
      <c r="AN951" s="698"/>
      <c r="AO951" s="699"/>
      <c r="AP951" s="698"/>
    </row>
    <row r="952" spans="1:42" ht="14.85" customHeight="1" x14ac:dyDescent="0.25">
      <c r="A952" s="611"/>
      <c r="B952" s="614"/>
      <c r="C952" s="617"/>
      <c r="D952" s="620"/>
      <c r="E952" s="130" t="s">
        <v>32</v>
      </c>
      <c r="F952" s="592">
        <f>IFERROR(VLOOKUP($B950,اسماء,25,0),0)</f>
        <v>0</v>
      </c>
      <c r="G952" s="593"/>
      <c r="H952" s="594">
        <f>IFERROR(VLOOKUP($B950,اسماء,26,0),0)</f>
        <v>0</v>
      </c>
      <c r="I952" s="595"/>
      <c r="J952" s="592">
        <f>IFERROR(VLOOKUP($B950,اسماء,27,0),0)</f>
        <v>0</v>
      </c>
      <c r="K952" s="593"/>
      <c r="L952" s="594">
        <f>IFERROR(VLOOKUP($B950,اسماء,28,0),0)</f>
        <v>0</v>
      </c>
      <c r="M952" s="596"/>
      <c r="N952" s="594">
        <f>IFERROR(VLOOKUP($B950,اسماء,29,0),0)</f>
        <v>0</v>
      </c>
      <c r="O952" s="596"/>
      <c r="P952" s="592">
        <f>IFERROR(VLOOKUP($B950,اسماء,30,0),0)</f>
        <v>0</v>
      </c>
      <c r="Q952" s="595"/>
      <c r="R952" s="372">
        <f t="shared" si="2520"/>
        <v>0</v>
      </c>
      <c r="S952" s="305" t="str">
        <f>IFERROR(VLOOKUP($B950,اسماء,34,0),"")</f>
        <v/>
      </c>
      <c r="T952" s="306" t="str">
        <f>IFERROR(VLOOKUP($B950,اسماء,35,0),"")</f>
        <v/>
      </c>
      <c r="U952" s="122" t="str">
        <f>IFERROR(VLOOKUP($B950,اسماء,36,0),"")</f>
        <v/>
      </c>
      <c r="V952" s="605"/>
      <c r="W952" s="20" t="str">
        <f t="shared" ref="W952" si="2575">LOOKUP(R952,$AF$6:$AG$10)</f>
        <v>ضعيف</v>
      </c>
      <c r="X952" s="640"/>
      <c r="Y952" s="68"/>
      <c r="Z952" s="598"/>
      <c r="AK952" s="667"/>
      <c r="AL952" s="667"/>
      <c r="AM952" s="696"/>
      <c r="AN952" s="698"/>
      <c r="AO952" s="699"/>
      <c r="AP952" s="698"/>
    </row>
    <row r="953" spans="1:42" ht="14.85" customHeight="1" thickBot="1" x14ac:dyDescent="0.3">
      <c r="A953" s="612"/>
      <c r="B953" s="615"/>
      <c r="C953" s="618"/>
      <c r="D953" s="621"/>
      <c r="E953" s="124" t="s">
        <v>33</v>
      </c>
      <c r="F953" s="623">
        <f t="shared" ref="F953" si="2576">SUM(F950:G952)</f>
        <v>0</v>
      </c>
      <c r="G953" s="624"/>
      <c r="H953" s="625">
        <f t="shared" ref="H953" si="2577">SUM(H950:I952)</f>
        <v>0</v>
      </c>
      <c r="I953" s="626"/>
      <c r="J953" s="623">
        <f t="shared" ref="J953" si="2578">SUM(J950:K952)</f>
        <v>0</v>
      </c>
      <c r="K953" s="624"/>
      <c r="L953" s="625">
        <f t="shared" ref="L953" si="2579">SUM(L950:M952)</f>
        <v>0</v>
      </c>
      <c r="M953" s="642"/>
      <c r="N953" s="625">
        <f t="shared" ref="N953" si="2580">SUM(N950:O952)</f>
        <v>0</v>
      </c>
      <c r="O953" s="642"/>
      <c r="P953" s="623">
        <f t="shared" ref="P953" si="2581">SUM(P950:Q952)</f>
        <v>0</v>
      </c>
      <c r="Q953" s="626"/>
      <c r="R953" s="88">
        <f t="shared" ref="R953" si="2582">IF(AND(F953&gt;=$G$8,H953&gt;=$I$8,J953&gt;=$K$8,L953&gt;=$M$8,N953&gt;=$O$8,P953&gt;=$Q$8),SUM(F953:Q953),0)</f>
        <v>0</v>
      </c>
      <c r="S953" s="251"/>
      <c r="T953" s="97"/>
      <c r="U953" s="94"/>
      <c r="V953" s="606"/>
      <c r="W953" s="88" t="str">
        <f t="shared" ref="W953" si="2583">LOOKUP(R953,$AI$6:$AJ$10)</f>
        <v>ضعيف</v>
      </c>
      <c r="X953" s="641"/>
      <c r="Y953" s="8"/>
      <c r="Z953" s="599"/>
      <c r="AK953" s="667"/>
      <c r="AL953" s="667"/>
      <c r="AM953" s="696"/>
      <c r="AN953" s="698"/>
      <c r="AO953" s="699"/>
      <c r="AP953" s="698"/>
    </row>
    <row r="954" spans="1:42" ht="14.85" customHeight="1" thickBot="1" x14ac:dyDescent="0.3">
      <c r="A954" s="610">
        <v>207</v>
      </c>
      <c r="B954" s="613">
        <f>VLOOKUP(A954,مسلسل,2,0)</f>
        <v>0</v>
      </c>
      <c r="C954" s="616" t="str">
        <f>IFERROR(VLOOKUP(B954,اسماء,2,0),"")</f>
        <v/>
      </c>
      <c r="D954" s="619" t="str">
        <f>IFERROR(VLOOKUP($B954,اسماء,3,0),"")</f>
        <v/>
      </c>
      <c r="E954" s="129" t="s">
        <v>30</v>
      </c>
      <c r="F954" s="600">
        <f>IFERROR(VLOOKUP($B954,اسماء,5,0),0)</f>
        <v>0</v>
      </c>
      <c r="G954" s="601"/>
      <c r="H954" s="602">
        <f>IFERROR(VLOOKUP($B954,اسماء,6,0),0)</f>
        <v>0</v>
      </c>
      <c r="I954" s="622"/>
      <c r="J954" s="600">
        <f>IFERROR(VLOOKUP($B954,اسماء,7,0),0)</f>
        <v>0</v>
      </c>
      <c r="K954" s="601"/>
      <c r="L954" s="602">
        <f>IFERROR(VLOOKUP($B954,اسماء,8,0),0)</f>
        <v>0</v>
      </c>
      <c r="M954" s="603"/>
      <c r="N954" s="602">
        <f>IFERROR(VLOOKUP($B954,اسماء,9,0),0)</f>
        <v>0</v>
      </c>
      <c r="O954" s="603"/>
      <c r="P954" s="600">
        <f>IFERROR(VLOOKUP($B954,اسماء,10,0),0)</f>
        <v>0</v>
      </c>
      <c r="Q954" s="622"/>
      <c r="R954" s="371">
        <f t="shared" ref="R954" si="2584">SUM(F954:Q954)</f>
        <v>0</v>
      </c>
      <c r="S954" s="213" t="str">
        <f>IFERROR(VLOOKUP($B954,اسماء,12,0),"")</f>
        <v/>
      </c>
      <c r="T954" s="214" t="str">
        <f>IFERROR(VLOOKUP($B954,اسماء,13,0),"")</f>
        <v/>
      </c>
      <c r="U954" s="364" t="str">
        <f>IFERROR(VLOOKUP($B954,اسماء,14,0),"")</f>
        <v/>
      </c>
      <c r="V954" s="604" t="str">
        <f t="shared" ref="V954" si="2585">IF(Z954="غائب","راسب",IF(R957&gt;0,"ناجح","مرحل"))</f>
        <v>مرحل</v>
      </c>
      <c r="W954" s="19" t="str">
        <f t="shared" ref="W954:W955" si="2586">LOOKUP(R954,$AC$6:$AD$10)</f>
        <v>ضعيف</v>
      </c>
      <c r="X954" s="639">
        <f t="shared" ref="X954" si="2587">R957/$AC$3</f>
        <v>0</v>
      </c>
      <c r="Y954" s="68"/>
      <c r="Z954" s="597" t="str">
        <f>IFERROR(VLOOKUP($B954,اسماء,48,0),"")</f>
        <v/>
      </c>
      <c r="AK954" s="667" t="str">
        <f t="shared" ref="AK954" si="2588">IF(R957=0,"",R957/1+ROW()*0.00001)</f>
        <v/>
      </c>
      <c r="AL954" s="667">
        <f>B954</f>
        <v>0</v>
      </c>
      <c r="AM954" s="696"/>
      <c r="AN954" s="698">
        <v>207</v>
      </c>
      <c r="AO954" s="699" t="str">
        <f>IFERROR(LARGE($AK$10:$AK$1420,AN954),"")</f>
        <v/>
      </c>
      <c r="AP954" s="698" t="str">
        <f>VLOOKUP(AO954,$AK$10:$AL$1530,2,0)</f>
        <v>امجد عمر عبداللطيف سلطان</v>
      </c>
    </row>
    <row r="955" spans="1:42" ht="14.85" customHeight="1" x14ac:dyDescent="0.25">
      <c r="A955" s="611"/>
      <c r="B955" s="614"/>
      <c r="C955" s="617"/>
      <c r="D955" s="620"/>
      <c r="E955" s="130" t="s">
        <v>31</v>
      </c>
      <c r="F955" s="592">
        <f>IFERROR(VLOOKUP($B954,اسماء,15,0),0)</f>
        <v>0</v>
      </c>
      <c r="G955" s="593"/>
      <c r="H955" s="594">
        <f>IFERROR(VLOOKUP($B954,اسماء,16,0),0)</f>
        <v>0</v>
      </c>
      <c r="I955" s="595"/>
      <c r="J955" s="592">
        <f>IFERROR(VLOOKUP($B954,اسماء,17,0),0)</f>
        <v>0</v>
      </c>
      <c r="K955" s="593"/>
      <c r="L955" s="594">
        <f>IFERROR(VLOOKUP($B954,اسماء,18,0),0)</f>
        <v>0</v>
      </c>
      <c r="M955" s="596"/>
      <c r="N955" s="594">
        <f>IFERROR(VLOOKUP($B954,اسماء,19,0),0)</f>
        <v>0</v>
      </c>
      <c r="O955" s="596"/>
      <c r="P955" s="592">
        <f>IFERROR(VLOOKUP($B954,اسماء,20,0),0)</f>
        <v>0</v>
      </c>
      <c r="Q955" s="595"/>
      <c r="R955" s="372">
        <f t="shared" si="2520"/>
        <v>0</v>
      </c>
      <c r="S955" s="305" t="str">
        <f>IFERROR(VLOOKUP($B954,اسماء,23,0),"")</f>
        <v/>
      </c>
      <c r="T955" s="306" t="str">
        <f>IFERROR(VLOOKUP($B954,اسماء,24,0),"")</f>
        <v/>
      </c>
      <c r="U955" s="122" t="str">
        <f>IFERROR(VLOOKUP($B954,اسماء,25,0),"")</f>
        <v/>
      </c>
      <c r="V955" s="605"/>
      <c r="W955" s="19" t="str">
        <f t="shared" si="2586"/>
        <v>ضعيف</v>
      </c>
      <c r="X955" s="640"/>
      <c r="Y955" s="68"/>
      <c r="Z955" s="598"/>
      <c r="AK955" s="667"/>
      <c r="AL955" s="667"/>
      <c r="AM955" s="696"/>
      <c r="AN955" s="698"/>
      <c r="AO955" s="699"/>
      <c r="AP955" s="698"/>
    </row>
    <row r="956" spans="1:42" ht="14.85" customHeight="1" x14ac:dyDescent="0.25">
      <c r="A956" s="611"/>
      <c r="B956" s="614"/>
      <c r="C956" s="617"/>
      <c r="D956" s="620"/>
      <c r="E956" s="130" t="s">
        <v>32</v>
      </c>
      <c r="F956" s="592">
        <f>IFERROR(VLOOKUP($B954,اسماء,25,0),0)</f>
        <v>0</v>
      </c>
      <c r="G956" s="593"/>
      <c r="H956" s="594">
        <f>IFERROR(VLOOKUP($B954,اسماء,26,0),0)</f>
        <v>0</v>
      </c>
      <c r="I956" s="595"/>
      <c r="J956" s="592">
        <f>IFERROR(VLOOKUP($B954,اسماء,27,0),0)</f>
        <v>0</v>
      </c>
      <c r="K956" s="593"/>
      <c r="L956" s="594">
        <f>IFERROR(VLOOKUP($B954,اسماء,28,0),0)</f>
        <v>0</v>
      </c>
      <c r="M956" s="596"/>
      <c r="N956" s="594">
        <f>IFERROR(VLOOKUP($B954,اسماء,29,0),0)</f>
        <v>0</v>
      </c>
      <c r="O956" s="596"/>
      <c r="P956" s="592">
        <f>IFERROR(VLOOKUP($B954,اسماء,30,0),0)</f>
        <v>0</v>
      </c>
      <c r="Q956" s="595"/>
      <c r="R956" s="372">
        <f t="shared" si="2520"/>
        <v>0</v>
      </c>
      <c r="S956" s="305" t="str">
        <f>IFERROR(VLOOKUP($B954,اسماء,34,0),"")</f>
        <v/>
      </c>
      <c r="T956" s="306" t="str">
        <f>IFERROR(VLOOKUP($B954,اسماء,35,0),"")</f>
        <v/>
      </c>
      <c r="U956" s="122" t="str">
        <f>IFERROR(VLOOKUP($B954,اسماء,36,0),"")</f>
        <v/>
      </c>
      <c r="V956" s="605"/>
      <c r="W956" s="20" t="str">
        <f t="shared" ref="W956" si="2589">LOOKUP(R956,$AF$6:$AG$10)</f>
        <v>ضعيف</v>
      </c>
      <c r="X956" s="640"/>
      <c r="Y956" s="8"/>
      <c r="Z956" s="598"/>
      <c r="AK956" s="667"/>
      <c r="AL956" s="667"/>
      <c r="AM956" s="696"/>
      <c r="AN956" s="698"/>
      <c r="AO956" s="699"/>
      <c r="AP956" s="698"/>
    </row>
    <row r="957" spans="1:42" ht="14.85" customHeight="1" thickBot="1" x14ac:dyDescent="0.3">
      <c r="A957" s="612"/>
      <c r="B957" s="615"/>
      <c r="C957" s="618"/>
      <c r="D957" s="621"/>
      <c r="E957" s="124" t="s">
        <v>33</v>
      </c>
      <c r="F957" s="623">
        <f t="shared" ref="F957" si="2590">SUM(F954:G956)</f>
        <v>0</v>
      </c>
      <c r="G957" s="624"/>
      <c r="H957" s="625">
        <f t="shared" ref="H957" si="2591">SUM(H954:I956)</f>
        <v>0</v>
      </c>
      <c r="I957" s="626"/>
      <c r="J957" s="623">
        <f t="shared" ref="J957" si="2592">SUM(J954:K956)</f>
        <v>0</v>
      </c>
      <c r="K957" s="624"/>
      <c r="L957" s="625">
        <f t="shared" ref="L957" si="2593">SUM(L954:M956)</f>
        <v>0</v>
      </c>
      <c r="M957" s="642"/>
      <c r="N957" s="625">
        <f t="shared" ref="N957" si="2594">SUM(N954:O956)</f>
        <v>0</v>
      </c>
      <c r="O957" s="642"/>
      <c r="P957" s="623">
        <f t="shared" ref="P957" si="2595">SUM(P954:Q956)</f>
        <v>0</v>
      </c>
      <c r="Q957" s="626"/>
      <c r="R957" s="88">
        <f t="shared" ref="R957" si="2596">IF(AND(F957&gt;=$G$8,H957&gt;=$I$8,J957&gt;=$K$8,L957&gt;=$M$8,N957&gt;=$O$8,P957&gt;=$Q$8),SUM(F957:Q957),0)</f>
        <v>0</v>
      </c>
      <c r="S957" s="251"/>
      <c r="T957" s="97"/>
      <c r="U957" s="94"/>
      <c r="V957" s="606"/>
      <c r="W957" s="88" t="str">
        <f t="shared" ref="W957" si="2597">LOOKUP(R957,$AI$6:$AJ$10)</f>
        <v>ضعيف</v>
      </c>
      <c r="X957" s="641"/>
      <c r="Y957" s="68"/>
      <c r="Z957" s="599"/>
      <c r="AK957" s="667"/>
      <c r="AL957" s="667"/>
      <c r="AM957" s="696"/>
      <c r="AN957" s="698"/>
      <c r="AO957" s="699"/>
      <c r="AP957" s="698"/>
    </row>
    <row r="958" spans="1:42" ht="14.85" customHeight="1" thickBot="1" x14ac:dyDescent="0.3">
      <c r="A958" s="610">
        <v>208</v>
      </c>
      <c r="B958" s="613">
        <f>VLOOKUP(A958,مسلسل,2,0)</f>
        <v>0</v>
      </c>
      <c r="C958" s="616" t="str">
        <f>IFERROR(VLOOKUP(B958,اسماء,2,0),"")</f>
        <v/>
      </c>
      <c r="D958" s="619" t="str">
        <f>IFERROR(VLOOKUP($B958,اسماء,3,0),"")</f>
        <v/>
      </c>
      <c r="E958" s="129" t="s">
        <v>30</v>
      </c>
      <c r="F958" s="600">
        <f>IFERROR(VLOOKUP($B958,اسماء,5,0),0)</f>
        <v>0</v>
      </c>
      <c r="G958" s="601"/>
      <c r="H958" s="602">
        <f>IFERROR(VLOOKUP($B958,اسماء,6,0),0)</f>
        <v>0</v>
      </c>
      <c r="I958" s="622"/>
      <c r="J958" s="600">
        <f>IFERROR(VLOOKUP($B958,اسماء,7,0),0)</f>
        <v>0</v>
      </c>
      <c r="K958" s="601"/>
      <c r="L958" s="602">
        <f>IFERROR(VLOOKUP($B958,اسماء,8,0),0)</f>
        <v>0</v>
      </c>
      <c r="M958" s="603"/>
      <c r="N958" s="602">
        <f>IFERROR(VLOOKUP($B958,اسماء,9,0),0)</f>
        <v>0</v>
      </c>
      <c r="O958" s="603"/>
      <c r="P958" s="600">
        <f>IFERROR(VLOOKUP($B958,اسماء,10,0),0)</f>
        <v>0</v>
      </c>
      <c r="Q958" s="622"/>
      <c r="R958" s="371">
        <f t="shared" ref="R958" si="2598">SUM(F958:Q958)</f>
        <v>0</v>
      </c>
      <c r="S958" s="213" t="str">
        <f>IFERROR(VLOOKUP($B958,اسماء,12,0),"")</f>
        <v/>
      </c>
      <c r="T958" s="214" t="str">
        <f>IFERROR(VLOOKUP($B958,اسماء,13,0),"")</f>
        <v/>
      </c>
      <c r="U958" s="364" t="str">
        <f>IFERROR(VLOOKUP($B958,اسماء,14,0),"")</f>
        <v/>
      </c>
      <c r="V958" s="604" t="str">
        <f t="shared" ref="V958" si="2599">IF(Z958="غائب","راسب",IF(R961&gt;0,"ناجح","مرحل"))</f>
        <v>مرحل</v>
      </c>
      <c r="W958" s="19" t="str">
        <f t="shared" ref="W958:W959" si="2600">LOOKUP(R958,$AC$6:$AD$10)</f>
        <v>ضعيف</v>
      </c>
      <c r="X958" s="639">
        <f t="shared" ref="X958" si="2601">R961/$AC$3</f>
        <v>0</v>
      </c>
      <c r="Y958" s="68"/>
      <c r="Z958" s="597" t="str">
        <f>IFERROR(VLOOKUP($B958,اسماء,48,0),"")</f>
        <v/>
      </c>
      <c r="AK958" s="667" t="str">
        <f t="shared" ref="AK958" si="2602">IF(R961=0,"",R961/1+ROW()*0.00001)</f>
        <v/>
      </c>
      <c r="AL958" s="667">
        <f>B958</f>
        <v>0</v>
      </c>
      <c r="AM958" s="696"/>
      <c r="AN958" s="698">
        <v>208</v>
      </c>
      <c r="AO958" s="699" t="str">
        <f>IFERROR(LARGE($AK$10:$AK$1420,AN958),"")</f>
        <v/>
      </c>
      <c r="AP958" s="698" t="str">
        <f>VLOOKUP(AO958,$AK$10:$AL$1530,2,0)</f>
        <v>امجد عمر عبداللطيف سلطان</v>
      </c>
    </row>
    <row r="959" spans="1:42" ht="14.85" customHeight="1" x14ac:dyDescent="0.25">
      <c r="A959" s="611"/>
      <c r="B959" s="614"/>
      <c r="C959" s="617"/>
      <c r="D959" s="620"/>
      <c r="E959" s="130" t="s">
        <v>31</v>
      </c>
      <c r="F959" s="592">
        <f>IFERROR(VLOOKUP($B958,اسماء,15,0),0)</f>
        <v>0</v>
      </c>
      <c r="G959" s="593"/>
      <c r="H959" s="594">
        <f>IFERROR(VLOOKUP($B958,اسماء,16,0),0)</f>
        <v>0</v>
      </c>
      <c r="I959" s="595"/>
      <c r="J959" s="592">
        <f>IFERROR(VLOOKUP($B958,اسماء,17,0),0)</f>
        <v>0</v>
      </c>
      <c r="K959" s="593"/>
      <c r="L959" s="594">
        <f>IFERROR(VLOOKUP($B958,اسماء,18,0),0)</f>
        <v>0</v>
      </c>
      <c r="M959" s="596"/>
      <c r="N959" s="594">
        <f>IFERROR(VLOOKUP($B958,اسماء,19,0),0)</f>
        <v>0</v>
      </c>
      <c r="O959" s="596"/>
      <c r="P959" s="592">
        <f>IFERROR(VLOOKUP($B958,اسماء,20,0),0)</f>
        <v>0</v>
      </c>
      <c r="Q959" s="595"/>
      <c r="R959" s="372">
        <f t="shared" si="2520"/>
        <v>0</v>
      </c>
      <c r="S959" s="305" t="str">
        <f>IFERROR(VLOOKUP($B958,اسماء,23,0),"")</f>
        <v/>
      </c>
      <c r="T959" s="306" t="str">
        <f>IFERROR(VLOOKUP($B958,اسماء,24,0),"")</f>
        <v/>
      </c>
      <c r="U959" s="122" t="str">
        <f>IFERROR(VLOOKUP($B958,اسماء,25,0),"")</f>
        <v/>
      </c>
      <c r="V959" s="605"/>
      <c r="W959" s="19" t="str">
        <f t="shared" si="2600"/>
        <v>ضعيف</v>
      </c>
      <c r="X959" s="640"/>
      <c r="Y959" s="8"/>
      <c r="Z959" s="598"/>
      <c r="AK959" s="667"/>
      <c r="AL959" s="667"/>
      <c r="AM959" s="696"/>
      <c r="AN959" s="698"/>
      <c r="AO959" s="699"/>
      <c r="AP959" s="698"/>
    </row>
    <row r="960" spans="1:42" ht="14.85" customHeight="1" x14ac:dyDescent="0.25">
      <c r="A960" s="611"/>
      <c r="B960" s="614"/>
      <c r="C960" s="617"/>
      <c r="D960" s="620"/>
      <c r="E960" s="130" t="s">
        <v>32</v>
      </c>
      <c r="F960" s="592">
        <f>IFERROR(VLOOKUP($B958,اسماء,25,0),0)</f>
        <v>0</v>
      </c>
      <c r="G960" s="593"/>
      <c r="H960" s="594">
        <f>IFERROR(VLOOKUP($B958,اسماء,26,0),0)</f>
        <v>0</v>
      </c>
      <c r="I960" s="595"/>
      <c r="J960" s="592">
        <f>IFERROR(VLOOKUP($B958,اسماء,27,0),0)</f>
        <v>0</v>
      </c>
      <c r="K960" s="593"/>
      <c r="L960" s="594">
        <f>IFERROR(VLOOKUP($B958,اسماء,28,0),0)</f>
        <v>0</v>
      </c>
      <c r="M960" s="596"/>
      <c r="N960" s="594">
        <f>IFERROR(VLOOKUP($B958,اسماء,29,0),0)</f>
        <v>0</v>
      </c>
      <c r="O960" s="596"/>
      <c r="P960" s="592">
        <f>IFERROR(VLOOKUP($B958,اسماء,30,0),0)</f>
        <v>0</v>
      </c>
      <c r="Q960" s="595"/>
      <c r="R960" s="372">
        <f t="shared" si="2520"/>
        <v>0</v>
      </c>
      <c r="S960" s="305" t="str">
        <f>IFERROR(VLOOKUP($B958,اسماء,34,0),"")</f>
        <v/>
      </c>
      <c r="T960" s="306" t="str">
        <f>IFERROR(VLOOKUP($B958,اسماء,35,0),"")</f>
        <v/>
      </c>
      <c r="U960" s="122" t="str">
        <f>IFERROR(VLOOKUP($B958,اسماء,36,0),"")</f>
        <v/>
      </c>
      <c r="V960" s="605"/>
      <c r="W960" s="20" t="str">
        <f t="shared" ref="W960" si="2603">LOOKUP(R960,$AF$6:$AG$10)</f>
        <v>ضعيف</v>
      </c>
      <c r="X960" s="640"/>
      <c r="Y960" s="68"/>
      <c r="Z960" s="598"/>
      <c r="AK960" s="667"/>
      <c r="AL960" s="667"/>
      <c r="AM960" s="696"/>
      <c r="AN960" s="698"/>
      <c r="AO960" s="699"/>
      <c r="AP960" s="698"/>
    </row>
    <row r="961" spans="1:42" ht="14.85" customHeight="1" thickBot="1" x14ac:dyDescent="0.3">
      <c r="A961" s="612"/>
      <c r="B961" s="615"/>
      <c r="C961" s="618"/>
      <c r="D961" s="621"/>
      <c r="E961" s="124" t="s">
        <v>33</v>
      </c>
      <c r="F961" s="623">
        <f t="shared" ref="F961" si="2604">SUM(F958:G960)</f>
        <v>0</v>
      </c>
      <c r="G961" s="624"/>
      <c r="H961" s="625">
        <f t="shared" ref="H961" si="2605">SUM(H958:I960)</f>
        <v>0</v>
      </c>
      <c r="I961" s="626"/>
      <c r="J961" s="623">
        <f t="shared" ref="J961" si="2606">SUM(J958:K960)</f>
        <v>0</v>
      </c>
      <c r="K961" s="624"/>
      <c r="L961" s="625">
        <f t="shared" ref="L961" si="2607">SUM(L958:M960)</f>
        <v>0</v>
      </c>
      <c r="M961" s="642"/>
      <c r="N961" s="625">
        <f t="shared" ref="N961" si="2608">SUM(N958:O960)</f>
        <v>0</v>
      </c>
      <c r="O961" s="642"/>
      <c r="P961" s="623">
        <f t="shared" ref="P961" si="2609">SUM(P958:Q960)</f>
        <v>0</v>
      </c>
      <c r="Q961" s="626"/>
      <c r="R961" s="88">
        <f t="shared" ref="R961" si="2610">IF(AND(F961&gt;=$G$8,H961&gt;=$I$8,J961&gt;=$K$8,L961&gt;=$M$8,N961&gt;=$O$8,P961&gt;=$Q$8),SUM(F961:Q961),0)</f>
        <v>0</v>
      </c>
      <c r="S961" s="251"/>
      <c r="T961" s="97"/>
      <c r="U961" s="94"/>
      <c r="V961" s="606"/>
      <c r="W961" s="88" t="str">
        <f t="shared" ref="W961" si="2611">LOOKUP(R961,$AI$6:$AJ$10)</f>
        <v>ضعيف</v>
      </c>
      <c r="X961" s="641"/>
      <c r="Y961" s="68"/>
      <c r="Z961" s="599"/>
      <c r="AK961" s="667"/>
      <c r="AL961" s="667"/>
      <c r="AM961" s="696"/>
      <c r="AN961" s="698"/>
      <c r="AO961" s="699"/>
      <c r="AP961" s="698"/>
    </row>
    <row r="962" spans="1:42" ht="14.85" customHeight="1" thickBot="1" x14ac:dyDescent="0.3">
      <c r="A962" s="610">
        <v>209</v>
      </c>
      <c r="B962" s="613">
        <f>VLOOKUP(A962,مسلسل,2,0)</f>
        <v>0</v>
      </c>
      <c r="C962" s="616" t="str">
        <f>IFERROR(VLOOKUP(B962,اسماء,2,0),"")</f>
        <v/>
      </c>
      <c r="D962" s="619" t="str">
        <f>IFERROR(VLOOKUP($B962,اسماء,3,0),"")</f>
        <v/>
      </c>
      <c r="E962" s="129" t="s">
        <v>30</v>
      </c>
      <c r="F962" s="600">
        <f>IFERROR(VLOOKUP($B962,اسماء,5,0),0)</f>
        <v>0</v>
      </c>
      <c r="G962" s="601"/>
      <c r="H962" s="602">
        <f>IFERROR(VLOOKUP($B962,اسماء,6,0),0)</f>
        <v>0</v>
      </c>
      <c r="I962" s="622"/>
      <c r="J962" s="600">
        <f>IFERROR(VLOOKUP($B962,اسماء,7,0),0)</f>
        <v>0</v>
      </c>
      <c r="K962" s="601"/>
      <c r="L962" s="602">
        <f>IFERROR(VLOOKUP($B962,اسماء,8,0),0)</f>
        <v>0</v>
      </c>
      <c r="M962" s="603"/>
      <c r="N962" s="602">
        <f>IFERROR(VLOOKUP($B962,اسماء,9,0),0)</f>
        <v>0</v>
      </c>
      <c r="O962" s="603"/>
      <c r="P962" s="600">
        <f>IFERROR(VLOOKUP($B962,اسماء,10,0),0)</f>
        <v>0</v>
      </c>
      <c r="Q962" s="622"/>
      <c r="R962" s="371">
        <f t="shared" ref="R962" si="2612">SUM(F962:Q962)</f>
        <v>0</v>
      </c>
      <c r="S962" s="213" t="str">
        <f>IFERROR(VLOOKUP($B962,اسماء,12,0),"")</f>
        <v/>
      </c>
      <c r="T962" s="214" t="str">
        <f>IFERROR(VLOOKUP($B962,اسماء,13,0),"")</f>
        <v/>
      </c>
      <c r="U962" s="364" t="str">
        <f>IFERROR(VLOOKUP($B962,اسماء,14,0),"")</f>
        <v/>
      </c>
      <c r="V962" s="604" t="str">
        <f t="shared" ref="V962" si="2613">IF(Z962="غائب","راسب",IF(R965&gt;0,"ناجح","مرحل"))</f>
        <v>مرحل</v>
      </c>
      <c r="W962" s="19" t="str">
        <f t="shared" ref="W962:W963" si="2614">LOOKUP(R962,$AC$6:$AD$10)</f>
        <v>ضعيف</v>
      </c>
      <c r="X962" s="639">
        <f t="shared" ref="X962" si="2615">R965/$AC$3</f>
        <v>0</v>
      </c>
      <c r="Y962" s="8"/>
      <c r="Z962" s="597" t="str">
        <f>IFERROR(VLOOKUP($B962,اسماء,48,0),"")</f>
        <v/>
      </c>
      <c r="AK962" s="667" t="str">
        <f t="shared" ref="AK962" si="2616">IF(R965=0,"",R965/1+ROW()*0.00001)</f>
        <v/>
      </c>
      <c r="AL962" s="667">
        <f>B962</f>
        <v>0</v>
      </c>
      <c r="AM962" s="696"/>
      <c r="AN962" s="698">
        <v>209</v>
      </c>
      <c r="AO962" s="699" t="str">
        <f>IFERROR(LARGE($AK$10:$AK$1420,AN962),"")</f>
        <v/>
      </c>
      <c r="AP962" s="698" t="str">
        <f>VLOOKUP(AO962,$AK$10:$AL$1530,2,0)</f>
        <v>امجد عمر عبداللطيف سلطان</v>
      </c>
    </row>
    <row r="963" spans="1:42" ht="14.85" customHeight="1" x14ac:dyDescent="0.25">
      <c r="A963" s="611"/>
      <c r="B963" s="614"/>
      <c r="C963" s="617"/>
      <c r="D963" s="620"/>
      <c r="E963" s="130" t="s">
        <v>31</v>
      </c>
      <c r="F963" s="592">
        <f>IFERROR(VLOOKUP($B962,اسماء,15,0),0)</f>
        <v>0</v>
      </c>
      <c r="G963" s="593"/>
      <c r="H963" s="594">
        <f>IFERROR(VLOOKUP($B962,اسماء,16,0),0)</f>
        <v>0</v>
      </c>
      <c r="I963" s="595"/>
      <c r="J963" s="592">
        <f>IFERROR(VLOOKUP($B962,اسماء,17,0),0)</f>
        <v>0</v>
      </c>
      <c r="K963" s="593"/>
      <c r="L963" s="594">
        <f>IFERROR(VLOOKUP($B962,اسماء,18,0),0)</f>
        <v>0</v>
      </c>
      <c r="M963" s="596"/>
      <c r="N963" s="594">
        <f>IFERROR(VLOOKUP($B962,اسماء,19,0),0)</f>
        <v>0</v>
      </c>
      <c r="O963" s="596"/>
      <c r="P963" s="592">
        <f>IFERROR(VLOOKUP($B962,اسماء,20,0),0)</f>
        <v>0</v>
      </c>
      <c r="Q963" s="595"/>
      <c r="R963" s="372">
        <f t="shared" si="2520"/>
        <v>0</v>
      </c>
      <c r="S963" s="305" t="str">
        <f>IFERROR(VLOOKUP($B962,اسماء,23,0),"")</f>
        <v/>
      </c>
      <c r="T963" s="306" t="str">
        <f>IFERROR(VLOOKUP($B962,اسماء,24,0),"")</f>
        <v/>
      </c>
      <c r="U963" s="122" t="str">
        <f>IFERROR(VLOOKUP($B962,اسماء,25,0),"")</f>
        <v/>
      </c>
      <c r="V963" s="605"/>
      <c r="W963" s="19" t="str">
        <f t="shared" si="2614"/>
        <v>ضعيف</v>
      </c>
      <c r="X963" s="640"/>
      <c r="Y963" s="68"/>
      <c r="Z963" s="598"/>
      <c r="AK963" s="667"/>
      <c r="AL963" s="667"/>
      <c r="AM963" s="696"/>
      <c r="AN963" s="698"/>
      <c r="AO963" s="699"/>
      <c r="AP963" s="698"/>
    </row>
    <row r="964" spans="1:42" ht="14.85" customHeight="1" x14ac:dyDescent="0.25">
      <c r="A964" s="611"/>
      <c r="B964" s="614"/>
      <c r="C964" s="617"/>
      <c r="D964" s="620"/>
      <c r="E964" s="130" t="s">
        <v>32</v>
      </c>
      <c r="F964" s="592">
        <f>IFERROR(VLOOKUP($B962,اسماء,25,0),0)</f>
        <v>0</v>
      </c>
      <c r="G964" s="593"/>
      <c r="H964" s="594">
        <f>IFERROR(VLOOKUP($B962,اسماء,26,0),0)</f>
        <v>0</v>
      </c>
      <c r="I964" s="595"/>
      <c r="J964" s="592">
        <f>IFERROR(VLOOKUP($B962,اسماء,27,0),0)</f>
        <v>0</v>
      </c>
      <c r="K964" s="593"/>
      <c r="L964" s="594">
        <f>IFERROR(VLOOKUP($B962,اسماء,28,0),0)</f>
        <v>0</v>
      </c>
      <c r="M964" s="596"/>
      <c r="N964" s="594">
        <f>IFERROR(VLOOKUP($B962,اسماء,29,0),0)</f>
        <v>0</v>
      </c>
      <c r="O964" s="596"/>
      <c r="P964" s="592">
        <f>IFERROR(VLOOKUP($B962,اسماء,30,0),0)</f>
        <v>0</v>
      </c>
      <c r="Q964" s="595"/>
      <c r="R964" s="372">
        <f t="shared" si="2520"/>
        <v>0</v>
      </c>
      <c r="S964" s="305" t="str">
        <f>IFERROR(VLOOKUP($B962,اسماء,34,0),"")</f>
        <v/>
      </c>
      <c r="T964" s="306" t="str">
        <f>IFERROR(VLOOKUP($B962,اسماء,35,0),"")</f>
        <v/>
      </c>
      <c r="U964" s="122" t="str">
        <f>IFERROR(VLOOKUP($B962,اسماء,36,0),"")</f>
        <v/>
      </c>
      <c r="V964" s="605"/>
      <c r="W964" s="20" t="str">
        <f t="shared" ref="W964" si="2617">LOOKUP(R964,$AF$6:$AG$10)</f>
        <v>ضعيف</v>
      </c>
      <c r="X964" s="640"/>
      <c r="Y964" s="68"/>
      <c r="Z964" s="598"/>
      <c r="AK964" s="667"/>
      <c r="AL964" s="667"/>
      <c r="AM964" s="696"/>
      <c r="AN964" s="698"/>
      <c r="AO964" s="699"/>
      <c r="AP964" s="698"/>
    </row>
    <row r="965" spans="1:42" ht="14.85" customHeight="1" thickBot="1" x14ac:dyDescent="0.3">
      <c r="A965" s="612"/>
      <c r="B965" s="615"/>
      <c r="C965" s="618"/>
      <c r="D965" s="621"/>
      <c r="E965" s="124" t="s">
        <v>33</v>
      </c>
      <c r="F965" s="623">
        <f t="shared" ref="F965" si="2618">SUM(F962:G964)</f>
        <v>0</v>
      </c>
      <c r="G965" s="624"/>
      <c r="H965" s="625">
        <f t="shared" ref="H965" si="2619">SUM(H962:I964)</f>
        <v>0</v>
      </c>
      <c r="I965" s="626"/>
      <c r="J965" s="623">
        <f t="shared" ref="J965" si="2620">SUM(J962:K964)</f>
        <v>0</v>
      </c>
      <c r="K965" s="624"/>
      <c r="L965" s="625">
        <f t="shared" ref="L965" si="2621">SUM(L962:M964)</f>
        <v>0</v>
      </c>
      <c r="M965" s="642"/>
      <c r="N965" s="625">
        <f t="shared" ref="N965" si="2622">SUM(N962:O964)</f>
        <v>0</v>
      </c>
      <c r="O965" s="642"/>
      <c r="P965" s="623">
        <f t="shared" ref="P965" si="2623">SUM(P962:Q964)</f>
        <v>0</v>
      </c>
      <c r="Q965" s="626"/>
      <c r="R965" s="88">
        <f t="shared" ref="R965" si="2624">IF(AND(F965&gt;=$G$8,H965&gt;=$I$8,J965&gt;=$K$8,L965&gt;=$M$8,N965&gt;=$O$8,P965&gt;=$Q$8),SUM(F965:Q965),0)</f>
        <v>0</v>
      </c>
      <c r="S965" s="251"/>
      <c r="T965" s="97"/>
      <c r="U965" s="94"/>
      <c r="V965" s="606"/>
      <c r="W965" s="88" t="str">
        <f t="shared" ref="W965" si="2625">LOOKUP(R965,$AI$6:$AJ$10)</f>
        <v>ضعيف</v>
      </c>
      <c r="X965" s="641"/>
      <c r="Y965" s="8"/>
      <c r="Z965" s="599"/>
      <c r="AK965" s="667"/>
      <c r="AL965" s="667"/>
      <c r="AM965" s="696"/>
      <c r="AN965" s="698"/>
      <c r="AO965" s="699"/>
      <c r="AP965" s="698"/>
    </row>
    <row r="966" spans="1:42" ht="14.85" customHeight="1" thickBot="1" x14ac:dyDescent="0.3">
      <c r="A966" s="610">
        <v>210</v>
      </c>
      <c r="B966" s="613">
        <f>VLOOKUP(A966,مسلسل,2,0)</f>
        <v>0</v>
      </c>
      <c r="C966" s="616" t="str">
        <f>IFERROR(VLOOKUP(B966,اسماء,2,0),"")</f>
        <v/>
      </c>
      <c r="D966" s="619" t="str">
        <f>IFERROR(VLOOKUP($B966,اسماء,3,0),"")</f>
        <v/>
      </c>
      <c r="E966" s="129" t="s">
        <v>30</v>
      </c>
      <c r="F966" s="600">
        <f>IFERROR(VLOOKUP($B966,اسماء,5,0),0)</f>
        <v>0</v>
      </c>
      <c r="G966" s="601"/>
      <c r="H966" s="602">
        <f>IFERROR(VLOOKUP($B966,اسماء,6,0),0)</f>
        <v>0</v>
      </c>
      <c r="I966" s="622"/>
      <c r="J966" s="600">
        <f>IFERROR(VLOOKUP($B966,اسماء,7,0),0)</f>
        <v>0</v>
      </c>
      <c r="K966" s="601"/>
      <c r="L966" s="602">
        <f>IFERROR(VLOOKUP($B966,اسماء,8,0),0)</f>
        <v>0</v>
      </c>
      <c r="M966" s="603"/>
      <c r="N966" s="602">
        <f>IFERROR(VLOOKUP($B966,اسماء,9,0),0)</f>
        <v>0</v>
      </c>
      <c r="O966" s="603"/>
      <c r="P966" s="600">
        <f>IFERROR(VLOOKUP($B966,اسماء,10,0),0)</f>
        <v>0</v>
      </c>
      <c r="Q966" s="622"/>
      <c r="R966" s="371">
        <f t="shared" ref="R966" si="2626">SUM(F966:Q966)</f>
        <v>0</v>
      </c>
      <c r="S966" s="213" t="str">
        <f>IFERROR(VLOOKUP($B966,اسماء,12,0),"")</f>
        <v/>
      </c>
      <c r="T966" s="214" t="str">
        <f>IFERROR(VLOOKUP($B966,اسماء,13,0),"")</f>
        <v/>
      </c>
      <c r="U966" s="364" t="str">
        <f>IFERROR(VLOOKUP($B966,اسماء,14,0),"")</f>
        <v/>
      </c>
      <c r="V966" s="604" t="str">
        <f t="shared" ref="V966" si="2627">IF(Z966="غائب","راسب",IF(R969&gt;0,"ناجح","مرحل"))</f>
        <v>مرحل</v>
      </c>
      <c r="W966" s="19" t="str">
        <f t="shared" ref="W966:W967" si="2628">LOOKUP(R966,$AC$6:$AD$10)</f>
        <v>ضعيف</v>
      </c>
      <c r="X966" s="639">
        <f t="shared" ref="X966" si="2629">R969/$AC$3</f>
        <v>0</v>
      </c>
      <c r="Y966" s="68"/>
      <c r="Z966" s="597" t="str">
        <f>IFERROR(VLOOKUP($B966,اسماء,48,0),"")</f>
        <v/>
      </c>
      <c r="AK966" s="667" t="str">
        <f t="shared" ref="AK966" si="2630">IF(R969=0,"",R969/1+ROW()*0.00001)</f>
        <v/>
      </c>
      <c r="AL966" s="667">
        <f>B966</f>
        <v>0</v>
      </c>
      <c r="AM966" s="696"/>
      <c r="AN966" s="698">
        <v>210</v>
      </c>
      <c r="AO966" s="699" t="str">
        <f>IFERROR(LARGE($AK$10:$AK$1420,AN966),"")</f>
        <v/>
      </c>
      <c r="AP966" s="698" t="str">
        <f>VLOOKUP(AO966,$AK$10:$AL$1530,2,0)</f>
        <v>امجد عمر عبداللطيف سلطان</v>
      </c>
    </row>
    <row r="967" spans="1:42" ht="14.85" customHeight="1" x14ac:dyDescent="0.25">
      <c r="A967" s="611"/>
      <c r="B967" s="614"/>
      <c r="C967" s="617"/>
      <c r="D967" s="620"/>
      <c r="E967" s="130" t="s">
        <v>31</v>
      </c>
      <c r="F967" s="592">
        <f>IFERROR(VLOOKUP($B966,اسماء,15,0),0)</f>
        <v>0</v>
      </c>
      <c r="G967" s="593"/>
      <c r="H967" s="594">
        <f>IFERROR(VLOOKUP($B966,اسماء,16,0),0)</f>
        <v>0</v>
      </c>
      <c r="I967" s="595"/>
      <c r="J967" s="592">
        <f>IFERROR(VLOOKUP($B966,اسماء,17,0),0)</f>
        <v>0</v>
      </c>
      <c r="K967" s="593"/>
      <c r="L967" s="594">
        <f>IFERROR(VLOOKUP($B966,اسماء,18,0),0)</f>
        <v>0</v>
      </c>
      <c r="M967" s="596"/>
      <c r="N967" s="594">
        <f>IFERROR(VLOOKUP($B966,اسماء,19,0),0)</f>
        <v>0</v>
      </c>
      <c r="O967" s="596"/>
      <c r="P967" s="592">
        <f>IFERROR(VLOOKUP($B966,اسماء,20,0),0)</f>
        <v>0</v>
      </c>
      <c r="Q967" s="595"/>
      <c r="R967" s="372">
        <f t="shared" si="2520"/>
        <v>0</v>
      </c>
      <c r="S967" s="305" t="str">
        <f>IFERROR(VLOOKUP($B966,اسماء,23,0),"")</f>
        <v/>
      </c>
      <c r="T967" s="306" t="str">
        <f>IFERROR(VLOOKUP($B966,اسماء,24,0),"")</f>
        <v/>
      </c>
      <c r="U967" s="122" t="str">
        <f>IFERROR(VLOOKUP($B966,اسماء,25,0),"")</f>
        <v/>
      </c>
      <c r="V967" s="605"/>
      <c r="W967" s="19" t="str">
        <f t="shared" si="2628"/>
        <v>ضعيف</v>
      </c>
      <c r="X967" s="640"/>
      <c r="Y967" s="68"/>
      <c r="Z967" s="598"/>
      <c r="AK967" s="667"/>
      <c r="AL967" s="667"/>
      <c r="AM967" s="696"/>
      <c r="AN967" s="698"/>
      <c r="AO967" s="699"/>
      <c r="AP967" s="698"/>
    </row>
    <row r="968" spans="1:42" ht="14.85" customHeight="1" x14ac:dyDescent="0.25">
      <c r="A968" s="611"/>
      <c r="B968" s="614"/>
      <c r="C968" s="617"/>
      <c r="D968" s="620"/>
      <c r="E968" s="130" t="s">
        <v>32</v>
      </c>
      <c r="F968" s="592">
        <f>IFERROR(VLOOKUP($B966,اسماء,25,0),0)</f>
        <v>0</v>
      </c>
      <c r="G968" s="593"/>
      <c r="H968" s="594">
        <f>IFERROR(VLOOKUP($B966,اسماء,26,0),0)</f>
        <v>0</v>
      </c>
      <c r="I968" s="595"/>
      <c r="J968" s="592">
        <f>IFERROR(VLOOKUP($B966,اسماء,27,0),0)</f>
        <v>0</v>
      </c>
      <c r="K968" s="593"/>
      <c r="L968" s="594">
        <f>IFERROR(VLOOKUP($B966,اسماء,28,0),0)</f>
        <v>0</v>
      </c>
      <c r="M968" s="596"/>
      <c r="N968" s="594">
        <f>IFERROR(VLOOKUP($B966,اسماء,29,0),0)</f>
        <v>0</v>
      </c>
      <c r="O968" s="596"/>
      <c r="P968" s="592">
        <f>IFERROR(VLOOKUP($B966,اسماء,30,0),0)</f>
        <v>0</v>
      </c>
      <c r="Q968" s="595"/>
      <c r="R968" s="372">
        <f t="shared" si="2520"/>
        <v>0</v>
      </c>
      <c r="S968" s="305" t="str">
        <f>IFERROR(VLOOKUP($B966,اسماء,34,0),"")</f>
        <v/>
      </c>
      <c r="T968" s="306" t="str">
        <f>IFERROR(VLOOKUP($B966,اسماء,35,0),"")</f>
        <v/>
      </c>
      <c r="U968" s="122" t="str">
        <f>IFERROR(VLOOKUP($B966,اسماء,36,0),"")</f>
        <v/>
      </c>
      <c r="V968" s="605"/>
      <c r="W968" s="20" t="str">
        <f t="shared" ref="W968" si="2631">LOOKUP(R968,$AF$6:$AG$10)</f>
        <v>ضعيف</v>
      </c>
      <c r="X968" s="640"/>
      <c r="Y968" s="8"/>
      <c r="Z968" s="598"/>
      <c r="AK968" s="667"/>
      <c r="AL968" s="667"/>
      <c r="AM968" s="696"/>
      <c r="AN968" s="698"/>
      <c r="AO968" s="699"/>
      <c r="AP968" s="698"/>
    </row>
    <row r="969" spans="1:42" ht="14.85" customHeight="1" thickBot="1" x14ac:dyDescent="0.3">
      <c r="A969" s="612"/>
      <c r="B969" s="615"/>
      <c r="C969" s="618"/>
      <c r="D969" s="621"/>
      <c r="E969" s="124" t="s">
        <v>33</v>
      </c>
      <c r="F969" s="623">
        <f t="shared" ref="F969" si="2632">SUM(F966:G968)</f>
        <v>0</v>
      </c>
      <c r="G969" s="624"/>
      <c r="H969" s="625">
        <f t="shared" ref="H969" si="2633">SUM(H966:I968)</f>
        <v>0</v>
      </c>
      <c r="I969" s="626"/>
      <c r="J969" s="623">
        <f t="shared" ref="J969" si="2634">SUM(J966:K968)</f>
        <v>0</v>
      </c>
      <c r="K969" s="624"/>
      <c r="L969" s="625">
        <f t="shared" ref="L969" si="2635">SUM(L966:M968)</f>
        <v>0</v>
      </c>
      <c r="M969" s="642"/>
      <c r="N969" s="625">
        <f t="shared" ref="N969" si="2636">SUM(N966:O968)</f>
        <v>0</v>
      </c>
      <c r="O969" s="642"/>
      <c r="P969" s="623">
        <f t="shared" ref="P969" si="2637">SUM(P966:Q968)</f>
        <v>0</v>
      </c>
      <c r="Q969" s="626"/>
      <c r="R969" s="88">
        <f t="shared" ref="R969" si="2638">IF(AND(F969&gt;=$G$8,H969&gt;=$I$8,J969&gt;=$K$8,L969&gt;=$M$8,N969&gt;=$O$8,P969&gt;=$Q$8),SUM(F969:Q969),0)</f>
        <v>0</v>
      </c>
      <c r="S969" s="251"/>
      <c r="T969" s="97"/>
      <c r="U969" s="94"/>
      <c r="V969" s="606"/>
      <c r="W969" s="88" t="str">
        <f t="shared" ref="W969" si="2639">LOOKUP(R969,$AI$6:$AJ$10)</f>
        <v>ضعيف</v>
      </c>
      <c r="X969" s="641"/>
      <c r="Y969" s="68"/>
      <c r="Z969" s="599"/>
      <c r="AK969" s="667"/>
      <c r="AL969" s="667"/>
      <c r="AM969" s="696"/>
      <c r="AN969" s="698"/>
      <c r="AO969" s="699"/>
      <c r="AP969" s="698"/>
    </row>
    <row r="970" spans="1:42" ht="14.85" customHeight="1" thickBot="1" x14ac:dyDescent="0.3">
      <c r="F970" s="71"/>
      <c r="G970" s="72"/>
      <c r="H970" s="71"/>
      <c r="I970" s="72"/>
      <c r="J970" s="71"/>
      <c r="K970" s="72"/>
      <c r="L970" s="71"/>
      <c r="M970" s="72"/>
      <c r="N970" s="71"/>
      <c r="O970" s="72"/>
      <c r="P970" s="71"/>
      <c r="Q970" s="72"/>
      <c r="R970" s="70"/>
      <c r="S970" s="73"/>
      <c r="T970" s="70"/>
      <c r="U970" s="70"/>
      <c r="V970" s="70"/>
      <c r="W970" s="70"/>
      <c r="X970" s="254"/>
      <c r="Y970" s="68"/>
      <c r="AH970" s="74"/>
    </row>
    <row r="971" spans="1:42" customFormat="1" ht="14.85" customHeight="1" x14ac:dyDescent="0.3">
      <c r="A971" s="668" t="s">
        <v>9</v>
      </c>
      <c r="B971" s="669"/>
      <c r="C971" s="670"/>
      <c r="D971" s="277" t="s">
        <v>11</v>
      </c>
      <c r="E971" s="674" t="s">
        <v>96</v>
      </c>
      <c r="F971" s="663"/>
      <c r="G971" s="663"/>
      <c r="H971" s="663"/>
      <c r="I971" s="663"/>
      <c r="J971" s="7"/>
      <c r="K971" s="7"/>
      <c r="L971" s="7"/>
      <c r="M971" s="7"/>
      <c r="N971" s="7"/>
      <c r="O971" s="7"/>
      <c r="P971" s="7"/>
      <c r="Q971" s="663" t="s">
        <v>156</v>
      </c>
      <c r="R971" s="663"/>
      <c r="S971" s="663"/>
      <c r="T971" s="663"/>
      <c r="U971" s="663"/>
      <c r="V971" s="663"/>
      <c r="W971" s="1"/>
      <c r="X971" s="255"/>
      <c r="Z971" s="75"/>
      <c r="AA971" s="76"/>
      <c r="AB971" s="76"/>
      <c r="AC971" s="76"/>
      <c r="AD971" s="76"/>
    </row>
    <row r="972" spans="1:42" customFormat="1" ht="14.85" customHeight="1" x14ac:dyDescent="0.25">
      <c r="A972" s="77" t="s">
        <v>8</v>
      </c>
      <c r="B972" s="671">
        <f>ادخال1!$BJ$3</f>
        <v>0</v>
      </c>
      <c r="C972" s="672"/>
      <c r="D972" s="278"/>
      <c r="E972" s="7" t="s">
        <v>9</v>
      </c>
      <c r="F972" s="673" t="str">
        <f>ادخال1!$BJ$5</f>
        <v>د. عبدالرحمن خليفة العريبي</v>
      </c>
      <c r="G972" s="673"/>
      <c r="H972" s="673"/>
      <c r="I972" s="673"/>
      <c r="J972" s="673"/>
      <c r="K972" s="673"/>
      <c r="L972" s="673"/>
      <c r="M972" s="673"/>
      <c r="N972" s="673"/>
      <c r="O972" s="673"/>
      <c r="P972" s="7"/>
      <c r="Q972" s="673" t="str">
        <f>ادخال1!$BJ$6</f>
        <v>تاجوراء</v>
      </c>
      <c r="R972" s="673"/>
      <c r="S972" s="673"/>
      <c r="T972" s="673"/>
      <c r="U972" s="673"/>
      <c r="V972" s="673"/>
      <c r="W972" s="673"/>
      <c r="X972" s="63"/>
      <c r="Y972" s="63"/>
      <c r="Z972" s="75"/>
      <c r="AA972" s="75"/>
      <c r="AB972" s="75"/>
      <c r="AC972" s="75"/>
    </row>
    <row r="973" spans="1:42" customFormat="1" ht="14.85" customHeight="1" thickBot="1" x14ac:dyDescent="0.3">
      <c r="A973" s="78" t="s">
        <v>97</v>
      </c>
      <c r="B973" s="665">
        <f>ادخال1!$BJ$4</f>
        <v>0</v>
      </c>
      <c r="C973" s="666"/>
      <c r="D973" s="279"/>
      <c r="E973" s="7" t="s">
        <v>11</v>
      </c>
      <c r="F973" s="667"/>
      <c r="G973" s="667"/>
      <c r="H973" s="667"/>
      <c r="I973" s="667"/>
      <c r="J973" s="667"/>
      <c r="K973" s="667"/>
      <c r="L973" s="667"/>
      <c r="M973" s="667"/>
      <c r="N973" s="667"/>
      <c r="O973" s="667"/>
      <c r="P973" s="7"/>
      <c r="Q973" s="7" t="s">
        <v>11</v>
      </c>
      <c r="R973" s="1"/>
      <c r="S973" s="1"/>
      <c r="T973" s="1"/>
      <c r="U973" s="1"/>
      <c r="V973" s="1"/>
      <c r="W973" s="1"/>
      <c r="X973" s="255"/>
      <c r="Z973" s="75"/>
      <c r="AA973" s="75"/>
      <c r="AB973" s="75"/>
      <c r="AC973" s="75"/>
    </row>
    <row r="974" spans="1:42" customFormat="1" ht="14.85" customHeight="1" x14ac:dyDescent="0.25">
      <c r="A974" s="663" t="s">
        <v>98</v>
      </c>
      <c r="B974" s="663"/>
      <c r="C974" s="663"/>
      <c r="D974" s="663"/>
      <c r="E974" s="663" t="s">
        <v>99</v>
      </c>
      <c r="F974" s="663"/>
      <c r="G974" s="663"/>
      <c r="H974" s="663"/>
      <c r="I974" s="663"/>
      <c r="J974" s="663"/>
      <c r="K974" s="663"/>
      <c r="L974" s="663"/>
      <c r="M974" s="663"/>
      <c r="N974" s="663"/>
      <c r="O974" s="663"/>
      <c r="P974" s="663"/>
      <c r="Q974" s="663"/>
      <c r="R974" s="7"/>
      <c r="S974" s="664">
        <f ca="1">TODAY()</f>
        <v>46009</v>
      </c>
      <c r="T974" s="664"/>
      <c r="U974" s="664"/>
      <c r="V974" s="664"/>
      <c r="W974" s="664"/>
      <c r="X974" s="255"/>
    </row>
    <row r="975" spans="1:42" customFormat="1" ht="14.85" customHeight="1" thickBot="1" x14ac:dyDescent="0.3">
      <c r="A975" s="7"/>
      <c r="B975" s="663" t="s">
        <v>100</v>
      </c>
      <c r="C975" s="663"/>
      <c r="D975" s="663"/>
      <c r="E975" s="663" t="s">
        <v>101</v>
      </c>
      <c r="F975" s="663"/>
      <c r="G975" s="663"/>
      <c r="H975" s="663"/>
      <c r="I975" s="663"/>
      <c r="J975" s="663"/>
      <c r="K975" s="663"/>
      <c r="L975" s="663"/>
      <c r="M975" s="663"/>
      <c r="N975" s="663"/>
      <c r="O975" s="663"/>
      <c r="P975" s="663"/>
      <c r="Q975" s="663"/>
      <c r="R975" s="1"/>
      <c r="S975" s="1"/>
      <c r="T975" s="1"/>
      <c r="U975" s="1"/>
      <c r="V975" s="1"/>
      <c r="W975" s="1"/>
      <c r="X975" s="255"/>
    </row>
    <row r="976" spans="1:42" ht="14.85" customHeight="1" thickBot="1" x14ac:dyDescent="0.3">
      <c r="A976" s="610">
        <v>211</v>
      </c>
      <c r="B976" s="613">
        <f>VLOOKUP(A976,مسلسل,2,0)</f>
        <v>0</v>
      </c>
      <c r="C976" s="616" t="str">
        <f>IFERROR(VLOOKUP(B976,اسماء,2,0),"")</f>
        <v/>
      </c>
      <c r="D976" s="619" t="str">
        <f>IFERROR(VLOOKUP($B976,اسماء,3,0),"")</f>
        <v/>
      </c>
      <c r="E976" s="129" t="s">
        <v>30</v>
      </c>
      <c r="F976" s="600">
        <f>IFERROR(VLOOKUP($B976,اسماء,5,0),0)</f>
        <v>0</v>
      </c>
      <c r="G976" s="601"/>
      <c r="H976" s="602">
        <f>IFERROR(VLOOKUP($B976,اسماء,6,0),0)</f>
        <v>0</v>
      </c>
      <c r="I976" s="622"/>
      <c r="J976" s="600">
        <f>IFERROR(VLOOKUP($B976,اسماء,7,0),0)</f>
        <v>0</v>
      </c>
      <c r="K976" s="601"/>
      <c r="L976" s="602">
        <f>IFERROR(VLOOKUP($B976,اسماء,8,0),0)</f>
        <v>0</v>
      </c>
      <c r="M976" s="603"/>
      <c r="N976" s="602">
        <f>IFERROR(VLOOKUP($B976,اسماء,9,0),0)</f>
        <v>0</v>
      </c>
      <c r="O976" s="603"/>
      <c r="P976" s="600">
        <f>IFERROR(VLOOKUP($B976,اسماء,10,0),0)</f>
        <v>0</v>
      </c>
      <c r="Q976" s="622"/>
      <c r="R976" s="371">
        <f>SUM(F976:Q976)</f>
        <v>0</v>
      </c>
      <c r="S976" s="325" t="str">
        <f>IFERROR(VLOOKUP($B976,اسماء,12,0),"")</f>
        <v/>
      </c>
      <c r="T976" s="326" t="str">
        <f>IFERROR(VLOOKUP($B976,اسماء,13,0),"")</f>
        <v/>
      </c>
      <c r="U976" s="92" t="str">
        <f>IFERROR(VLOOKUP($B976,اسماء,14,0),"")</f>
        <v/>
      </c>
      <c r="V976" s="604" t="str">
        <f t="shared" ref="V976" si="2640">IF(Z976="غائب","راسب",IF(R979&gt;0,"ناجح","مرحل"))</f>
        <v>مرحل</v>
      </c>
      <c r="W976" s="19" t="str">
        <f t="shared" ref="W976:W977" si="2641">LOOKUP(R976,$AC$6:$AD$10)</f>
        <v>ضعيف</v>
      </c>
      <c r="X976" s="639">
        <f t="shared" ref="X976" si="2642">R979/$AC$3</f>
        <v>0</v>
      </c>
      <c r="Y976" s="68"/>
      <c r="Z976" s="597" t="str">
        <f>IFERROR(VLOOKUP($B976,اسماء,48,0),"")</f>
        <v/>
      </c>
      <c r="AK976" s="671" t="str">
        <f>IF(R979=0,"",R979/1+ROW()*0.00001)</f>
        <v/>
      </c>
      <c r="AL976" s="671">
        <f>B976</f>
        <v>0</v>
      </c>
      <c r="AM976" s="696"/>
      <c r="AN976" s="698">
        <v>211</v>
      </c>
      <c r="AO976" s="699" t="str">
        <f>IFERROR(LARGE($AK$10:$AK$1420,AN976),"")</f>
        <v/>
      </c>
      <c r="AP976" s="698" t="str">
        <f>VLOOKUP(AO976,$AK$10:$AL$1530,2,0)</f>
        <v>امجد عمر عبداللطيف سلطان</v>
      </c>
    </row>
    <row r="977" spans="1:42" ht="14.85" customHeight="1" x14ac:dyDescent="0.25">
      <c r="A977" s="611"/>
      <c r="B977" s="614"/>
      <c r="C977" s="617"/>
      <c r="D977" s="620"/>
      <c r="E977" s="130" t="s">
        <v>31</v>
      </c>
      <c r="F977" s="592">
        <f>IFERROR(VLOOKUP($B976,اسماء,16,0),0)</f>
        <v>0</v>
      </c>
      <c r="G977" s="593"/>
      <c r="H977" s="594">
        <f>IFERROR(VLOOKUP($B976,اسماء,17,0),0)</f>
        <v>0</v>
      </c>
      <c r="I977" s="595"/>
      <c r="J977" s="592">
        <f>IFERROR(VLOOKUP($B976,اسماء,18,0),0)</f>
        <v>0</v>
      </c>
      <c r="K977" s="593"/>
      <c r="L977" s="594">
        <f>IFERROR(VLOOKUP($B976,اسماء,19,0),0)</f>
        <v>0</v>
      </c>
      <c r="M977" s="596"/>
      <c r="N977" s="594">
        <f>IFERROR(VLOOKUP($B976,اسماء,20,0),0)</f>
        <v>0</v>
      </c>
      <c r="O977" s="596"/>
      <c r="P977" s="592">
        <f>IFERROR(VLOOKUP($B976,اسماء,21,0),0)</f>
        <v>0</v>
      </c>
      <c r="Q977" s="595"/>
      <c r="R977" s="372">
        <f t="shared" ref="R977:R978" si="2643">SUM(F977:Q977)</f>
        <v>0</v>
      </c>
      <c r="S977" s="305" t="str">
        <f>IFERROR(VLOOKUP($B976,اسماء,23,0),"")</f>
        <v/>
      </c>
      <c r="T977" s="306" t="str">
        <f>IFERROR(VLOOKUP($B976,اسماء,24,0),"")</f>
        <v/>
      </c>
      <c r="U977" s="122" t="str">
        <f>IFERROR(VLOOKUP($B976,اسماء,25,0),"")</f>
        <v/>
      </c>
      <c r="V977" s="605"/>
      <c r="W977" s="19" t="str">
        <f t="shared" si="2641"/>
        <v>ضعيف</v>
      </c>
      <c r="X977" s="640"/>
      <c r="Y977" s="8"/>
      <c r="Z977" s="598"/>
      <c r="AK977" s="671"/>
      <c r="AL977" s="671"/>
      <c r="AM977" s="696"/>
      <c r="AN977" s="698"/>
      <c r="AO977" s="699"/>
      <c r="AP977" s="698"/>
    </row>
    <row r="978" spans="1:42" ht="14.85" customHeight="1" x14ac:dyDescent="0.25">
      <c r="A978" s="611"/>
      <c r="B978" s="614"/>
      <c r="C978" s="617"/>
      <c r="D978" s="620"/>
      <c r="E978" s="130" t="s">
        <v>32</v>
      </c>
      <c r="F978" s="592">
        <f>IFERROR(VLOOKUP($B976,اسماء,27,0),0)</f>
        <v>0</v>
      </c>
      <c r="G978" s="593"/>
      <c r="H978" s="594">
        <f>IFERROR(VLOOKUP($B976,اسماء,28,0),0)</f>
        <v>0</v>
      </c>
      <c r="I978" s="595"/>
      <c r="J978" s="592">
        <f>IFERROR(VLOOKUP($B976,اسماء,29,0),0)</f>
        <v>0</v>
      </c>
      <c r="K978" s="593"/>
      <c r="L978" s="594">
        <f>IFERROR(VLOOKUP($B976,اسماء,30,0),0)</f>
        <v>0</v>
      </c>
      <c r="M978" s="596"/>
      <c r="N978" s="594">
        <f>IFERROR(VLOOKUP($B976,اسماء,31,0),0)</f>
        <v>0</v>
      </c>
      <c r="O978" s="596"/>
      <c r="P978" s="592">
        <f>IFERROR(VLOOKUP($B976,اسماء,32,0),0)</f>
        <v>0</v>
      </c>
      <c r="Q978" s="595"/>
      <c r="R978" s="372">
        <f t="shared" si="2643"/>
        <v>0</v>
      </c>
      <c r="S978" s="305" t="str">
        <f>IFERROR(VLOOKUP($B976,اسماء,34,0),"")</f>
        <v/>
      </c>
      <c r="T978" s="306" t="str">
        <f>IFERROR(VLOOKUP($B976,اسماء,35,0),"")</f>
        <v/>
      </c>
      <c r="U978" s="122" t="str">
        <f>IFERROR(VLOOKUP($B976,اسماء,36,0),"")</f>
        <v/>
      </c>
      <c r="V978" s="605"/>
      <c r="W978" s="20" t="str">
        <f t="shared" ref="W978" si="2644">LOOKUP(R978,$AF$6:$AG$10)</f>
        <v>ضعيف</v>
      </c>
      <c r="X978" s="640"/>
      <c r="Y978" s="68"/>
      <c r="Z978" s="598"/>
      <c r="AK978" s="671"/>
      <c r="AL978" s="671"/>
      <c r="AM978" s="696"/>
      <c r="AN978" s="698"/>
      <c r="AO978" s="699"/>
      <c r="AP978" s="698"/>
    </row>
    <row r="979" spans="1:42" ht="14.85" customHeight="1" thickBot="1" x14ac:dyDescent="0.3">
      <c r="A979" s="612"/>
      <c r="B979" s="615"/>
      <c r="C979" s="618"/>
      <c r="D979" s="621"/>
      <c r="E979" s="124" t="s">
        <v>33</v>
      </c>
      <c r="F979" s="623">
        <f>SUM(F976:G978)</f>
        <v>0</v>
      </c>
      <c r="G979" s="624"/>
      <c r="H979" s="625">
        <f>SUM(H976:I978)</f>
        <v>0</v>
      </c>
      <c r="I979" s="626"/>
      <c r="J979" s="623">
        <f>SUM(J976:K978)</f>
        <v>0</v>
      </c>
      <c r="K979" s="624"/>
      <c r="L979" s="625">
        <f>SUM(L976:M978)</f>
        <v>0</v>
      </c>
      <c r="M979" s="642"/>
      <c r="N979" s="625">
        <f>SUM(N976:O978)</f>
        <v>0</v>
      </c>
      <c r="O979" s="642"/>
      <c r="P979" s="623">
        <f>SUM(P976:Q978)</f>
        <v>0</v>
      </c>
      <c r="Q979" s="626"/>
      <c r="R979" s="88">
        <f>IF(AND(F979&gt;=$G$8,H979&gt;=$I$8,J979&gt;=$K$8,L979&gt;=$M$8,N979&gt;=$O$8,P979&gt;=$Q$8),SUM(F979:Q979),0)</f>
        <v>0</v>
      </c>
      <c r="S979" s="251"/>
      <c r="T979" s="97"/>
      <c r="U979" s="94"/>
      <c r="V979" s="606"/>
      <c r="W979" s="88" t="str">
        <f t="shared" ref="W979" si="2645">LOOKUP(R979,$AI$6:$AJ$10)</f>
        <v>ضعيف</v>
      </c>
      <c r="X979" s="641"/>
      <c r="Y979" s="68"/>
      <c r="Z979" s="599"/>
      <c r="AK979" s="671"/>
      <c r="AL979" s="671"/>
      <c r="AM979" s="696"/>
      <c r="AN979" s="698"/>
      <c r="AO979" s="699"/>
      <c r="AP979" s="698"/>
    </row>
    <row r="980" spans="1:42" ht="14.85" customHeight="1" thickBot="1" x14ac:dyDescent="0.3">
      <c r="A980" s="610">
        <v>212</v>
      </c>
      <c r="B980" s="613">
        <f>VLOOKUP(A980,مسلسل,2,0)</f>
        <v>0</v>
      </c>
      <c r="C980" s="616" t="str">
        <f>IFERROR(VLOOKUP(B980,اسماء,2,0),"")</f>
        <v/>
      </c>
      <c r="D980" s="619" t="str">
        <f>IFERROR(VLOOKUP($B980,اسماء,3,0),"")</f>
        <v/>
      </c>
      <c r="E980" s="129" t="s">
        <v>30</v>
      </c>
      <c r="F980" s="600">
        <f>IFERROR(VLOOKUP($B980,اسماء,5,0),0)</f>
        <v>0</v>
      </c>
      <c r="G980" s="601"/>
      <c r="H980" s="602">
        <f>IFERROR(VLOOKUP($B980,اسماء,6,0),0)</f>
        <v>0</v>
      </c>
      <c r="I980" s="622"/>
      <c r="J980" s="600">
        <f>IFERROR(VLOOKUP($B980,اسماء,7,0),0)</f>
        <v>0</v>
      </c>
      <c r="K980" s="601"/>
      <c r="L980" s="602">
        <f>IFERROR(VLOOKUP($B980,اسماء,8,0),0)</f>
        <v>0</v>
      </c>
      <c r="M980" s="603"/>
      <c r="N980" s="602">
        <f>IFERROR(VLOOKUP($B980,اسماء,9,0),0)</f>
        <v>0</v>
      </c>
      <c r="O980" s="603"/>
      <c r="P980" s="600">
        <f>IFERROR(VLOOKUP($B980,اسماء,10,0),0)</f>
        <v>0</v>
      </c>
      <c r="Q980" s="622"/>
      <c r="R980" s="371">
        <f t="shared" ref="R980:R1014" si="2646">SUM(F980:Q980)</f>
        <v>0</v>
      </c>
      <c r="S980" s="213" t="str">
        <f>IFERROR(VLOOKUP($B980,اسماء,12,0),"")</f>
        <v/>
      </c>
      <c r="T980" s="214" t="str">
        <f>IFERROR(VLOOKUP($B980,اسماء,13,0),"")</f>
        <v/>
      </c>
      <c r="U980" s="364" t="str">
        <f>IFERROR(VLOOKUP($B980,اسماء,14,0),"")</f>
        <v/>
      </c>
      <c r="V980" s="604" t="str">
        <f t="shared" ref="V980" si="2647">IF(Z980="غائب","راسب",IF(R983&gt;0,"ناجح","مرحل"))</f>
        <v>مرحل</v>
      </c>
      <c r="W980" s="19" t="str">
        <f t="shared" ref="W980:W981" si="2648">LOOKUP(R980,$AC$6:$AD$10)</f>
        <v>ضعيف</v>
      </c>
      <c r="X980" s="639">
        <f t="shared" ref="X980" si="2649">R983/$AC$3</f>
        <v>0</v>
      </c>
      <c r="Y980" s="8"/>
      <c r="Z980" s="597" t="str">
        <f>IFERROR(VLOOKUP($B980,اسماء,48,0),"")</f>
        <v/>
      </c>
      <c r="AK980" s="667" t="str">
        <f t="shared" ref="AK980" si="2650">IF(R983=0,"",R983/1+ROW()*0.00001)</f>
        <v/>
      </c>
      <c r="AL980" s="667">
        <f>B980</f>
        <v>0</v>
      </c>
      <c r="AM980" s="696"/>
      <c r="AN980" s="698">
        <v>212</v>
      </c>
      <c r="AO980" s="699" t="str">
        <f>IFERROR(LARGE($AK$10:$AK$1420,AN980),"")</f>
        <v/>
      </c>
      <c r="AP980" s="698" t="str">
        <f>VLOOKUP(AO980,$AK$10:$AL$1530,2,0)</f>
        <v>امجد عمر عبداللطيف سلطان</v>
      </c>
    </row>
    <row r="981" spans="1:42" ht="14.85" customHeight="1" x14ac:dyDescent="0.25">
      <c r="A981" s="611"/>
      <c r="B981" s="614"/>
      <c r="C981" s="617"/>
      <c r="D981" s="620"/>
      <c r="E981" s="130" t="s">
        <v>31</v>
      </c>
      <c r="F981" s="592">
        <f>IFERROR(VLOOKUP($B980,اسماء,15,0),0)</f>
        <v>0</v>
      </c>
      <c r="G981" s="593"/>
      <c r="H981" s="594">
        <f>IFERROR(VLOOKUP($B980,اسماء,16,0),0)</f>
        <v>0</v>
      </c>
      <c r="I981" s="595"/>
      <c r="J981" s="592">
        <f>IFERROR(VLOOKUP($B980,اسماء,17,0),0)</f>
        <v>0</v>
      </c>
      <c r="K981" s="593"/>
      <c r="L981" s="594">
        <f>IFERROR(VLOOKUP($B980,اسماء,18,0),0)</f>
        <v>0</v>
      </c>
      <c r="M981" s="596"/>
      <c r="N981" s="594">
        <f>IFERROR(VLOOKUP($B980,اسماء,19,0),0)</f>
        <v>0</v>
      </c>
      <c r="O981" s="596"/>
      <c r="P981" s="592">
        <f>IFERROR(VLOOKUP($B980,اسماء,20,0),0)</f>
        <v>0</v>
      </c>
      <c r="Q981" s="595"/>
      <c r="R981" s="372">
        <f t="shared" si="2646"/>
        <v>0</v>
      </c>
      <c r="S981" s="305" t="str">
        <f>IFERROR(VLOOKUP($B980,اسماء,23,0),"")</f>
        <v/>
      </c>
      <c r="T981" s="306" t="str">
        <f>IFERROR(VLOOKUP($B980,اسماء,24,0),"")</f>
        <v/>
      </c>
      <c r="U981" s="122" t="str">
        <f>IFERROR(VLOOKUP($B980,اسماء,25,0),"")</f>
        <v/>
      </c>
      <c r="V981" s="605"/>
      <c r="W981" s="19" t="str">
        <f t="shared" si="2648"/>
        <v>ضعيف</v>
      </c>
      <c r="X981" s="640"/>
      <c r="Y981" s="68"/>
      <c r="Z981" s="598"/>
      <c r="AK981" s="667"/>
      <c r="AL981" s="667"/>
      <c r="AM981" s="696"/>
      <c r="AN981" s="698"/>
      <c r="AO981" s="699"/>
      <c r="AP981" s="698"/>
    </row>
    <row r="982" spans="1:42" ht="14.85" customHeight="1" x14ac:dyDescent="0.25">
      <c r="A982" s="611"/>
      <c r="B982" s="614"/>
      <c r="C982" s="617"/>
      <c r="D982" s="620"/>
      <c r="E982" s="130" t="s">
        <v>32</v>
      </c>
      <c r="F982" s="592">
        <f>IFERROR(VLOOKUP($B980,اسماء,25,0),0)</f>
        <v>0</v>
      </c>
      <c r="G982" s="593"/>
      <c r="H982" s="594">
        <f>IFERROR(VLOOKUP($B980,اسماء,26,0),0)</f>
        <v>0</v>
      </c>
      <c r="I982" s="595"/>
      <c r="J982" s="592">
        <f>IFERROR(VLOOKUP($B980,اسماء,27,0),0)</f>
        <v>0</v>
      </c>
      <c r="K982" s="593"/>
      <c r="L982" s="594">
        <f>IFERROR(VLOOKUP($B980,اسماء,28,0),0)</f>
        <v>0</v>
      </c>
      <c r="M982" s="596"/>
      <c r="N982" s="594">
        <f>IFERROR(VLOOKUP($B980,اسماء,29,0),0)</f>
        <v>0</v>
      </c>
      <c r="O982" s="596"/>
      <c r="P982" s="592">
        <f>IFERROR(VLOOKUP($B980,اسماء,30,0),0)</f>
        <v>0</v>
      </c>
      <c r="Q982" s="595"/>
      <c r="R982" s="372">
        <f t="shared" si="2646"/>
        <v>0</v>
      </c>
      <c r="S982" s="305" t="str">
        <f>IFERROR(VLOOKUP($B980,اسماء,34,0),"")</f>
        <v/>
      </c>
      <c r="T982" s="306" t="str">
        <f>IFERROR(VLOOKUP($B980,اسماء,35,0),"")</f>
        <v/>
      </c>
      <c r="U982" s="122" t="str">
        <f>IFERROR(VLOOKUP($B980,اسماء,36,0),"")</f>
        <v/>
      </c>
      <c r="V982" s="605"/>
      <c r="W982" s="20" t="str">
        <f t="shared" ref="W982" si="2651">LOOKUP(R982,$AF$6:$AG$10)</f>
        <v>ضعيف</v>
      </c>
      <c r="X982" s="640"/>
      <c r="Y982" s="68"/>
      <c r="Z982" s="598"/>
      <c r="AK982" s="667"/>
      <c r="AL982" s="667"/>
      <c r="AM982" s="696"/>
      <c r="AN982" s="698"/>
      <c r="AO982" s="699"/>
      <c r="AP982" s="698"/>
    </row>
    <row r="983" spans="1:42" ht="14.85" customHeight="1" thickBot="1" x14ac:dyDescent="0.3">
      <c r="A983" s="612"/>
      <c r="B983" s="615"/>
      <c r="C983" s="618"/>
      <c r="D983" s="621"/>
      <c r="E983" s="124" t="s">
        <v>33</v>
      </c>
      <c r="F983" s="623">
        <f>SUM(F980:G982)</f>
        <v>0</v>
      </c>
      <c r="G983" s="624"/>
      <c r="H983" s="625">
        <f>SUM(H980:I982)</f>
        <v>0</v>
      </c>
      <c r="I983" s="626"/>
      <c r="J983" s="623">
        <f>SUM(J980:K982)</f>
        <v>0</v>
      </c>
      <c r="K983" s="624"/>
      <c r="L983" s="625">
        <f>SUM(L980:M982)</f>
        <v>0</v>
      </c>
      <c r="M983" s="642"/>
      <c r="N983" s="625">
        <f>SUM(N980:O982)</f>
        <v>0</v>
      </c>
      <c r="O983" s="642"/>
      <c r="P983" s="623">
        <f>SUM(P980:Q982)</f>
        <v>0</v>
      </c>
      <c r="Q983" s="626"/>
      <c r="R983" s="88">
        <f t="shared" ref="R983" si="2652">IF(AND(F983&gt;=$G$8,H983&gt;=$I$8,J983&gt;=$K$8,L983&gt;=$M$8,N983&gt;=$O$8,P983&gt;=$Q$8),SUM(F983:Q983),0)</f>
        <v>0</v>
      </c>
      <c r="S983" s="251"/>
      <c r="T983" s="97"/>
      <c r="U983" s="94"/>
      <c r="V983" s="606"/>
      <c r="W983" s="88" t="str">
        <f t="shared" ref="W983" si="2653">LOOKUP(R983,$AI$6:$AJ$10)</f>
        <v>ضعيف</v>
      </c>
      <c r="X983" s="641"/>
      <c r="Y983" s="8"/>
      <c r="Z983" s="599"/>
      <c r="AK983" s="667"/>
      <c r="AL983" s="667"/>
      <c r="AM983" s="696"/>
      <c r="AN983" s="698"/>
      <c r="AO983" s="699"/>
      <c r="AP983" s="698"/>
    </row>
    <row r="984" spans="1:42" ht="14.85" customHeight="1" thickBot="1" x14ac:dyDescent="0.3">
      <c r="A984" s="610">
        <v>213</v>
      </c>
      <c r="B984" s="613">
        <f>VLOOKUP(A984,مسلسل,2,0)</f>
        <v>0</v>
      </c>
      <c r="C984" s="616" t="str">
        <f>IFERROR(VLOOKUP(B984,اسماء,2,0),"")</f>
        <v/>
      </c>
      <c r="D984" s="619" t="str">
        <f>IFERROR(VLOOKUP($B984,اسماء,3,0),"")</f>
        <v/>
      </c>
      <c r="E984" s="129" t="s">
        <v>30</v>
      </c>
      <c r="F984" s="600">
        <f>IFERROR(VLOOKUP($B984,اسماء,5,0),0)</f>
        <v>0</v>
      </c>
      <c r="G984" s="601"/>
      <c r="H984" s="602">
        <f>IFERROR(VLOOKUP($B984,اسماء,6,0),0)</f>
        <v>0</v>
      </c>
      <c r="I984" s="622"/>
      <c r="J984" s="600">
        <f>IFERROR(VLOOKUP($B984,اسماء,7,0),0)</f>
        <v>0</v>
      </c>
      <c r="K984" s="601"/>
      <c r="L984" s="602">
        <f>IFERROR(VLOOKUP($B984,اسماء,8,0),0)</f>
        <v>0</v>
      </c>
      <c r="M984" s="603"/>
      <c r="N984" s="602">
        <f>IFERROR(VLOOKUP($B984,اسماء,9,0),0)</f>
        <v>0</v>
      </c>
      <c r="O984" s="603"/>
      <c r="P984" s="600">
        <f>IFERROR(VLOOKUP($B984,اسماء,10,0),0)</f>
        <v>0</v>
      </c>
      <c r="Q984" s="622"/>
      <c r="R984" s="371">
        <f t="shared" ref="R984" si="2654">SUM(F984:Q984)</f>
        <v>0</v>
      </c>
      <c r="S984" s="213" t="str">
        <f>IFERROR(VLOOKUP($B984,اسماء,12,0),"")</f>
        <v/>
      </c>
      <c r="T984" s="214" t="str">
        <f>IFERROR(VLOOKUP($B984,اسماء,13,0),"")</f>
        <v/>
      </c>
      <c r="U984" s="364" t="str">
        <f>IFERROR(VLOOKUP($B984,اسماء,14,0),"")</f>
        <v/>
      </c>
      <c r="V984" s="604" t="str">
        <f t="shared" ref="V984" si="2655">IF(Z984="غائب","راسب",IF(R987&gt;0,"ناجح","مرحل"))</f>
        <v>مرحل</v>
      </c>
      <c r="W984" s="19" t="str">
        <f t="shared" ref="W984:W985" si="2656">LOOKUP(R984,$AC$6:$AD$10)</f>
        <v>ضعيف</v>
      </c>
      <c r="X984" s="639">
        <f t="shared" ref="X984" si="2657">R987/$AC$3</f>
        <v>0</v>
      </c>
      <c r="Y984" s="68"/>
      <c r="Z984" s="597" t="str">
        <f>IFERROR(VLOOKUP($B984,اسماء,48,0),"")</f>
        <v/>
      </c>
      <c r="AK984" s="667" t="str">
        <f t="shared" ref="AK984" si="2658">IF(R987=0,"",R987/1+ROW()*0.00001)</f>
        <v/>
      </c>
      <c r="AL984" s="667">
        <f>B984</f>
        <v>0</v>
      </c>
      <c r="AM984" s="696"/>
      <c r="AN984" s="698">
        <v>213</v>
      </c>
      <c r="AO984" s="699" t="str">
        <f>IFERROR(LARGE($AK$10:$AK$1420,AN984),"")</f>
        <v/>
      </c>
      <c r="AP984" s="698" t="str">
        <f>VLOOKUP(AO984,$AK$10:$AL$1530,2,0)</f>
        <v>امجد عمر عبداللطيف سلطان</v>
      </c>
    </row>
    <row r="985" spans="1:42" ht="14.85" customHeight="1" x14ac:dyDescent="0.25">
      <c r="A985" s="611"/>
      <c r="B985" s="614"/>
      <c r="C985" s="617"/>
      <c r="D985" s="620"/>
      <c r="E985" s="130" t="s">
        <v>31</v>
      </c>
      <c r="F985" s="592">
        <f>IFERROR(VLOOKUP($B984,اسماء,15,0),0)</f>
        <v>0</v>
      </c>
      <c r="G985" s="593"/>
      <c r="H985" s="594">
        <f>IFERROR(VLOOKUP($B984,اسماء,16,0),0)</f>
        <v>0</v>
      </c>
      <c r="I985" s="595"/>
      <c r="J985" s="592">
        <f>IFERROR(VLOOKUP($B984,اسماء,17,0),0)</f>
        <v>0</v>
      </c>
      <c r="K985" s="593"/>
      <c r="L985" s="594">
        <f>IFERROR(VLOOKUP($B984,اسماء,18,0),0)</f>
        <v>0</v>
      </c>
      <c r="M985" s="596"/>
      <c r="N985" s="594">
        <f>IFERROR(VLOOKUP($B984,اسماء,19,0),0)</f>
        <v>0</v>
      </c>
      <c r="O985" s="596"/>
      <c r="P985" s="592">
        <f>IFERROR(VLOOKUP($B984,اسماء,20,0),0)</f>
        <v>0</v>
      </c>
      <c r="Q985" s="595"/>
      <c r="R985" s="372">
        <f t="shared" si="2646"/>
        <v>0</v>
      </c>
      <c r="S985" s="305" t="str">
        <f>IFERROR(VLOOKUP($B984,اسماء,23,0),"")</f>
        <v/>
      </c>
      <c r="T985" s="306" t="str">
        <f>IFERROR(VLOOKUP($B984,اسماء,24,0),"")</f>
        <v/>
      </c>
      <c r="U985" s="122" t="str">
        <f>IFERROR(VLOOKUP($B984,اسماء,25,0),"")</f>
        <v/>
      </c>
      <c r="V985" s="605"/>
      <c r="W985" s="19" t="str">
        <f t="shared" si="2656"/>
        <v>ضعيف</v>
      </c>
      <c r="X985" s="640"/>
      <c r="Y985" s="68"/>
      <c r="Z985" s="598"/>
      <c r="AK985" s="667"/>
      <c r="AL985" s="667"/>
      <c r="AM985" s="696"/>
      <c r="AN985" s="698"/>
      <c r="AO985" s="699"/>
      <c r="AP985" s="698"/>
    </row>
    <row r="986" spans="1:42" ht="14.85" customHeight="1" x14ac:dyDescent="0.25">
      <c r="A986" s="611"/>
      <c r="B986" s="614"/>
      <c r="C986" s="617"/>
      <c r="D986" s="620"/>
      <c r="E986" s="130" t="s">
        <v>32</v>
      </c>
      <c r="F986" s="592">
        <f>IFERROR(VLOOKUP($B984,اسماء,25,0),0)</f>
        <v>0</v>
      </c>
      <c r="G986" s="593"/>
      <c r="H986" s="594">
        <f>IFERROR(VLOOKUP($B984,اسماء,26,0),0)</f>
        <v>0</v>
      </c>
      <c r="I986" s="595"/>
      <c r="J986" s="592">
        <f>IFERROR(VLOOKUP($B984,اسماء,27,0),0)</f>
        <v>0</v>
      </c>
      <c r="K986" s="593"/>
      <c r="L986" s="594">
        <f>IFERROR(VLOOKUP($B984,اسماء,28,0),0)</f>
        <v>0</v>
      </c>
      <c r="M986" s="596"/>
      <c r="N986" s="594">
        <f>IFERROR(VLOOKUP($B984,اسماء,29,0),0)</f>
        <v>0</v>
      </c>
      <c r="O986" s="596"/>
      <c r="P986" s="592">
        <f>IFERROR(VLOOKUP($B984,اسماء,30,0),0)</f>
        <v>0</v>
      </c>
      <c r="Q986" s="595"/>
      <c r="R986" s="372">
        <f t="shared" si="2646"/>
        <v>0</v>
      </c>
      <c r="S986" s="305" t="str">
        <f>IFERROR(VLOOKUP($B984,اسماء,34,0),"")</f>
        <v/>
      </c>
      <c r="T986" s="306" t="str">
        <f>IFERROR(VLOOKUP($B984,اسماء,35,0),"")</f>
        <v/>
      </c>
      <c r="U986" s="122" t="str">
        <f>IFERROR(VLOOKUP($B984,اسماء,36,0),"")</f>
        <v/>
      </c>
      <c r="V986" s="605"/>
      <c r="W986" s="20" t="str">
        <f t="shared" ref="W986" si="2659">LOOKUP(R986,$AF$6:$AG$10)</f>
        <v>ضعيف</v>
      </c>
      <c r="X986" s="640"/>
      <c r="Y986" s="8"/>
      <c r="Z986" s="598"/>
      <c r="AK986" s="667"/>
      <c r="AL986" s="667"/>
      <c r="AM986" s="696"/>
      <c r="AN986" s="698"/>
      <c r="AO986" s="699"/>
      <c r="AP986" s="698"/>
    </row>
    <row r="987" spans="1:42" ht="14.85" customHeight="1" thickBot="1" x14ac:dyDescent="0.3">
      <c r="A987" s="612"/>
      <c r="B987" s="615"/>
      <c r="C987" s="618"/>
      <c r="D987" s="621"/>
      <c r="E987" s="124" t="s">
        <v>33</v>
      </c>
      <c r="F987" s="623">
        <f t="shared" ref="F987" si="2660">SUM(F984:G986)</f>
        <v>0</v>
      </c>
      <c r="G987" s="624"/>
      <c r="H987" s="625">
        <f t="shared" ref="H987" si="2661">SUM(H984:I986)</f>
        <v>0</v>
      </c>
      <c r="I987" s="626"/>
      <c r="J987" s="623">
        <f t="shared" ref="J987" si="2662">SUM(J984:K986)</f>
        <v>0</v>
      </c>
      <c r="K987" s="624"/>
      <c r="L987" s="625">
        <f t="shared" ref="L987" si="2663">SUM(L984:M986)</f>
        <v>0</v>
      </c>
      <c r="M987" s="642"/>
      <c r="N987" s="625">
        <f t="shared" ref="N987" si="2664">SUM(N984:O986)</f>
        <v>0</v>
      </c>
      <c r="O987" s="642"/>
      <c r="P987" s="623">
        <f t="shared" ref="P987" si="2665">SUM(P984:Q986)</f>
        <v>0</v>
      </c>
      <c r="Q987" s="626"/>
      <c r="R987" s="88">
        <f t="shared" ref="R987" si="2666">IF(AND(F987&gt;=$G$8,H987&gt;=$I$8,J987&gt;=$K$8,L987&gt;=$M$8,N987&gt;=$O$8,P987&gt;=$Q$8),SUM(F987:Q987),0)</f>
        <v>0</v>
      </c>
      <c r="S987" s="251"/>
      <c r="T987" s="97"/>
      <c r="U987" s="94"/>
      <c r="V987" s="606"/>
      <c r="W987" s="88" t="str">
        <f t="shared" ref="W987" si="2667">LOOKUP(R987,$AI$6:$AJ$10)</f>
        <v>ضعيف</v>
      </c>
      <c r="X987" s="641"/>
      <c r="Y987" s="68"/>
      <c r="Z987" s="599"/>
      <c r="AK987" s="667"/>
      <c r="AL987" s="667"/>
      <c r="AM987" s="696"/>
      <c r="AN987" s="698"/>
      <c r="AO987" s="699"/>
      <c r="AP987" s="698"/>
    </row>
    <row r="988" spans="1:42" ht="14.85" customHeight="1" thickBot="1" x14ac:dyDescent="0.3">
      <c r="A988" s="610">
        <v>214</v>
      </c>
      <c r="B988" s="613">
        <f>VLOOKUP(A988,مسلسل,2,0)</f>
        <v>0</v>
      </c>
      <c r="C988" s="616" t="str">
        <f>IFERROR(VLOOKUP(B988,اسماء,2,0),"")</f>
        <v/>
      </c>
      <c r="D988" s="619" t="str">
        <f>IFERROR(VLOOKUP($B988,اسماء,3,0),"")</f>
        <v/>
      </c>
      <c r="E988" s="129" t="s">
        <v>30</v>
      </c>
      <c r="F988" s="600">
        <f>IFERROR(VLOOKUP($B988,اسماء,5,0),0)</f>
        <v>0</v>
      </c>
      <c r="G988" s="601"/>
      <c r="H988" s="602">
        <f>IFERROR(VLOOKUP($B988,اسماء,6,0),0)</f>
        <v>0</v>
      </c>
      <c r="I988" s="622"/>
      <c r="J988" s="600">
        <f>IFERROR(VLOOKUP($B988,اسماء,7,0),0)</f>
        <v>0</v>
      </c>
      <c r="K988" s="601"/>
      <c r="L988" s="602">
        <f>IFERROR(VLOOKUP($B988,اسماء,8,0),0)</f>
        <v>0</v>
      </c>
      <c r="M988" s="603"/>
      <c r="N988" s="602">
        <f>IFERROR(VLOOKUP($B988,اسماء,9,0),0)</f>
        <v>0</v>
      </c>
      <c r="O988" s="603"/>
      <c r="P988" s="600">
        <f>IFERROR(VLOOKUP($B988,اسماء,10,0),0)</f>
        <v>0</v>
      </c>
      <c r="Q988" s="622"/>
      <c r="R988" s="371">
        <f t="shared" ref="R988" si="2668">SUM(F988:Q988)</f>
        <v>0</v>
      </c>
      <c r="S988" s="213" t="str">
        <f>IFERROR(VLOOKUP($B988,اسماء,12,0),"")</f>
        <v/>
      </c>
      <c r="T988" s="214" t="str">
        <f>IFERROR(VLOOKUP($B988,اسماء,13,0),"")</f>
        <v/>
      </c>
      <c r="U988" s="364" t="str">
        <f>IFERROR(VLOOKUP($B988,اسماء,14,0),"")</f>
        <v/>
      </c>
      <c r="V988" s="604" t="str">
        <f t="shared" ref="V988" si="2669">IF(Z988="غائب","راسب",IF(R991&gt;0,"ناجح","مرحل"))</f>
        <v>مرحل</v>
      </c>
      <c r="W988" s="19" t="str">
        <f t="shared" ref="W988:W989" si="2670">LOOKUP(R988,$AC$6:$AD$10)</f>
        <v>ضعيف</v>
      </c>
      <c r="X988" s="639">
        <f t="shared" ref="X988" si="2671">R991/$AC$3</f>
        <v>0</v>
      </c>
      <c r="Y988" s="68"/>
      <c r="Z988" s="597" t="str">
        <f>IFERROR(VLOOKUP($B988,اسماء,48,0),"")</f>
        <v/>
      </c>
      <c r="AK988" s="667" t="str">
        <f t="shared" ref="AK988" si="2672">IF(R991=0,"",R991/1+ROW()*0.00001)</f>
        <v/>
      </c>
      <c r="AL988" s="667">
        <f>B988</f>
        <v>0</v>
      </c>
      <c r="AM988" s="696"/>
      <c r="AN988" s="698">
        <v>214</v>
      </c>
      <c r="AO988" s="699" t="str">
        <f>IFERROR(LARGE($AK$10:$AK$1420,AN988),"")</f>
        <v/>
      </c>
      <c r="AP988" s="698" t="str">
        <f>VLOOKUP(AO988,$AK$10:$AL$1530,2,0)</f>
        <v>امجد عمر عبداللطيف سلطان</v>
      </c>
    </row>
    <row r="989" spans="1:42" ht="14.85" customHeight="1" x14ac:dyDescent="0.25">
      <c r="A989" s="611"/>
      <c r="B989" s="614"/>
      <c r="C989" s="617"/>
      <c r="D989" s="620"/>
      <c r="E989" s="130" t="s">
        <v>31</v>
      </c>
      <c r="F989" s="592">
        <f>IFERROR(VLOOKUP($B988,اسماء,15,0),0)</f>
        <v>0</v>
      </c>
      <c r="G989" s="593"/>
      <c r="H989" s="594">
        <f>IFERROR(VLOOKUP($B988,اسماء,16,0),0)</f>
        <v>0</v>
      </c>
      <c r="I989" s="595"/>
      <c r="J989" s="592">
        <f>IFERROR(VLOOKUP($B988,اسماء,17,0),0)</f>
        <v>0</v>
      </c>
      <c r="K989" s="593"/>
      <c r="L989" s="594">
        <f>IFERROR(VLOOKUP($B988,اسماء,18,0),0)</f>
        <v>0</v>
      </c>
      <c r="M989" s="596"/>
      <c r="N989" s="594">
        <f>IFERROR(VLOOKUP($B988,اسماء,19,0),0)</f>
        <v>0</v>
      </c>
      <c r="O989" s="596"/>
      <c r="P989" s="592">
        <f>IFERROR(VLOOKUP($B988,اسماء,20,0),0)</f>
        <v>0</v>
      </c>
      <c r="Q989" s="595"/>
      <c r="R989" s="372">
        <f t="shared" si="2646"/>
        <v>0</v>
      </c>
      <c r="S989" s="305" t="str">
        <f>IFERROR(VLOOKUP($B988,اسماء,23,0),"")</f>
        <v/>
      </c>
      <c r="T989" s="306" t="str">
        <f>IFERROR(VLOOKUP($B988,اسماء,24,0),"")</f>
        <v/>
      </c>
      <c r="U989" s="122" t="str">
        <f>IFERROR(VLOOKUP($B988,اسماء,25,0),"")</f>
        <v/>
      </c>
      <c r="V989" s="605"/>
      <c r="W989" s="19" t="str">
        <f t="shared" si="2670"/>
        <v>ضعيف</v>
      </c>
      <c r="X989" s="640"/>
      <c r="Y989" s="8"/>
      <c r="Z989" s="598"/>
      <c r="AK989" s="667"/>
      <c r="AL989" s="667"/>
      <c r="AM989" s="696"/>
      <c r="AN989" s="698"/>
      <c r="AO989" s="699"/>
      <c r="AP989" s="698"/>
    </row>
    <row r="990" spans="1:42" ht="14.85" customHeight="1" x14ac:dyDescent="0.25">
      <c r="A990" s="611"/>
      <c r="B990" s="614"/>
      <c r="C990" s="617"/>
      <c r="D990" s="620"/>
      <c r="E990" s="130" t="s">
        <v>32</v>
      </c>
      <c r="F990" s="592">
        <f>IFERROR(VLOOKUP($B988,اسماء,25,0),0)</f>
        <v>0</v>
      </c>
      <c r="G990" s="593"/>
      <c r="H990" s="594">
        <f>IFERROR(VLOOKUP($B988,اسماء,26,0),0)</f>
        <v>0</v>
      </c>
      <c r="I990" s="595"/>
      <c r="J990" s="592">
        <f>IFERROR(VLOOKUP($B988,اسماء,27,0),0)</f>
        <v>0</v>
      </c>
      <c r="K990" s="593"/>
      <c r="L990" s="594">
        <f>IFERROR(VLOOKUP($B988,اسماء,28,0),0)</f>
        <v>0</v>
      </c>
      <c r="M990" s="596"/>
      <c r="N990" s="594">
        <f>IFERROR(VLOOKUP($B988,اسماء,29,0),0)</f>
        <v>0</v>
      </c>
      <c r="O990" s="596"/>
      <c r="P990" s="592">
        <f>IFERROR(VLOOKUP($B988,اسماء,30,0),0)</f>
        <v>0</v>
      </c>
      <c r="Q990" s="595"/>
      <c r="R990" s="372">
        <f t="shared" si="2646"/>
        <v>0</v>
      </c>
      <c r="S990" s="305" t="str">
        <f>IFERROR(VLOOKUP($B988,اسماء,34,0),"")</f>
        <v/>
      </c>
      <c r="T990" s="306" t="str">
        <f>IFERROR(VLOOKUP($B988,اسماء,35,0),"")</f>
        <v/>
      </c>
      <c r="U990" s="122" t="str">
        <f>IFERROR(VLOOKUP($B988,اسماء,36,0),"")</f>
        <v/>
      </c>
      <c r="V990" s="605"/>
      <c r="W990" s="20" t="str">
        <f t="shared" ref="W990" si="2673">LOOKUP(R990,$AF$6:$AG$10)</f>
        <v>ضعيف</v>
      </c>
      <c r="X990" s="640"/>
      <c r="Y990" s="68"/>
      <c r="Z990" s="598"/>
      <c r="AK990" s="667"/>
      <c r="AL990" s="667"/>
      <c r="AM990" s="696"/>
      <c r="AN990" s="698"/>
      <c r="AO990" s="699"/>
      <c r="AP990" s="698"/>
    </row>
    <row r="991" spans="1:42" ht="14.85" customHeight="1" thickBot="1" x14ac:dyDescent="0.3">
      <c r="A991" s="612"/>
      <c r="B991" s="615"/>
      <c r="C991" s="618"/>
      <c r="D991" s="621"/>
      <c r="E991" s="124" t="s">
        <v>33</v>
      </c>
      <c r="F991" s="623">
        <f t="shared" ref="F991" si="2674">SUM(F988:G990)</f>
        <v>0</v>
      </c>
      <c r="G991" s="624"/>
      <c r="H991" s="625">
        <f t="shared" ref="H991" si="2675">SUM(H988:I990)</f>
        <v>0</v>
      </c>
      <c r="I991" s="626"/>
      <c r="J991" s="623">
        <f t="shared" ref="J991" si="2676">SUM(J988:K990)</f>
        <v>0</v>
      </c>
      <c r="K991" s="624"/>
      <c r="L991" s="625">
        <f t="shared" ref="L991" si="2677">SUM(L988:M990)</f>
        <v>0</v>
      </c>
      <c r="M991" s="642"/>
      <c r="N991" s="625">
        <f t="shared" ref="N991" si="2678">SUM(N988:O990)</f>
        <v>0</v>
      </c>
      <c r="O991" s="642"/>
      <c r="P991" s="623">
        <f t="shared" ref="P991" si="2679">SUM(P988:Q990)</f>
        <v>0</v>
      </c>
      <c r="Q991" s="626"/>
      <c r="R991" s="88">
        <f t="shared" ref="R991" si="2680">IF(AND(F991&gt;=$G$8,H991&gt;=$I$8,J991&gt;=$K$8,L991&gt;=$M$8,N991&gt;=$O$8,P991&gt;=$Q$8),SUM(F991:Q991),0)</f>
        <v>0</v>
      </c>
      <c r="S991" s="251"/>
      <c r="T991" s="97"/>
      <c r="U991" s="94"/>
      <c r="V991" s="606"/>
      <c r="W991" s="88" t="str">
        <f t="shared" ref="W991" si="2681">LOOKUP(R991,$AI$6:$AJ$10)</f>
        <v>ضعيف</v>
      </c>
      <c r="X991" s="641"/>
      <c r="Y991" s="68"/>
      <c r="Z991" s="599"/>
      <c r="AK991" s="667"/>
      <c r="AL991" s="667"/>
      <c r="AM991" s="696"/>
      <c r="AN991" s="698"/>
      <c r="AO991" s="699"/>
      <c r="AP991" s="698"/>
    </row>
    <row r="992" spans="1:42" ht="14.85" customHeight="1" thickBot="1" x14ac:dyDescent="0.3">
      <c r="A992" s="610">
        <v>215</v>
      </c>
      <c r="B992" s="613">
        <f>VLOOKUP(A992,مسلسل,2,0)</f>
        <v>0</v>
      </c>
      <c r="C992" s="616" t="str">
        <f>IFERROR(VLOOKUP(B992,اسماء,2,0),"")</f>
        <v/>
      </c>
      <c r="D992" s="619" t="str">
        <f>IFERROR(VLOOKUP($B992,اسماء,3,0),"")</f>
        <v/>
      </c>
      <c r="E992" s="129" t="s">
        <v>30</v>
      </c>
      <c r="F992" s="600">
        <f>IFERROR(VLOOKUP($B992,اسماء,5,0),0)</f>
        <v>0</v>
      </c>
      <c r="G992" s="601"/>
      <c r="H992" s="602">
        <f>IFERROR(VLOOKUP($B992,اسماء,6,0),0)</f>
        <v>0</v>
      </c>
      <c r="I992" s="622"/>
      <c r="J992" s="600">
        <f>IFERROR(VLOOKUP($B992,اسماء,7,0),0)</f>
        <v>0</v>
      </c>
      <c r="K992" s="601"/>
      <c r="L992" s="602">
        <f>IFERROR(VLOOKUP($B992,اسماء,8,0),0)</f>
        <v>0</v>
      </c>
      <c r="M992" s="603"/>
      <c r="N992" s="602">
        <f>IFERROR(VLOOKUP($B992,اسماء,9,0),0)</f>
        <v>0</v>
      </c>
      <c r="O992" s="603"/>
      <c r="P992" s="600">
        <f>IFERROR(VLOOKUP($B992,اسماء,10,0),0)</f>
        <v>0</v>
      </c>
      <c r="Q992" s="622"/>
      <c r="R992" s="371">
        <f t="shared" ref="R992" si="2682">SUM(F992:Q992)</f>
        <v>0</v>
      </c>
      <c r="S992" s="213" t="str">
        <f>IFERROR(VLOOKUP($B992,اسماء,12,0),"")</f>
        <v/>
      </c>
      <c r="T992" s="214" t="str">
        <f>IFERROR(VLOOKUP($B992,اسماء,13,0),"")</f>
        <v/>
      </c>
      <c r="U992" s="364" t="str">
        <f>IFERROR(VLOOKUP($B992,اسماء,14,0),"")</f>
        <v/>
      </c>
      <c r="V992" s="604" t="str">
        <f t="shared" ref="V992" si="2683">IF(Z992="غائب","راسب",IF(R995&gt;0,"ناجح","مرحل"))</f>
        <v>مرحل</v>
      </c>
      <c r="W992" s="19" t="str">
        <f t="shared" ref="W992:W993" si="2684">LOOKUP(R992,$AC$6:$AD$10)</f>
        <v>ضعيف</v>
      </c>
      <c r="X992" s="639">
        <f t="shared" ref="X992" si="2685">R995/$AC$3</f>
        <v>0</v>
      </c>
      <c r="Y992" s="8"/>
      <c r="Z992" s="597" t="str">
        <f>IFERROR(VLOOKUP($B992,اسماء,48,0),"")</f>
        <v/>
      </c>
      <c r="AK992" s="667" t="str">
        <f t="shared" ref="AK992" si="2686">IF(R995=0,"",R995/1+ROW()*0.00001)</f>
        <v/>
      </c>
      <c r="AL992" s="667">
        <f>B992</f>
        <v>0</v>
      </c>
      <c r="AM992" s="696"/>
      <c r="AN992" s="698">
        <v>215</v>
      </c>
      <c r="AO992" s="699" t="str">
        <f>IFERROR(LARGE($AK$10:$AK$1420,AN992),"")</f>
        <v/>
      </c>
      <c r="AP992" s="698" t="str">
        <f>VLOOKUP(AO992,$AK$10:$AL$1530,2,0)</f>
        <v>امجد عمر عبداللطيف سلطان</v>
      </c>
    </row>
    <row r="993" spans="1:42" ht="14.85" customHeight="1" x14ac:dyDescent="0.25">
      <c r="A993" s="611"/>
      <c r="B993" s="614"/>
      <c r="C993" s="617"/>
      <c r="D993" s="620"/>
      <c r="E993" s="130" t="s">
        <v>31</v>
      </c>
      <c r="F993" s="592">
        <f>IFERROR(VLOOKUP($B992,اسماء,15,0),0)</f>
        <v>0</v>
      </c>
      <c r="G993" s="593"/>
      <c r="H993" s="594">
        <f>IFERROR(VLOOKUP($B992,اسماء,16,0),0)</f>
        <v>0</v>
      </c>
      <c r="I993" s="595"/>
      <c r="J993" s="592">
        <f>IFERROR(VLOOKUP($B992,اسماء,17,0),0)</f>
        <v>0</v>
      </c>
      <c r="K993" s="593"/>
      <c r="L993" s="594">
        <f>IFERROR(VLOOKUP($B992,اسماء,18,0),0)</f>
        <v>0</v>
      </c>
      <c r="M993" s="596"/>
      <c r="N993" s="594">
        <f>IFERROR(VLOOKUP($B992,اسماء,19,0),0)</f>
        <v>0</v>
      </c>
      <c r="O993" s="596"/>
      <c r="P993" s="592">
        <f>IFERROR(VLOOKUP($B992,اسماء,20,0),0)</f>
        <v>0</v>
      </c>
      <c r="Q993" s="595"/>
      <c r="R993" s="372">
        <f t="shared" si="2646"/>
        <v>0</v>
      </c>
      <c r="S993" s="305" t="str">
        <f>IFERROR(VLOOKUP($B992,اسماء,23,0),"")</f>
        <v/>
      </c>
      <c r="T993" s="306" t="str">
        <f>IFERROR(VLOOKUP($B992,اسماء,24,0),"")</f>
        <v/>
      </c>
      <c r="U993" s="122" t="str">
        <f>IFERROR(VLOOKUP($B992,اسماء,25,0),"")</f>
        <v/>
      </c>
      <c r="V993" s="605"/>
      <c r="W993" s="19" t="str">
        <f t="shared" si="2684"/>
        <v>ضعيف</v>
      </c>
      <c r="X993" s="640"/>
      <c r="Y993" s="68"/>
      <c r="Z993" s="598"/>
      <c r="AK993" s="667"/>
      <c r="AL993" s="667"/>
      <c r="AM993" s="696"/>
      <c r="AN993" s="698"/>
      <c r="AO993" s="699"/>
      <c r="AP993" s="698"/>
    </row>
    <row r="994" spans="1:42" ht="14.85" customHeight="1" x14ac:dyDescent="0.25">
      <c r="A994" s="611"/>
      <c r="B994" s="614"/>
      <c r="C994" s="617"/>
      <c r="D994" s="620"/>
      <c r="E994" s="130" t="s">
        <v>32</v>
      </c>
      <c r="F994" s="592">
        <f>IFERROR(VLOOKUP($B992,اسماء,25,0),0)</f>
        <v>0</v>
      </c>
      <c r="G994" s="593"/>
      <c r="H994" s="594">
        <f>IFERROR(VLOOKUP($B992,اسماء,26,0),0)</f>
        <v>0</v>
      </c>
      <c r="I994" s="595"/>
      <c r="J994" s="592">
        <f>IFERROR(VLOOKUP($B992,اسماء,27,0),0)</f>
        <v>0</v>
      </c>
      <c r="K994" s="593"/>
      <c r="L994" s="594">
        <f>IFERROR(VLOOKUP($B992,اسماء,28,0),0)</f>
        <v>0</v>
      </c>
      <c r="M994" s="596"/>
      <c r="N994" s="594">
        <f>IFERROR(VLOOKUP($B992,اسماء,29,0),0)</f>
        <v>0</v>
      </c>
      <c r="O994" s="596"/>
      <c r="P994" s="592">
        <f>IFERROR(VLOOKUP($B992,اسماء,30,0),0)</f>
        <v>0</v>
      </c>
      <c r="Q994" s="595"/>
      <c r="R994" s="372">
        <f t="shared" si="2646"/>
        <v>0</v>
      </c>
      <c r="S994" s="305" t="str">
        <f>IFERROR(VLOOKUP($B992,اسماء,34,0),"")</f>
        <v/>
      </c>
      <c r="T994" s="306" t="str">
        <f>IFERROR(VLOOKUP($B992,اسماء,35,0),"")</f>
        <v/>
      </c>
      <c r="U994" s="122" t="str">
        <f>IFERROR(VLOOKUP($B992,اسماء,36,0),"")</f>
        <v/>
      </c>
      <c r="V994" s="605"/>
      <c r="W994" s="20" t="str">
        <f t="shared" ref="W994" si="2687">LOOKUP(R994,$AF$6:$AG$10)</f>
        <v>ضعيف</v>
      </c>
      <c r="X994" s="640"/>
      <c r="Y994" s="68"/>
      <c r="Z994" s="598"/>
      <c r="AK994" s="667"/>
      <c r="AL994" s="667"/>
      <c r="AM994" s="696"/>
      <c r="AN994" s="698"/>
      <c r="AO994" s="699"/>
      <c r="AP994" s="698"/>
    </row>
    <row r="995" spans="1:42" ht="14.85" customHeight="1" thickBot="1" x14ac:dyDescent="0.3">
      <c r="A995" s="612"/>
      <c r="B995" s="615"/>
      <c r="C995" s="618"/>
      <c r="D995" s="621"/>
      <c r="E995" s="124" t="s">
        <v>33</v>
      </c>
      <c r="F995" s="623">
        <f t="shared" ref="F995" si="2688">SUM(F992:G994)</f>
        <v>0</v>
      </c>
      <c r="G995" s="624"/>
      <c r="H995" s="625">
        <f t="shared" ref="H995" si="2689">SUM(H992:I994)</f>
        <v>0</v>
      </c>
      <c r="I995" s="626"/>
      <c r="J995" s="623">
        <f t="shared" ref="J995" si="2690">SUM(J992:K994)</f>
        <v>0</v>
      </c>
      <c r="K995" s="624"/>
      <c r="L995" s="625">
        <f t="shared" ref="L995" si="2691">SUM(L992:M994)</f>
        <v>0</v>
      </c>
      <c r="M995" s="642"/>
      <c r="N995" s="625">
        <f t="shared" ref="N995" si="2692">SUM(N992:O994)</f>
        <v>0</v>
      </c>
      <c r="O995" s="642"/>
      <c r="P995" s="623">
        <f t="shared" ref="P995" si="2693">SUM(P992:Q994)</f>
        <v>0</v>
      </c>
      <c r="Q995" s="626"/>
      <c r="R995" s="88">
        <f t="shared" ref="R995" si="2694">IF(AND(F995&gt;=$G$8,H995&gt;=$I$8,J995&gt;=$K$8,L995&gt;=$M$8,N995&gt;=$O$8,P995&gt;=$Q$8),SUM(F995:Q995),0)</f>
        <v>0</v>
      </c>
      <c r="S995" s="251"/>
      <c r="T995" s="97"/>
      <c r="U995" s="94"/>
      <c r="V995" s="606"/>
      <c r="W995" s="88" t="str">
        <f t="shared" ref="W995" si="2695">LOOKUP(R995,$AI$6:$AJ$10)</f>
        <v>ضعيف</v>
      </c>
      <c r="X995" s="641"/>
      <c r="Y995" s="8"/>
      <c r="Z995" s="599"/>
      <c r="AK995" s="667"/>
      <c r="AL995" s="667"/>
      <c r="AM995" s="696"/>
      <c r="AN995" s="698"/>
      <c r="AO995" s="699"/>
      <c r="AP995" s="698"/>
    </row>
    <row r="996" spans="1:42" ht="14.85" customHeight="1" thickBot="1" x14ac:dyDescent="0.3">
      <c r="A996" s="610">
        <v>216</v>
      </c>
      <c r="B996" s="613">
        <f>VLOOKUP(A996,مسلسل,2,0)</f>
        <v>0</v>
      </c>
      <c r="C996" s="616" t="str">
        <f>IFERROR(VLOOKUP(B996,اسماء,2,0),"")</f>
        <v/>
      </c>
      <c r="D996" s="619" t="str">
        <f>IFERROR(VLOOKUP($B996,اسماء,3,0),"")</f>
        <v/>
      </c>
      <c r="E996" s="129" t="s">
        <v>30</v>
      </c>
      <c r="F996" s="600">
        <f>IFERROR(VLOOKUP($B996,اسماء,5,0),0)</f>
        <v>0</v>
      </c>
      <c r="G996" s="601"/>
      <c r="H996" s="602">
        <f>IFERROR(VLOOKUP($B996,اسماء,6,0),0)</f>
        <v>0</v>
      </c>
      <c r="I996" s="622"/>
      <c r="J996" s="600">
        <f>IFERROR(VLOOKUP($B996,اسماء,7,0),0)</f>
        <v>0</v>
      </c>
      <c r="K996" s="601"/>
      <c r="L996" s="602">
        <f>IFERROR(VLOOKUP($B996,اسماء,8,0),0)</f>
        <v>0</v>
      </c>
      <c r="M996" s="603"/>
      <c r="N996" s="602">
        <f>IFERROR(VLOOKUP($B996,اسماء,9,0),0)</f>
        <v>0</v>
      </c>
      <c r="O996" s="603"/>
      <c r="P996" s="600">
        <f>IFERROR(VLOOKUP($B996,اسماء,10,0),0)</f>
        <v>0</v>
      </c>
      <c r="Q996" s="622"/>
      <c r="R996" s="371">
        <f t="shared" ref="R996" si="2696">SUM(F996:Q996)</f>
        <v>0</v>
      </c>
      <c r="S996" s="213" t="str">
        <f>IFERROR(VLOOKUP($B996,اسماء,12,0),"")</f>
        <v/>
      </c>
      <c r="T996" s="214" t="str">
        <f>IFERROR(VLOOKUP($B996,اسماء,13,0),"")</f>
        <v/>
      </c>
      <c r="U996" s="364" t="str">
        <f>IFERROR(VLOOKUP($B996,اسماء,14,0),"")</f>
        <v/>
      </c>
      <c r="V996" s="604" t="str">
        <f t="shared" ref="V996" si="2697">IF(Z996="غائب","راسب",IF(R999&gt;0,"ناجح","مرحل"))</f>
        <v>مرحل</v>
      </c>
      <c r="W996" s="19" t="str">
        <f t="shared" ref="W996:W997" si="2698">LOOKUP(R996,$AC$6:$AD$10)</f>
        <v>ضعيف</v>
      </c>
      <c r="X996" s="639">
        <f t="shared" ref="X996" si="2699">R999/$AC$3</f>
        <v>0</v>
      </c>
      <c r="Y996" s="68"/>
      <c r="Z996" s="597" t="str">
        <f>IFERROR(VLOOKUP($B996,اسماء,48,0),"")</f>
        <v/>
      </c>
      <c r="AK996" s="667" t="str">
        <f t="shared" ref="AK996" si="2700">IF(R999=0,"",R999/1+ROW()*0.00001)</f>
        <v/>
      </c>
      <c r="AL996" s="667">
        <f>B996</f>
        <v>0</v>
      </c>
      <c r="AM996" s="696"/>
      <c r="AN996" s="698">
        <v>216</v>
      </c>
      <c r="AO996" s="699" t="str">
        <f>IFERROR(LARGE($AK$10:$AK$1420,AN996),"")</f>
        <v/>
      </c>
      <c r="AP996" s="698" t="str">
        <f>VLOOKUP(AO996,$AK$10:$AL$1530,2,0)</f>
        <v>امجد عمر عبداللطيف سلطان</v>
      </c>
    </row>
    <row r="997" spans="1:42" ht="14.85" customHeight="1" x14ac:dyDescent="0.25">
      <c r="A997" s="611"/>
      <c r="B997" s="614"/>
      <c r="C997" s="617"/>
      <c r="D997" s="620"/>
      <c r="E997" s="130" t="s">
        <v>31</v>
      </c>
      <c r="F997" s="592">
        <f>IFERROR(VLOOKUP($B996,اسماء,15,0),0)</f>
        <v>0</v>
      </c>
      <c r="G997" s="593"/>
      <c r="H997" s="594">
        <f>IFERROR(VLOOKUP($B996,اسماء,16,0),0)</f>
        <v>0</v>
      </c>
      <c r="I997" s="595"/>
      <c r="J997" s="592">
        <f>IFERROR(VLOOKUP($B996,اسماء,17,0),0)</f>
        <v>0</v>
      </c>
      <c r="K997" s="593"/>
      <c r="L997" s="594">
        <f>IFERROR(VLOOKUP($B996,اسماء,18,0),0)</f>
        <v>0</v>
      </c>
      <c r="M997" s="596"/>
      <c r="N997" s="594">
        <f>IFERROR(VLOOKUP($B996,اسماء,19,0),0)</f>
        <v>0</v>
      </c>
      <c r="O997" s="596"/>
      <c r="P997" s="592">
        <f>IFERROR(VLOOKUP($B996,اسماء,20,0),0)</f>
        <v>0</v>
      </c>
      <c r="Q997" s="595"/>
      <c r="R997" s="372">
        <f t="shared" si="2646"/>
        <v>0</v>
      </c>
      <c r="S997" s="305" t="str">
        <f>IFERROR(VLOOKUP($B996,اسماء,23,0),"")</f>
        <v/>
      </c>
      <c r="T997" s="306" t="str">
        <f>IFERROR(VLOOKUP($B996,اسماء,24,0),"")</f>
        <v/>
      </c>
      <c r="U997" s="122" t="str">
        <f>IFERROR(VLOOKUP($B996,اسماء,25,0),"")</f>
        <v/>
      </c>
      <c r="V997" s="605"/>
      <c r="W997" s="19" t="str">
        <f t="shared" si="2698"/>
        <v>ضعيف</v>
      </c>
      <c r="X997" s="640"/>
      <c r="Y997" s="68"/>
      <c r="Z997" s="598"/>
      <c r="AK997" s="667"/>
      <c r="AL997" s="667"/>
      <c r="AM997" s="696"/>
      <c r="AN997" s="698"/>
      <c r="AO997" s="699"/>
      <c r="AP997" s="698"/>
    </row>
    <row r="998" spans="1:42" ht="14.85" customHeight="1" x14ac:dyDescent="0.25">
      <c r="A998" s="611"/>
      <c r="B998" s="614"/>
      <c r="C998" s="617"/>
      <c r="D998" s="620"/>
      <c r="E998" s="130" t="s">
        <v>32</v>
      </c>
      <c r="F998" s="592">
        <f>IFERROR(VLOOKUP($B996,اسماء,25,0),0)</f>
        <v>0</v>
      </c>
      <c r="G998" s="593"/>
      <c r="H998" s="594">
        <f>IFERROR(VLOOKUP($B996,اسماء,26,0),0)</f>
        <v>0</v>
      </c>
      <c r="I998" s="595"/>
      <c r="J998" s="592">
        <f>IFERROR(VLOOKUP($B996,اسماء,27,0),0)</f>
        <v>0</v>
      </c>
      <c r="K998" s="593"/>
      <c r="L998" s="594">
        <f>IFERROR(VLOOKUP($B996,اسماء,28,0),0)</f>
        <v>0</v>
      </c>
      <c r="M998" s="596"/>
      <c r="N998" s="594">
        <f>IFERROR(VLOOKUP($B996,اسماء,29,0),0)</f>
        <v>0</v>
      </c>
      <c r="O998" s="596"/>
      <c r="P998" s="592">
        <f>IFERROR(VLOOKUP($B996,اسماء,30,0),0)</f>
        <v>0</v>
      </c>
      <c r="Q998" s="595"/>
      <c r="R998" s="372">
        <f t="shared" si="2646"/>
        <v>0</v>
      </c>
      <c r="S998" s="305" t="str">
        <f>IFERROR(VLOOKUP($B996,اسماء,34,0),"")</f>
        <v/>
      </c>
      <c r="T998" s="306" t="str">
        <f>IFERROR(VLOOKUP($B996,اسماء,35,0),"")</f>
        <v/>
      </c>
      <c r="U998" s="122" t="str">
        <f>IFERROR(VLOOKUP($B996,اسماء,36,0),"")</f>
        <v/>
      </c>
      <c r="V998" s="605"/>
      <c r="W998" s="20" t="str">
        <f t="shared" ref="W998" si="2701">LOOKUP(R998,$AF$6:$AG$10)</f>
        <v>ضعيف</v>
      </c>
      <c r="X998" s="640"/>
      <c r="Y998" s="8"/>
      <c r="Z998" s="598"/>
      <c r="AK998" s="667"/>
      <c r="AL998" s="667"/>
      <c r="AM998" s="696"/>
      <c r="AN998" s="698"/>
      <c r="AO998" s="699"/>
      <c r="AP998" s="698"/>
    </row>
    <row r="999" spans="1:42" ht="14.85" customHeight="1" thickBot="1" x14ac:dyDescent="0.3">
      <c r="A999" s="612"/>
      <c r="B999" s="615"/>
      <c r="C999" s="618"/>
      <c r="D999" s="621"/>
      <c r="E999" s="124" t="s">
        <v>33</v>
      </c>
      <c r="F999" s="623">
        <f t="shared" ref="F999" si="2702">SUM(F996:G998)</f>
        <v>0</v>
      </c>
      <c r="G999" s="624"/>
      <c r="H999" s="625">
        <f t="shared" ref="H999" si="2703">SUM(H996:I998)</f>
        <v>0</v>
      </c>
      <c r="I999" s="626"/>
      <c r="J999" s="623">
        <f t="shared" ref="J999" si="2704">SUM(J996:K998)</f>
        <v>0</v>
      </c>
      <c r="K999" s="624"/>
      <c r="L999" s="625">
        <f t="shared" ref="L999" si="2705">SUM(L996:M998)</f>
        <v>0</v>
      </c>
      <c r="M999" s="642"/>
      <c r="N999" s="625">
        <f t="shared" ref="N999" si="2706">SUM(N996:O998)</f>
        <v>0</v>
      </c>
      <c r="O999" s="642"/>
      <c r="P999" s="623">
        <f t="shared" ref="P999" si="2707">SUM(P996:Q998)</f>
        <v>0</v>
      </c>
      <c r="Q999" s="626"/>
      <c r="R999" s="88">
        <f t="shared" ref="R999" si="2708">IF(AND(F999&gt;=$G$8,H999&gt;=$I$8,J999&gt;=$K$8,L999&gt;=$M$8,N999&gt;=$O$8,P999&gt;=$Q$8),SUM(F999:Q999),0)</f>
        <v>0</v>
      </c>
      <c r="S999" s="251"/>
      <c r="T999" s="97"/>
      <c r="U999" s="94"/>
      <c r="V999" s="606"/>
      <c r="W999" s="88" t="str">
        <f t="shared" ref="W999" si="2709">LOOKUP(R999,$AI$6:$AJ$10)</f>
        <v>ضعيف</v>
      </c>
      <c r="X999" s="641"/>
      <c r="Y999" s="68"/>
      <c r="Z999" s="599"/>
      <c r="AK999" s="667"/>
      <c r="AL999" s="667"/>
      <c r="AM999" s="696"/>
      <c r="AN999" s="698"/>
      <c r="AO999" s="699"/>
      <c r="AP999" s="698"/>
    </row>
    <row r="1000" spans="1:42" ht="14.85" customHeight="1" thickBot="1" x14ac:dyDescent="0.3">
      <c r="A1000" s="610">
        <v>217</v>
      </c>
      <c r="B1000" s="613">
        <f>VLOOKUP(A1000,مسلسل,2,0)</f>
        <v>0</v>
      </c>
      <c r="C1000" s="616" t="str">
        <f>IFERROR(VLOOKUP(B1000,اسماء,2,0),"")</f>
        <v/>
      </c>
      <c r="D1000" s="619" t="str">
        <f>IFERROR(VLOOKUP($B1000,اسماء,3,0),"")</f>
        <v/>
      </c>
      <c r="E1000" s="129" t="s">
        <v>30</v>
      </c>
      <c r="F1000" s="600">
        <f>IFERROR(VLOOKUP($B1000,اسماء,5,0),0)</f>
        <v>0</v>
      </c>
      <c r="G1000" s="601"/>
      <c r="H1000" s="602">
        <f>IFERROR(VLOOKUP($B1000,اسماء,6,0),0)</f>
        <v>0</v>
      </c>
      <c r="I1000" s="622"/>
      <c r="J1000" s="600">
        <f>IFERROR(VLOOKUP($B1000,اسماء,7,0),0)</f>
        <v>0</v>
      </c>
      <c r="K1000" s="601"/>
      <c r="L1000" s="602">
        <f>IFERROR(VLOOKUP($B1000,اسماء,8,0),0)</f>
        <v>0</v>
      </c>
      <c r="M1000" s="603"/>
      <c r="N1000" s="602">
        <f>IFERROR(VLOOKUP($B1000,اسماء,9,0),0)</f>
        <v>0</v>
      </c>
      <c r="O1000" s="603"/>
      <c r="P1000" s="600">
        <f>IFERROR(VLOOKUP($B1000,اسماء,10,0),0)</f>
        <v>0</v>
      </c>
      <c r="Q1000" s="622"/>
      <c r="R1000" s="371">
        <f t="shared" ref="R1000" si="2710">SUM(F1000:Q1000)</f>
        <v>0</v>
      </c>
      <c r="S1000" s="213" t="str">
        <f>IFERROR(VLOOKUP($B1000,اسماء,12,0),"")</f>
        <v/>
      </c>
      <c r="T1000" s="214" t="str">
        <f>IFERROR(VLOOKUP($B1000,اسماء,13,0),"")</f>
        <v/>
      </c>
      <c r="U1000" s="364" t="str">
        <f>IFERROR(VLOOKUP($B1000,اسماء,14,0),"")</f>
        <v/>
      </c>
      <c r="V1000" s="604" t="str">
        <f t="shared" ref="V1000" si="2711">IF(Z1000="غائب","راسب",IF(R1003&gt;0,"ناجح","مرحل"))</f>
        <v>مرحل</v>
      </c>
      <c r="W1000" s="19" t="str">
        <f t="shared" ref="W1000:W1001" si="2712">LOOKUP(R1000,$AC$6:$AD$10)</f>
        <v>ضعيف</v>
      </c>
      <c r="X1000" s="639">
        <f t="shared" ref="X1000" si="2713">R1003/$AC$3</f>
        <v>0</v>
      </c>
      <c r="Y1000" s="68"/>
      <c r="Z1000" s="597" t="str">
        <f>IFERROR(VLOOKUP($B1000,اسماء,48,0),"")</f>
        <v/>
      </c>
      <c r="AK1000" s="667" t="str">
        <f t="shared" ref="AK1000" si="2714">IF(R1003=0,"",R1003/1+ROW()*0.00001)</f>
        <v/>
      </c>
      <c r="AL1000" s="667">
        <f>B1000</f>
        <v>0</v>
      </c>
      <c r="AM1000" s="696"/>
      <c r="AN1000" s="698">
        <v>217</v>
      </c>
      <c r="AO1000" s="699" t="str">
        <f>IFERROR(LARGE($AK$10:$AK$1420,AN1000),"")</f>
        <v/>
      </c>
      <c r="AP1000" s="698" t="str">
        <f>VLOOKUP(AO1000,$AK$10:$AL$1530,2,0)</f>
        <v>امجد عمر عبداللطيف سلطان</v>
      </c>
    </row>
    <row r="1001" spans="1:42" ht="14.85" customHeight="1" x14ac:dyDescent="0.25">
      <c r="A1001" s="611"/>
      <c r="B1001" s="614"/>
      <c r="C1001" s="617"/>
      <c r="D1001" s="620"/>
      <c r="E1001" s="130" t="s">
        <v>31</v>
      </c>
      <c r="F1001" s="592">
        <f>IFERROR(VLOOKUP($B1000,اسماء,15,0),0)</f>
        <v>0</v>
      </c>
      <c r="G1001" s="593"/>
      <c r="H1001" s="594">
        <f>IFERROR(VLOOKUP($B1000,اسماء,16,0),0)</f>
        <v>0</v>
      </c>
      <c r="I1001" s="595"/>
      <c r="J1001" s="592">
        <f>IFERROR(VLOOKUP($B1000,اسماء,17,0),0)</f>
        <v>0</v>
      </c>
      <c r="K1001" s="593"/>
      <c r="L1001" s="594">
        <f>IFERROR(VLOOKUP($B1000,اسماء,18,0),0)</f>
        <v>0</v>
      </c>
      <c r="M1001" s="596"/>
      <c r="N1001" s="594">
        <f>IFERROR(VLOOKUP($B1000,اسماء,19,0),0)</f>
        <v>0</v>
      </c>
      <c r="O1001" s="596"/>
      <c r="P1001" s="592">
        <f>IFERROR(VLOOKUP($B1000,اسماء,20,0),0)</f>
        <v>0</v>
      </c>
      <c r="Q1001" s="595"/>
      <c r="R1001" s="372">
        <f t="shared" si="2646"/>
        <v>0</v>
      </c>
      <c r="S1001" s="305" t="str">
        <f>IFERROR(VLOOKUP($B1000,اسماء,23,0),"")</f>
        <v/>
      </c>
      <c r="T1001" s="306" t="str">
        <f>IFERROR(VLOOKUP($B1000,اسماء,24,0),"")</f>
        <v/>
      </c>
      <c r="U1001" s="122" t="str">
        <f>IFERROR(VLOOKUP($B1000,اسماء,25,0),"")</f>
        <v/>
      </c>
      <c r="V1001" s="605"/>
      <c r="W1001" s="19" t="str">
        <f t="shared" si="2712"/>
        <v>ضعيف</v>
      </c>
      <c r="X1001" s="640"/>
      <c r="Y1001" s="8"/>
      <c r="Z1001" s="598"/>
      <c r="AK1001" s="667"/>
      <c r="AL1001" s="667"/>
      <c r="AM1001" s="696"/>
      <c r="AN1001" s="698"/>
      <c r="AO1001" s="699"/>
      <c r="AP1001" s="698"/>
    </row>
    <row r="1002" spans="1:42" ht="14.85" customHeight="1" x14ac:dyDescent="0.25">
      <c r="A1002" s="611"/>
      <c r="B1002" s="614"/>
      <c r="C1002" s="617"/>
      <c r="D1002" s="620"/>
      <c r="E1002" s="130" t="s">
        <v>32</v>
      </c>
      <c r="F1002" s="592">
        <f>IFERROR(VLOOKUP($B1000,اسماء,25,0),0)</f>
        <v>0</v>
      </c>
      <c r="G1002" s="593"/>
      <c r="H1002" s="594">
        <f>IFERROR(VLOOKUP($B1000,اسماء,26,0),0)</f>
        <v>0</v>
      </c>
      <c r="I1002" s="595"/>
      <c r="J1002" s="592">
        <f>IFERROR(VLOOKUP($B1000,اسماء,27,0),0)</f>
        <v>0</v>
      </c>
      <c r="K1002" s="593"/>
      <c r="L1002" s="594">
        <f>IFERROR(VLOOKUP($B1000,اسماء,28,0),0)</f>
        <v>0</v>
      </c>
      <c r="M1002" s="596"/>
      <c r="N1002" s="594">
        <f>IFERROR(VLOOKUP($B1000,اسماء,29,0),0)</f>
        <v>0</v>
      </c>
      <c r="O1002" s="596"/>
      <c r="P1002" s="592">
        <f>IFERROR(VLOOKUP($B1000,اسماء,30,0),0)</f>
        <v>0</v>
      </c>
      <c r="Q1002" s="595"/>
      <c r="R1002" s="372">
        <f t="shared" si="2646"/>
        <v>0</v>
      </c>
      <c r="S1002" s="305" t="str">
        <f>IFERROR(VLOOKUP($B1000,اسماء,34,0),"")</f>
        <v/>
      </c>
      <c r="T1002" s="306" t="str">
        <f>IFERROR(VLOOKUP($B1000,اسماء,35,0),"")</f>
        <v/>
      </c>
      <c r="U1002" s="122" t="str">
        <f>IFERROR(VLOOKUP($B1000,اسماء,36,0),"")</f>
        <v/>
      </c>
      <c r="V1002" s="605"/>
      <c r="W1002" s="20" t="str">
        <f t="shared" ref="W1002" si="2715">LOOKUP(R1002,$AF$6:$AG$10)</f>
        <v>ضعيف</v>
      </c>
      <c r="X1002" s="640"/>
      <c r="Y1002" s="68"/>
      <c r="Z1002" s="598"/>
      <c r="AK1002" s="667"/>
      <c r="AL1002" s="667"/>
      <c r="AM1002" s="696"/>
      <c r="AN1002" s="698"/>
      <c r="AO1002" s="699"/>
      <c r="AP1002" s="698"/>
    </row>
    <row r="1003" spans="1:42" ht="14.85" customHeight="1" thickBot="1" x14ac:dyDescent="0.3">
      <c r="A1003" s="612"/>
      <c r="B1003" s="615"/>
      <c r="C1003" s="618"/>
      <c r="D1003" s="621"/>
      <c r="E1003" s="124" t="s">
        <v>33</v>
      </c>
      <c r="F1003" s="623">
        <f t="shared" ref="F1003" si="2716">SUM(F1000:G1002)</f>
        <v>0</v>
      </c>
      <c r="G1003" s="624"/>
      <c r="H1003" s="625">
        <f t="shared" ref="H1003" si="2717">SUM(H1000:I1002)</f>
        <v>0</v>
      </c>
      <c r="I1003" s="626"/>
      <c r="J1003" s="623">
        <f t="shared" ref="J1003" si="2718">SUM(J1000:K1002)</f>
        <v>0</v>
      </c>
      <c r="K1003" s="624"/>
      <c r="L1003" s="625">
        <f t="shared" ref="L1003" si="2719">SUM(L1000:M1002)</f>
        <v>0</v>
      </c>
      <c r="M1003" s="642"/>
      <c r="N1003" s="625">
        <f t="shared" ref="N1003" si="2720">SUM(N1000:O1002)</f>
        <v>0</v>
      </c>
      <c r="O1003" s="642"/>
      <c r="P1003" s="623">
        <f t="shared" ref="P1003" si="2721">SUM(P1000:Q1002)</f>
        <v>0</v>
      </c>
      <c r="Q1003" s="626"/>
      <c r="R1003" s="88">
        <f t="shared" ref="R1003" si="2722">IF(AND(F1003&gt;=$G$8,H1003&gt;=$I$8,J1003&gt;=$K$8,L1003&gt;=$M$8,N1003&gt;=$O$8,P1003&gt;=$Q$8),SUM(F1003:Q1003),0)</f>
        <v>0</v>
      </c>
      <c r="S1003" s="251"/>
      <c r="T1003" s="97"/>
      <c r="U1003" s="94"/>
      <c r="V1003" s="606"/>
      <c r="W1003" s="88" t="str">
        <f t="shared" ref="W1003" si="2723">LOOKUP(R1003,$AI$6:$AJ$10)</f>
        <v>ضعيف</v>
      </c>
      <c r="X1003" s="641"/>
      <c r="Y1003" s="68"/>
      <c r="Z1003" s="599"/>
      <c r="AK1003" s="667"/>
      <c r="AL1003" s="667"/>
      <c r="AM1003" s="696"/>
      <c r="AN1003" s="698"/>
      <c r="AO1003" s="699"/>
      <c r="AP1003" s="698"/>
    </row>
    <row r="1004" spans="1:42" ht="14.85" customHeight="1" thickBot="1" x14ac:dyDescent="0.3">
      <c r="A1004" s="610">
        <v>218</v>
      </c>
      <c r="B1004" s="613">
        <f>VLOOKUP(A1004,مسلسل,2,0)</f>
        <v>0</v>
      </c>
      <c r="C1004" s="616" t="str">
        <f>IFERROR(VLOOKUP(B1004,اسماء,2,0),"")</f>
        <v/>
      </c>
      <c r="D1004" s="619" t="str">
        <f>IFERROR(VLOOKUP($B1004,اسماء,3,0),"")</f>
        <v/>
      </c>
      <c r="E1004" s="129" t="s">
        <v>30</v>
      </c>
      <c r="F1004" s="600">
        <f>IFERROR(VLOOKUP($B1004,اسماء,5,0),0)</f>
        <v>0</v>
      </c>
      <c r="G1004" s="601"/>
      <c r="H1004" s="602">
        <f>IFERROR(VLOOKUP($B1004,اسماء,6,0),0)</f>
        <v>0</v>
      </c>
      <c r="I1004" s="622"/>
      <c r="J1004" s="600">
        <f>IFERROR(VLOOKUP($B1004,اسماء,7,0),0)</f>
        <v>0</v>
      </c>
      <c r="K1004" s="601"/>
      <c r="L1004" s="602">
        <f>IFERROR(VLOOKUP($B1004,اسماء,8,0),0)</f>
        <v>0</v>
      </c>
      <c r="M1004" s="603"/>
      <c r="N1004" s="602">
        <f>IFERROR(VLOOKUP($B1004,اسماء,9,0),0)</f>
        <v>0</v>
      </c>
      <c r="O1004" s="603"/>
      <c r="P1004" s="600">
        <f>IFERROR(VLOOKUP($B1004,اسماء,10,0),0)</f>
        <v>0</v>
      </c>
      <c r="Q1004" s="622"/>
      <c r="R1004" s="371">
        <f t="shared" ref="R1004" si="2724">SUM(F1004:Q1004)</f>
        <v>0</v>
      </c>
      <c r="S1004" s="213" t="str">
        <f>IFERROR(VLOOKUP($B1004,اسماء,12,0),"")</f>
        <v/>
      </c>
      <c r="T1004" s="214" t="str">
        <f>IFERROR(VLOOKUP($B1004,اسماء,13,0),"")</f>
        <v/>
      </c>
      <c r="U1004" s="364" t="str">
        <f>IFERROR(VLOOKUP($B1004,اسماء,14,0),"")</f>
        <v/>
      </c>
      <c r="V1004" s="604" t="str">
        <f t="shared" ref="V1004" si="2725">IF(Z1004="غائب","راسب",IF(R1007&gt;0,"ناجح","مرحل"))</f>
        <v>مرحل</v>
      </c>
      <c r="W1004" s="19" t="str">
        <f t="shared" ref="W1004:W1005" si="2726">LOOKUP(R1004,$AC$6:$AD$10)</f>
        <v>ضعيف</v>
      </c>
      <c r="X1004" s="639">
        <f t="shared" ref="X1004" si="2727">R1007/$AC$3</f>
        <v>0</v>
      </c>
      <c r="Y1004" s="8"/>
      <c r="Z1004" s="597" t="str">
        <f>IFERROR(VLOOKUP($B1004,اسماء,48,0),"")</f>
        <v/>
      </c>
      <c r="AK1004" s="667" t="str">
        <f t="shared" ref="AK1004" si="2728">IF(R1007=0,"",R1007/1+ROW()*0.00001)</f>
        <v/>
      </c>
      <c r="AL1004" s="667">
        <f>B1004</f>
        <v>0</v>
      </c>
      <c r="AM1004" s="696"/>
      <c r="AN1004" s="698">
        <v>218</v>
      </c>
      <c r="AO1004" s="699" t="str">
        <f>IFERROR(LARGE($AK$10:$AK$1420,AN1004),"")</f>
        <v/>
      </c>
      <c r="AP1004" s="698" t="str">
        <f>VLOOKUP(AO1004,$AK$10:$AL$1530,2,0)</f>
        <v>امجد عمر عبداللطيف سلطان</v>
      </c>
    </row>
    <row r="1005" spans="1:42" ht="14.85" customHeight="1" x14ac:dyDescent="0.25">
      <c r="A1005" s="611"/>
      <c r="B1005" s="614"/>
      <c r="C1005" s="617"/>
      <c r="D1005" s="620"/>
      <c r="E1005" s="130" t="s">
        <v>31</v>
      </c>
      <c r="F1005" s="592">
        <f>IFERROR(VLOOKUP($B1004,اسماء,15,0),0)</f>
        <v>0</v>
      </c>
      <c r="G1005" s="593"/>
      <c r="H1005" s="594">
        <f>IFERROR(VLOOKUP($B1004,اسماء,16,0),0)</f>
        <v>0</v>
      </c>
      <c r="I1005" s="595"/>
      <c r="J1005" s="592">
        <f>IFERROR(VLOOKUP($B1004,اسماء,17,0),0)</f>
        <v>0</v>
      </c>
      <c r="K1005" s="593"/>
      <c r="L1005" s="594">
        <f>IFERROR(VLOOKUP($B1004,اسماء,18,0),0)</f>
        <v>0</v>
      </c>
      <c r="M1005" s="596"/>
      <c r="N1005" s="594">
        <f>IFERROR(VLOOKUP($B1004,اسماء,19,0),0)</f>
        <v>0</v>
      </c>
      <c r="O1005" s="596"/>
      <c r="P1005" s="592">
        <f>IFERROR(VLOOKUP($B1004,اسماء,20,0),0)</f>
        <v>0</v>
      </c>
      <c r="Q1005" s="595"/>
      <c r="R1005" s="372">
        <f t="shared" si="2646"/>
        <v>0</v>
      </c>
      <c r="S1005" s="305" t="str">
        <f>IFERROR(VLOOKUP($B1004,اسماء,23,0),"")</f>
        <v/>
      </c>
      <c r="T1005" s="306" t="str">
        <f>IFERROR(VLOOKUP($B1004,اسماء,24,0),"")</f>
        <v/>
      </c>
      <c r="U1005" s="122" t="str">
        <f>IFERROR(VLOOKUP($B1004,اسماء,25,0),"")</f>
        <v/>
      </c>
      <c r="V1005" s="605"/>
      <c r="W1005" s="19" t="str">
        <f t="shared" si="2726"/>
        <v>ضعيف</v>
      </c>
      <c r="X1005" s="640"/>
      <c r="Y1005" s="68"/>
      <c r="Z1005" s="598"/>
      <c r="AK1005" s="667"/>
      <c r="AL1005" s="667"/>
      <c r="AM1005" s="696"/>
      <c r="AN1005" s="698"/>
      <c r="AO1005" s="699"/>
      <c r="AP1005" s="698"/>
    </row>
    <row r="1006" spans="1:42" ht="14.85" customHeight="1" x14ac:dyDescent="0.25">
      <c r="A1006" s="611"/>
      <c r="B1006" s="614"/>
      <c r="C1006" s="617"/>
      <c r="D1006" s="620"/>
      <c r="E1006" s="130" t="s">
        <v>32</v>
      </c>
      <c r="F1006" s="592">
        <f>IFERROR(VLOOKUP($B1004,اسماء,25,0),0)</f>
        <v>0</v>
      </c>
      <c r="G1006" s="593"/>
      <c r="H1006" s="594">
        <f>IFERROR(VLOOKUP($B1004,اسماء,26,0),0)</f>
        <v>0</v>
      </c>
      <c r="I1006" s="595"/>
      <c r="J1006" s="592">
        <f>IFERROR(VLOOKUP($B1004,اسماء,27,0),0)</f>
        <v>0</v>
      </c>
      <c r="K1006" s="593"/>
      <c r="L1006" s="594">
        <f>IFERROR(VLOOKUP($B1004,اسماء,28,0),0)</f>
        <v>0</v>
      </c>
      <c r="M1006" s="596"/>
      <c r="N1006" s="594">
        <f>IFERROR(VLOOKUP($B1004,اسماء,29,0),0)</f>
        <v>0</v>
      </c>
      <c r="O1006" s="596"/>
      <c r="P1006" s="592">
        <f>IFERROR(VLOOKUP($B1004,اسماء,30,0),0)</f>
        <v>0</v>
      </c>
      <c r="Q1006" s="595"/>
      <c r="R1006" s="372">
        <f t="shared" si="2646"/>
        <v>0</v>
      </c>
      <c r="S1006" s="305" t="str">
        <f>IFERROR(VLOOKUP($B1004,اسماء,34,0),"")</f>
        <v/>
      </c>
      <c r="T1006" s="306" t="str">
        <f>IFERROR(VLOOKUP($B1004,اسماء,35,0),"")</f>
        <v/>
      </c>
      <c r="U1006" s="122" t="str">
        <f>IFERROR(VLOOKUP($B1004,اسماء,36,0),"")</f>
        <v/>
      </c>
      <c r="V1006" s="605"/>
      <c r="W1006" s="20" t="str">
        <f t="shared" ref="W1006" si="2729">LOOKUP(R1006,$AF$6:$AG$10)</f>
        <v>ضعيف</v>
      </c>
      <c r="X1006" s="640"/>
      <c r="Y1006" s="68"/>
      <c r="Z1006" s="598"/>
      <c r="AK1006" s="667"/>
      <c r="AL1006" s="667"/>
      <c r="AM1006" s="696"/>
      <c r="AN1006" s="698"/>
      <c r="AO1006" s="699"/>
      <c r="AP1006" s="698"/>
    </row>
    <row r="1007" spans="1:42" ht="14.85" customHeight="1" thickBot="1" x14ac:dyDescent="0.3">
      <c r="A1007" s="612"/>
      <c r="B1007" s="615"/>
      <c r="C1007" s="618"/>
      <c r="D1007" s="621"/>
      <c r="E1007" s="124" t="s">
        <v>33</v>
      </c>
      <c r="F1007" s="623">
        <f t="shared" ref="F1007" si="2730">SUM(F1004:G1006)</f>
        <v>0</v>
      </c>
      <c r="G1007" s="624"/>
      <c r="H1007" s="625">
        <f t="shared" ref="H1007" si="2731">SUM(H1004:I1006)</f>
        <v>0</v>
      </c>
      <c r="I1007" s="626"/>
      <c r="J1007" s="623">
        <f t="shared" ref="J1007" si="2732">SUM(J1004:K1006)</f>
        <v>0</v>
      </c>
      <c r="K1007" s="624"/>
      <c r="L1007" s="625">
        <f t="shared" ref="L1007" si="2733">SUM(L1004:M1006)</f>
        <v>0</v>
      </c>
      <c r="M1007" s="642"/>
      <c r="N1007" s="625">
        <f t="shared" ref="N1007" si="2734">SUM(N1004:O1006)</f>
        <v>0</v>
      </c>
      <c r="O1007" s="642"/>
      <c r="P1007" s="623">
        <f t="shared" ref="P1007" si="2735">SUM(P1004:Q1006)</f>
        <v>0</v>
      </c>
      <c r="Q1007" s="626"/>
      <c r="R1007" s="88">
        <f t="shared" ref="R1007" si="2736">IF(AND(F1007&gt;=$G$8,H1007&gt;=$I$8,J1007&gt;=$K$8,L1007&gt;=$M$8,N1007&gt;=$O$8,P1007&gt;=$Q$8),SUM(F1007:Q1007),0)</f>
        <v>0</v>
      </c>
      <c r="S1007" s="251"/>
      <c r="T1007" s="97"/>
      <c r="U1007" s="94"/>
      <c r="V1007" s="606"/>
      <c r="W1007" s="88" t="str">
        <f t="shared" ref="W1007" si="2737">LOOKUP(R1007,$AI$6:$AJ$10)</f>
        <v>ضعيف</v>
      </c>
      <c r="X1007" s="641"/>
      <c r="Y1007" s="8"/>
      <c r="Z1007" s="599"/>
      <c r="AK1007" s="667"/>
      <c r="AL1007" s="667"/>
      <c r="AM1007" s="696"/>
      <c r="AN1007" s="698"/>
      <c r="AO1007" s="699"/>
      <c r="AP1007" s="698"/>
    </row>
    <row r="1008" spans="1:42" ht="14.85" customHeight="1" thickBot="1" x14ac:dyDescent="0.3">
      <c r="A1008" s="610">
        <v>219</v>
      </c>
      <c r="B1008" s="613">
        <f>VLOOKUP(A1008,مسلسل,2,0)</f>
        <v>0</v>
      </c>
      <c r="C1008" s="616" t="str">
        <f>IFERROR(VLOOKUP(B1008,اسماء,2,0),"")</f>
        <v/>
      </c>
      <c r="D1008" s="619" t="str">
        <f>IFERROR(VLOOKUP($B1008,اسماء,3,0),"")</f>
        <v/>
      </c>
      <c r="E1008" s="129" t="s">
        <v>30</v>
      </c>
      <c r="F1008" s="600">
        <f>IFERROR(VLOOKUP($B1008,اسماء,5,0),0)</f>
        <v>0</v>
      </c>
      <c r="G1008" s="601"/>
      <c r="H1008" s="602">
        <f>IFERROR(VLOOKUP($B1008,اسماء,6,0),0)</f>
        <v>0</v>
      </c>
      <c r="I1008" s="622"/>
      <c r="J1008" s="600">
        <f>IFERROR(VLOOKUP($B1008,اسماء,7,0),0)</f>
        <v>0</v>
      </c>
      <c r="K1008" s="601"/>
      <c r="L1008" s="602">
        <f>IFERROR(VLOOKUP($B1008,اسماء,8,0),0)</f>
        <v>0</v>
      </c>
      <c r="M1008" s="603"/>
      <c r="N1008" s="602">
        <f>IFERROR(VLOOKUP($B1008,اسماء,9,0),0)</f>
        <v>0</v>
      </c>
      <c r="O1008" s="603"/>
      <c r="P1008" s="600">
        <f>IFERROR(VLOOKUP($B1008,اسماء,10,0),0)</f>
        <v>0</v>
      </c>
      <c r="Q1008" s="622"/>
      <c r="R1008" s="371">
        <f t="shared" ref="R1008" si="2738">SUM(F1008:Q1008)</f>
        <v>0</v>
      </c>
      <c r="S1008" s="213" t="str">
        <f>IFERROR(VLOOKUP($B1008,اسماء,12,0),"")</f>
        <v/>
      </c>
      <c r="T1008" s="214" t="str">
        <f>IFERROR(VLOOKUP($B1008,اسماء,13,0),"")</f>
        <v/>
      </c>
      <c r="U1008" s="364" t="str">
        <f>IFERROR(VLOOKUP($B1008,اسماء,14,0),"")</f>
        <v/>
      </c>
      <c r="V1008" s="604" t="str">
        <f t="shared" ref="V1008" si="2739">IF(Z1008="غائب","راسب",IF(R1011&gt;0,"ناجح","مرحل"))</f>
        <v>مرحل</v>
      </c>
      <c r="W1008" s="19" t="str">
        <f t="shared" ref="W1008:W1009" si="2740">LOOKUP(R1008,$AC$6:$AD$10)</f>
        <v>ضعيف</v>
      </c>
      <c r="X1008" s="639">
        <f t="shared" ref="X1008" si="2741">R1011/$AC$3</f>
        <v>0</v>
      </c>
      <c r="Y1008" s="68"/>
      <c r="Z1008" s="597" t="str">
        <f>IFERROR(VLOOKUP($B1008,اسماء,48,0),"")</f>
        <v/>
      </c>
      <c r="AK1008" s="667" t="str">
        <f t="shared" ref="AK1008" si="2742">IF(R1011=0,"",R1011/1+ROW()*0.00001)</f>
        <v/>
      </c>
      <c r="AL1008" s="667">
        <f>B1008</f>
        <v>0</v>
      </c>
      <c r="AM1008" s="696"/>
      <c r="AN1008" s="698">
        <v>219</v>
      </c>
      <c r="AO1008" s="699" t="str">
        <f>IFERROR(LARGE($AK$10:$AK$1420,AN1008),"")</f>
        <v/>
      </c>
      <c r="AP1008" s="698" t="str">
        <f>VLOOKUP(AO1008,$AK$10:$AL$1530,2,0)</f>
        <v>امجد عمر عبداللطيف سلطان</v>
      </c>
    </row>
    <row r="1009" spans="1:42" ht="14.85" customHeight="1" x14ac:dyDescent="0.25">
      <c r="A1009" s="611"/>
      <c r="B1009" s="614"/>
      <c r="C1009" s="617"/>
      <c r="D1009" s="620"/>
      <c r="E1009" s="130" t="s">
        <v>31</v>
      </c>
      <c r="F1009" s="592">
        <f>IFERROR(VLOOKUP($B1008,اسماء,15,0),0)</f>
        <v>0</v>
      </c>
      <c r="G1009" s="593"/>
      <c r="H1009" s="594">
        <f>IFERROR(VLOOKUP($B1008,اسماء,16,0),0)</f>
        <v>0</v>
      </c>
      <c r="I1009" s="595"/>
      <c r="J1009" s="592">
        <f>IFERROR(VLOOKUP($B1008,اسماء,17,0),0)</f>
        <v>0</v>
      </c>
      <c r="K1009" s="593"/>
      <c r="L1009" s="594">
        <f>IFERROR(VLOOKUP($B1008,اسماء,18,0),0)</f>
        <v>0</v>
      </c>
      <c r="M1009" s="596"/>
      <c r="N1009" s="594">
        <f>IFERROR(VLOOKUP($B1008,اسماء,19,0),0)</f>
        <v>0</v>
      </c>
      <c r="O1009" s="596"/>
      <c r="P1009" s="592">
        <f>IFERROR(VLOOKUP($B1008,اسماء,20,0),0)</f>
        <v>0</v>
      </c>
      <c r="Q1009" s="595"/>
      <c r="R1009" s="372">
        <f t="shared" si="2646"/>
        <v>0</v>
      </c>
      <c r="S1009" s="305" t="str">
        <f>IFERROR(VLOOKUP($B1008,اسماء,23,0),"")</f>
        <v/>
      </c>
      <c r="T1009" s="306" t="str">
        <f>IFERROR(VLOOKUP($B1008,اسماء,24,0),"")</f>
        <v/>
      </c>
      <c r="U1009" s="122" t="str">
        <f>IFERROR(VLOOKUP($B1008,اسماء,25,0),"")</f>
        <v/>
      </c>
      <c r="V1009" s="605"/>
      <c r="W1009" s="19" t="str">
        <f t="shared" si="2740"/>
        <v>ضعيف</v>
      </c>
      <c r="X1009" s="640"/>
      <c r="Y1009" s="68"/>
      <c r="Z1009" s="598"/>
      <c r="AK1009" s="667"/>
      <c r="AL1009" s="667"/>
      <c r="AM1009" s="696"/>
      <c r="AN1009" s="698"/>
      <c r="AO1009" s="699"/>
      <c r="AP1009" s="698"/>
    </row>
    <row r="1010" spans="1:42" ht="14.85" customHeight="1" x14ac:dyDescent="0.25">
      <c r="A1010" s="611"/>
      <c r="B1010" s="614"/>
      <c r="C1010" s="617"/>
      <c r="D1010" s="620"/>
      <c r="E1010" s="130" t="s">
        <v>32</v>
      </c>
      <c r="F1010" s="592">
        <f>IFERROR(VLOOKUP($B1008,اسماء,25,0),0)</f>
        <v>0</v>
      </c>
      <c r="G1010" s="593"/>
      <c r="H1010" s="594">
        <f>IFERROR(VLOOKUP($B1008,اسماء,26,0),0)</f>
        <v>0</v>
      </c>
      <c r="I1010" s="595"/>
      <c r="J1010" s="592">
        <f>IFERROR(VLOOKUP($B1008,اسماء,27,0),0)</f>
        <v>0</v>
      </c>
      <c r="K1010" s="593"/>
      <c r="L1010" s="594">
        <f>IFERROR(VLOOKUP($B1008,اسماء,28,0),0)</f>
        <v>0</v>
      </c>
      <c r="M1010" s="596"/>
      <c r="N1010" s="594">
        <f>IFERROR(VLOOKUP($B1008,اسماء,29,0),0)</f>
        <v>0</v>
      </c>
      <c r="O1010" s="596"/>
      <c r="P1010" s="592">
        <f>IFERROR(VLOOKUP($B1008,اسماء,30,0),0)</f>
        <v>0</v>
      </c>
      <c r="Q1010" s="595"/>
      <c r="R1010" s="372">
        <f t="shared" si="2646"/>
        <v>0</v>
      </c>
      <c r="S1010" s="305" t="str">
        <f>IFERROR(VLOOKUP($B1008,اسماء,34,0),"")</f>
        <v/>
      </c>
      <c r="T1010" s="306" t="str">
        <f>IFERROR(VLOOKUP($B1008,اسماء,35,0),"")</f>
        <v/>
      </c>
      <c r="U1010" s="122" t="str">
        <f>IFERROR(VLOOKUP($B1008,اسماء,36,0),"")</f>
        <v/>
      </c>
      <c r="V1010" s="605"/>
      <c r="W1010" s="20" t="str">
        <f t="shared" ref="W1010" si="2743">LOOKUP(R1010,$AF$6:$AG$10)</f>
        <v>ضعيف</v>
      </c>
      <c r="X1010" s="640"/>
      <c r="Y1010" s="8"/>
      <c r="Z1010" s="598"/>
      <c r="AK1010" s="667"/>
      <c r="AL1010" s="667"/>
      <c r="AM1010" s="696"/>
      <c r="AN1010" s="698"/>
      <c r="AO1010" s="699"/>
      <c r="AP1010" s="698"/>
    </row>
    <row r="1011" spans="1:42" ht="14.85" customHeight="1" thickBot="1" x14ac:dyDescent="0.3">
      <c r="A1011" s="612"/>
      <c r="B1011" s="615"/>
      <c r="C1011" s="618"/>
      <c r="D1011" s="621"/>
      <c r="E1011" s="124" t="s">
        <v>33</v>
      </c>
      <c r="F1011" s="623">
        <f t="shared" ref="F1011" si="2744">SUM(F1008:G1010)</f>
        <v>0</v>
      </c>
      <c r="G1011" s="624"/>
      <c r="H1011" s="625">
        <f t="shared" ref="H1011" si="2745">SUM(H1008:I1010)</f>
        <v>0</v>
      </c>
      <c r="I1011" s="626"/>
      <c r="J1011" s="623">
        <f t="shared" ref="J1011" si="2746">SUM(J1008:K1010)</f>
        <v>0</v>
      </c>
      <c r="K1011" s="624"/>
      <c r="L1011" s="625">
        <f t="shared" ref="L1011" si="2747">SUM(L1008:M1010)</f>
        <v>0</v>
      </c>
      <c r="M1011" s="642"/>
      <c r="N1011" s="625">
        <f t="shared" ref="N1011" si="2748">SUM(N1008:O1010)</f>
        <v>0</v>
      </c>
      <c r="O1011" s="642"/>
      <c r="P1011" s="623">
        <f t="shared" ref="P1011" si="2749">SUM(P1008:Q1010)</f>
        <v>0</v>
      </c>
      <c r="Q1011" s="626"/>
      <c r="R1011" s="88">
        <f t="shared" ref="R1011" si="2750">IF(AND(F1011&gt;=$G$8,H1011&gt;=$I$8,J1011&gt;=$K$8,L1011&gt;=$M$8,N1011&gt;=$O$8,P1011&gt;=$Q$8),SUM(F1011:Q1011),0)</f>
        <v>0</v>
      </c>
      <c r="S1011" s="251"/>
      <c r="T1011" s="97"/>
      <c r="U1011" s="94"/>
      <c r="V1011" s="606"/>
      <c r="W1011" s="88" t="str">
        <f t="shared" ref="W1011" si="2751">LOOKUP(R1011,$AI$6:$AJ$10)</f>
        <v>ضعيف</v>
      </c>
      <c r="X1011" s="641"/>
      <c r="Y1011" s="68"/>
      <c r="Z1011" s="599"/>
      <c r="AK1011" s="667"/>
      <c r="AL1011" s="667"/>
      <c r="AM1011" s="696"/>
      <c r="AN1011" s="698"/>
      <c r="AO1011" s="699"/>
      <c r="AP1011" s="698"/>
    </row>
    <row r="1012" spans="1:42" ht="14.85" customHeight="1" thickBot="1" x14ac:dyDescent="0.3">
      <c r="A1012" s="610">
        <v>220</v>
      </c>
      <c r="B1012" s="613">
        <f>VLOOKUP(A1012,مسلسل,2,0)</f>
        <v>0</v>
      </c>
      <c r="C1012" s="616" t="str">
        <f>IFERROR(VLOOKUP(B1012,اسماء,2,0),"")</f>
        <v/>
      </c>
      <c r="D1012" s="619" t="str">
        <f>IFERROR(VLOOKUP($B1012,اسماء,3,0),"")</f>
        <v/>
      </c>
      <c r="E1012" s="129" t="s">
        <v>30</v>
      </c>
      <c r="F1012" s="600">
        <f>IFERROR(VLOOKUP($B1012,اسماء,5,0),0)</f>
        <v>0</v>
      </c>
      <c r="G1012" s="601"/>
      <c r="H1012" s="602">
        <f>IFERROR(VLOOKUP($B1012,اسماء,6,0),0)</f>
        <v>0</v>
      </c>
      <c r="I1012" s="622"/>
      <c r="J1012" s="600">
        <f>IFERROR(VLOOKUP($B1012,اسماء,7,0),0)</f>
        <v>0</v>
      </c>
      <c r="K1012" s="601"/>
      <c r="L1012" s="602">
        <f>IFERROR(VLOOKUP($B1012,اسماء,8,0),0)</f>
        <v>0</v>
      </c>
      <c r="M1012" s="603"/>
      <c r="N1012" s="602">
        <f>IFERROR(VLOOKUP($B1012,اسماء,9,0),0)</f>
        <v>0</v>
      </c>
      <c r="O1012" s="603"/>
      <c r="P1012" s="600">
        <f>IFERROR(VLOOKUP($B1012,اسماء,10,0),0)</f>
        <v>0</v>
      </c>
      <c r="Q1012" s="622"/>
      <c r="R1012" s="371">
        <f t="shared" ref="R1012" si="2752">SUM(F1012:Q1012)</f>
        <v>0</v>
      </c>
      <c r="S1012" s="213" t="str">
        <f>IFERROR(VLOOKUP($B1012,اسماء,12,0),"")</f>
        <v/>
      </c>
      <c r="T1012" s="214" t="str">
        <f>IFERROR(VLOOKUP($B1012,اسماء,13,0),"")</f>
        <v/>
      </c>
      <c r="U1012" s="364" t="str">
        <f>IFERROR(VLOOKUP($B1012,اسماء,14,0),"")</f>
        <v/>
      </c>
      <c r="V1012" s="604" t="str">
        <f t="shared" ref="V1012" si="2753">IF(Z1012="غائب","راسب",IF(R1015&gt;0,"ناجح","مرحل"))</f>
        <v>مرحل</v>
      </c>
      <c r="W1012" s="19" t="str">
        <f t="shared" ref="W1012:W1013" si="2754">LOOKUP(R1012,$AC$6:$AD$10)</f>
        <v>ضعيف</v>
      </c>
      <c r="X1012" s="639">
        <f t="shared" ref="X1012" si="2755">R1015/$AC$3</f>
        <v>0</v>
      </c>
      <c r="Y1012" s="68"/>
      <c r="Z1012" s="597" t="str">
        <f>IFERROR(VLOOKUP($B1012,اسماء,48,0),"")</f>
        <v/>
      </c>
      <c r="AK1012" s="667" t="str">
        <f t="shared" ref="AK1012" si="2756">IF(R1015=0,"",R1015/1+ROW()*0.00001)</f>
        <v/>
      </c>
      <c r="AL1012" s="667">
        <f>B1012</f>
        <v>0</v>
      </c>
      <c r="AM1012" s="696"/>
      <c r="AN1012" s="698">
        <v>220</v>
      </c>
      <c r="AO1012" s="699" t="str">
        <f>IFERROR(LARGE($AK$10:$AK$1420,AN1012),"")</f>
        <v/>
      </c>
      <c r="AP1012" s="698" t="str">
        <f>VLOOKUP(AO1012,$AK$10:$AL$1530,2,0)</f>
        <v>امجد عمر عبداللطيف سلطان</v>
      </c>
    </row>
    <row r="1013" spans="1:42" ht="14.85" customHeight="1" x14ac:dyDescent="0.25">
      <c r="A1013" s="611"/>
      <c r="B1013" s="614"/>
      <c r="C1013" s="617"/>
      <c r="D1013" s="620"/>
      <c r="E1013" s="130" t="s">
        <v>31</v>
      </c>
      <c r="F1013" s="592">
        <f>IFERROR(VLOOKUP($B1012,اسماء,15,0),0)</f>
        <v>0</v>
      </c>
      <c r="G1013" s="593"/>
      <c r="H1013" s="594">
        <f>IFERROR(VLOOKUP($B1012,اسماء,16,0),0)</f>
        <v>0</v>
      </c>
      <c r="I1013" s="595"/>
      <c r="J1013" s="592">
        <f>IFERROR(VLOOKUP($B1012,اسماء,17,0),0)</f>
        <v>0</v>
      </c>
      <c r="K1013" s="593"/>
      <c r="L1013" s="594">
        <f>IFERROR(VLOOKUP($B1012,اسماء,18,0),0)</f>
        <v>0</v>
      </c>
      <c r="M1013" s="596"/>
      <c r="N1013" s="594">
        <f>IFERROR(VLOOKUP($B1012,اسماء,19,0),0)</f>
        <v>0</v>
      </c>
      <c r="O1013" s="596"/>
      <c r="P1013" s="592">
        <f>IFERROR(VLOOKUP($B1012,اسماء,20,0),0)</f>
        <v>0</v>
      </c>
      <c r="Q1013" s="595"/>
      <c r="R1013" s="372">
        <f t="shared" si="2646"/>
        <v>0</v>
      </c>
      <c r="S1013" s="305" t="str">
        <f>IFERROR(VLOOKUP($B1012,اسماء,23,0),"")</f>
        <v/>
      </c>
      <c r="T1013" s="306" t="str">
        <f>IFERROR(VLOOKUP($B1012,اسماء,24,0),"")</f>
        <v/>
      </c>
      <c r="U1013" s="122" t="str">
        <f>IFERROR(VLOOKUP($B1012,اسماء,25,0),"")</f>
        <v/>
      </c>
      <c r="V1013" s="605"/>
      <c r="W1013" s="19" t="str">
        <f t="shared" si="2754"/>
        <v>ضعيف</v>
      </c>
      <c r="X1013" s="640"/>
      <c r="Y1013" s="8"/>
      <c r="Z1013" s="598"/>
      <c r="AK1013" s="667"/>
      <c r="AL1013" s="667"/>
      <c r="AM1013" s="696"/>
      <c r="AN1013" s="698"/>
      <c r="AO1013" s="699"/>
      <c r="AP1013" s="698"/>
    </row>
    <row r="1014" spans="1:42" ht="14.85" customHeight="1" x14ac:dyDescent="0.25">
      <c r="A1014" s="611"/>
      <c r="B1014" s="614"/>
      <c r="C1014" s="617"/>
      <c r="D1014" s="620"/>
      <c r="E1014" s="130" t="s">
        <v>32</v>
      </c>
      <c r="F1014" s="592">
        <f>IFERROR(VLOOKUP($B1012,اسماء,25,0),0)</f>
        <v>0</v>
      </c>
      <c r="G1014" s="593"/>
      <c r="H1014" s="594">
        <f>IFERROR(VLOOKUP($B1012,اسماء,26,0),0)</f>
        <v>0</v>
      </c>
      <c r="I1014" s="595"/>
      <c r="J1014" s="592">
        <f>IFERROR(VLOOKUP($B1012,اسماء,27,0),0)</f>
        <v>0</v>
      </c>
      <c r="K1014" s="593"/>
      <c r="L1014" s="594">
        <f>IFERROR(VLOOKUP($B1012,اسماء,28,0),0)</f>
        <v>0</v>
      </c>
      <c r="M1014" s="596"/>
      <c r="N1014" s="594">
        <f>IFERROR(VLOOKUP($B1012,اسماء,29,0),0)</f>
        <v>0</v>
      </c>
      <c r="O1014" s="596"/>
      <c r="P1014" s="592">
        <f>IFERROR(VLOOKUP($B1012,اسماء,30,0),0)</f>
        <v>0</v>
      </c>
      <c r="Q1014" s="595"/>
      <c r="R1014" s="372">
        <f t="shared" si="2646"/>
        <v>0</v>
      </c>
      <c r="S1014" s="305" t="str">
        <f>IFERROR(VLOOKUP($B1012,اسماء,34,0),"")</f>
        <v/>
      </c>
      <c r="T1014" s="306" t="str">
        <f>IFERROR(VLOOKUP($B1012,اسماء,35,0),"")</f>
        <v/>
      </c>
      <c r="U1014" s="122" t="str">
        <f>IFERROR(VLOOKUP($B1012,اسماء,36,0),"")</f>
        <v/>
      </c>
      <c r="V1014" s="605"/>
      <c r="W1014" s="20" t="str">
        <f t="shared" ref="W1014" si="2757">LOOKUP(R1014,$AF$6:$AG$10)</f>
        <v>ضعيف</v>
      </c>
      <c r="X1014" s="640"/>
      <c r="Y1014" s="68"/>
      <c r="Z1014" s="598"/>
      <c r="AK1014" s="667"/>
      <c r="AL1014" s="667"/>
      <c r="AM1014" s="696"/>
      <c r="AN1014" s="698"/>
      <c r="AO1014" s="699"/>
      <c r="AP1014" s="698"/>
    </row>
    <row r="1015" spans="1:42" ht="14.85" customHeight="1" thickBot="1" x14ac:dyDescent="0.3">
      <c r="A1015" s="612"/>
      <c r="B1015" s="615"/>
      <c r="C1015" s="618"/>
      <c r="D1015" s="621"/>
      <c r="E1015" s="124" t="s">
        <v>33</v>
      </c>
      <c r="F1015" s="623">
        <f t="shared" ref="F1015" si="2758">SUM(F1012:G1014)</f>
        <v>0</v>
      </c>
      <c r="G1015" s="624"/>
      <c r="H1015" s="625">
        <f t="shared" ref="H1015" si="2759">SUM(H1012:I1014)</f>
        <v>0</v>
      </c>
      <c r="I1015" s="626"/>
      <c r="J1015" s="623">
        <f t="shared" ref="J1015" si="2760">SUM(J1012:K1014)</f>
        <v>0</v>
      </c>
      <c r="K1015" s="624"/>
      <c r="L1015" s="625">
        <f t="shared" ref="L1015" si="2761">SUM(L1012:M1014)</f>
        <v>0</v>
      </c>
      <c r="M1015" s="642"/>
      <c r="N1015" s="625">
        <f t="shared" ref="N1015" si="2762">SUM(N1012:O1014)</f>
        <v>0</v>
      </c>
      <c r="O1015" s="642"/>
      <c r="P1015" s="623">
        <f t="shared" ref="P1015" si="2763">SUM(P1012:Q1014)</f>
        <v>0</v>
      </c>
      <c r="Q1015" s="626"/>
      <c r="R1015" s="88">
        <f t="shared" ref="R1015" si="2764">IF(AND(F1015&gt;=$G$8,H1015&gt;=$I$8,J1015&gt;=$K$8,L1015&gt;=$M$8,N1015&gt;=$O$8,P1015&gt;=$Q$8),SUM(F1015:Q1015),0)</f>
        <v>0</v>
      </c>
      <c r="S1015" s="251"/>
      <c r="T1015" s="97"/>
      <c r="U1015" s="94"/>
      <c r="V1015" s="606"/>
      <c r="W1015" s="88" t="str">
        <f t="shared" ref="W1015" si="2765">LOOKUP(R1015,$AI$6:$AJ$10)</f>
        <v>ضعيف</v>
      </c>
      <c r="X1015" s="641"/>
      <c r="Y1015" s="68"/>
      <c r="Z1015" s="599"/>
      <c r="AK1015" s="667"/>
      <c r="AL1015" s="667"/>
      <c r="AM1015" s="696"/>
      <c r="AN1015" s="698"/>
      <c r="AO1015" s="699"/>
      <c r="AP1015" s="698"/>
    </row>
    <row r="1016" spans="1:42" ht="14.85" customHeight="1" thickBot="1" x14ac:dyDescent="0.3">
      <c r="F1016" s="71"/>
      <c r="G1016" s="72"/>
      <c r="H1016" s="71"/>
      <c r="I1016" s="72"/>
      <c r="J1016" s="71"/>
      <c r="K1016" s="72"/>
      <c r="L1016" s="71"/>
      <c r="M1016" s="72"/>
      <c r="N1016" s="71"/>
      <c r="O1016" s="72"/>
      <c r="P1016" s="71"/>
      <c r="Q1016" s="72"/>
      <c r="R1016" s="70"/>
      <c r="S1016" s="73"/>
      <c r="T1016" s="70"/>
      <c r="U1016" s="70"/>
      <c r="V1016" s="70"/>
      <c r="W1016" s="70"/>
      <c r="X1016" s="254"/>
      <c r="Y1016" s="68"/>
      <c r="AH1016" s="74"/>
    </row>
    <row r="1017" spans="1:42" customFormat="1" ht="14.85" customHeight="1" x14ac:dyDescent="0.3">
      <c r="A1017" s="668" t="s">
        <v>9</v>
      </c>
      <c r="B1017" s="669"/>
      <c r="C1017" s="670"/>
      <c r="D1017" s="277" t="s">
        <v>11</v>
      </c>
      <c r="E1017" s="674" t="s">
        <v>96</v>
      </c>
      <c r="F1017" s="663"/>
      <c r="G1017" s="663"/>
      <c r="H1017" s="663"/>
      <c r="I1017" s="663"/>
      <c r="J1017" s="7"/>
      <c r="K1017" s="7"/>
      <c r="L1017" s="7"/>
      <c r="M1017" s="7"/>
      <c r="N1017" s="7"/>
      <c r="O1017" s="7"/>
      <c r="P1017" s="7"/>
      <c r="Q1017" s="663" t="s">
        <v>156</v>
      </c>
      <c r="R1017" s="663"/>
      <c r="S1017" s="663"/>
      <c r="T1017" s="663"/>
      <c r="U1017" s="663"/>
      <c r="V1017" s="663"/>
      <c r="W1017" s="1"/>
      <c r="X1017" s="255"/>
      <c r="Z1017" s="75"/>
      <c r="AA1017" s="76"/>
      <c r="AB1017" s="76"/>
      <c r="AC1017" s="76"/>
      <c r="AD1017" s="76"/>
    </row>
    <row r="1018" spans="1:42" customFormat="1" ht="14.85" customHeight="1" x14ac:dyDescent="0.25">
      <c r="A1018" s="77" t="s">
        <v>8</v>
      </c>
      <c r="B1018" s="671">
        <f>ادخال1!$BJ$3</f>
        <v>0</v>
      </c>
      <c r="C1018" s="672"/>
      <c r="D1018" s="278"/>
      <c r="E1018" s="7" t="s">
        <v>9</v>
      </c>
      <c r="F1018" s="673" t="str">
        <f>ادخال1!$BJ$5</f>
        <v>د. عبدالرحمن خليفة العريبي</v>
      </c>
      <c r="G1018" s="673"/>
      <c r="H1018" s="673"/>
      <c r="I1018" s="673"/>
      <c r="J1018" s="673"/>
      <c r="K1018" s="673"/>
      <c r="L1018" s="673"/>
      <c r="M1018" s="673"/>
      <c r="N1018" s="673"/>
      <c r="O1018" s="673"/>
      <c r="P1018" s="7"/>
      <c r="Q1018" s="673" t="str">
        <f>ادخال1!$BJ$6</f>
        <v>تاجوراء</v>
      </c>
      <c r="R1018" s="673"/>
      <c r="S1018" s="673"/>
      <c r="T1018" s="673"/>
      <c r="U1018" s="673"/>
      <c r="V1018" s="673"/>
      <c r="W1018" s="673"/>
      <c r="X1018" s="63"/>
      <c r="Y1018" s="63"/>
      <c r="Z1018" s="75"/>
      <c r="AA1018" s="75"/>
      <c r="AB1018" s="75"/>
      <c r="AC1018" s="75"/>
    </row>
    <row r="1019" spans="1:42" customFormat="1" ht="14.85" customHeight="1" thickBot="1" x14ac:dyDescent="0.3">
      <c r="A1019" s="78" t="s">
        <v>97</v>
      </c>
      <c r="B1019" s="665">
        <f>ادخال1!$BJ$4</f>
        <v>0</v>
      </c>
      <c r="C1019" s="666"/>
      <c r="D1019" s="279"/>
      <c r="E1019" s="7" t="s">
        <v>11</v>
      </c>
      <c r="F1019" s="667"/>
      <c r="G1019" s="667"/>
      <c r="H1019" s="667"/>
      <c r="I1019" s="667"/>
      <c r="J1019" s="667"/>
      <c r="K1019" s="667"/>
      <c r="L1019" s="667"/>
      <c r="M1019" s="667"/>
      <c r="N1019" s="667"/>
      <c r="O1019" s="667"/>
      <c r="P1019" s="7"/>
      <c r="Q1019" s="7" t="s">
        <v>11</v>
      </c>
      <c r="R1019" s="1"/>
      <c r="S1019" s="1"/>
      <c r="T1019" s="1"/>
      <c r="U1019" s="1"/>
      <c r="V1019" s="1"/>
      <c r="W1019" s="1"/>
      <c r="X1019" s="255"/>
      <c r="Z1019" s="75"/>
      <c r="AA1019" s="75"/>
      <c r="AB1019" s="75"/>
      <c r="AC1019" s="75"/>
    </row>
    <row r="1020" spans="1:42" customFormat="1" ht="14.85" customHeight="1" x14ac:dyDescent="0.25">
      <c r="A1020" s="663" t="s">
        <v>98</v>
      </c>
      <c r="B1020" s="663"/>
      <c r="C1020" s="663"/>
      <c r="D1020" s="663"/>
      <c r="E1020" s="663" t="s">
        <v>99</v>
      </c>
      <c r="F1020" s="663"/>
      <c r="G1020" s="663"/>
      <c r="H1020" s="663"/>
      <c r="I1020" s="663"/>
      <c r="J1020" s="663"/>
      <c r="K1020" s="663"/>
      <c r="L1020" s="663"/>
      <c r="M1020" s="663"/>
      <c r="N1020" s="663"/>
      <c r="O1020" s="663"/>
      <c r="P1020" s="663"/>
      <c r="Q1020" s="663"/>
      <c r="R1020" s="7"/>
      <c r="S1020" s="664">
        <f ca="1">TODAY()</f>
        <v>46009</v>
      </c>
      <c r="T1020" s="664"/>
      <c r="U1020" s="664"/>
      <c r="V1020" s="664"/>
      <c r="W1020" s="664"/>
      <c r="X1020" s="255"/>
    </row>
    <row r="1021" spans="1:42" customFormat="1" ht="14.85" customHeight="1" thickBot="1" x14ac:dyDescent="0.3">
      <c r="A1021" s="7"/>
      <c r="B1021" s="663" t="s">
        <v>100</v>
      </c>
      <c r="C1021" s="663"/>
      <c r="D1021" s="663"/>
      <c r="E1021" s="663" t="s">
        <v>101</v>
      </c>
      <c r="F1021" s="663"/>
      <c r="G1021" s="663"/>
      <c r="H1021" s="663"/>
      <c r="I1021" s="663"/>
      <c r="J1021" s="663"/>
      <c r="K1021" s="663"/>
      <c r="L1021" s="663"/>
      <c r="M1021" s="663"/>
      <c r="N1021" s="663"/>
      <c r="O1021" s="663"/>
      <c r="P1021" s="663"/>
      <c r="Q1021" s="663"/>
      <c r="R1021" s="1"/>
      <c r="S1021" s="1"/>
      <c r="T1021" s="1"/>
      <c r="U1021" s="1"/>
      <c r="V1021" s="1"/>
      <c r="W1021" s="1"/>
      <c r="X1021" s="255"/>
    </row>
    <row r="1022" spans="1:42" ht="14.85" customHeight="1" thickBot="1" x14ac:dyDescent="0.3">
      <c r="A1022" s="610">
        <v>221</v>
      </c>
      <c r="B1022" s="613">
        <f>VLOOKUP(A1022,مسلسل,2,0)</f>
        <v>0</v>
      </c>
      <c r="C1022" s="616" t="str">
        <f>IFERROR(VLOOKUP(B1022,اسماء,2,0),"")</f>
        <v/>
      </c>
      <c r="D1022" s="619" t="str">
        <f>IFERROR(VLOOKUP($B1022,اسماء,3,0),"")</f>
        <v/>
      </c>
      <c r="E1022" s="129" t="s">
        <v>30</v>
      </c>
      <c r="F1022" s="600">
        <f>IFERROR(VLOOKUP($B1022,اسماء,5,0),0)</f>
        <v>0</v>
      </c>
      <c r="G1022" s="601"/>
      <c r="H1022" s="602">
        <f>IFERROR(VLOOKUP($B1022,اسماء,6,0),0)</f>
        <v>0</v>
      </c>
      <c r="I1022" s="622"/>
      <c r="J1022" s="600">
        <f>IFERROR(VLOOKUP($B1022,اسماء,7,0),0)</f>
        <v>0</v>
      </c>
      <c r="K1022" s="601"/>
      <c r="L1022" s="602">
        <f>IFERROR(VLOOKUP($B1022,اسماء,8,0),0)</f>
        <v>0</v>
      </c>
      <c r="M1022" s="603"/>
      <c r="N1022" s="602">
        <f>IFERROR(VLOOKUP($B1022,اسماء,9,0),0)</f>
        <v>0</v>
      </c>
      <c r="O1022" s="603"/>
      <c r="P1022" s="600">
        <f>IFERROR(VLOOKUP($B1022,اسماء,10,0),0)</f>
        <v>0</v>
      </c>
      <c r="Q1022" s="622"/>
      <c r="R1022" s="371">
        <f>SUM(F1022:Q1022)</f>
        <v>0</v>
      </c>
      <c r="S1022" s="325" t="str">
        <f>IFERROR(VLOOKUP($B1022,اسماء,12,0),"")</f>
        <v/>
      </c>
      <c r="T1022" s="326" t="str">
        <f>IFERROR(VLOOKUP($B1022,اسماء,13,0),"")</f>
        <v/>
      </c>
      <c r="U1022" s="92" t="str">
        <f>IFERROR(VLOOKUP($B1022,اسماء,14,0),"")</f>
        <v/>
      </c>
      <c r="V1022" s="604" t="str">
        <f t="shared" ref="V1022" si="2766">IF(Z1022="غائب","راسب",IF(R1025&gt;0,"ناجح","مرحل"))</f>
        <v>مرحل</v>
      </c>
      <c r="W1022" s="19" t="str">
        <f t="shared" ref="W1022:W1023" si="2767">LOOKUP(R1022,$AC$6:$AD$10)</f>
        <v>ضعيف</v>
      </c>
      <c r="X1022" s="639">
        <f t="shared" ref="X1022" si="2768">R1025/$AC$3</f>
        <v>0</v>
      </c>
      <c r="Y1022" s="8"/>
      <c r="Z1022" s="597" t="str">
        <f>IFERROR(VLOOKUP($B1022,اسماء,48,0),"")</f>
        <v/>
      </c>
      <c r="AK1022" s="671" t="str">
        <f>IF(R1025=0,"",R1025/1+ROW()*0.00001)</f>
        <v/>
      </c>
      <c r="AL1022" s="671">
        <f>B1022</f>
        <v>0</v>
      </c>
      <c r="AM1022" s="696"/>
      <c r="AN1022" s="698">
        <v>221</v>
      </c>
      <c r="AO1022" s="699" t="str">
        <f>IFERROR(LARGE($AK$10:$AK$1420,AN1022),"")</f>
        <v/>
      </c>
      <c r="AP1022" s="698" t="str">
        <f>VLOOKUP(AO1022,$AK$10:$AL$1530,2,0)</f>
        <v>امجد عمر عبداللطيف سلطان</v>
      </c>
    </row>
    <row r="1023" spans="1:42" ht="14.85" customHeight="1" x14ac:dyDescent="0.25">
      <c r="A1023" s="611"/>
      <c r="B1023" s="614"/>
      <c r="C1023" s="617"/>
      <c r="D1023" s="620"/>
      <c r="E1023" s="130" t="s">
        <v>31</v>
      </c>
      <c r="F1023" s="592">
        <f>IFERROR(VLOOKUP($B1022,اسماء,16,0),0)</f>
        <v>0</v>
      </c>
      <c r="G1023" s="593"/>
      <c r="H1023" s="594">
        <f>IFERROR(VLOOKUP($B1022,اسماء,17,0),0)</f>
        <v>0</v>
      </c>
      <c r="I1023" s="595"/>
      <c r="J1023" s="592">
        <f>IFERROR(VLOOKUP($B1022,اسماء,18,0),0)</f>
        <v>0</v>
      </c>
      <c r="K1023" s="593"/>
      <c r="L1023" s="594">
        <f>IFERROR(VLOOKUP($B1022,اسماء,19,0),0)</f>
        <v>0</v>
      </c>
      <c r="M1023" s="596"/>
      <c r="N1023" s="594">
        <f>IFERROR(VLOOKUP($B1022,اسماء,20,0),0)</f>
        <v>0</v>
      </c>
      <c r="O1023" s="596"/>
      <c r="P1023" s="592">
        <f>IFERROR(VLOOKUP($B1022,اسماء,21,0),0)</f>
        <v>0</v>
      </c>
      <c r="Q1023" s="595"/>
      <c r="R1023" s="372">
        <f t="shared" ref="R1023:R1024" si="2769">SUM(F1023:Q1023)</f>
        <v>0</v>
      </c>
      <c r="S1023" s="305" t="str">
        <f>IFERROR(VLOOKUP($B1022,اسماء,23,0),"")</f>
        <v/>
      </c>
      <c r="T1023" s="306" t="str">
        <f>IFERROR(VLOOKUP($B1022,اسماء,24,0),"")</f>
        <v/>
      </c>
      <c r="U1023" s="122" t="str">
        <f>IFERROR(VLOOKUP($B1022,اسماء,25,0),"")</f>
        <v/>
      </c>
      <c r="V1023" s="605"/>
      <c r="W1023" s="19" t="str">
        <f t="shared" si="2767"/>
        <v>ضعيف</v>
      </c>
      <c r="X1023" s="640"/>
      <c r="Y1023" s="68"/>
      <c r="Z1023" s="598"/>
      <c r="AK1023" s="671"/>
      <c r="AL1023" s="671"/>
      <c r="AM1023" s="696"/>
      <c r="AN1023" s="698"/>
      <c r="AO1023" s="699"/>
      <c r="AP1023" s="698"/>
    </row>
    <row r="1024" spans="1:42" ht="14.85" customHeight="1" x14ac:dyDescent="0.25">
      <c r="A1024" s="611"/>
      <c r="B1024" s="614"/>
      <c r="C1024" s="617"/>
      <c r="D1024" s="620"/>
      <c r="E1024" s="130" t="s">
        <v>32</v>
      </c>
      <c r="F1024" s="592">
        <f>IFERROR(VLOOKUP($B1022,اسماء,27,0),0)</f>
        <v>0</v>
      </c>
      <c r="G1024" s="593"/>
      <c r="H1024" s="594">
        <f>IFERROR(VLOOKUP($B1022,اسماء,28,0),0)</f>
        <v>0</v>
      </c>
      <c r="I1024" s="595"/>
      <c r="J1024" s="592">
        <f>IFERROR(VLOOKUP($B1022,اسماء,29,0),0)</f>
        <v>0</v>
      </c>
      <c r="K1024" s="593"/>
      <c r="L1024" s="594">
        <f>IFERROR(VLOOKUP($B1022,اسماء,30,0),0)</f>
        <v>0</v>
      </c>
      <c r="M1024" s="596"/>
      <c r="N1024" s="594">
        <f>IFERROR(VLOOKUP($B1022,اسماء,31,0),0)</f>
        <v>0</v>
      </c>
      <c r="O1024" s="596"/>
      <c r="P1024" s="592">
        <f>IFERROR(VLOOKUP($B1022,اسماء,32,0),0)</f>
        <v>0</v>
      </c>
      <c r="Q1024" s="595"/>
      <c r="R1024" s="372">
        <f t="shared" si="2769"/>
        <v>0</v>
      </c>
      <c r="S1024" s="305" t="str">
        <f>IFERROR(VLOOKUP($B1022,اسماء,34,0),"")</f>
        <v/>
      </c>
      <c r="T1024" s="306" t="str">
        <f>IFERROR(VLOOKUP($B1022,اسماء,35,0),"")</f>
        <v/>
      </c>
      <c r="U1024" s="122" t="str">
        <f>IFERROR(VLOOKUP($B1022,اسماء,36,0),"")</f>
        <v/>
      </c>
      <c r="V1024" s="605"/>
      <c r="W1024" s="20" t="str">
        <f t="shared" ref="W1024" si="2770">LOOKUP(R1024,$AF$6:$AG$10)</f>
        <v>ضعيف</v>
      </c>
      <c r="X1024" s="640"/>
      <c r="Y1024" s="68"/>
      <c r="Z1024" s="598"/>
      <c r="AK1024" s="671"/>
      <c r="AL1024" s="671"/>
      <c r="AM1024" s="696"/>
      <c r="AN1024" s="698"/>
      <c r="AO1024" s="699"/>
      <c r="AP1024" s="698"/>
    </row>
    <row r="1025" spans="1:42" ht="14.85" customHeight="1" thickBot="1" x14ac:dyDescent="0.3">
      <c r="A1025" s="612"/>
      <c r="B1025" s="615"/>
      <c r="C1025" s="618"/>
      <c r="D1025" s="621"/>
      <c r="E1025" s="124" t="s">
        <v>33</v>
      </c>
      <c r="F1025" s="623">
        <f>SUM(F1022:G1024)</f>
        <v>0</v>
      </c>
      <c r="G1025" s="624"/>
      <c r="H1025" s="625">
        <f>SUM(H1022:I1024)</f>
        <v>0</v>
      </c>
      <c r="I1025" s="626"/>
      <c r="J1025" s="623">
        <f>SUM(J1022:K1024)</f>
        <v>0</v>
      </c>
      <c r="K1025" s="624"/>
      <c r="L1025" s="625">
        <f>SUM(L1022:M1024)</f>
        <v>0</v>
      </c>
      <c r="M1025" s="642"/>
      <c r="N1025" s="625">
        <f>SUM(N1022:O1024)</f>
        <v>0</v>
      </c>
      <c r="O1025" s="642"/>
      <c r="P1025" s="623">
        <f>SUM(P1022:Q1024)</f>
        <v>0</v>
      </c>
      <c r="Q1025" s="626"/>
      <c r="R1025" s="88">
        <f>IF(AND(F1025&gt;=$G$8,H1025&gt;=$I$8,J1025&gt;=$K$8,L1025&gt;=$M$8,N1025&gt;=$O$8,P1025&gt;=$Q$8),SUM(F1025:Q1025),0)</f>
        <v>0</v>
      </c>
      <c r="S1025" s="251"/>
      <c r="T1025" s="97"/>
      <c r="U1025" s="94"/>
      <c r="V1025" s="606"/>
      <c r="W1025" s="88" t="str">
        <f t="shared" ref="W1025" si="2771">LOOKUP(R1025,$AI$6:$AJ$10)</f>
        <v>ضعيف</v>
      </c>
      <c r="X1025" s="641"/>
      <c r="Y1025" s="8"/>
      <c r="Z1025" s="599"/>
      <c r="AK1025" s="671"/>
      <c r="AL1025" s="671"/>
      <c r="AM1025" s="696"/>
      <c r="AN1025" s="698"/>
      <c r="AO1025" s="699"/>
      <c r="AP1025" s="698"/>
    </row>
    <row r="1026" spans="1:42" ht="14.85" customHeight="1" thickBot="1" x14ac:dyDescent="0.3">
      <c r="A1026" s="610">
        <v>222</v>
      </c>
      <c r="B1026" s="613">
        <f>VLOOKUP(A1026,مسلسل,2,0)</f>
        <v>0</v>
      </c>
      <c r="C1026" s="616" t="str">
        <f>IFERROR(VLOOKUP(B1026,اسماء,2,0),"")</f>
        <v/>
      </c>
      <c r="D1026" s="619" t="str">
        <f>IFERROR(VLOOKUP($B1026,اسماء,3,0),"")</f>
        <v/>
      </c>
      <c r="E1026" s="129" t="s">
        <v>30</v>
      </c>
      <c r="F1026" s="600">
        <f>IFERROR(VLOOKUP($B1026,اسماء,5,0),0)</f>
        <v>0</v>
      </c>
      <c r="G1026" s="601"/>
      <c r="H1026" s="602">
        <f>IFERROR(VLOOKUP($B1026,اسماء,6,0),0)</f>
        <v>0</v>
      </c>
      <c r="I1026" s="622"/>
      <c r="J1026" s="600">
        <f>IFERROR(VLOOKUP($B1026,اسماء,7,0),0)</f>
        <v>0</v>
      </c>
      <c r="K1026" s="601"/>
      <c r="L1026" s="602">
        <f>IFERROR(VLOOKUP($B1026,اسماء,8,0),0)</f>
        <v>0</v>
      </c>
      <c r="M1026" s="603"/>
      <c r="N1026" s="602">
        <f>IFERROR(VLOOKUP($B1026,اسماء,9,0),0)</f>
        <v>0</v>
      </c>
      <c r="O1026" s="603"/>
      <c r="P1026" s="600">
        <f>IFERROR(VLOOKUP($B1026,اسماء,10,0),0)</f>
        <v>0</v>
      </c>
      <c r="Q1026" s="622"/>
      <c r="R1026" s="371">
        <f t="shared" ref="R1026:R1060" si="2772">SUM(F1026:Q1026)</f>
        <v>0</v>
      </c>
      <c r="S1026" s="213" t="str">
        <f>IFERROR(VLOOKUP($B1026,اسماء,12,0),"")</f>
        <v/>
      </c>
      <c r="T1026" s="214" t="str">
        <f>IFERROR(VLOOKUP($B1026,اسماء,13,0),"")</f>
        <v/>
      </c>
      <c r="U1026" s="364" t="str">
        <f>IFERROR(VLOOKUP($B1026,اسماء,14,0),"")</f>
        <v/>
      </c>
      <c r="V1026" s="604" t="str">
        <f t="shared" ref="V1026" si="2773">IF(Z1026="غائب","راسب",IF(R1029&gt;0,"ناجح","مرحل"))</f>
        <v>مرحل</v>
      </c>
      <c r="W1026" s="19" t="str">
        <f t="shared" ref="W1026:W1027" si="2774">LOOKUP(R1026,$AC$6:$AD$10)</f>
        <v>ضعيف</v>
      </c>
      <c r="X1026" s="639">
        <f t="shared" ref="X1026" si="2775">R1029/$AC$3</f>
        <v>0</v>
      </c>
      <c r="Y1026" s="68"/>
      <c r="Z1026" s="597" t="str">
        <f>IFERROR(VLOOKUP($B1026,اسماء,48,0),"")</f>
        <v/>
      </c>
      <c r="AK1026" s="667" t="str">
        <f t="shared" ref="AK1026" si="2776">IF(R1029=0,"",R1029/1+ROW()*0.00001)</f>
        <v/>
      </c>
      <c r="AL1026" s="667">
        <f>B1026</f>
        <v>0</v>
      </c>
      <c r="AM1026" s="696"/>
      <c r="AN1026" s="698">
        <v>222</v>
      </c>
      <c r="AO1026" s="699" t="str">
        <f>IFERROR(LARGE($AK$10:$AK$1420,AN1026),"")</f>
        <v/>
      </c>
      <c r="AP1026" s="698" t="str">
        <f>VLOOKUP(AO1026,$AK$10:$AL$1530,2,0)</f>
        <v>امجد عمر عبداللطيف سلطان</v>
      </c>
    </row>
    <row r="1027" spans="1:42" ht="14.85" customHeight="1" x14ac:dyDescent="0.25">
      <c r="A1027" s="611"/>
      <c r="B1027" s="614"/>
      <c r="C1027" s="617"/>
      <c r="D1027" s="620"/>
      <c r="E1027" s="130" t="s">
        <v>31</v>
      </c>
      <c r="F1027" s="592">
        <f>IFERROR(VLOOKUP($B1026,اسماء,15,0),0)</f>
        <v>0</v>
      </c>
      <c r="G1027" s="593"/>
      <c r="H1027" s="594">
        <f>IFERROR(VLOOKUP($B1026,اسماء,16,0),0)</f>
        <v>0</v>
      </c>
      <c r="I1027" s="595"/>
      <c r="J1027" s="592">
        <f>IFERROR(VLOOKUP($B1026,اسماء,17,0),0)</f>
        <v>0</v>
      </c>
      <c r="K1027" s="593"/>
      <c r="L1027" s="594">
        <f>IFERROR(VLOOKUP($B1026,اسماء,18,0),0)</f>
        <v>0</v>
      </c>
      <c r="M1027" s="596"/>
      <c r="N1027" s="594">
        <f>IFERROR(VLOOKUP($B1026,اسماء,19,0),0)</f>
        <v>0</v>
      </c>
      <c r="O1027" s="596"/>
      <c r="P1027" s="592">
        <f>IFERROR(VLOOKUP($B1026,اسماء,20,0),0)</f>
        <v>0</v>
      </c>
      <c r="Q1027" s="595"/>
      <c r="R1027" s="372">
        <f t="shared" si="2772"/>
        <v>0</v>
      </c>
      <c r="S1027" s="305" t="str">
        <f>IFERROR(VLOOKUP($B1026,اسماء,23,0),"")</f>
        <v/>
      </c>
      <c r="T1027" s="306" t="str">
        <f>IFERROR(VLOOKUP($B1026,اسماء,24,0),"")</f>
        <v/>
      </c>
      <c r="U1027" s="122" t="str">
        <f>IFERROR(VLOOKUP($B1026,اسماء,25,0),"")</f>
        <v/>
      </c>
      <c r="V1027" s="605"/>
      <c r="W1027" s="19" t="str">
        <f t="shared" si="2774"/>
        <v>ضعيف</v>
      </c>
      <c r="X1027" s="640"/>
      <c r="Y1027" s="68"/>
      <c r="Z1027" s="598"/>
      <c r="AK1027" s="667"/>
      <c r="AL1027" s="667"/>
      <c r="AM1027" s="696"/>
      <c r="AN1027" s="698"/>
      <c r="AO1027" s="699"/>
      <c r="AP1027" s="698"/>
    </row>
    <row r="1028" spans="1:42" ht="14.85" customHeight="1" x14ac:dyDescent="0.25">
      <c r="A1028" s="611"/>
      <c r="B1028" s="614"/>
      <c r="C1028" s="617"/>
      <c r="D1028" s="620"/>
      <c r="E1028" s="130" t="s">
        <v>32</v>
      </c>
      <c r="F1028" s="592">
        <f>IFERROR(VLOOKUP($B1026,اسماء,25,0),0)</f>
        <v>0</v>
      </c>
      <c r="G1028" s="593"/>
      <c r="H1028" s="594">
        <f>IFERROR(VLOOKUP($B1026,اسماء,26,0),0)</f>
        <v>0</v>
      </c>
      <c r="I1028" s="595"/>
      <c r="J1028" s="592">
        <f>IFERROR(VLOOKUP($B1026,اسماء,27,0),0)</f>
        <v>0</v>
      </c>
      <c r="K1028" s="593"/>
      <c r="L1028" s="594">
        <f>IFERROR(VLOOKUP($B1026,اسماء,28,0),0)</f>
        <v>0</v>
      </c>
      <c r="M1028" s="596"/>
      <c r="N1028" s="594">
        <f>IFERROR(VLOOKUP($B1026,اسماء,29,0),0)</f>
        <v>0</v>
      </c>
      <c r="O1028" s="596"/>
      <c r="P1028" s="592">
        <f>IFERROR(VLOOKUP($B1026,اسماء,30,0),0)</f>
        <v>0</v>
      </c>
      <c r="Q1028" s="595"/>
      <c r="R1028" s="372">
        <f t="shared" si="2772"/>
        <v>0</v>
      </c>
      <c r="S1028" s="305" t="str">
        <f>IFERROR(VLOOKUP($B1026,اسماء,34,0),"")</f>
        <v/>
      </c>
      <c r="T1028" s="306" t="str">
        <f>IFERROR(VLOOKUP($B1026,اسماء,35,0),"")</f>
        <v/>
      </c>
      <c r="U1028" s="122" t="str">
        <f>IFERROR(VLOOKUP($B1026,اسماء,36,0),"")</f>
        <v/>
      </c>
      <c r="V1028" s="605"/>
      <c r="W1028" s="20" t="str">
        <f t="shared" ref="W1028" si="2777">LOOKUP(R1028,$AF$6:$AG$10)</f>
        <v>ضعيف</v>
      </c>
      <c r="X1028" s="640"/>
      <c r="Y1028" s="8"/>
      <c r="Z1028" s="598"/>
      <c r="AK1028" s="667"/>
      <c r="AL1028" s="667"/>
      <c r="AM1028" s="696"/>
      <c r="AN1028" s="698"/>
      <c r="AO1028" s="699"/>
      <c r="AP1028" s="698"/>
    </row>
    <row r="1029" spans="1:42" ht="14.85" customHeight="1" thickBot="1" x14ac:dyDescent="0.3">
      <c r="A1029" s="612"/>
      <c r="B1029" s="615"/>
      <c r="C1029" s="618"/>
      <c r="D1029" s="621"/>
      <c r="E1029" s="124" t="s">
        <v>33</v>
      </c>
      <c r="F1029" s="623">
        <f>SUM(F1026:G1028)</f>
        <v>0</v>
      </c>
      <c r="G1029" s="624"/>
      <c r="H1029" s="625">
        <f>SUM(H1026:I1028)</f>
        <v>0</v>
      </c>
      <c r="I1029" s="626"/>
      <c r="J1029" s="623">
        <f>SUM(J1026:K1028)</f>
        <v>0</v>
      </c>
      <c r="K1029" s="624"/>
      <c r="L1029" s="625">
        <f>SUM(L1026:M1028)</f>
        <v>0</v>
      </c>
      <c r="M1029" s="642"/>
      <c r="N1029" s="625">
        <f>SUM(N1026:O1028)</f>
        <v>0</v>
      </c>
      <c r="O1029" s="642"/>
      <c r="P1029" s="623">
        <f>SUM(P1026:Q1028)</f>
        <v>0</v>
      </c>
      <c r="Q1029" s="626"/>
      <c r="R1029" s="88">
        <f t="shared" ref="R1029" si="2778">IF(AND(F1029&gt;=$G$8,H1029&gt;=$I$8,J1029&gt;=$K$8,L1029&gt;=$M$8,N1029&gt;=$O$8,P1029&gt;=$Q$8),SUM(F1029:Q1029),0)</f>
        <v>0</v>
      </c>
      <c r="S1029" s="251"/>
      <c r="T1029" s="97"/>
      <c r="U1029" s="94"/>
      <c r="V1029" s="606"/>
      <c r="W1029" s="88" t="str">
        <f t="shared" ref="W1029" si="2779">LOOKUP(R1029,$AI$6:$AJ$10)</f>
        <v>ضعيف</v>
      </c>
      <c r="X1029" s="641"/>
      <c r="Y1029" s="68"/>
      <c r="Z1029" s="599"/>
      <c r="AK1029" s="667"/>
      <c r="AL1029" s="667"/>
      <c r="AM1029" s="696"/>
      <c r="AN1029" s="698"/>
      <c r="AO1029" s="699"/>
      <c r="AP1029" s="698"/>
    </row>
    <row r="1030" spans="1:42" ht="14.85" customHeight="1" thickBot="1" x14ac:dyDescent="0.3">
      <c r="A1030" s="610">
        <v>223</v>
      </c>
      <c r="B1030" s="613">
        <f>VLOOKUP(A1030,مسلسل,2,0)</f>
        <v>0</v>
      </c>
      <c r="C1030" s="616" t="str">
        <f>IFERROR(VLOOKUP(B1030,اسماء,2,0),"")</f>
        <v/>
      </c>
      <c r="D1030" s="619" t="str">
        <f>IFERROR(VLOOKUP($B1030,اسماء,3,0),"")</f>
        <v/>
      </c>
      <c r="E1030" s="129" t="s">
        <v>30</v>
      </c>
      <c r="F1030" s="600">
        <f>IFERROR(VLOOKUP($B1030,اسماء,5,0),0)</f>
        <v>0</v>
      </c>
      <c r="G1030" s="601"/>
      <c r="H1030" s="602">
        <f>IFERROR(VLOOKUP($B1030,اسماء,6,0),0)</f>
        <v>0</v>
      </c>
      <c r="I1030" s="622"/>
      <c r="J1030" s="600">
        <f>IFERROR(VLOOKUP($B1030,اسماء,7,0),0)</f>
        <v>0</v>
      </c>
      <c r="K1030" s="601"/>
      <c r="L1030" s="602">
        <f>IFERROR(VLOOKUP($B1030,اسماء,8,0),0)</f>
        <v>0</v>
      </c>
      <c r="M1030" s="603"/>
      <c r="N1030" s="602">
        <f>IFERROR(VLOOKUP($B1030,اسماء,9,0),0)</f>
        <v>0</v>
      </c>
      <c r="O1030" s="603"/>
      <c r="P1030" s="600">
        <f>IFERROR(VLOOKUP($B1030,اسماء,10,0),0)</f>
        <v>0</v>
      </c>
      <c r="Q1030" s="622"/>
      <c r="R1030" s="371">
        <f t="shared" ref="R1030" si="2780">SUM(F1030:Q1030)</f>
        <v>0</v>
      </c>
      <c r="S1030" s="213" t="str">
        <f>IFERROR(VLOOKUP($B1030,اسماء,12,0),"")</f>
        <v/>
      </c>
      <c r="T1030" s="214" t="str">
        <f>IFERROR(VLOOKUP($B1030,اسماء,13,0),"")</f>
        <v/>
      </c>
      <c r="U1030" s="364" t="str">
        <f>IFERROR(VLOOKUP($B1030,اسماء,14,0),"")</f>
        <v/>
      </c>
      <c r="V1030" s="604" t="str">
        <f t="shared" ref="V1030" si="2781">IF(Z1030="غائب","راسب",IF(R1033&gt;0,"ناجح","مرحل"))</f>
        <v>مرحل</v>
      </c>
      <c r="W1030" s="19" t="str">
        <f t="shared" ref="W1030:W1031" si="2782">LOOKUP(R1030,$AC$6:$AD$10)</f>
        <v>ضعيف</v>
      </c>
      <c r="X1030" s="639">
        <f t="shared" ref="X1030" si="2783">R1033/$AC$3</f>
        <v>0</v>
      </c>
      <c r="Y1030" s="68"/>
      <c r="Z1030" s="597" t="str">
        <f>IFERROR(VLOOKUP($B1030,اسماء,48,0),"")</f>
        <v/>
      </c>
      <c r="AK1030" s="667" t="str">
        <f t="shared" ref="AK1030" si="2784">IF(R1033=0,"",R1033/1+ROW()*0.00001)</f>
        <v/>
      </c>
      <c r="AL1030" s="667">
        <f>B1030</f>
        <v>0</v>
      </c>
      <c r="AM1030" s="696"/>
      <c r="AN1030" s="698">
        <v>223</v>
      </c>
      <c r="AO1030" s="699" t="str">
        <f>IFERROR(LARGE($AK$10:$AK$1420,AN1030),"")</f>
        <v/>
      </c>
      <c r="AP1030" s="698" t="str">
        <f>VLOOKUP(AO1030,$AK$10:$AL$1530,2,0)</f>
        <v>امجد عمر عبداللطيف سلطان</v>
      </c>
    </row>
    <row r="1031" spans="1:42" ht="14.85" customHeight="1" x14ac:dyDescent="0.25">
      <c r="A1031" s="611"/>
      <c r="B1031" s="614"/>
      <c r="C1031" s="617"/>
      <c r="D1031" s="620"/>
      <c r="E1031" s="130" t="s">
        <v>31</v>
      </c>
      <c r="F1031" s="592">
        <f>IFERROR(VLOOKUP($B1030,اسماء,15,0),0)</f>
        <v>0</v>
      </c>
      <c r="G1031" s="593"/>
      <c r="H1031" s="594">
        <f>IFERROR(VLOOKUP($B1030,اسماء,16,0),0)</f>
        <v>0</v>
      </c>
      <c r="I1031" s="595"/>
      <c r="J1031" s="592">
        <f>IFERROR(VLOOKUP($B1030,اسماء,17,0),0)</f>
        <v>0</v>
      </c>
      <c r="K1031" s="593"/>
      <c r="L1031" s="594">
        <f>IFERROR(VLOOKUP($B1030,اسماء,18,0),0)</f>
        <v>0</v>
      </c>
      <c r="M1031" s="596"/>
      <c r="N1031" s="594">
        <f>IFERROR(VLOOKUP($B1030,اسماء,19,0),0)</f>
        <v>0</v>
      </c>
      <c r="O1031" s="596"/>
      <c r="P1031" s="592">
        <f>IFERROR(VLOOKUP($B1030,اسماء,20,0),0)</f>
        <v>0</v>
      </c>
      <c r="Q1031" s="595"/>
      <c r="R1031" s="372">
        <f t="shared" si="2772"/>
        <v>0</v>
      </c>
      <c r="S1031" s="305" t="str">
        <f>IFERROR(VLOOKUP($B1030,اسماء,23,0),"")</f>
        <v/>
      </c>
      <c r="T1031" s="306" t="str">
        <f>IFERROR(VLOOKUP($B1030,اسماء,24,0),"")</f>
        <v/>
      </c>
      <c r="U1031" s="122" t="str">
        <f>IFERROR(VLOOKUP($B1030,اسماء,25,0),"")</f>
        <v/>
      </c>
      <c r="V1031" s="605"/>
      <c r="W1031" s="19" t="str">
        <f t="shared" si="2782"/>
        <v>ضعيف</v>
      </c>
      <c r="X1031" s="640"/>
      <c r="Y1031" s="8"/>
      <c r="Z1031" s="598"/>
      <c r="AK1031" s="667"/>
      <c r="AL1031" s="667"/>
      <c r="AM1031" s="696"/>
      <c r="AN1031" s="698"/>
      <c r="AO1031" s="699"/>
      <c r="AP1031" s="698"/>
    </row>
    <row r="1032" spans="1:42" ht="14.85" customHeight="1" x14ac:dyDescent="0.25">
      <c r="A1032" s="611"/>
      <c r="B1032" s="614"/>
      <c r="C1032" s="617"/>
      <c r="D1032" s="620"/>
      <c r="E1032" s="130" t="s">
        <v>32</v>
      </c>
      <c r="F1032" s="592">
        <f>IFERROR(VLOOKUP($B1030,اسماء,25,0),0)</f>
        <v>0</v>
      </c>
      <c r="G1032" s="593"/>
      <c r="H1032" s="594">
        <f>IFERROR(VLOOKUP($B1030,اسماء,26,0),0)</f>
        <v>0</v>
      </c>
      <c r="I1032" s="595"/>
      <c r="J1032" s="592">
        <f>IFERROR(VLOOKUP($B1030,اسماء,27,0),0)</f>
        <v>0</v>
      </c>
      <c r="K1032" s="593"/>
      <c r="L1032" s="594">
        <f>IFERROR(VLOOKUP($B1030,اسماء,28,0),0)</f>
        <v>0</v>
      </c>
      <c r="M1032" s="596"/>
      <c r="N1032" s="594">
        <f>IFERROR(VLOOKUP($B1030,اسماء,29,0),0)</f>
        <v>0</v>
      </c>
      <c r="O1032" s="596"/>
      <c r="P1032" s="592">
        <f>IFERROR(VLOOKUP($B1030,اسماء,30,0),0)</f>
        <v>0</v>
      </c>
      <c r="Q1032" s="595"/>
      <c r="R1032" s="372">
        <f t="shared" si="2772"/>
        <v>0</v>
      </c>
      <c r="S1032" s="305" t="str">
        <f>IFERROR(VLOOKUP($B1030,اسماء,34,0),"")</f>
        <v/>
      </c>
      <c r="T1032" s="306" t="str">
        <f>IFERROR(VLOOKUP($B1030,اسماء,35,0),"")</f>
        <v/>
      </c>
      <c r="U1032" s="122" t="str">
        <f>IFERROR(VLOOKUP($B1030,اسماء,36,0),"")</f>
        <v/>
      </c>
      <c r="V1032" s="605"/>
      <c r="W1032" s="20" t="str">
        <f t="shared" ref="W1032" si="2785">LOOKUP(R1032,$AF$6:$AG$10)</f>
        <v>ضعيف</v>
      </c>
      <c r="X1032" s="640"/>
      <c r="Y1032" s="68"/>
      <c r="Z1032" s="598"/>
      <c r="AK1032" s="667"/>
      <c r="AL1032" s="667"/>
      <c r="AM1032" s="696"/>
      <c r="AN1032" s="698"/>
      <c r="AO1032" s="699"/>
      <c r="AP1032" s="698"/>
    </row>
    <row r="1033" spans="1:42" ht="14.85" customHeight="1" thickBot="1" x14ac:dyDescent="0.3">
      <c r="A1033" s="612"/>
      <c r="B1033" s="615"/>
      <c r="C1033" s="618"/>
      <c r="D1033" s="621"/>
      <c r="E1033" s="124" t="s">
        <v>33</v>
      </c>
      <c r="F1033" s="623">
        <f t="shared" ref="F1033" si="2786">SUM(F1030:G1032)</f>
        <v>0</v>
      </c>
      <c r="G1033" s="624"/>
      <c r="H1033" s="625">
        <f t="shared" ref="H1033" si="2787">SUM(H1030:I1032)</f>
        <v>0</v>
      </c>
      <c r="I1033" s="626"/>
      <c r="J1033" s="623">
        <f t="shared" ref="J1033" si="2788">SUM(J1030:K1032)</f>
        <v>0</v>
      </c>
      <c r="K1033" s="624"/>
      <c r="L1033" s="625">
        <f t="shared" ref="L1033" si="2789">SUM(L1030:M1032)</f>
        <v>0</v>
      </c>
      <c r="M1033" s="642"/>
      <c r="N1033" s="625">
        <f t="shared" ref="N1033" si="2790">SUM(N1030:O1032)</f>
        <v>0</v>
      </c>
      <c r="O1033" s="642"/>
      <c r="P1033" s="623">
        <f t="shared" ref="P1033" si="2791">SUM(P1030:Q1032)</f>
        <v>0</v>
      </c>
      <c r="Q1033" s="626"/>
      <c r="R1033" s="88">
        <f t="shared" ref="R1033" si="2792">IF(AND(F1033&gt;=$G$8,H1033&gt;=$I$8,J1033&gt;=$K$8,L1033&gt;=$M$8,N1033&gt;=$O$8,P1033&gt;=$Q$8),SUM(F1033:Q1033),0)</f>
        <v>0</v>
      </c>
      <c r="S1033" s="251"/>
      <c r="T1033" s="97"/>
      <c r="U1033" s="94"/>
      <c r="V1033" s="606"/>
      <c r="W1033" s="88" t="str">
        <f t="shared" ref="W1033" si="2793">LOOKUP(R1033,$AI$6:$AJ$10)</f>
        <v>ضعيف</v>
      </c>
      <c r="X1033" s="641"/>
      <c r="Y1033" s="68"/>
      <c r="Z1033" s="599"/>
      <c r="AK1033" s="667"/>
      <c r="AL1033" s="667"/>
      <c r="AM1033" s="696"/>
      <c r="AN1033" s="698"/>
      <c r="AO1033" s="699"/>
      <c r="AP1033" s="698"/>
    </row>
    <row r="1034" spans="1:42" ht="14.85" customHeight="1" thickBot="1" x14ac:dyDescent="0.3">
      <c r="A1034" s="610">
        <v>224</v>
      </c>
      <c r="B1034" s="613">
        <f>VLOOKUP(A1034,مسلسل,2,0)</f>
        <v>0</v>
      </c>
      <c r="C1034" s="616" t="str">
        <f>IFERROR(VLOOKUP(B1034,اسماء,2,0),"")</f>
        <v/>
      </c>
      <c r="D1034" s="619" t="str">
        <f>IFERROR(VLOOKUP($B1034,اسماء,3,0),"")</f>
        <v/>
      </c>
      <c r="E1034" s="129" t="s">
        <v>30</v>
      </c>
      <c r="F1034" s="600">
        <f>IFERROR(VLOOKUP($B1034,اسماء,5,0),0)</f>
        <v>0</v>
      </c>
      <c r="G1034" s="601"/>
      <c r="H1034" s="602">
        <f>IFERROR(VLOOKUP($B1034,اسماء,6,0),0)</f>
        <v>0</v>
      </c>
      <c r="I1034" s="622"/>
      <c r="J1034" s="600">
        <f>IFERROR(VLOOKUP($B1034,اسماء,7,0),0)</f>
        <v>0</v>
      </c>
      <c r="K1034" s="601"/>
      <c r="L1034" s="602">
        <f>IFERROR(VLOOKUP($B1034,اسماء,8,0),0)</f>
        <v>0</v>
      </c>
      <c r="M1034" s="603"/>
      <c r="N1034" s="602">
        <f>IFERROR(VLOOKUP($B1034,اسماء,9,0),0)</f>
        <v>0</v>
      </c>
      <c r="O1034" s="603"/>
      <c r="P1034" s="600">
        <f>IFERROR(VLOOKUP($B1034,اسماء,10,0),0)</f>
        <v>0</v>
      </c>
      <c r="Q1034" s="622"/>
      <c r="R1034" s="371">
        <f t="shared" ref="R1034" si="2794">SUM(F1034:Q1034)</f>
        <v>0</v>
      </c>
      <c r="S1034" s="213" t="str">
        <f>IFERROR(VLOOKUP($B1034,اسماء,12,0),"")</f>
        <v/>
      </c>
      <c r="T1034" s="214" t="str">
        <f>IFERROR(VLOOKUP($B1034,اسماء,13,0),"")</f>
        <v/>
      </c>
      <c r="U1034" s="364" t="str">
        <f>IFERROR(VLOOKUP($B1034,اسماء,14,0),"")</f>
        <v/>
      </c>
      <c r="V1034" s="604" t="str">
        <f t="shared" ref="V1034" si="2795">IF(Z1034="غائب","راسب",IF(R1037&gt;0,"ناجح","مرحل"))</f>
        <v>مرحل</v>
      </c>
      <c r="W1034" s="19" t="str">
        <f t="shared" ref="W1034:W1035" si="2796">LOOKUP(R1034,$AC$6:$AD$10)</f>
        <v>ضعيف</v>
      </c>
      <c r="X1034" s="639">
        <f t="shared" ref="X1034" si="2797">R1037/$AC$3</f>
        <v>0</v>
      </c>
      <c r="Y1034" s="8"/>
      <c r="Z1034" s="597" t="str">
        <f>IFERROR(VLOOKUP($B1034,اسماء,48,0),"")</f>
        <v/>
      </c>
      <c r="AK1034" s="667" t="str">
        <f t="shared" ref="AK1034" si="2798">IF(R1037=0,"",R1037/1+ROW()*0.00001)</f>
        <v/>
      </c>
      <c r="AL1034" s="667">
        <f>B1034</f>
        <v>0</v>
      </c>
      <c r="AM1034" s="696"/>
      <c r="AN1034" s="698">
        <v>224</v>
      </c>
      <c r="AO1034" s="699" t="str">
        <f>IFERROR(LARGE($AK$10:$AK$1420,AN1034),"")</f>
        <v/>
      </c>
      <c r="AP1034" s="698" t="str">
        <f>VLOOKUP(AO1034,$AK$10:$AL$1530,2,0)</f>
        <v>امجد عمر عبداللطيف سلطان</v>
      </c>
    </row>
    <row r="1035" spans="1:42" ht="14.85" customHeight="1" x14ac:dyDescent="0.25">
      <c r="A1035" s="611"/>
      <c r="B1035" s="614"/>
      <c r="C1035" s="617"/>
      <c r="D1035" s="620"/>
      <c r="E1035" s="130" t="s">
        <v>31</v>
      </c>
      <c r="F1035" s="592">
        <f>IFERROR(VLOOKUP($B1034,اسماء,15,0),0)</f>
        <v>0</v>
      </c>
      <c r="G1035" s="593"/>
      <c r="H1035" s="594">
        <f>IFERROR(VLOOKUP($B1034,اسماء,16,0),0)</f>
        <v>0</v>
      </c>
      <c r="I1035" s="595"/>
      <c r="J1035" s="592">
        <f>IFERROR(VLOOKUP($B1034,اسماء,17,0),0)</f>
        <v>0</v>
      </c>
      <c r="K1035" s="593"/>
      <c r="L1035" s="594">
        <f>IFERROR(VLOOKUP($B1034,اسماء,18,0),0)</f>
        <v>0</v>
      </c>
      <c r="M1035" s="596"/>
      <c r="N1035" s="594">
        <f>IFERROR(VLOOKUP($B1034,اسماء,19,0),0)</f>
        <v>0</v>
      </c>
      <c r="O1035" s="596"/>
      <c r="P1035" s="592">
        <f>IFERROR(VLOOKUP($B1034,اسماء,20,0),0)</f>
        <v>0</v>
      </c>
      <c r="Q1035" s="595"/>
      <c r="R1035" s="372">
        <f t="shared" si="2772"/>
        <v>0</v>
      </c>
      <c r="S1035" s="305" t="str">
        <f>IFERROR(VLOOKUP($B1034,اسماء,23,0),"")</f>
        <v/>
      </c>
      <c r="T1035" s="306" t="str">
        <f>IFERROR(VLOOKUP($B1034,اسماء,24,0),"")</f>
        <v/>
      </c>
      <c r="U1035" s="122" t="str">
        <f>IFERROR(VLOOKUP($B1034,اسماء,25,0),"")</f>
        <v/>
      </c>
      <c r="V1035" s="605"/>
      <c r="W1035" s="19" t="str">
        <f t="shared" si="2796"/>
        <v>ضعيف</v>
      </c>
      <c r="X1035" s="640"/>
      <c r="Y1035" s="68"/>
      <c r="Z1035" s="598"/>
      <c r="AK1035" s="667"/>
      <c r="AL1035" s="667"/>
      <c r="AM1035" s="696"/>
      <c r="AN1035" s="698"/>
      <c r="AO1035" s="699"/>
      <c r="AP1035" s="698"/>
    </row>
    <row r="1036" spans="1:42" ht="14.85" customHeight="1" x14ac:dyDescent="0.25">
      <c r="A1036" s="611"/>
      <c r="B1036" s="614"/>
      <c r="C1036" s="617"/>
      <c r="D1036" s="620"/>
      <c r="E1036" s="130" t="s">
        <v>32</v>
      </c>
      <c r="F1036" s="592">
        <f>IFERROR(VLOOKUP($B1034,اسماء,25,0),0)</f>
        <v>0</v>
      </c>
      <c r="G1036" s="593"/>
      <c r="H1036" s="594">
        <f>IFERROR(VLOOKUP($B1034,اسماء,26,0),0)</f>
        <v>0</v>
      </c>
      <c r="I1036" s="595"/>
      <c r="J1036" s="592">
        <f>IFERROR(VLOOKUP($B1034,اسماء,27,0),0)</f>
        <v>0</v>
      </c>
      <c r="K1036" s="593"/>
      <c r="L1036" s="594">
        <f>IFERROR(VLOOKUP($B1034,اسماء,28,0),0)</f>
        <v>0</v>
      </c>
      <c r="M1036" s="596"/>
      <c r="N1036" s="594">
        <f>IFERROR(VLOOKUP($B1034,اسماء,29,0),0)</f>
        <v>0</v>
      </c>
      <c r="O1036" s="596"/>
      <c r="P1036" s="592">
        <f>IFERROR(VLOOKUP($B1034,اسماء,30,0),0)</f>
        <v>0</v>
      </c>
      <c r="Q1036" s="595"/>
      <c r="R1036" s="372">
        <f t="shared" si="2772"/>
        <v>0</v>
      </c>
      <c r="S1036" s="305" t="str">
        <f>IFERROR(VLOOKUP($B1034,اسماء,34,0),"")</f>
        <v/>
      </c>
      <c r="T1036" s="306" t="str">
        <f>IFERROR(VLOOKUP($B1034,اسماء,35,0),"")</f>
        <v/>
      </c>
      <c r="U1036" s="122" t="str">
        <f>IFERROR(VLOOKUP($B1034,اسماء,36,0),"")</f>
        <v/>
      </c>
      <c r="V1036" s="605"/>
      <c r="W1036" s="20" t="str">
        <f t="shared" ref="W1036" si="2799">LOOKUP(R1036,$AF$6:$AG$10)</f>
        <v>ضعيف</v>
      </c>
      <c r="X1036" s="640"/>
      <c r="Y1036" s="68"/>
      <c r="Z1036" s="598"/>
      <c r="AK1036" s="667"/>
      <c r="AL1036" s="667"/>
      <c r="AM1036" s="696"/>
      <c r="AN1036" s="698"/>
      <c r="AO1036" s="699"/>
      <c r="AP1036" s="698"/>
    </row>
    <row r="1037" spans="1:42" ht="14.85" customHeight="1" thickBot="1" x14ac:dyDescent="0.3">
      <c r="A1037" s="612"/>
      <c r="B1037" s="615"/>
      <c r="C1037" s="618"/>
      <c r="D1037" s="621"/>
      <c r="E1037" s="124" t="s">
        <v>33</v>
      </c>
      <c r="F1037" s="623">
        <f t="shared" ref="F1037" si="2800">SUM(F1034:G1036)</f>
        <v>0</v>
      </c>
      <c r="G1037" s="624"/>
      <c r="H1037" s="625">
        <f t="shared" ref="H1037" si="2801">SUM(H1034:I1036)</f>
        <v>0</v>
      </c>
      <c r="I1037" s="626"/>
      <c r="J1037" s="623">
        <f t="shared" ref="J1037" si="2802">SUM(J1034:K1036)</f>
        <v>0</v>
      </c>
      <c r="K1037" s="624"/>
      <c r="L1037" s="625">
        <f t="shared" ref="L1037" si="2803">SUM(L1034:M1036)</f>
        <v>0</v>
      </c>
      <c r="M1037" s="642"/>
      <c r="N1037" s="625">
        <f t="shared" ref="N1037" si="2804">SUM(N1034:O1036)</f>
        <v>0</v>
      </c>
      <c r="O1037" s="642"/>
      <c r="P1037" s="623">
        <f t="shared" ref="P1037" si="2805">SUM(P1034:Q1036)</f>
        <v>0</v>
      </c>
      <c r="Q1037" s="626"/>
      <c r="R1037" s="88">
        <f t="shared" ref="R1037" si="2806">IF(AND(F1037&gt;=$G$8,H1037&gt;=$I$8,J1037&gt;=$K$8,L1037&gt;=$M$8,N1037&gt;=$O$8,P1037&gt;=$Q$8),SUM(F1037:Q1037),0)</f>
        <v>0</v>
      </c>
      <c r="S1037" s="251"/>
      <c r="T1037" s="97"/>
      <c r="U1037" s="94"/>
      <c r="V1037" s="606"/>
      <c r="W1037" s="88" t="str">
        <f t="shared" ref="W1037" si="2807">LOOKUP(R1037,$AI$6:$AJ$10)</f>
        <v>ضعيف</v>
      </c>
      <c r="X1037" s="641"/>
      <c r="Y1037" s="8"/>
      <c r="Z1037" s="599"/>
      <c r="AK1037" s="667"/>
      <c r="AL1037" s="667"/>
      <c r="AM1037" s="696"/>
      <c r="AN1037" s="698"/>
      <c r="AO1037" s="699"/>
      <c r="AP1037" s="698"/>
    </row>
    <row r="1038" spans="1:42" ht="14.85" customHeight="1" thickBot="1" x14ac:dyDescent="0.3">
      <c r="A1038" s="610">
        <v>225</v>
      </c>
      <c r="B1038" s="613">
        <f>VLOOKUP(A1038,مسلسل,2,0)</f>
        <v>0</v>
      </c>
      <c r="C1038" s="616" t="str">
        <f>IFERROR(VLOOKUP(B1038,اسماء,2,0),"")</f>
        <v/>
      </c>
      <c r="D1038" s="619" t="str">
        <f>IFERROR(VLOOKUP($B1038,اسماء,3,0),"")</f>
        <v/>
      </c>
      <c r="E1038" s="129" t="s">
        <v>30</v>
      </c>
      <c r="F1038" s="600">
        <f>IFERROR(VLOOKUP($B1038,اسماء,5,0),0)</f>
        <v>0</v>
      </c>
      <c r="G1038" s="601"/>
      <c r="H1038" s="602">
        <f>IFERROR(VLOOKUP($B1038,اسماء,6,0),0)</f>
        <v>0</v>
      </c>
      <c r="I1038" s="622"/>
      <c r="J1038" s="600">
        <f>IFERROR(VLOOKUP($B1038,اسماء,7,0),0)</f>
        <v>0</v>
      </c>
      <c r="K1038" s="601"/>
      <c r="L1038" s="602">
        <f>IFERROR(VLOOKUP($B1038,اسماء,8,0),0)</f>
        <v>0</v>
      </c>
      <c r="M1038" s="603"/>
      <c r="N1038" s="602">
        <f>IFERROR(VLOOKUP($B1038,اسماء,9,0),0)</f>
        <v>0</v>
      </c>
      <c r="O1038" s="603"/>
      <c r="P1038" s="600">
        <f>IFERROR(VLOOKUP($B1038,اسماء,10,0),0)</f>
        <v>0</v>
      </c>
      <c r="Q1038" s="622"/>
      <c r="R1038" s="371">
        <f t="shared" ref="R1038" si="2808">SUM(F1038:Q1038)</f>
        <v>0</v>
      </c>
      <c r="S1038" s="213" t="str">
        <f>IFERROR(VLOOKUP($B1038,اسماء,12,0),"")</f>
        <v/>
      </c>
      <c r="T1038" s="214" t="str">
        <f>IFERROR(VLOOKUP($B1038,اسماء,13,0),"")</f>
        <v/>
      </c>
      <c r="U1038" s="364" t="str">
        <f>IFERROR(VLOOKUP($B1038,اسماء,14,0),"")</f>
        <v/>
      </c>
      <c r="V1038" s="604" t="str">
        <f t="shared" ref="V1038" si="2809">IF(Z1038="غائب","راسب",IF(R1041&gt;0,"ناجح","مرحل"))</f>
        <v>مرحل</v>
      </c>
      <c r="W1038" s="19" t="str">
        <f t="shared" ref="W1038:W1039" si="2810">LOOKUP(R1038,$AC$6:$AD$10)</f>
        <v>ضعيف</v>
      </c>
      <c r="X1038" s="639">
        <f t="shared" ref="X1038" si="2811">R1041/$AC$3</f>
        <v>0</v>
      </c>
      <c r="Y1038" s="68"/>
      <c r="Z1038" s="597" t="str">
        <f>IFERROR(VLOOKUP($B1038,اسماء,48,0),"")</f>
        <v/>
      </c>
      <c r="AK1038" s="667" t="str">
        <f t="shared" ref="AK1038" si="2812">IF(R1041=0,"",R1041/1+ROW()*0.00001)</f>
        <v/>
      </c>
      <c r="AL1038" s="667">
        <f>B1038</f>
        <v>0</v>
      </c>
      <c r="AM1038" s="696"/>
      <c r="AN1038" s="698">
        <v>225</v>
      </c>
      <c r="AO1038" s="699" t="str">
        <f>IFERROR(LARGE($AK$10:$AK$1420,AN1038),"")</f>
        <v/>
      </c>
      <c r="AP1038" s="698" t="str">
        <f>VLOOKUP(AO1038,$AK$10:$AL$1530,2,0)</f>
        <v>امجد عمر عبداللطيف سلطان</v>
      </c>
    </row>
    <row r="1039" spans="1:42" ht="14.85" customHeight="1" x14ac:dyDescent="0.25">
      <c r="A1039" s="611"/>
      <c r="B1039" s="614"/>
      <c r="C1039" s="617"/>
      <c r="D1039" s="620"/>
      <c r="E1039" s="130" t="s">
        <v>31</v>
      </c>
      <c r="F1039" s="592">
        <f>IFERROR(VLOOKUP($B1038,اسماء,15,0),0)</f>
        <v>0</v>
      </c>
      <c r="G1039" s="593"/>
      <c r="H1039" s="594">
        <f>IFERROR(VLOOKUP($B1038,اسماء,16,0),0)</f>
        <v>0</v>
      </c>
      <c r="I1039" s="595"/>
      <c r="J1039" s="592">
        <f>IFERROR(VLOOKUP($B1038,اسماء,17,0),0)</f>
        <v>0</v>
      </c>
      <c r="K1039" s="593"/>
      <c r="L1039" s="594">
        <f>IFERROR(VLOOKUP($B1038,اسماء,18,0),0)</f>
        <v>0</v>
      </c>
      <c r="M1039" s="596"/>
      <c r="N1039" s="594">
        <f>IFERROR(VLOOKUP($B1038,اسماء,19,0),0)</f>
        <v>0</v>
      </c>
      <c r="O1039" s="596"/>
      <c r="P1039" s="592">
        <f>IFERROR(VLOOKUP($B1038,اسماء,20,0),0)</f>
        <v>0</v>
      </c>
      <c r="Q1039" s="595"/>
      <c r="R1039" s="372">
        <f t="shared" si="2772"/>
        <v>0</v>
      </c>
      <c r="S1039" s="305" t="str">
        <f>IFERROR(VLOOKUP($B1038,اسماء,23,0),"")</f>
        <v/>
      </c>
      <c r="T1039" s="306" t="str">
        <f>IFERROR(VLOOKUP($B1038,اسماء,24,0),"")</f>
        <v/>
      </c>
      <c r="U1039" s="122" t="str">
        <f>IFERROR(VLOOKUP($B1038,اسماء,25,0),"")</f>
        <v/>
      </c>
      <c r="V1039" s="605"/>
      <c r="W1039" s="19" t="str">
        <f t="shared" si="2810"/>
        <v>ضعيف</v>
      </c>
      <c r="X1039" s="640"/>
      <c r="Y1039" s="68"/>
      <c r="Z1039" s="598"/>
      <c r="AK1039" s="667"/>
      <c r="AL1039" s="667"/>
      <c r="AM1039" s="696"/>
      <c r="AN1039" s="698"/>
      <c r="AO1039" s="699"/>
      <c r="AP1039" s="698"/>
    </row>
    <row r="1040" spans="1:42" ht="14.85" customHeight="1" x14ac:dyDescent="0.25">
      <c r="A1040" s="611"/>
      <c r="B1040" s="614"/>
      <c r="C1040" s="617"/>
      <c r="D1040" s="620"/>
      <c r="E1040" s="130" t="s">
        <v>32</v>
      </c>
      <c r="F1040" s="592">
        <f>IFERROR(VLOOKUP($B1038,اسماء,25,0),0)</f>
        <v>0</v>
      </c>
      <c r="G1040" s="593"/>
      <c r="H1040" s="594">
        <f>IFERROR(VLOOKUP($B1038,اسماء,26,0),0)</f>
        <v>0</v>
      </c>
      <c r="I1040" s="595"/>
      <c r="J1040" s="592">
        <f>IFERROR(VLOOKUP($B1038,اسماء,27,0),0)</f>
        <v>0</v>
      </c>
      <c r="K1040" s="593"/>
      <c r="L1040" s="594">
        <f>IFERROR(VLOOKUP($B1038,اسماء,28,0),0)</f>
        <v>0</v>
      </c>
      <c r="M1040" s="596"/>
      <c r="N1040" s="594">
        <f>IFERROR(VLOOKUP($B1038,اسماء,29,0),0)</f>
        <v>0</v>
      </c>
      <c r="O1040" s="596"/>
      <c r="P1040" s="592">
        <f>IFERROR(VLOOKUP($B1038,اسماء,30,0),0)</f>
        <v>0</v>
      </c>
      <c r="Q1040" s="595"/>
      <c r="R1040" s="372">
        <f t="shared" si="2772"/>
        <v>0</v>
      </c>
      <c r="S1040" s="305" t="str">
        <f>IFERROR(VLOOKUP($B1038,اسماء,34,0),"")</f>
        <v/>
      </c>
      <c r="T1040" s="306" t="str">
        <f>IFERROR(VLOOKUP($B1038,اسماء,35,0),"")</f>
        <v/>
      </c>
      <c r="U1040" s="122" t="str">
        <f>IFERROR(VLOOKUP($B1038,اسماء,36,0),"")</f>
        <v/>
      </c>
      <c r="V1040" s="605"/>
      <c r="W1040" s="20" t="str">
        <f t="shared" ref="W1040" si="2813">LOOKUP(R1040,$AF$6:$AG$10)</f>
        <v>ضعيف</v>
      </c>
      <c r="X1040" s="640"/>
      <c r="Y1040" s="8"/>
      <c r="Z1040" s="598"/>
      <c r="AK1040" s="667"/>
      <c r="AL1040" s="667"/>
      <c r="AM1040" s="696"/>
      <c r="AN1040" s="698"/>
      <c r="AO1040" s="699"/>
      <c r="AP1040" s="698"/>
    </row>
    <row r="1041" spans="1:42" ht="14.85" customHeight="1" thickBot="1" x14ac:dyDescent="0.3">
      <c r="A1041" s="612"/>
      <c r="B1041" s="615"/>
      <c r="C1041" s="618"/>
      <c r="D1041" s="621"/>
      <c r="E1041" s="124" t="s">
        <v>33</v>
      </c>
      <c r="F1041" s="623">
        <f t="shared" ref="F1041" si="2814">SUM(F1038:G1040)</f>
        <v>0</v>
      </c>
      <c r="G1041" s="624"/>
      <c r="H1041" s="625">
        <f t="shared" ref="H1041" si="2815">SUM(H1038:I1040)</f>
        <v>0</v>
      </c>
      <c r="I1041" s="626"/>
      <c r="J1041" s="623">
        <f t="shared" ref="J1041" si="2816">SUM(J1038:K1040)</f>
        <v>0</v>
      </c>
      <c r="K1041" s="624"/>
      <c r="L1041" s="625">
        <f t="shared" ref="L1041" si="2817">SUM(L1038:M1040)</f>
        <v>0</v>
      </c>
      <c r="M1041" s="642"/>
      <c r="N1041" s="625">
        <f t="shared" ref="N1041" si="2818">SUM(N1038:O1040)</f>
        <v>0</v>
      </c>
      <c r="O1041" s="642"/>
      <c r="P1041" s="623">
        <f t="shared" ref="P1041" si="2819">SUM(P1038:Q1040)</f>
        <v>0</v>
      </c>
      <c r="Q1041" s="626"/>
      <c r="R1041" s="88">
        <f t="shared" ref="R1041" si="2820">IF(AND(F1041&gt;=$G$8,H1041&gt;=$I$8,J1041&gt;=$K$8,L1041&gt;=$M$8,N1041&gt;=$O$8,P1041&gt;=$Q$8),SUM(F1041:Q1041),0)</f>
        <v>0</v>
      </c>
      <c r="S1041" s="251"/>
      <c r="T1041" s="97"/>
      <c r="U1041" s="94"/>
      <c r="V1041" s="606"/>
      <c r="W1041" s="88" t="str">
        <f t="shared" ref="W1041" si="2821">LOOKUP(R1041,$AI$6:$AJ$10)</f>
        <v>ضعيف</v>
      </c>
      <c r="X1041" s="641"/>
      <c r="Y1041" s="68"/>
      <c r="Z1041" s="599"/>
      <c r="AK1041" s="667"/>
      <c r="AL1041" s="667"/>
      <c r="AM1041" s="696"/>
      <c r="AN1041" s="698"/>
      <c r="AO1041" s="699"/>
      <c r="AP1041" s="698"/>
    </row>
    <row r="1042" spans="1:42" ht="14.85" customHeight="1" thickBot="1" x14ac:dyDescent="0.3">
      <c r="A1042" s="610">
        <v>226</v>
      </c>
      <c r="B1042" s="613">
        <f>VLOOKUP(A1042,مسلسل,2,0)</f>
        <v>0</v>
      </c>
      <c r="C1042" s="616" t="str">
        <f>IFERROR(VLOOKUP(B1042,اسماء,2,0),"")</f>
        <v/>
      </c>
      <c r="D1042" s="619" t="str">
        <f>IFERROR(VLOOKUP($B1042,اسماء,3,0),"")</f>
        <v/>
      </c>
      <c r="E1042" s="129" t="s">
        <v>30</v>
      </c>
      <c r="F1042" s="600">
        <f>IFERROR(VLOOKUP($B1042,اسماء,5,0),0)</f>
        <v>0</v>
      </c>
      <c r="G1042" s="601"/>
      <c r="H1042" s="602">
        <f>IFERROR(VLOOKUP($B1042,اسماء,6,0),0)</f>
        <v>0</v>
      </c>
      <c r="I1042" s="622"/>
      <c r="J1042" s="600">
        <f>IFERROR(VLOOKUP($B1042,اسماء,7,0),0)</f>
        <v>0</v>
      </c>
      <c r="K1042" s="601"/>
      <c r="L1042" s="602">
        <f>IFERROR(VLOOKUP($B1042,اسماء,8,0),0)</f>
        <v>0</v>
      </c>
      <c r="M1042" s="603"/>
      <c r="N1042" s="602">
        <f>IFERROR(VLOOKUP($B1042,اسماء,9,0),0)</f>
        <v>0</v>
      </c>
      <c r="O1042" s="603"/>
      <c r="P1042" s="600">
        <f>IFERROR(VLOOKUP($B1042,اسماء,10,0),0)</f>
        <v>0</v>
      </c>
      <c r="Q1042" s="622"/>
      <c r="R1042" s="371">
        <f t="shared" ref="R1042" si="2822">SUM(F1042:Q1042)</f>
        <v>0</v>
      </c>
      <c r="S1042" s="213" t="str">
        <f>IFERROR(VLOOKUP($B1042,اسماء,12,0),"")</f>
        <v/>
      </c>
      <c r="T1042" s="214" t="str">
        <f>IFERROR(VLOOKUP($B1042,اسماء,13,0),"")</f>
        <v/>
      </c>
      <c r="U1042" s="364" t="str">
        <f>IFERROR(VLOOKUP($B1042,اسماء,14,0),"")</f>
        <v/>
      </c>
      <c r="V1042" s="604" t="str">
        <f t="shared" ref="V1042" si="2823">IF(Z1042="غائب","راسب",IF(R1045&gt;0,"ناجح","مرحل"))</f>
        <v>مرحل</v>
      </c>
      <c r="W1042" s="19" t="str">
        <f t="shared" ref="W1042:W1043" si="2824">LOOKUP(R1042,$AC$6:$AD$10)</f>
        <v>ضعيف</v>
      </c>
      <c r="X1042" s="639">
        <f t="shared" ref="X1042" si="2825">R1045/$AC$3</f>
        <v>0</v>
      </c>
      <c r="Y1042" s="68"/>
      <c r="Z1042" s="597" t="str">
        <f>IFERROR(VLOOKUP($B1042,اسماء,48,0),"")</f>
        <v/>
      </c>
      <c r="AK1042" s="667" t="str">
        <f t="shared" ref="AK1042" si="2826">IF(R1045=0,"",R1045/1+ROW()*0.00001)</f>
        <v/>
      </c>
      <c r="AL1042" s="667">
        <f>B1042</f>
        <v>0</v>
      </c>
      <c r="AM1042" s="696"/>
      <c r="AN1042" s="698">
        <v>226</v>
      </c>
      <c r="AO1042" s="699" t="str">
        <f>IFERROR(LARGE($AK$10:$AK$1420,AN1042),"")</f>
        <v/>
      </c>
      <c r="AP1042" s="698" t="str">
        <f>VLOOKUP(AO1042,$AK$10:$AL$1530,2,0)</f>
        <v>امجد عمر عبداللطيف سلطان</v>
      </c>
    </row>
    <row r="1043" spans="1:42" ht="14.85" customHeight="1" x14ac:dyDescent="0.25">
      <c r="A1043" s="611"/>
      <c r="B1043" s="614"/>
      <c r="C1043" s="617"/>
      <c r="D1043" s="620"/>
      <c r="E1043" s="130" t="s">
        <v>31</v>
      </c>
      <c r="F1043" s="592">
        <f>IFERROR(VLOOKUP($B1042,اسماء,15,0),0)</f>
        <v>0</v>
      </c>
      <c r="G1043" s="593"/>
      <c r="H1043" s="594">
        <f>IFERROR(VLOOKUP($B1042,اسماء,16,0),0)</f>
        <v>0</v>
      </c>
      <c r="I1043" s="595"/>
      <c r="J1043" s="592">
        <f>IFERROR(VLOOKUP($B1042,اسماء,17,0),0)</f>
        <v>0</v>
      </c>
      <c r="K1043" s="593"/>
      <c r="L1043" s="594">
        <f>IFERROR(VLOOKUP($B1042,اسماء,18,0),0)</f>
        <v>0</v>
      </c>
      <c r="M1043" s="596"/>
      <c r="N1043" s="594">
        <f>IFERROR(VLOOKUP($B1042,اسماء,19,0),0)</f>
        <v>0</v>
      </c>
      <c r="O1043" s="596"/>
      <c r="P1043" s="592">
        <f>IFERROR(VLOOKUP($B1042,اسماء,20,0),0)</f>
        <v>0</v>
      </c>
      <c r="Q1043" s="595"/>
      <c r="R1043" s="372">
        <f t="shared" si="2772"/>
        <v>0</v>
      </c>
      <c r="S1043" s="305" t="str">
        <f>IFERROR(VLOOKUP($B1042,اسماء,23,0),"")</f>
        <v/>
      </c>
      <c r="T1043" s="306" t="str">
        <f>IFERROR(VLOOKUP($B1042,اسماء,24,0),"")</f>
        <v/>
      </c>
      <c r="U1043" s="122" t="str">
        <f>IFERROR(VLOOKUP($B1042,اسماء,25,0),"")</f>
        <v/>
      </c>
      <c r="V1043" s="605"/>
      <c r="W1043" s="19" t="str">
        <f t="shared" si="2824"/>
        <v>ضعيف</v>
      </c>
      <c r="X1043" s="640"/>
      <c r="Y1043" s="8"/>
      <c r="Z1043" s="598"/>
      <c r="AK1043" s="667"/>
      <c r="AL1043" s="667"/>
      <c r="AM1043" s="696"/>
      <c r="AN1043" s="698"/>
      <c r="AO1043" s="699"/>
      <c r="AP1043" s="698"/>
    </row>
    <row r="1044" spans="1:42" ht="14.85" customHeight="1" x14ac:dyDescent="0.25">
      <c r="A1044" s="611"/>
      <c r="B1044" s="614"/>
      <c r="C1044" s="617"/>
      <c r="D1044" s="620"/>
      <c r="E1044" s="130" t="s">
        <v>32</v>
      </c>
      <c r="F1044" s="592">
        <f>IFERROR(VLOOKUP($B1042,اسماء,25,0),0)</f>
        <v>0</v>
      </c>
      <c r="G1044" s="593"/>
      <c r="H1044" s="594">
        <f>IFERROR(VLOOKUP($B1042,اسماء,26,0),0)</f>
        <v>0</v>
      </c>
      <c r="I1044" s="595"/>
      <c r="J1044" s="592">
        <f>IFERROR(VLOOKUP($B1042,اسماء,27,0),0)</f>
        <v>0</v>
      </c>
      <c r="K1044" s="593"/>
      <c r="L1044" s="594">
        <f>IFERROR(VLOOKUP($B1042,اسماء,28,0),0)</f>
        <v>0</v>
      </c>
      <c r="M1044" s="596"/>
      <c r="N1044" s="594">
        <f>IFERROR(VLOOKUP($B1042,اسماء,29,0),0)</f>
        <v>0</v>
      </c>
      <c r="O1044" s="596"/>
      <c r="P1044" s="592">
        <f>IFERROR(VLOOKUP($B1042,اسماء,30,0),0)</f>
        <v>0</v>
      </c>
      <c r="Q1044" s="595"/>
      <c r="R1044" s="372">
        <f t="shared" si="2772"/>
        <v>0</v>
      </c>
      <c r="S1044" s="305" t="str">
        <f>IFERROR(VLOOKUP($B1042,اسماء,34,0),"")</f>
        <v/>
      </c>
      <c r="T1044" s="306" t="str">
        <f>IFERROR(VLOOKUP($B1042,اسماء,35,0),"")</f>
        <v/>
      </c>
      <c r="U1044" s="122" t="str">
        <f>IFERROR(VLOOKUP($B1042,اسماء,36,0),"")</f>
        <v/>
      </c>
      <c r="V1044" s="605"/>
      <c r="W1044" s="20" t="str">
        <f t="shared" ref="W1044" si="2827">LOOKUP(R1044,$AF$6:$AG$10)</f>
        <v>ضعيف</v>
      </c>
      <c r="X1044" s="640"/>
      <c r="Y1044" s="68"/>
      <c r="Z1044" s="598"/>
      <c r="AK1044" s="667"/>
      <c r="AL1044" s="667"/>
      <c r="AM1044" s="696"/>
      <c r="AN1044" s="698"/>
      <c r="AO1044" s="699"/>
      <c r="AP1044" s="698"/>
    </row>
    <row r="1045" spans="1:42" ht="14.85" customHeight="1" thickBot="1" x14ac:dyDescent="0.3">
      <c r="A1045" s="612"/>
      <c r="B1045" s="615"/>
      <c r="C1045" s="618"/>
      <c r="D1045" s="621"/>
      <c r="E1045" s="124" t="s">
        <v>33</v>
      </c>
      <c r="F1045" s="623">
        <f t="shared" ref="F1045" si="2828">SUM(F1042:G1044)</f>
        <v>0</v>
      </c>
      <c r="G1045" s="624"/>
      <c r="H1045" s="625">
        <f t="shared" ref="H1045" si="2829">SUM(H1042:I1044)</f>
        <v>0</v>
      </c>
      <c r="I1045" s="626"/>
      <c r="J1045" s="623">
        <f t="shared" ref="J1045" si="2830">SUM(J1042:K1044)</f>
        <v>0</v>
      </c>
      <c r="K1045" s="624"/>
      <c r="L1045" s="625">
        <f t="shared" ref="L1045" si="2831">SUM(L1042:M1044)</f>
        <v>0</v>
      </c>
      <c r="M1045" s="642"/>
      <c r="N1045" s="625">
        <f t="shared" ref="N1045" si="2832">SUM(N1042:O1044)</f>
        <v>0</v>
      </c>
      <c r="O1045" s="642"/>
      <c r="P1045" s="623">
        <f t="shared" ref="P1045" si="2833">SUM(P1042:Q1044)</f>
        <v>0</v>
      </c>
      <c r="Q1045" s="626"/>
      <c r="R1045" s="88">
        <f t="shared" ref="R1045" si="2834">IF(AND(F1045&gt;=$G$8,H1045&gt;=$I$8,J1045&gt;=$K$8,L1045&gt;=$M$8,N1045&gt;=$O$8,P1045&gt;=$Q$8),SUM(F1045:Q1045),0)</f>
        <v>0</v>
      </c>
      <c r="S1045" s="251"/>
      <c r="T1045" s="97"/>
      <c r="U1045" s="94"/>
      <c r="V1045" s="606"/>
      <c r="W1045" s="88" t="str">
        <f t="shared" ref="W1045" si="2835">LOOKUP(R1045,$AI$6:$AJ$10)</f>
        <v>ضعيف</v>
      </c>
      <c r="X1045" s="641"/>
      <c r="Y1045" s="68"/>
      <c r="Z1045" s="599"/>
      <c r="AK1045" s="667"/>
      <c r="AL1045" s="667"/>
      <c r="AM1045" s="696"/>
      <c r="AN1045" s="698"/>
      <c r="AO1045" s="699"/>
      <c r="AP1045" s="698"/>
    </row>
    <row r="1046" spans="1:42" ht="14.85" customHeight="1" thickBot="1" x14ac:dyDescent="0.3">
      <c r="A1046" s="610">
        <v>227</v>
      </c>
      <c r="B1046" s="613">
        <f>VLOOKUP(A1046,مسلسل,2,0)</f>
        <v>0</v>
      </c>
      <c r="C1046" s="616" t="str">
        <f>IFERROR(VLOOKUP(B1046,اسماء,2,0),"")</f>
        <v/>
      </c>
      <c r="D1046" s="619" t="str">
        <f>IFERROR(VLOOKUP($B1046,اسماء,3,0),"")</f>
        <v/>
      </c>
      <c r="E1046" s="129" t="s">
        <v>30</v>
      </c>
      <c r="F1046" s="600">
        <f>IFERROR(VLOOKUP($B1046,اسماء,5,0),0)</f>
        <v>0</v>
      </c>
      <c r="G1046" s="601"/>
      <c r="H1046" s="602">
        <f>IFERROR(VLOOKUP($B1046,اسماء,6,0),0)</f>
        <v>0</v>
      </c>
      <c r="I1046" s="622"/>
      <c r="J1046" s="600">
        <f>IFERROR(VLOOKUP($B1046,اسماء,7,0),0)</f>
        <v>0</v>
      </c>
      <c r="K1046" s="601"/>
      <c r="L1046" s="602">
        <f>IFERROR(VLOOKUP($B1046,اسماء,8,0),0)</f>
        <v>0</v>
      </c>
      <c r="M1046" s="603"/>
      <c r="N1046" s="602">
        <f>IFERROR(VLOOKUP($B1046,اسماء,9,0),0)</f>
        <v>0</v>
      </c>
      <c r="O1046" s="603"/>
      <c r="P1046" s="600">
        <f>IFERROR(VLOOKUP($B1046,اسماء,10,0),0)</f>
        <v>0</v>
      </c>
      <c r="Q1046" s="622"/>
      <c r="R1046" s="371">
        <f t="shared" ref="R1046" si="2836">SUM(F1046:Q1046)</f>
        <v>0</v>
      </c>
      <c r="S1046" s="213" t="str">
        <f>IFERROR(VLOOKUP($B1046,اسماء,12,0),"")</f>
        <v/>
      </c>
      <c r="T1046" s="214" t="str">
        <f>IFERROR(VLOOKUP($B1046,اسماء,13,0),"")</f>
        <v/>
      </c>
      <c r="U1046" s="364" t="str">
        <f>IFERROR(VLOOKUP($B1046,اسماء,14,0),"")</f>
        <v/>
      </c>
      <c r="V1046" s="604" t="str">
        <f t="shared" ref="V1046" si="2837">IF(Z1046="غائب","راسب",IF(R1049&gt;0,"ناجح","مرحل"))</f>
        <v>مرحل</v>
      </c>
      <c r="W1046" s="19" t="str">
        <f t="shared" ref="W1046:W1047" si="2838">LOOKUP(R1046,$AC$6:$AD$10)</f>
        <v>ضعيف</v>
      </c>
      <c r="X1046" s="639">
        <f t="shared" ref="X1046" si="2839">R1049/$AC$3</f>
        <v>0</v>
      </c>
      <c r="Y1046" s="8"/>
      <c r="Z1046" s="597" t="str">
        <f>IFERROR(VLOOKUP($B1046,اسماء,48,0),"")</f>
        <v/>
      </c>
      <c r="AK1046" s="667" t="str">
        <f t="shared" ref="AK1046" si="2840">IF(R1049=0,"",R1049/1+ROW()*0.00001)</f>
        <v/>
      </c>
      <c r="AL1046" s="667">
        <f>B1046</f>
        <v>0</v>
      </c>
      <c r="AM1046" s="696"/>
      <c r="AN1046" s="698">
        <v>227</v>
      </c>
      <c r="AO1046" s="699" t="str">
        <f>IFERROR(LARGE($AK$10:$AK$1420,AN1046),"")</f>
        <v/>
      </c>
      <c r="AP1046" s="698" t="str">
        <f>VLOOKUP(AO1046,$AK$10:$AL$1530,2,0)</f>
        <v>امجد عمر عبداللطيف سلطان</v>
      </c>
    </row>
    <row r="1047" spans="1:42" ht="14.85" customHeight="1" x14ac:dyDescent="0.25">
      <c r="A1047" s="611"/>
      <c r="B1047" s="614"/>
      <c r="C1047" s="617"/>
      <c r="D1047" s="620"/>
      <c r="E1047" s="130" t="s">
        <v>31</v>
      </c>
      <c r="F1047" s="592">
        <f>IFERROR(VLOOKUP($B1046,اسماء,15,0),0)</f>
        <v>0</v>
      </c>
      <c r="G1047" s="593"/>
      <c r="H1047" s="594">
        <f>IFERROR(VLOOKUP($B1046,اسماء,16,0),0)</f>
        <v>0</v>
      </c>
      <c r="I1047" s="595"/>
      <c r="J1047" s="592">
        <f>IFERROR(VLOOKUP($B1046,اسماء,17,0),0)</f>
        <v>0</v>
      </c>
      <c r="K1047" s="593"/>
      <c r="L1047" s="594">
        <f>IFERROR(VLOOKUP($B1046,اسماء,18,0),0)</f>
        <v>0</v>
      </c>
      <c r="M1047" s="596"/>
      <c r="N1047" s="594">
        <f>IFERROR(VLOOKUP($B1046,اسماء,19,0),0)</f>
        <v>0</v>
      </c>
      <c r="O1047" s="596"/>
      <c r="P1047" s="592">
        <f>IFERROR(VLOOKUP($B1046,اسماء,20,0),0)</f>
        <v>0</v>
      </c>
      <c r="Q1047" s="595"/>
      <c r="R1047" s="372">
        <f t="shared" si="2772"/>
        <v>0</v>
      </c>
      <c r="S1047" s="305" t="str">
        <f>IFERROR(VLOOKUP($B1046,اسماء,23,0),"")</f>
        <v/>
      </c>
      <c r="T1047" s="306" t="str">
        <f>IFERROR(VLOOKUP($B1046,اسماء,24,0),"")</f>
        <v/>
      </c>
      <c r="U1047" s="122" t="str">
        <f>IFERROR(VLOOKUP($B1046,اسماء,25,0),"")</f>
        <v/>
      </c>
      <c r="V1047" s="605"/>
      <c r="W1047" s="19" t="str">
        <f t="shared" si="2838"/>
        <v>ضعيف</v>
      </c>
      <c r="X1047" s="640"/>
      <c r="Y1047" s="68"/>
      <c r="Z1047" s="598"/>
      <c r="AK1047" s="667"/>
      <c r="AL1047" s="667"/>
      <c r="AM1047" s="696"/>
      <c r="AN1047" s="698"/>
      <c r="AO1047" s="699"/>
      <c r="AP1047" s="698"/>
    </row>
    <row r="1048" spans="1:42" ht="14.85" customHeight="1" x14ac:dyDescent="0.25">
      <c r="A1048" s="611"/>
      <c r="B1048" s="614"/>
      <c r="C1048" s="617"/>
      <c r="D1048" s="620"/>
      <c r="E1048" s="130" t="s">
        <v>32</v>
      </c>
      <c r="F1048" s="592">
        <f>IFERROR(VLOOKUP($B1046,اسماء,25,0),0)</f>
        <v>0</v>
      </c>
      <c r="G1048" s="593"/>
      <c r="H1048" s="594">
        <f>IFERROR(VLOOKUP($B1046,اسماء,26,0),0)</f>
        <v>0</v>
      </c>
      <c r="I1048" s="595"/>
      <c r="J1048" s="592">
        <f>IFERROR(VLOOKUP($B1046,اسماء,27,0),0)</f>
        <v>0</v>
      </c>
      <c r="K1048" s="593"/>
      <c r="L1048" s="594">
        <f>IFERROR(VLOOKUP($B1046,اسماء,28,0),0)</f>
        <v>0</v>
      </c>
      <c r="M1048" s="596"/>
      <c r="N1048" s="594">
        <f>IFERROR(VLOOKUP($B1046,اسماء,29,0),0)</f>
        <v>0</v>
      </c>
      <c r="O1048" s="596"/>
      <c r="P1048" s="592">
        <f>IFERROR(VLOOKUP($B1046,اسماء,30,0),0)</f>
        <v>0</v>
      </c>
      <c r="Q1048" s="595"/>
      <c r="R1048" s="372">
        <f t="shared" si="2772"/>
        <v>0</v>
      </c>
      <c r="S1048" s="305" t="str">
        <f>IFERROR(VLOOKUP($B1046,اسماء,34,0),"")</f>
        <v/>
      </c>
      <c r="T1048" s="306" t="str">
        <f>IFERROR(VLOOKUP($B1046,اسماء,35,0),"")</f>
        <v/>
      </c>
      <c r="U1048" s="122" t="str">
        <f>IFERROR(VLOOKUP($B1046,اسماء,36,0),"")</f>
        <v/>
      </c>
      <c r="V1048" s="605"/>
      <c r="W1048" s="20" t="str">
        <f t="shared" ref="W1048" si="2841">LOOKUP(R1048,$AF$6:$AG$10)</f>
        <v>ضعيف</v>
      </c>
      <c r="X1048" s="640"/>
      <c r="Y1048" s="68"/>
      <c r="Z1048" s="598"/>
      <c r="AK1048" s="667"/>
      <c r="AL1048" s="667"/>
      <c r="AM1048" s="696"/>
      <c r="AN1048" s="698"/>
      <c r="AO1048" s="699"/>
      <c r="AP1048" s="698"/>
    </row>
    <row r="1049" spans="1:42" ht="14.85" customHeight="1" thickBot="1" x14ac:dyDescent="0.3">
      <c r="A1049" s="612"/>
      <c r="B1049" s="615"/>
      <c r="C1049" s="618"/>
      <c r="D1049" s="621"/>
      <c r="E1049" s="124" t="s">
        <v>33</v>
      </c>
      <c r="F1049" s="623">
        <f t="shared" ref="F1049" si="2842">SUM(F1046:G1048)</f>
        <v>0</v>
      </c>
      <c r="G1049" s="624"/>
      <c r="H1049" s="625">
        <f t="shared" ref="H1049" si="2843">SUM(H1046:I1048)</f>
        <v>0</v>
      </c>
      <c r="I1049" s="626"/>
      <c r="J1049" s="623">
        <f t="shared" ref="J1049" si="2844">SUM(J1046:K1048)</f>
        <v>0</v>
      </c>
      <c r="K1049" s="624"/>
      <c r="L1049" s="625">
        <f t="shared" ref="L1049" si="2845">SUM(L1046:M1048)</f>
        <v>0</v>
      </c>
      <c r="M1049" s="642"/>
      <c r="N1049" s="625">
        <f t="shared" ref="N1049" si="2846">SUM(N1046:O1048)</f>
        <v>0</v>
      </c>
      <c r="O1049" s="642"/>
      <c r="P1049" s="623">
        <f t="shared" ref="P1049" si="2847">SUM(P1046:Q1048)</f>
        <v>0</v>
      </c>
      <c r="Q1049" s="626"/>
      <c r="R1049" s="88">
        <f t="shared" ref="R1049" si="2848">IF(AND(F1049&gt;=$G$8,H1049&gt;=$I$8,J1049&gt;=$K$8,L1049&gt;=$M$8,N1049&gt;=$O$8,P1049&gt;=$Q$8),SUM(F1049:Q1049),0)</f>
        <v>0</v>
      </c>
      <c r="S1049" s="251"/>
      <c r="T1049" s="97"/>
      <c r="U1049" s="94"/>
      <c r="V1049" s="606"/>
      <c r="W1049" s="88" t="str">
        <f t="shared" ref="W1049" si="2849">LOOKUP(R1049,$AI$6:$AJ$10)</f>
        <v>ضعيف</v>
      </c>
      <c r="X1049" s="641"/>
      <c r="Y1049" s="8"/>
      <c r="Z1049" s="599"/>
      <c r="AK1049" s="667"/>
      <c r="AL1049" s="667"/>
      <c r="AM1049" s="696"/>
      <c r="AN1049" s="698"/>
      <c r="AO1049" s="699"/>
      <c r="AP1049" s="698"/>
    </row>
    <row r="1050" spans="1:42" ht="14.85" customHeight="1" thickBot="1" x14ac:dyDescent="0.3">
      <c r="A1050" s="610">
        <v>228</v>
      </c>
      <c r="B1050" s="613">
        <f>VLOOKUP(A1050,مسلسل,2,0)</f>
        <v>0</v>
      </c>
      <c r="C1050" s="616" t="str">
        <f>IFERROR(VLOOKUP(B1050,اسماء,2,0),"")</f>
        <v/>
      </c>
      <c r="D1050" s="619" t="str">
        <f>IFERROR(VLOOKUP($B1050,اسماء,3,0),"")</f>
        <v/>
      </c>
      <c r="E1050" s="129" t="s">
        <v>30</v>
      </c>
      <c r="F1050" s="600">
        <f>IFERROR(VLOOKUP($B1050,اسماء,5,0),0)</f>
        <v>0</v>
      </c>
      <c r="G1050" s="601"/>
      <c r="H1050" s="602">
        <f>IFERROR(VLOOKUP($B1050,اسماء,6,0),0)</f>
        <v>0</v>
      </c>
      <c r="I1050" s="622"/>
      <c r="J1050" s="600">
        <f>IFERROR(VLOOKUP($B1050,اسماء,7,0),0)</f>
        <v>0</v>
      </c>
      <c r="K1050" s="601"/>
      <c r="L1050" s="602">
        <f>IFERROR(VLOOKUP($B1050,اسماء,8,0),0)</f>
        <v>0</v>
      </c>
      <c r="M1050" s="603"/>
      <c r="N1050" s="602">
        <f>IFERROR(VLOOKUP($B1050,اسماء,9,0),0)</f>
        <v>0</v>
      </c>
      <c r="O1050" s="603"/>
      <c r="P1050" s="600">
        <f>IFERROR(VLOOKUP($B1050,اسماء,10,0),0)</f>
        <v>0</v>
      </c>
      <c r="Q1050" s="622"/>
      <c r="R1050" s="371">
        <f t="shared" ref="R1050" si="2850">SUM(F1050:Q1050)</f>
        <v>0</v>
      </c>
      <c r="S1050" s="213" t="str">
        <f>IFERROR(VLOOKUP($B1050,اسماء,12,0),"")</f>
        <v/>
      </c>
      <c r="T1050" s="214" t="str">
        <f>IFERROR(VLOOKUP($B1050,اسماء,13,0),"")</f>
        <v/>
      </c>
      <c r="U1050" s="364" t="str">
        <f>IFERROR(VLOOKUP($B1050,اسماء,14,0),"")</f>
        <v/>
      </c>
      <c r="V1050" s="604" t="str">
        <f t="shared" ref="V1050" si="2851">IF(Z1050="غائب","راسب",IF(R1053&gt;0,"ناجح","مرحل"))</f>
        <v>مرحل</v>
      </c>
      <c r="W1050" s="19" t="str">
        <f t="shared" ref="W1050:W1051" si="2852">LOOKUP(R1050,$AC$6:$AD$10)</f>
        <v>ضعيف</v>
      </c>
      <c r="X1050" s="639">
        <f t="shared" ref="X1050" si="2853">R1053/$AC$3</f>
        <v>0</v>
      </c>
      <c r="Y1050" s="68"/>
      <c r="Z1050" s="597" t="str">
        <f>IFERROR(VLOOKUP($B1050,اسماء,48,0),"")</f>
        <v/>
      </c>
      <c r="AK1050" s="667" t="str">
        <f t="shared" ref="AK1050" si="2854">IF(R1053=0,"",R1053/1+ROW()*0.00001)</f>
        <v/>
      </c>
      <c r="AL1050" s="667">
        <f>B1050</f>
        <v>0</v>
      </c>
      <c r="AM1050" s="696"/>
      <c r="AN1050" s="698">
        <v>228</v>
      </c>
      <c r="AO1050" s="699" t="str">
        <f>IFERROR(LARGE($AK$10:$AK$1420,AN1050),"")</f>
        <v/>
      </c>
      <c r="AP1050" s="698" t="str">
        <f>VLOOKUP(AO1050,$AK$10:$AL$1530,2,0)</f>
        <v>امجد عمر عبداللطيف سلطان</v>
      </c>
    </row>
    <row r="1051" spans="1:42" ht="14.85" customHeight="1" x14ac:dyDescent="0.25">
      <c r="A1051" s="611"/>
      <c r="B1051" s="614"/>
      <c r="C1051" s="617"/>
      <c r="D1051" s="620"/>
      <c r="E1051" s="130" t="s">
        <v>31</v>
      </c>
      <c r="F1051" s="592">
        <f>IFERROR(VLOOKUP($B1050,اسماء,15,0),0)</f>
        <v>0</v>
      </c>
      <c r="G1051" s="593"/>
      <c r="H1051" s="594">
        <f>IFERROR(VLOOKUP($B1050,اسماء,16,0),0)</f>
        <v>0</v>
      </c>
      <c r="I1051" s="595"/>
      <c r="J1051" s="592">
        <f>IFERROR(VLOOKUP($B1050,اسماء,17,0),0)</f>
        <v>0</v>
      </c>
      <c r="K1051" s="593"/>
      <c r="L1051" s="594">
        <f>IFERROR(VLOOKUP($B1050,اسماء,18,0),0)</f>
        <v>0</v>
      </c>
      <c r="M1051" s="596"/>
      <c r="N1051" s="594">
        <f>IFERROR(VLOOKUP($B1050,اسماء,19,0),0)</f>
        <v>0</v>
      </c>
      <c r="O1051" s="596"/>
      <c r="P1051" s="592">
        <f>IFERROR(VLOOKUP($B1050,اسماء,20,0),0)</f>
        <v>0</v>
      </c>
      <c r="Q1051" s="595"/>
      <c r="R1051" s="372">
        <f t="shared" si="2772"/>
        <v>0</v>
      </c>
      <c r="S1051" s="305" t="str">
        <f>IFERROR(VLOOKUP($B1050,اسماء,23,0),"")</f>
        <v/>
      </c>
      <c r="T1051" s="306" t="str">
        <f>IFERROR(VLOOKUP($B1050,اسماء,24,0),"")</f>
        <v/>
      </c>
      <c r="U1051" s="122" t="str">
        <f>IFERROR(VLOOKUP($B1050,اسماء,25,0),"")</f>
        <v/>
      </c>
      <c r="V1051" s="605"/>
      <c r="W1051" s="19" t="str">
        <f t="shared" si="2852"/>
        <v>ضعيف</v>
      </c>
      <c r="X1051" s="640"/>
      <c r="Y1051" s="68"/>
      <c r="Z1051" s="598"/>
      <c r="AK1051" s="667"/>
      <c r="AL1051" s="667"/>
      <c r="AM1051" s="696"/>
      <c r="AN1051" s="698"/>
      <c r="AO1051" s="699"/>
      <c r="AP1051" s="698"/>
    </row>
    <row r="1052" spans="1:42" ht="14.85" customHeight="1" x14ac:dyDescent="0.25">
      <c r="A1052" s="611"/>
      <c r="B1052" s="614"/>
      <c r="C1052" s="617"/>
      <c r="D1052" s="620"/>
      <c r="E1052" s="130" t="s">
        <v>32</v>
      </c>
      <c r="F1052" s="592">
        <f>IFERROR(VLOOKUP($B1050,اسماء,25,0),0)</f>
        <v>0</v>
      </c>
      <c r="G1052" s="593"/>
      <c r="H1052" s="594">
        <f>IFERROR(VLOOKUP($B1050,اسماء,26,0),0)</f>
        <v>0</v>
      </c>
      <c r="I1052" s="595"/>
      <c r="J1052" s="592">
        <f>IFERROR(VLOOKUP($B1050,اسماء,27,0),0)</f>
        <v>0</v>
      </c>
      <c r="K1052" s="593"/>
      <c r="L1052" s="594">
        <f>IFERROR(VLOOKUP($B1050,اسماء,28,0),0)</f>
        <v>0</v>
      </c>
      <c r="M1052" s="596"/>
      <c r="N1052" s="594">
        <f>IFERROR(VLOOKUP($B1050,اسماء,29,0),0)</f>
        <v>0</v>
      </c>
      <c r="O1052" s="596"/>
      <c r="P1052" s="592">
        <f>IFERROR(VLOOKUP($B1050,اسماء,30,0),0)</f>
        <v>0</v>
      </c>
      <c r="Q1052" s="595"/>
      <c r="R1052" s="372">
        <f t="shared" si="2772"/>
        <v>0</v>
      </c>
      <c r="S1052" s="305" t="str">
        <f>IFERROR(VLOOKUP($B1050,اسماء,34,0),"")</f>
        <v/>
      </c>
      <c r="T1052" s="306" t="str">
        <f>IFERROR(VLOOKUP($B1050,اسماء,35,0),"")</f>
        <v/>
      </c>
      <c r="U1052" s="122" t="str">
        <f>IFERROR(VLOOKUP($B1050,اسماء,36,0),"")</f>
        <v/>
      </c>
      <c r="V1052" s="605"/>
      <c r="W1052" s="20" t="str">
        <f t="shared" ref="W1052" si="2855">LOOKUP(R1052,$AF$6:$AG$10)</f>
        <v>ضعيف</v>
      </c>
      <c r="X1052" s="640"/>
      <c r="Y1052" s="8"/>
      <c r="Z1052" s="598"/>
      <c r="AK1052" s="667"/>
      <c r="AL1052" s="667"/>
      <c r="AM1052" s="696"/>
      <c r="AN1052" s="698"/>
      <c r="AO1052" s="699"/>
      <c r="AP1052" s="698"/>
    </row>
    <row r="1053" spans="1:42" ht="14.85" customHeight="1" thickBot="1" x14ac:dyDescent="0.3">
      <c r="A1053" s="612"/>
      <c r="B1053" s="615"/>
      <c r="C1053" s="618"/>
      <c r="D1053" s="621"/>
      <c r="E1053" s="124" t="s">
        <v>33</v>
      </c>
      <c r="F1053" s="623">
        <f t="shared" ref="F1053" si="2856">SUM(F1050:G1052)</f>
        <v>0</v>
      </c>
      <c r="G1053" s="624"/>
      <c r="H1053" s="625">
        <f t="shared" ref="H1053" si="2857">SUM(H1050:I1052)</f>
        <v>0</v>
      </c>
      <c r="I1053" s="626"/>
      <c r="J1053" s="623">
        <f t="shared" ref="J1053" si="2858">SUM(J1050:K1052)</f>
        <v>0</v>
      </c>
      <c r="K1053" s="624"/>
      <c r="L1053" s="625">
        <f t="shared" ref="L1053" si="2859">SUM(L1050:M1052)</f>
        <v>0</v>
      </c>
      <c r="M1053" s="642"/>
      <c r="N1053" s="625">
        <f t="shared" ref="N1053" si="2860">SUM(N1050:O1052)</f>
        <v>0</v>
      </c>
      <c r="O1053" s="642"/>
      <c r="P1053" s="623">
        <f t="shared" ref="P1053" si="2861">SUM(P1050:Q1052)</f>
        <v>0</v>
      </c>
      <c r="Q1053" s="626"/>
      <c r="R1053" s="88">
        <f t="shared" ref="R1053" si="2862">IF(AND(F1053&gt;=$G$8,H1053&gt;=$I$8,J1053&gt;=$K$8,L1053&gt;=$M$8,N1053&gt;=$O$8,P1053&gt;=$Q$8),SUM(F1053:Q1053),0)</f>
        <v>0</v>
      </c>
      <c r="S1053" s="251"/>
      <c r="T1053" s="97"/>
      <c r="U1053" s="94"/>
      <c r="V1053" s="606"/>
      <c r="W1053" s="88" t="str">
        <f t="shared" ref="W1053" si="2863">LOOKUP(R1053,$AI$6:$AJ$10)</f>
        <v>ضعيف</v>
      </c>
      <c r="X1053" s="641"/>
      <c r="Y1053" s="68"/>
      <c r="Z1053" s="599"/>
      <c r="AK1053" s="667"/>
      <c r="AL1053" s="667"/>
      <c r="AM1053" s="696"/>
      <c r="AN1053" s="698"/>
      <c r="AO1053" s="699"/>
      <c r="AP1053" s="698"/>
    </row>
    <row r="1054" spans="1:42" ht="14.85" customHeight="1" thickBot="1" x14ac:dyDescent="0.3">
      <c r="A1054" s="610">
        <v>229</v>
      </c>
      <c r="B1054" s="613">
        <f>VLOOKUP(A1054,مسلسل,2,0)</f>
        <v>0</v>
      </c>
      <c r="C1054" s="616" t="str">
        <f>IFERROR(VLOOKUP(B1054,اسماء,2,0),"")</f>
        <v/>
      </c>
      <c r="D1054" s="619" t="str">
        <f>IFERROR(VLOOKUP($B1054,اسماء,3,0),"")</f>
        <v/>
      </c>
      <c r="E1054" s="129" t="s">
        <v>30</v>
      </c>
      <c r="F1054" s="600">
        <f>IFERROR(VLOOKUP($B1054,اسماء,5,0),0)</f>
        <v>0</v>
      </c>
      <c r="G1054" s="601"/>
      <c r="H1054" s="602">
        <f>IFERROR(VLOOKUP($B1054,اسماء,6,0),0)</f>
        <v>0</v>
      </c>
      <c r="I1054" s="622"/>
      <c r="J1054" s="600">
        <f>IFERROR(VLOOKUP($B1054,اسماء,7,0),0)</f>
        <v>0</v>
      </c>
      <c r="K1054" s="601"/>
      <c r="L1054" s="602">
        <f>IFERROR(VLOOKUP($B1054,اسماء,8,0),0)</f>
        <v>0</v>
      </c>
      <c r="M1054" s="603"/>
      <c r="N1054" s="602">
        <f>IFERROR(VLOOKUP($B1054,اسماء,9,0),0)</f>
        <v>0</v>
      </c>
      <c r="O1054" s="603"/>
      <c r="P1054" s="600">
        <f>IFERROR(VLOOKUP($B1054,اسماء,10,0),0)</f>
        <v>0</v>
      </c>
      <c r="Q1054" s="622"/>
      <c r="R1054" s="371">
        <f t="shared" ref="R1054" si="2864">SUM(F1054:Q1054)</f>
        <v>0</v>
      </c>
      <c r="S1054" s="213" t="str">
        <f>IFERROR(VLOOKUP($B1054,اسماء,12,0),"")</f>
        <v/>
      </c>
      <c r="T1054" s="214" t="str">
        <f>IFERROR(VLOOKUP($B1054,اسماء,13,0),"")</f>
        <v/>
      </c>
      <c r="U1054" s="364" t="str">
        <f>IFERROR(VLOOKUP($B1054,اسماء,14,0),"")</f>
        <v/>
      </c>
      <c r="V1054" s="604" t="str">
        <f t="shared" ref="V1054" si="2865">IF(Z1054="غائب","راسب",IF(R1057&gt;0,"ناجح","مرحل"))</f>
        <v>مرحل</v>
      </c>
      <c r="W1054" s="19" t="str">
        <f t="shared" ref="W1054:W1055" si="2866">LOOKUP(R1054,$AC$6:$AD$10)</f>
        <v>ضعيف</v>
      </c>
      <c r="X1054" s="639">
        <f t="shared" ref="X1054" si="2867">R1057/$AC$3</f>
        <v>0</v>
      </c>
      <c r="Y1054" s="68"/>
      <c r="Z1054" s="597" t="str">
        <f>IFERROR(VLOOKUP($B1054,اسماء,48,0),"")</f>
        <v/>
      </c>
      <c r="AK1054" s="667" t="str">
        <f t="shared" ref="AK1054" si="2868">IF(R1057=0,"",R1057/1+ROW()*0.00001)</f>
        <v/>
      </c>
      <c r="AL1054" s="667">
        <f>B1054</f>
        <v>0</v>
      </c>
      <c r="AM1054" s="696"/>
      <c r="AN1054" s="698">
        <v>229</v>
      </c>
      <c r="AO1054" s="699" t="str">
        <f>IFERROR(LARGE($AK$10:$AK$1420,AN1054),"")</f>
        <v/>
      </c>
      <c r="AP1054" s="698" t="str">
        <f>VLOOKUP(AO1054,$AK$10:$AL$1530,2,0)</f>
        <v>امجد عمر عبداللطيف سلطان</v>
      </c>
    </row>
    <row r="1055" spans="1:42" ht="14.85" customHeight="1" x14ac:dyDescent="0.25">
      <c r="A1055" s="611"/>
      <c r="B1055" s="614"/>
      <c r="C1055" s="617"/>
      <c r="D1055" s="620"/>
      <c r="E1055" s="130" t="s">
        <v>31</v>
      </c>
      <c r="F1055" s="592">
        <f>IFERROR(VLOOKUP($B1054,اسماء,15,0),0)</f>
        <v>0</v>
      </c>
      <c r="G1055" s="593"/>
      <c r="H1055" s="594">
        <f>IFERROR(VLOOKUP($B1054,اسماء,16,0),0)</f>
        <v>0</v>
      </c>
      <c r="I1055" s="595"/>
      <c r="J1055" s="592">
        <f>IFERROR(VLOOKUP($B1054,اسماء,17,0),0)</f>
        <v>0</v>
      </c>
      <c r="K1055" s="593"/>
      <c r="L1055" s="594">
        <f>IFERROR(VLOOKUP($B1054,اسماء,18,0),0)</f>
        <v>0</v>
      </c>
      <c r="M1055" s="596"/>
      <c r="N1055" s="594">
        <f>IFERROR(VLOOKUP($B1054,اسماء,19,0),0)</f>
        <v>0</v>
      </c>
      <c r="O1055" s="596"/>
      <c r="P1055" s="592">
        <f>IFERROR(VLOOKUP($B1054,اسماء,20,0),0)</f>
        <v>0</v>
      </c>
      <c r="Q1055" s="595"/>
      <c r="R1055" s="372">
        <f t="shared" si="2772"/>
        <v>0</v>
      </c>
      <c r="S1055" s="305" t="str">
        <f>IFERROR(VLOOKUP($B1054,اسماء,23,0),"")</f>
        <v/>
      </c>
      <c r="T1055" s="306" t="str">
        <f>IFERROR(VLOOKUP($B1054,اسماء,24,0),"")</f>
        <v/>
      </c>
      <c r="U1055" s="122" t="str">
        <f>IFERROR(VLOOKUP($B1054,اسماء,25,0),"")</f>
        <v/>
      </c>
      <c r="V1055" s="605"/>
      <c r="W1055" s="19" t="str">
        <f t="shared" si="2866"/>
        <v>ضعيف</v>
      </c>
      <c r="X1055" s="640"/>
      <c r="Y1055" s="8"/>
      <c r="Z1055" s="598"/>
      <c r="AK1055" s="667"/>
      <c r="AL1055" s="667"/>
      <c r="AM1055" s="696"/>
      <c r="AN1055" s="698"/>
      <c r="AO1055" s="699"/>
      <c r="AP1055" s="698"/>
    </row>
    <row r="1056" spans="1:42" ht="14.85" customHeight="1" x14ac:dyDescent="0.25">
      <c r="A1056" s="611"/>
      <c r="B1056" s="614"/>
      <c r="C1056" s="617"/>
      <c r="D1056" s="620"/>
      <c r="E1056" s="130" t="s">
        <v>32</v>
      </c>
      <c r="F1056" s="592">
        <f>IFERROR(VLOOKUP($B1054,اسماء,25,0),0)</f>
        <v>0</v>
      </c>
      <c r="G1056" s="593"/>
      <c r="H1056" s="594">
        <f>IFERROR(VLOOKUP($B1054,اسماء,26,0),0)</f>
        <v>0</v>
      </c>
      <c r="I1056" s="595"/>
      <c r="J1056" s="592">
        <f>IFERROR(VLOOKUP($B1054,اسماء,27,0),0)</f>
        <v>0</v>
      </c>
      <c r="K1056" s="593"/>
      <c r="L1056" s="594">
        <f>IFERROR(VLOOKUP($B1054,اسماء,28,0),0)</f>
        <v>0</v>
      </c>
      <c r="M1056" s="596"/>
      <c r="N1056" s="594">
        <f>IFERROR(VLOOKUP($B1054,اسماء,29,0),0)</f>
        <v>0</v>
      </c>
      <c r="O1056" s="596"/>
      <c r="P1056" s="592">
        <f>IFERROR(VLOOKUP($B1054,اسماء,30,0),0)</f>
        <v>0</v>
      </c>
      <c r="Q1056" s="595"/>
      <c r="R1056" s="372">
        <f t="shared" si="2772"/>
        <v>0</v>
      </c>
      <c r="S1056" s="305" t="str">
        <f>IFERROR(VLOOKUP($B1054,اسماء,34,0),"")</f>
        <v/>
      </c>
      <c r="T1056" s="306" t="str">
        <f>IFERROR(VLOOKUP($B1054,اسماء,35,0),"")</f>
        <v/>
      </c>
      <c r="U1056" s="122" t="str">
        <f>IFERROR(VLOOKUP($B1054,اسماء,36,0),"")</f>
        <v/>
      </c>
      <c r="V1056" s="605"/>
      <c r="W1056" s="20" t="str">
        <f t="shared" ref="W1056" si="2869">LOOKUP(R1056,$AF$6:$AG$10)</f>
        <v>ضعيف</v>
      </c>
      <c r="X1056" s="640"/>
      <c r="Y1056" s="68"/>
      <c r="Z1056" s="598"/>
      <c r="AK1056" s="667"/>
      <c r="AL1056" s="667"/>
      <c r="AM1056" s="696"/>
      <c r="AN1056" s="698"/>
      <c r="AO1056" s="699"/>
      <c r="AP1056" s="698"/>
    </row>
    <row r="1057" spans="1:42" ht="14.85" customHeight="1" thickBot="1" x14ac:dyDescent="0.3">
      <c r="A1057" s="612"/>
      <c r="B1057" s="615"/>
      <c r="C1057" s="618"/>
      <c r="D1057" s="621"/>
      <c r="E1057" s="124" t="s">
        <v>33</v>
      </c>
      <c r="F1057" s="623">
        <f t="shared" ref="F1057" si="2870">SUM(F1054:G1056)</f>
        <v>0</v>
      </c>
      <c r="G1057" s="624"/>
      <c r="H1057" s="625">
        <f t="shared" ref="H1057" si="2871">SUM(H1054:I1056)</f>
        <v>0</v>
      </c>
      <c r="I1057" s="626"/>
      <c r="J1057" s="623">
        <f t="shared" ref="J1057" si="2872">SUM(J1054:K1056)</f>
        <v>0</v>
      </c>
      <c r="K1057" s="624"/>
      <c r="L1057" s="625">
        <f t="shared" ref="L1057" si="2873">SUM(L1054:M1056)</f>
        <v>0</v>
      </c>
      <c r="M1057" s="642"/>
      <c r="N1057" s="625">
        <f t="shared" ref="N1057" si="2874">SUM(N1054:O1056)</f>
        <v>0</v>
      </c>
      <c r="O1057" s="642"/>
      <c r="P1057" s="623">
        <f t="shared" ref="P1057" si="2875">SUM(P1054:Q1056)</f>
        <v>0</v>
      </c>
      <c r="Q1057" s="626"/>
      <c r="R1057" s="88">
        <f t="shared" ref="R1057" si="2876">IF(AND(F1057&gt;=$G$8,H1057&gt;=$I$8,J1057&gt;=$K$8,L1057&gt;=$M$8,N1057&gt;=$O$8,P1057&gt;=$Q$8),SUM(F1057:Q1057),0)</f>
        <v>0</v>
      </c>
      <c r="S1057" s="251"/>
      <c r="T1057" s="97"/>
      <c r="U1057" s="94"/>
      <c r="V1057" s="606"/>
      <c r="W1057" s="88" t="str">
        <f t="shared" ref="W1057" si="2877">LOOKUP(R1057,$AI$6:$AJ$10)</f>
        <v>ضعيف</v>
      </c>
      <c r="X1057" s="641"/>
      <c r="Y1057" s="68"/>
      <c r="Z1057" s="599"/>
      <c r="AK1057" s="667"/>
      <c r="AL1057" s="667"/>
      <c r="AM1057" s="696"/>
      <c r="AN1057" s="698"/>
      <c r="AO1057" s="699"/>
      <c r="AP1057" s="698"/>
    </row>
    <row r="1058" spans="1:42" ht="14.85" customHeight="1" thickBot="1" x14ac:dyDescent="0.3">
      <c r="A1058" s="610">
        <v>230</v>
      </c>
      <c r="B1058" s="613">
        <f>VLOOKUP(A1058,مسلسل,2,0)</f>
        <v>0</v>
      </c>
      <c r="C1058" s="616" t="str">
        <f>IFERROR(VLOOKUP(B1058,اسماء,2,0),"")</f>
        <v/>
      </c>
      <c r="D1058" s="619" t="str">
        <f>IFERROR(VLOOKUP($B1058,اسماء,3,0),"")</f>
        <v/>
      </c>
      <c r="E1058" s="129" t="s">
        <v>30</v>
      </c>
      <c r="F1058" s="600">
        <f>IFERROR(VLOOKUP($B1058,اسماء,5,0),0)</f>
        <v>0</v>
      </c>
      <c r="G1058" s="601"/>
      <c r="H1058" s="602">
        <f>IFERROR(VLOOKUP($B1058,اسماء,6,0),0)</f>
        <v>0</v>
      </c>
      <c r="I1058" s="622"/>
      <c r="J1058" s="600">
        <f>IFERROR(VLOOKUP($B1058,اسماء,7,0),0)</f>
        <v>0</v>
      </c>
      <c r="K1058" s="601"/>
      <c r="L1058" s="602">
        <f>IFERROR(VLOOKUP($B1058,اسماء,8,0),0)</f>
        <v>0</v>
      </c>
      <c r="M1058" s="603"/>
      <c r="N1058" s="602">
        <f>IFERROR(VLOOKUP($B1058,اسماء,9,0),0)</f>
        <v>0</v>
      </c>
      <c r="O1058" s="603"/>
      <c r="P1058" s="600">
        <f>IFERROR(VLOOKUP($B1058,اسماء,10,0),0)</f>
        <v>0</v>
      </c>
      <c r="Q1058" s="622"/>
      <c r="R1058" s="371">
        <f t="shared" ref="R1058" si="2878">SUM(F1058:Q1058)</f>
        <v>0</v>
      </c>
      <c r="S1058" s="213" t="str">
        <f>IFERROR(VLOOKUP($B1058,اسماء,12,0),"")</f>
        <v/>
      </c>
      <c r="T1058" s="214" t="str">
        <f>IFERROR(VLOOKUP($B1058,اسماء,13,0),"")</f>
        <v/>
      </c>
      <c r="U1058" s="364" t="str">
        <f>IFERROR(VLOOKUP($B1058,اسماء,14,0),"")</f>
        <v/>
      </c>
      <c r="V1058" s="604" t="str">
        <f t="shared" ref="V1058" si="2879">IF(Z1058="غائب","راسب",IF(R1061&gt;0,"ناجح","مرحل"))</f>
        <v>مرحل</v>
      </c>
      <c r="W1058" s="19" t="str">
        <f t="shared" ref="W1058:W1059" si="2880">LOOKUP(R1058,$AC$6:$AD$10)</f>
        <v>ضعيف</v>
      </c>
      <c r="X1058" s="639">
        <f t="shared" ref="X1058" si="2881">R1061/$AC$3</f>
        <v>0</v>
      </c>
      <c r="Y1058" s="8"/>
      <c r="Z1058" s="597" t="str">
        <f>IFERROR(VLOOKUP($B1058,اسماء,48,0),"")</f>
        <v/>
      </c>
      <c r="AK1058" s="667" t="str">
        <f t="shared" ref="AK1058" si="2882">IF(R1061=0,"",R1061/1+ROW()*0.00001)</f>
        <v/>
      </c>
      <c r="AL1058" s="667">
        <f>B1058</f>
        <v>0</v>
      </c>
      <c r="AM1058" s="696"/>
      <c r="AN1058" s="698">
        <v>230</v>
      </c>
      <c r="AO1058" s="699" t="str">
        <f>IFERROR(LARGE($AK$10:$AK$1420,AN1058),"")</f>
        <v/>
      </c>
      <c r="AP1058" s="698" t="str">
        <f>VLOOKUP(AO1058,$AK$10:$AL$1530,2,0)</f>
        <v>امجد عمر عبداللطيف سلطان</v>
      </c>
    </row>
    <row r="1059" spans="1:42" ht="14.85" customHeight="1" x14ac:dyDescent="0.25">
      <c r="A1059" s="611"/>
      <c r="B1059" s="614"/>
      <c r="C1059" s="617"/>
      <c r="D1059" s="620"/>
      <c r="E1059" s="130" t="s">
        <v>31</v>
      </c>
      <c r="F1059" s="592">
        <f>IFERROR(VLOOKUP($B1058,اسماء,15,0),0)</f>
        <v>0</v>
      </c>
      <c r="G1059" s="593"/>
      <c r="H1059" s="594">
        <f>IFERROR(VLOOKUP($B1058,اسماء,16,0),0)</f>
        <v>0</v>
      </c>
      <c r="I1059" s="595"/>
      <c r="J1059" s="592">
        <f>IFERROR(VLOOKUP($B1058,اسماء,17,0),0)</f>
        <v>0</v>
      </c>
      <c r="K1059" s="593"/>
      <c r="L1059" s="594">
        <f>IFERROR(VLOOKUP($B1058,اسماء,18,0),0)</f>
        <v>0</v>
      </c>
      <c r="M1059" s="596"/>
      <c r="N1059" s="594">
        <f>IFERROR(VLOOKUP($B1058,اسماء,19,0),0)</f>
        <v>0</v>
      </c>
      <c r="O1059" s="596"/>
      <c r="P1059" s="592">
        <f>IFERROR(VLOOKUP($B1058,اسماء,20,0),0)</f>
        <v>0</v>
      </c>
      <c r="Q1059" s="595"/>
      <c r="R1059" s="372">
        <f t="shared" si="2772"/>
        <v>0</v>
      </c>
      <c r="S1059" s="305" t="str">
        <f>IFERROR(VLOOKUP($B1058,اسماء,23,0),"")</f>
        <v/>
      </c>
      <c r="T1059" s="306" t="str">
        <f>IFERROR(VLOOKUP($B1058,اسماء,24,0),"")</f>
        <v/>
      </c>
      <c r="U1059" s="122" t="str">
        <f>IFERROR(VLOOKUP($B1058,اسماء,25,0),"")</f>
        <v/>
      </c>
      <c r="V1059" s="605"/>
      <c r="W1059" s="19" t="str">
        <f t="shared" si="2880"/>
        <v>ضعيف</v>
      </c>
      <c r="X1059" s="640"/>
      <c r="Y1059" s="68"/>
      <c r="Z1059" s="598"/>
      <c r="AK1059" s="667"/>
      <c r="AL1059" s="667"/>
      <c r="AM1059" s="696"/>
      <c r="AN1059" s="698"/>
      <c r="AO1059" s="699"/>
      <c r="AP1059" s="698"/>
    </row>
    <row r="1060" spans="1:42" ht="14.85" customHeight="1" x14ac:dyDescent="0.25">
      <c r="A1060" s="611"/>
      <c r="B1060" s="614"/>
      <c r="C1060" s="617"/>
      <c r="D1060" s="620"/>
      <c r="E1060" s="130" t="s">
        <v>32</v>
      </c>
      <c r="F1060" s="592">
        <f>IFERROR(VLOOKUP($B1058,اسماء,25,0),0)</f>
        <v>0</v>
      </c>
      <c r="G1060" s="593"/>
      <c r="H1060" s="594">
        <f>IFERROR(VLOOKUP($B1058,اسماء,26,0),0)</f>
        <v>0</v>
      </c>
      <c r="I1060" s="595"/>
      <c r="J1060" s="592">
        <f>IFERROR(VLOOKUP($B1058,اسماء,27,0),0)</f>
        <v>0</v>
      </c>
      <c r="K1060" s="593"/>
      <c r="L1060" s="594">
        <f>IFERROR(VLOOKUP($B1058,اسماء,28,0),0)</f>
        <v>0</v>
      </c>
      <c r="M1060" s="596"/>
      <c r="N1060" s="594">
        <f>IFERROR(VLOOKUP($B1058,اسماء,29,0),0)</f>
        <v>0</v>
      </c>
      <c r="O1060" s="596"/>
      <c r="P1060" s="592">
        <f>IFERROR(VLOOKUP($B1058,اسماء,30,0),0)</f>
        <v>0</v>
      </c>
      <c r="Q1060" s="595"/>
      <c r="R1060" s="372">
        <f t="shared" si="2772"/>
        <v>0</v>
      </c>
      <c r="S1060" s="305" t="str">
        <f>IFERROR(VLOOKUP($B1058,اسماء,34,0),"")</f>
        <v/>
      </c>
      <c r="T1060" s="306" t="str">
        <f>IFERROR(VLOOKUP($B1058,اسماء,35,0),"")</f>
        <v/>
      </c>
      <c r="U1060" s="122" t="str">
        <f>IFERROR(VLOOKUP($B1058,اسماء,36,0),"")</f>
        <v/>
      </c>
      <c r="V1060" s="605"/>
      <c r="W1060" s="20" t="str">
        <f t="shared" ref="W1060" si="2883">LOOKUP(R1060,$AF$6:$AG$10)</f>
        <v>ضعيف</v>
      </c>
      <c r="X1060" s="640"/>
      <c r="Y1060" s="68"/>
      <c r="Z1060" s="598"/>
      <c r="AK1060" s="667"/>
      <c r="AL1060" s="667"/>
      <c r="AM1060" s="696"/>
      <c r="AN1060" s="698"/>
      <c r="AO1060" s="699"/>
      <c r="AP1060" s="698"/>
    </row>
    <row r="1061" spans="1:42" ht="14.85" customHeight="1" thickBot="1" x14ac:dyDescent="0.3">
      <c r="A1061" s="612"/>
      <c r="B1061" s="615"/>
      <c r="C1061" s="618"/>
      <c r="D1061" s="621"/>
      <c r="E1061" s="124" t="s">
        <v>33</v>
      </c>
      <c r="F1061" s="623">
        <f t="shared" ref="F1061" si="2884">SUM(F1058:G1060)</f>
        <v>0</v>
      </c>
      <c r="G1061" s="624"/>
      <c r="H1061" s="625">
        <f t="shared" ref="H1061" si="2885">SUM(H1058:I1060)</f>
        <v>0</v>
      </c>
      <c r="I1061" s="626"/>
      <c r="J1061" s="623">
        <f t="shared" ref="J1061" si="2886">SUM(J1058:K1060)</f>
        <v>0</v>
      </c>
      <c r="K1061" s="624"/>
      <c r="L1061" s="625">
        <f t="shared" ref="L1061" si="2887">SUM(L1058:M1060)</f>
        <v>0</v>
      </c>
      <c r="M1061" s="642"/>
      <c r="N1061" s="625">
        <f t="shared" ref="N1061" si="2888">SUM(N1058:O1060)</f>
        <v>0</v>
      </c>
      <c r="O1061" s="642"/>
      <c r="P1061" s="623">
        <f t="shared" ref="P1061" si="2889">SUM(P1058:Q1060)</f>
        <v>0</v>
      </c>
      <c r="Q1061" s="626"/>
      <c r="R1061" s="88">
        <f t="shared" ref="R1061" si="2890">IF(AND(F1061&gt;=$G$8,H1061&gt;=$I$8,J1061&gt;=$K$8,L1061&gt;=$M$8,N1061&gt;=$O$8,P1061&gt;=$Q$8),SUM(F1061:Q1061),0)</f>
        <v>0</v>
      </c>
      <c r="S1061" s="251"/>
      <c r="T1061" s="97"/>
      <c r="U1061" s="94"/>
      <c r="V1061" s="606"/>
      <c r="W1061" s="88" t="str">
        <f t="shared" ref="W1061" si="2891">LOOKUP(R1061,$AI$6:$AJ$10)</f>
        <v>ضعيف</v>
      </c>
      <c r="X1061" s="641"/>
      <c r="Y1061" s="8"/>
      <c r="Z1061" s="599"/>
      <c r="AK1061" s="667"/>
      <c r="AL1061" s="667"/>
      <c r="AM1061" s="696"/>
      <c r="AN1061" s="698"/>
      <c r="AO1061" s="699"/>
      <c r="AP1061" s="698"/>
    </row>
    <row r="1062" spans="1:42" ht="14.85" customHeight="1" thickBot="1" x14ac:dyDescent="0.3">
      <c r="F1062" s="71"/>
      <c r="G1062" s="72"/>
      <c r="H1062" s="71"/>
      <c r="I1062" s="72"/>
      <c r="J1062" s="71"/>
      <c r="K1062" s="72"/>
      <c r="L1062" s="71"/>
      <c r="M1062" s="72"/>
      <c r="N1062" s="71"/>
      <c r="O1062" s="72"/>
      <c r="P1062" s="71"/>
      <c r="Q1062" s="72"/>
      <c r="R1062" s="70"/>
      <c r="S1062" s="73"/>
      <c r="T1062" s="70"/>
      <c r="U1062" s="70"/>
      <c r="V1062" s="70"/>
      <c r="W1062" s="70"/>
      <c r="X1062" s="254"/>
      <c r="Y1062" s="68"/>
      <c r="AH1062" s="74"/>
    </row>
    <row r="1063" spans="1:42" customFormat="1" ht="14.85" customHeight="1" x14ac:dyDescent="0.3">
      <c r="A1063" s="668" t="s">
        <v>9</v>
      </c>
      <c r="B1063" s="669"/>
      <c r="C1063" s="670"/>
      <c r="D1063" s="277" t="s">
        <v>11</v>
      </c>
      <c r="E1063" s="674" t="s">
        <v>96</v>
      </c>
      <c r="F1063" s="663"/>
      <c r="G1063" s="663"/>
      <c r="H1063" s="663"/>
      <c r="I1063" s="663"/>
      <c r="J1063" s="7"/>
      <c r="K1063" s="7"/>
      <c r="L1063" s="7"/>
      <c r="M1063" s="7"/>
      <c r="N1063" s="7"/>
      <c r="O1063" s="7"/>
      <c r="P1063" s="7"/>
      <c r="Q1063" s="663" t="s">
        <v>156</v>
      </c>
      <c r="R1063" s="663"/>
      <c r="S1063" s="663"/>
      <c r="T1063" s="663"/>
      <c r="U1063" s="663"/>
      <c r="V1063" s="663"/>
      <c r="W1063" s="1"/>
      <c r="X1063" s="255"/>
      <c r="Z1063" s="75"/>
      <c r="AA1063" s="76"/>
      <c r="AB1063" s="76"/>
      <c r="AC1063" s="76"/>
      <c r="AD1063" s="76"/>
    </row>
    <row r="1064" spans="1:42" customFormat="1" ht="14.85" customHeight="1" x14ac:dyDescent="0.25">
      <c r="A1064" s="77" t="s">
        <v>8</v>
      </c>
      <c r="B1064" s="671">
        <f>ادخال1!$BJ$3</f>
        <v>0</v>
      </c>
      <c r="C1064" s="672"/>
      <c r="D1064" s="278"/>
      <c r="E1064" s="7" t="s">
        <v>9</v>
      </c>
      <c r="F1064" s="673" t="str">
        <f>ادخال1!$BJ$5</f>
        <v>د. عبدالرحمن خليفة العريبي</v>
      </c>
      <c r="G1064" s="673"/>
      <c r="H1064" s="673"/>
      <c r="I1064" s="673"/>
      <c r="J1064" s="673"/>
      <c r="K1064" s="673"/>
      <c r="L1064" s="673"/>
      <c r="M1064" s="673"/>
      <c r="N1064" s="673"/>
      <c r="O1064" s="673"/>
      <c r="P1064" s="7"/>
      <c r="Q1064" s="673" t="str">
        <f>ادخال1!$BJ$6</f>
        <v>تاجوراء</v>
      </c>
      <c r="R1064" s="673"/>
      <c r="S1064" s="673"/>
      <c r="T1064" s="673"/>
      <c r="U1064" s="673"/>
      <c r="V1064" s="673"/>
      <c r="W1064" s="673"/>
      <c r="X1064" s="63"/>
      <c r="Y1064" s="63"/>
      <c r="Z1064" s="75"/>
      <c r="AA1064" s="75"/>
      <c r="AB1064" s="75"/>
      <c r="AC1064" s="75"/>
    </row>
    <row r="1065" spans="1:42" customFormat="1" ht="14.85" customHeight="1" thickBot="1" x14ac:dyDescent="0.3">
      <c r="A1065" s="78" t="s">
        <v>97</v>
      </c>
      <c r="B1065" s="665">
        <f>ادخال1!$BJ$4</f>
        <v>0</v>
      </c>
      <c r="C1065" s="666"/>
      <c r="D1065" s="279"/>
      <c r="E1065" s="7" t="s">
        <v>11</v>
      </c>
      <c r="F1065" s="667"/>
      <c r="G1065" s="667"/>
      <c r="H1065" s="667"/>
      <c r="I1065" s="667"/>
      <c r="J1065" s="667"/>
      <c r="K1065" s="667"/>
      <c r="L1065" s="667"/>
      <c r="M1065" s="667"/>
      <c r="N1065" s="667"/>
      <c r="O1065" s="667"/>
      <c r="P1065" s="7"/>
      <c r="Q1065" s="7" t="s">
        <v>11</v>
      </c>
      <c r="R1065" s="1"/>
      <c r="S1065" s="1"/>
      <c r="T1065" s="1"/>
      <c r="U1065" s="1"/>
      <c r="V1065" s="1"/>
      <c r="W1065" s="1"/>
      <c r="X1065" s="255"/>
      <c r="Z1065" s="75"/>
      <c r="AA1065" s="75"/>
      <c r="AB1065" s="75"/>
      <c r="AC1065" s="75"/>
    </row>
    <row r="1066" spans="1:42" customFormat="1" ht="14.85" customHeight="1" x14ac:dyDescent="0.25">
      <c r="A1066" s="663" t="s">
        <v>98</v>
      </c>
      <c r="B1066" s="663"/>
      <c r="C1066" s="663"/>
      <c r="D1066" s="663"/>
      <c r="E1066" s="663" t="s">
        <v>99</v>
      </c>
      <c r="F1066" s="663"/>
      <c r="G1066" s="663"/>
      <c r="H1066" s="663"/>
      <c r="I1066" s="663"/>
      <c r="J1066" s="663"/>
      <c r="K1066" s="663"/>
      <c r="L1066" s="663"/>
      <c r="M1066" s="663"/>
      <c r="N1066" s="663"/>
      <c r="O1066" s="663"/>
      <c r="P1066" s="663"/>
      <c r="Q1066" s="663"/>
      <c r="R1066" s="7"/>
      <c r="S1066" s="664">
        <f ca="1">TODAY()</f>
        <v>46009</v>
      </c>
      <c r="T1066" s="664"/>
      <c r="U1066" s="664"/>
      <c r="V1066" s="664"/>
      <c r="W1066" s="664"/>
      <c r="X1066" s="255"/>
    </row>
    <row r="1067" spans="1:42" customFormat="1" ht="14.85" customHeight="1" thickBot="1" x14ac:dyDescent="0.3">
      <c r="A1067" s="7"/>
      <c r="B1067" s="663" t="s">
        <v>100</v>
      </c>
      <c r="C1067" s="663"/>
      <c r="D1067" s="663"/>
      <c r="E1067" s="663" t="s">
        <v>101</v>
      </c>
      <c r="F1067" s="663"/>
      <c r="G1067" s="663"/>
      <c r="H1067" s="663"/>
      <c r="I1067" s="663"/>
      <c r="J1067" s="663"/>
      <c r="K1067" s="663"/>
      <c r="L1067" s="663"/>
      <c r="M1067" s="663"/>
      <c r="N1067" s="663"/>
      <c r="O1067" s="663"/>
      <c r="P1067" s="663"/>
      <c r="Q1067" s="663"/>
      <c r="R1067" s="1"/>
      <c r="S1067" s="1"/>
      <c r="T1067" s="1"/>
      <c r="U1067" s="1"/>
      <c r="V1067" s="1"/>
      <c r="W1067" s="1"/>
      <c r="X1067" s="255"/>
    </row>
    <row r="1068" spans="1:42" ht="14.85" customHeight="1" thickBot="1" x14ac:dyDescent="0.3">
      <c r="A1068" s="610">
        <v>231</v>
      </c>
      <c r="B1068" s="613">
        <f>VLOOKUP(A1068,مسلسل,2,0)</f>
        <v>0</v>
      </c>
      <c r="C1068" s="616" t="str">
        <f>IFERROR(VLOOKUP(B1068,اسماء,2,0),"")</f>
        <v/>
      </c>
      <c r="D1068" s="619" t="str">
        <f>IFERROR(VLOOKUP($B1068,اسماء,3,0),"")</f>
        <v/>
      </c>
      <c r="E1068" s="129" t="s">
        <v>30</v>
      </c>
      <c r="F1068" s="600">
        <f>IFERROR(VLOOKUP($B1068,اسماء,5,0),0)</f>
        <v>0</v>
      </c>
      <c r="G1068" s="601"/>
      <c r="H1068" s="602">
        <f>IFERROR(VLOOKUP($B1068,اسماء,6,0),0)</f>
        <v>0</v>
      </c>
      <c r="I1068" s="622"/>
      <c r="J1068" s="600">
        <f>IFERROR(VLOOKUP($B1068,اسماء,7,0),0)</f>
        <v>0</v>
      </c>
      <c r="K1068" s="601"/>
      <c r="L1068" s="602">
        <f>IFERROR(VLOOKUP($B1068,اسماء,8,0),0)</f>
        <v>0</v>
      </c>
      <c r="M1068" s="603"/>
      <c r="N1068" s="602">
        <f>IFERROR(VLOOKUP($B1068,اسماء,9,0),0)</f>
        <v>0</v>
      </c>
      <c r="O1068" s="603"/>
      <c r="P1068" s="600">
        <f>IFERROR(VLOOKUP($B1068,اسماء,10,0),0)</f>
        <v>0</v>
      </c>
      <c r="Q1068" s="622"/>
      <c r="R1068" s="371">
        <f>SUM(F1068:Q1068)</f>
        <v>0</v>
      </c>
      <c r="S1068" s="325" t="str">
        <f>IFERROR(VLOOKUP($B1068,اسماء,12,0),"")</f>
        <v/>
      </c>
      <c r="T1068" s="326" t="str">
        <f>IFERROR(VLOOKUP($B1068,اسماء,13,0),"")</f>
        <v/>
      </c>
      <c r="U1068" s="92" t="str">
        <f>IFERROR(VLOOKUP($B1068,اسماء,14,0),"")</f>
        <v/>
      </c>
      <c r="V1068" s="604" t="str">
        <f t="shared" ref="V1068" si="2892">IF(Z1068="غائب","راسب",IF(R1071&gt;0,"ناجح","مرحل"))</f>
        <v>مرحل</v>
      </c>
      <c r="W1068" s="19" t="str">
        <f t="shared" ref="W1068:W1069" si="2893">LOOKUP(R1068,$AC$6:$AD$10)</f>
        <v>ضعيف</v>
      </c>
      <c r="X1068" s="639">
        <f t="shared" ref="X1068" si="2894">R1071/$AC$3</f>
        <v>0</v>
      </c>
      <c r="Y1068" s="68"/>
      <c r="Z1068" s="597" t="str">
        <f>IFERROR(VLOOKUP($B1068,اسماء,48,0),"")</f>
        <v/>
      </c>
      <c r="AK1068" s="671" t="str">
        <f>IF(R1071=0,"",R1071/1+ROW()*0.00001)</f>
        <v/>
      </c>
      <c r="AL1068" s="671">
        <f>B1068</f>
        <v>0</v>
      </c>
      <c r="AM1068" s="696"/>
      <c r="AN1068" s="698">
        <v>231</v>
      </c>
      <c r="AO1068" s="699" t="str">
        <f>IFERROR(LARGE($AK$10:$AK$1420,AN1068),"")</f>
        <v/>
      </c>
      <c r="AP1068" s="698" t="str">
        <f>VLOOKUP(AO1068,$AK$10:$AL$1530,2,0)</f>
        <v>امجد عمر عبداللطيف سلطان</v>
      </c>
    </row>
    <row r="1069" spans="1:42" ht="14.85" customHeight="1" x14ac:dyDescent="0.25">
      <c r="A1069" s="611"/>
      <c r="B1069" s="614"/>
      <c r="C1069" s="617"/>
      <c r="D1069" s="620"/>
      <c r="E1069" s="130" t="s">
        <v>31</v>
      </c>
      <c r="F1069" s="592">
        <f>IFERROR(VLOOKUP($B1068,اسماء,16,0),0)</f>
        <v>0</v>
      </c>
      <c r="G1069" s="593"/>
      <c r="H1069" s="594">
        <f>IFERROR(VLOOKUP($B1068,اسماء,17,0),0)</f>
        <v>0</v>
      </c>
      <c r="I1069" s="595"/>
      <c r="J1069" s="592">
        <f>IFERROR(VLOOKUP($B1068,اسماء,18,0),0)</f>
        <v>0</v>
      </c>
      <c r="K1069" s="593"/>
      <c r="L1069" s="594">
        <f>IFERROR(VLOOKUP($B1068,اسماء,19,0),0)</f>
        <v>0</v>
      </c>
      <c r="M1069" s="596"/>
      <c r="N1069" s="594">
        <f>IFERROR(VLOOKUP($B1068,اسماء,20,0),0)</f>
        <v>0</v>
      </c>
      <c r="O1069" s="596"/>
      <c r="P1069" s="592">
        <f>IFERROR(VLOOKUP($B1068,اسماء,21,0),0)</f>
        <v>0</v>
      </c>
      <c r="Q1069" s="595"/>
      <c r="R1069" s="372">
        <f t="shared" ref="R1069:R1070" si="2895">SUM(F1069:Q1069)</f>
        <v>0</v>
      </c>
      <c r="S1069" s="305" t="str">
        <f>IFERROR(VLOOKUP($B1068,اسماء,23,0),"")</f>
        <v/>
      </c>
      <c r="T1069" s="306" t="str">
        <f>IFERROR(VLOOKUP($B1068,اسماء,24,0),"")</f>
        <v/>
      </c>
      <c r="U1069" s="122" t="str">
        <f>IFERROR(VLOOKUP($B1068,اسماء,25,0),"")</f>
        <v/>
      </c>
      <c r="V1069" s="605"/>
      <c r="W1069" s="19" t="str">
        <f t="shared" si="2893"/>
        <v>ضعيف</v>
      </c>
      <c r="X1069" s="640"/>
      <c r="Y1069" s="68"/>
      <c r="Z1069" s="598"/>
      <c r="AK1069" s="671"/>
      <c r="AL1069" s="671"/>
      <c r="AM1069" s="696"/>
      <c r="AN1069" s="698"/>
      <c r="AO1069" s="699"/>
      <c r="AP1069" s="698"/>
    </row>
    <row r="1070" spans="1:42" ht="14.85" customHeight="1" x14ac:dyDescent="0.25">
      <c r="A1070" s="611"/>
      <c r="B1070" s="614"/>
      <c r="C1070" s="617"/>
      <c r="D1070" s="620"/>
      <c r="E1070" s="130" t="s">
        <v>32</v>
      </c>
      <c r="F1070" s="592">
        <f>IFERROR(VLOOKUP($B1068,اسماء,27,0),0)</f>
        <v>0</v>
      </c>
      <c r="G1070" s="593"/>
      <c r="H1070" s="594">
        <f>IFERROR(VLOOKUP($B1068,اسماء,28,0),0)</f>
        <v>0</v>
      </c>
      <c r="I1070" s="595"/>
      <c r="J1070" s="592">
        <f>IFERROR(VLOOKUP($B1068,اسماء,29,0),0)</f>
        <v>0</v>
      </c>
      <c r="K1070" s="593"/>
      <c r="L1070" s="594">
        <f>IFERROR(VLOOKUP($B1068,اسماء,30,0),0)</f>
        <v>0</v>
      </c>
      <c r="M1070" s="596"/>
      <c r="N1070" s="594">
        <f>IFERROR(VLOOKUP($B1068,اسماء,31,0),0)</f>
        <v>0</v>
      </c>
      <c r="O1070" s="596"/>
      <c r="P1070" s="592">
        <f>IFERROR(VLOOKUP($B1068,اسماء,32,0),0)</f>
        <v>0</v>
      </c>
      <c r="Q1070" s="595"/>
      <c r="R1070" s="372">
        <f t="shared" si="2895"/>
        <v>0</v>
      </c>
      <c r="S1070" s="305" t="str">
        <f>IFERROR(VLOOKUP($B1068,اسماء,34,0),"")</f>
        <v/>
      </c>
      <c r="T1070" s="306" t="str">
        <f>IFERROR(VLOOKUP($B1068,اسماء,35,0),"")</f>
        <v/>
      </c>
      <c r="U1070" s="122" t="str">
        <f>IFERROR(VLOOKUP($B1068,اسماء,36,0),"")</f>
        <v/>
      </c>
      <c r="V1070" s="605"/>
      <c r="W1070" s="20" t="str">
        <f t="shared" ref="W1070" si="2896">LOOKUP(R1070,$AF$6:$AG$10)</f>
        <v>ضعيف</v>
      </c>
      <c r="X1070" s="640"/>
      <c r="Y1070" s="8"/>
      <c r="Z1070" s="598"/>
      <c r="AK1070" s="671"/>
      <c r="AL1070" s="671"/>
      <c r="AM1070" s="696"/>
      <c r="AN1070" s="698"/>
      <c r="AO1070" s="699"/>
      <c r="AP1070" s="698"/>
    </row>
    <row r="1071" spans="1:42" ht="14.85" customHeight="1" thickBot="1" x14ac:dyDescent="0.3">
      <c r="A1071" s="612"/>
      <c r="B1071" s="615"/>
      <c r="C1071" s="618"/>
      <c r="D1071" s="621"/>
      <c r="E1071" s="124" t="s">
        <v>33</v>
      </c>
      <c r="F1071" s="623">
        <f>SUM(F1068:G1070)</f>
        <v>0</v>
      </c>
      <c r="G1071" s="624"/>
      <c r="H1071" s="625">
        <f>SUM(H1068:I1070)</f>
        <v>0</v>
      </c>
      <c r="I1071" s="626"/>
      <c r="J1071" s="623">
        <f>SUM(J1068:K1070)</f>
        <v>0</v>
      </c>
      <c r="K1071" s="624"/>
      <c r="L1071" s="625">
        <f>SUM(L1068:M1070)</f>
        <v>0</v>
      </c>
      <c r="M1071" s="642"/>
      <c r="N1071" s="625">
        <f>SUM(N1068:O1070)</f>
        <v>0</v>
      </c>
      <c r="O1071" s="642"/>
      <c r="P1071" s="623">
        <f>SUM(P1068:Q1070)</f>
        <v>0</v>
      </c>
      <c r="Q1071" s="626"/>
      <c r="R1071" s="88">
        <f>IF(AND(F1071&gt;=$G$8,H1071&gt;=$I$8,J1071&gt;=$K$8,L1071&gt;=$M$8,N1071&gt;=$O$8,P1071&gt;=$Q$8),SUM(F1071:Q1071),0)</f>
        <v>0</v>
      </c>
      <c r="S1071" s="251"/>
      <c r="T1071" s="97"/>
      <c r="U1071" s="94"/>
      <c r="V1071" s="606"/>
      <c r="W1071" s="88" t="str">
        <f t="shared" ref="W1071" si="2897">LOOKUP(R1071,$AI$6:$AJ$10)</f>
        <v>ضعيف</v>
      </c>
      <c r="X1071" s="641"/>
      <c r="Y1071" s="68"/>
      <c r="Z1071" s="599"/>
      <c r="AK1071" s="671"/>
      <c r="AL1071" s="671"/>
      <c r="AM1071" s="696"/>
      <c r="AN1071" s="698"/>
      <c r="AO1071" s="699"/>
      <c r="AP1071" s="698"/>
    </row>
    <row r="1072" spans="1:42" ht="14.85" customHeight="1" thickBot="1" x14ac:dyDescent="0.3">
      <c r="A1072" s="610">
        <v>232</v>
      </c>
      <c r="B1072" s="613">
        <f>VLOOKUP(A1072,مسلسل,2,0)</f>
        <v>0</v>
      </c>
      <c r="C1072" s="616" t="str">
        <f>IFERROR(VLOOKUP(B1072,اسماء,2,0),"")</f>
        <v/>
      </c>
      <c r="D1072" s="619" t="str">
        <f>IFERROR(VLOOKUP($B1072,اسماء,3,0),"")</f>
        <v/>
      </c>
      <c r="E1072" s="129" t="s">
        <v>30</v>
      </c>
      <c r="F1072" s="600">
        <f>IFERROR(VLOOKUP($B1072,اسماء,5,0),0)</f>
        <v>0</v>
      </c>
      <c r="G1072" s="601"/>
      <c r="H1072" s="602">
        <f>IFERROR(VLOOKUP($B1072,اسماء,6,0),0)</f>
        <v>0</v>
      </c>
      <c r="I1072" s="622"/>
      <c r="J1072" s="600">
        <f>IFERROR(VLOOKUP($B1072,اسماء,7,0),0)</f>
        <v>0</v>
      </c>
      <c r="K1072" s="601"/>
      <c r="L1072" s="602">
        <f>IFERROR(VLOOKUP($B1072,اسماء,8,0),0)</f>
        <v>0</v>
      </c>
      <c r="M1072" s="603"/>
      <c r="N1072" s="602">
        <f>IFERROR(VLOOKUP($B1072,اسماء,9,0),0)</f>
        <v>0</v>
      </c>
      <c r="O1072" s="603"/>
      <c r="P1072" s="600">
        <f>IFERROR(VLOOKUP($B1072,اسماء,10,0),0)</f>
        <v>0</v>
      </c>
      <c r="Q1072" s="622"/>
      <c r="R1072" s="371">
        <f t="shared" ref="R1072:R1106" si="2898">SUM(F1072:Q1072)</f>
        <v>0</v>
      </c>
      <c r="S1072" s="213" t="str">
        <f>IFERROR(VLOOKUP($B1072,اسماء,12,0),"")</f>
        <v/>
      </c>
      <c r="T1072" s="214" t="str">
        <f>IFERROR(VLOOKUP($B1072,اسماء,13,0),"")</f>
        <v/>
      </c>
      <c r="U1072" s="364" t="str">
        <f>IFERROR(VLOOKUP($B1072,اسماء,14,0),"")</f>
        <v/>
      </c>
      <c r="V1072" s="604" t="str">
        <f t="shared" ref="V1072" si="2899">IF(Z1072="غائب","راسب",IF(R1075&gt;0,"ناجح","مرحل"))</f>
        <v>مرحل</v>
      </c>
      <c r="W1072" s="19" t="str">
        <f t="shared" ref="W1072:W1073" si="2900">LOOKUP(R1072,$AC$6:$AD$10)</f>
        <v>ضعيف</v>
      </c>
      <c r="X1072" s="639">
        <f t="shared" ref="X1072" si="2901">R1075/$AC$3</f>
        <v>0</v>
      </c>
      <c r="Y1072" s="68"/>
      <c r="Z1072" s="597" t="str">
        <f>IFERROR(VLOOKUP($B1072,اسماء,48,0),"")</f>
        <v/>
      </c>
      <c r="AK1072" s="667" t="str">
        <f t="shared" ref="AK1072" si="2902">IF(R1075=0,"",R1075/1+ROW()*0.00001)</f>
        <v/>
      </c>
      <c r="AL1072" s="667">
        <f>B1072</f>
        <v>0</v>
      </c>
      <c r="AM1072" s="696"/>
      <c r="AN1072" s="698">
        <v>232</v>
      </c>
      <c r="AO1072" s="699" t="str">
        <f>IFERROR(LARGE($AK$10:$AK$1420,AN1072),"")</f>
        <v/>
      </c>
      <c r="AP1072" s="698" t="str">
        <f>VLOOKUP(AO1072,$AK$10:$AL$1530,2,0)</f>
        <v>امجد عمر عبداللطيف سلطان</v>
      </c>
    </row>
    <row r="1073" spans="1:42" ht="14.85" customHeight="1" x14ac:dyDescent="0.25">
      <c r="A1073" s="611"/>
      <c r="B1073" s="614"/>
      <c r="C1073" s="617"/>
      <c r="D1073" s="620"/>
      <c r="E1073" s="130" t="s">
        <v>31</v>
      </c>
      <c r="F1073" s="592">
        <f>IFERROR(VLOOKUP($B1072,اسماء,15,0),0)</f>
        <v>0</v>
      </c>
      <c r="G1073" s="593"/>
      <c r="H1073" s="594">
        <f>IFERROR(VLOOKUP($B1072,اسماء,16,0),0)</f>
        <v>0</v>
      </c>
      <c r="I1073" s="595"/>
      <c r="J1073" s="592">
        <f>IFERROR(VLOOKUP($B1072,اسماء,17,0),0)</f>
        <v>0</v>
      </c>
      <c r="K1073" s="593"/>
      <c r="L1073" s="594">
        <f>IFERROR(VLOOKUP($B1072,اسماء,18,0),0)</f>
        <v>0</v>
      </c>
      <c r="M1073" s="596"/>
      <c r="N1073" s="594">
        <f>IFERROR(VLOOKUP($B1072,اسماء,19,0),0)</f>
        <v>0</v>
      </c>
      <c r="O1073" s="596"/>
      <c r="P1073" s="592">
        <f>IFERROR(VLOOKUP($B1072,اسماء,20,0),0)</f>
        <v>0</v>
      </c>
      <c r="Q1073" s="595"/>
      <c r="R1073" s="372">
        <f t="shared" si="2898"/>
        <v>0</v>
      </c>
      <c r="S1073" s="305" t="str">
        <f>IFERROR(VLOOKUP($B1072,اسماء,23,0),"")</f>
        <v/>
      </c>
      <c r="T1073" s="306" t="str">
        <f>IFERROR(VLOOKUP($B1072,اسماء,24,0),"")</f>
        <v/>
      </c>
      <c r="U1073" s="122" t="str">
        <f>IFERROR(VLOOKUP($B1072,اسماء,25,0),"")</f>
        <v/>
      </c>
      <c r="V1073" s="605"/>
      <c r="W1073" s="19" t="str">
        <f t="shared" si="2900"/>
        <v>ضعيف</v>
      </c>
      <c r="X1073" s="640"/>
      <c r="Y1073" s="8"/>
      <c r="Z1073" s="598"/>
      <c r="AK1073" s="667"/>
      <c r="AL1073" s="667"/>
      <c r="AM1073" s="696"/>
      <c r="AN1073" s="698"/>
      <c r="AO1073" s="699"/>
      <c r="AP1073" s="698"/>
    </row>
    <row r="1074" spans="1:42" ht="14.85" customHeight="1" x14ac:dyDescent="0.25">
      <c r="A1074" s="611"/>
      <c r="B1074" s="614"/>
      <c r="C1074" s="617"/>
      <c r="D1074" s="620"/>
      <c r="E1074" s="130" t="s">
        <v>32</v>
      </c>
      <c r="F1074" s="592">
        <f>IFERROR(VLOOKUP($B1072,اسماء,25,0),0)</f>
        <v>0</v>
      </c>
      <c r="G1074" s="593"/>
      <c r="H1074" s="594">
        <f>IFERROR(VLOOKUP($B1072,اسماء,26,0),0)</f>
        <v>0</v>
      </c>
      <c r="I1074" s="595"/>
      <c r="J1074" s="592">
        <f>IFERROR(VLOOKUP($B1072,اسماء,27,0),0)</f>
        <v>0</v>
      </c>
      <c r="K1074" s="593"/>
      <c r="L1074" s="594">
        <f>IFERROR(VLOOKUP($B1072,اسماء,28,0),0)</f>
        <v>0</v>
      </c>
      <c r="M1074" s="596"/>
      <c r="N1074" s="594">
        <f>IFERROR(VLOOKUP($B1072,اسماء,29,0),0)</f>
        <v>0</v>
      </c>
      <c r="O1074" s="596"/>
      <c r="P1074" s="592">
        <f>IFERROR(VLOOKUP($B1072,اسماء,30,0),0)</f>
        <v>0</v>
      </c>
      <c r="Q1074" s="595"/>
      <c r="R1074" s="372">
        <f t="shared" si="2898"/>
        <v>0</v>
      </c>
      <c r="S1074" s="305" t="str">
        <f>IFERROR(VLOOKUP($B1072,اسماء,34,0),"")</f>
        <v/>
      </c>
      <c r="T1074" s="306" t="str">
        <f>IFERROR(VLOOKUP($B1072,اسماء,35,0),"")</f>
        <v/>
      </c>
      <c r="U1074" s="122" t="str">
        <f>IFERROR(VLOOKUP($B1072,اسماء,36,0),"")</f>
        <v/>
      </c>
      <c r="V1074" s="605"/>
      <c r="W1074" s="20" t="str">
        <f t="shared" ref="W1074" si="2903">LOOKUP(R1074,$AF$6:$AG$10)</f>
        <v>ضعيف</v>
      </c>
      <c r="X1074" s="640"/>
      <c r="Y1074" s="68"/>
      <c r="Z1074" s="598"/>
      <c r="AK1074" s="667"/>
      <c r="AL1074" s="667"/>
      <c r="AM1074" s="696"/>
      <c r="AN1074" s="698"/>
      <c r="AO1074" s="699"/>
      <c r="AP1074" s="698"/>
    </row>
    <row r="1075" spans="1:42" ht="14.85" customHeight="1" thickBot="1" x14ac:dyDescent="0.3">
      <c r="A1075" s="612"/>
      <c r="B1075" s="615"/>
      <c r="C1075" s="618"/>
      <c r="D1075" s="621"/>
      <c r="E1075" s="124" t="s">
        <v>33</v>
      </c>
      <c r="F1075" s="623">
        <f>SUM(F1072:G1074)</f>
        <v>0</v>
      </c>
      <c r="G1075" s="624"/>
      <c r="H1075" s="625">
        <f>SUM(H1072:I1074)</f>
        <v>0</v>
      </c>
      <c r="I1075" s="626"/>
      <c r="J1075" s="623">
        <f>SUM(J1072:K1074)</f>
        <v>0</v>
      </c>
      <c r="K1075" s="624"/>
      <c r="L1075" s="625">
        <f>SUM(L1072:M1074)</f>
        <v>0</v>
      </c>
      <c r="M1075" s="642"/>
      <c r="N1075" s="625">
        <f>SUM(N1072:O1074)</f>
        <v>0</v>
      </c>
      <c r="O1075" s="642"/>
      <c r="P1075" s="623">
        <f>SUM(P1072:Q1074)</f>
        <v>0</v>
      </c>
      <c r="Q1075" s="626"/>
      <c r="R1075" s="88">
        <f t="shared" ref="R1075" si="2904">IF(AND(F1075&gt;=$G$8,H1075&gt;=$I$8,J1075&gt;=$K$8,L1075&gt;=$M$8,N1075&gt;=$O$8,P1075&gt;=$Q$8),SUM(F1075:Q1075),0)</f>
        <v>0</v>
      </c>
      <c r="S1075" s="251"/>
      <c r="T1075" s="97"/>
      <c r="U1075" s="94"/>
      <c r="V1075" s="606"/>
      <c r="W1075" s="88" t="str">
        <f t="shared" ref="W1075" si="2905">LOOKUP(R1075,$AI$6:$AJ$10)</f>
        <v>ضعيف</v>
      </c>
      <c r="X1075" s="641"/>
      <c r="Y1075" s="68"/>
      <c r="Z1075" s="599"/>
      <c r="AK1075" s="667"/>
      <c r="AL1075" s="667"/>
      <c r="AM1075" s="696"/>
      <c r="AN1075" s="698"/>
      <c r="AO1075" s="699"/>
      <c r="AP1075" s="698"/>
    </row>
    <row r="1076" spans="1:42" ht="14.85" customHeight="1" thickBot="1" x14ac:dyDescent="0.3">
      <c r="A1076" s="610">
        <v>233</v>
      </c>
      <c r="B1076" s="613">
        <f>VLOOKUP(A1076,مسلسل,2,0)</f>
        <v>0</v>
      </c>
      <c r="C1076" s="616" t="str">
        <f>IFERROR(VLOOKUP(B1076,اسماء,2,0),"")</f>
        <v/>
      </c>
      <c r="D1076" s="619" t="str">
        <f>IFERROR(VLOOKUP($B1076,اسماء,3,0),"")</f>
        <v/>
      </c>
      <c r="E1076" s="129" t="s">
        <v>30</v>
      </c>
      <c r="F1076" s="600">
        <f>IFERROR(VLOOKUP($B1076,اسماء,5,0),0)</f>
        <v>0</v>
      </c>
      <c r="G1076" s="601"/>
      <c r="H1076" s="602">
        <f>IFERROR(VLOOKUP($B1076,اسماء,6,0),0)</f>
        <v>0</v>
      </c>
      <c r="I1076" s="622"/>
      <c r="J1076" s="600">
        <f>IFERROR(VLOOKUP($B1076,اسماء,7,0),0)</f>
        <v>0</v>
      </c>
      <c r="K1076" s="601"/>
      <c r="L1076" s="602">
        <f>IFERROR(VLOOKUP($B1076,اسماء,8,0),0)</f>
        <v>0</v>
      </c>
      <c r="M1076" s="603"/>
      <c r="N1076" s="602">
        <f>IFERROR(VLOOKUP($B1076,اسماء,9,0),0)</f>
        <v>0</v>
      </c>
      <c r="O1076" s="603"/>
      <c r="P1076" s="600">
        <f>IFERROR(VLOOKUP($B1076,اسماء,10,0),0)</f>
        <v>0</v>
      </c>
      <c r="Q1076" s="622"/>
      <c r="R1076" s="371">
        <f t="shared" ref="R1076" si="2906">SUM(F1076:Q1076)</f>
        <v>0</v>
      </c>
      <c r="S1076" s="213" t="str">
        <f>IFERROR(VLOOKUP($B1076,اسماء,12,0),"")</f>
        <v/>
      </c>
      <c r="T1076" s="214" t="str">
        <f>IFERROR(VLOOKUP($B1076,اسماء,13,0),"")</f>
        <v/>
      </c>
      <c r="U1076" s="364" t="str">
        <f>IFERROR(VLOOKUP($B1076,اسماء,14,0),"")</f>
        <v/>
      </c>
      <c r="V1076" s="604" t="str">
        <f t="shared" ref="V1076" si="2907">IF(Z1076="غائب","راسب",IF(R1079&gt;0,"ناجح","مرحل"))</f>
        <v>مرحل</v>
      </c>
      <c r="W1076" s="19" t="str">
        <f t="shared" ref="W1076:W1077" si="2908">LOOKUP(R1076,$AC$6:$AD$10)</f>
        <v>ضعيف</v>
      </c>
      <c r="X1076" s="639">
        <f t="shared" ref="X1076" si="2909">R1079/$AC$3</f>
        <v>0</v>
      </c>
      <c r="Y1076" s="8"/>
      <c r="Z1076" s="597" t="str">
        <f>IFERROR(VLOOKUP($B1076,اسماء,48,0),"")</f>
        <v/>
      </c>
      <c r="AK1076" s="667" t="str">
        <f t="shared" ref="AK1076" si="2910">IF(R1079=0,"",R1079/1+ROW()*0.00001)</f>
        <v/>
      </c>
      <c r="AL1076" s="667">
        <f>B1076</f>
        <v>0</v>
      </c>
      <c r="AM1076" s="696"/>
      <c r="AN1076" s="698">
        <v>233</v>
      </c>
      <c r="AO1076" s="699" t="str">
        <f>IFERROR(LARGE($AK$10:$AK$1420,AN1076),"")</f>
        <v/>
      </c>
      <c r="AP1076" s="698" t="str">
        <f>VLOOKUP(AO1076,$AK$10:$AL$1530,2,0)</f>
        <v>امجد عمر عبداللطيف سلطان</v>
      </c>
    </row>
    <row r="1077" spans="1:42" ht="14.85" customHeight="1" x14ac:dyDescent="0.25">
      <c r="A1077" s="611"/>
      <c r="B1077" s="614"/>
      <c r="C1077" s="617"/>
      <c r="D1077" s="620"/>
      <c r="E1077" s="130" t="s">
        <v>31</v>
      </c>
      <c r="F1077" s="592">
        <f>IFERROR(VLOOKUP($B1076,اسماء,15,0),0)</f>
        <v>0</v>
      </c>
      <c r="G1077" s="593"/>
      <c r="H1077" s="594">
        <f>IFERROR(VLOOKUP($B1076,اسماء,16,0),0)</f>
        <v>0</v>
      </c>
      <c r="I1077" s="595"/>
      <c r="J1077" s="592">
        <f>IFERROR(VLOOKUP($B1076,اسماء,17,0),0)</f>
        <v>0</v>
      </c>
      <c r="K1077" s="593"/>
      <c r="L1077" s="594">
        <f>IFERROR(VLOOKUP($B1076,اسماء,18,0),0)</f>
        <v>0</v>
      </c>
      <c r="M1077" s="596"/>
      <c r="N1077" s="594">
        <f>IFERROR(VLOOKUP($B1076,اسماء,19,0),0)</f>
        <v>0</v>
      </c>
      <c r="O1077" s="596"/>
      <c r="P1077" s="592">
        <f>IFERROR(VLOOKUP($B1076,اسماء,20,0),0)</f>
        <v>0</v>
      </c>
      <c r="Q1077" s="595"/>
      <c r="R1077" s="372">
        <f t="shared" si="2898"/>
        <v>0</v>
      </c>
      <c r="S1077" s="305" t="str">
        <f>IFERROR(VLOOKUP($B1076,اسماء,23,0),"")</f>
        <v/>
      </c>
      <c r="T1077" s="306" t="str">
        <f>IFERROR(VLOOKUP($B1076,اسماء,24,0),"")</f>
        <v/>
      </c>
      <c r="U1077" s="122" t="str">
        <f>IFERROR(VLOOKUP($B1076,اسماء,25,0),"")</f>
        <v/>
      </c>
      <c r="V1077" s="605"/>
      <c r="W1077" s="19" t="str">
        <f t="shared" si="2908"/>
        <v>ضعيف</v>
      </c>
      <c r="X1077" s="640"/>
      <c r="Y1077" s="68"/>
      <c r="Z1077" s="598"/>
      <c r="AK1077" s="667"/>
      <c r="AL1077" s="667"/>
      <c r="AM1077" s="696"/>
      <c r="AN1077" s="698"/>
      <c r="AO1077" s="699"/>
      <c r="AP1077" s="698"/>
    </row>
    <row r="1078" spans="1:42" ht="14.85" customHeight="1" x14ac:dyDescent="0.25">
      <c r="A1078" s="611"/>
      <c r="B1078" s="614"/>
      <c r="C1078" s="617"/>
      <c r="D1078" s="620"/>
      <c r="E1078" s="130" t="s">
        <v>32</v>
      </c>
      <c r="F1078" s="592">
        <f>IFERROR(VLOOKUP($B1076,اسماء,25,0),0)</f>
        <v>0</v>
      </c>
      <c r="G1078" s="593"/>
      <c r="H1078" s="594">
        <f>IFERROR(VLOOKUP($B1076,اسماء,26,0),0)</f>
        <v>0</v>
      </c>
      <c r="I1078" s="595"/>
      <c r="J1078" s="592">
        <f>IFERROR(VLOOKUP($B1076,اسماء,27,0),0)</f>
        <v>0</v>
      </c>
      <c r="K1078" s="593"/>
      <c r="L1078" s="594">
        <f>IFERROR(VLOOKUP($B1076,اسماء,28,0),0)</f>
        <v>0</v>
      </c>
      <c r="M1078" s="596"/>
      <c r="N1078" s="594">
        <f>IFERROR(VLOOKUP($B1076,اسماء,29,0),0)</f>
        <v>0</v>
      </c>
      <c r="O1078" s="596"/>
      <c r="P1078" s="592">
        <f>IFERROR(VLOOKUP($B1076,اسماء,30,0),0)</f>
        <v>0</v>
      </c>
      <c r="Q1078" s="595"/>
      <c r="R1078" s="372">
        <f t="shared" si="2898"/>
        <v>0</v>
      </c>
      <c r="S1078" s="305" t="str">
        <f>IFERROR(VLOOKUP($B1076,اسماء,34,0),"")</f>
        <v/>
      </c>
      <c r="T1078" s="306" t="str">
        <f>IFERROR(VLOOKUP($B1076,اسماء,35,0),"")</f>
        <v/>
      </c>
      <c r="U1078" s="122" t="str">
        <f>IFERROR(VLOOKUP($B1076,اسماء,36,0),"")</f>
        <v/>
      </c>
      <c r="V1078" s="605"/>
      <c r="W1078" s="20" t="str">
        <f t="shared" ref="W1078" si="2911">LOOKUP(R1078,$AF$6:$AG$10)</f>
        <v>ضعيف</v>
      </c>
      <c r="X1078" s="640"/>
      <c r="Y1078" s="68"/>
      <c r="Z1078" s="598"/>
      <c r="AK1078" s="667"/>
      <c r="AL1078" s="667"/>
      <c r="AM1078" s="696"/>
      <c r="AN1078" s="698"/>
      <c r="AO1078" s="699"/>
      <c r="AP1078" s="698"/>
    </row>
    <row r="1079" spans="1:42" ht="14.85" customHeight="1" thickBot="1" x14ac:dyDescent="0.3">
      <c r="A1079" s="612"/>
      <c r="B1079" s="615"/>
      <c r="C1079" s="618"/>
      <c r="D1079" s="621"/>
      <c r="E1079" s="124" t="s">
        <v>33</v>
      </c>
      <c r="F1079" s="623">
        <f t="shared" ref="F1079" si="2912">SUM(F1076:G1078)</f>
        <v>0</v>
      </c>
      <c r="G1079" s="624"/>
      <c r="H1079" s="625">
        <f t="shared" ref="H1079" si="2913">SUM(H1076:I1078)</f>
        <v>0</v>
      </c>
      <c r="I1079" s="626"/>
      <c r="J1079" s="623">
        <f t="shared" ref="J1079" si="2914">SUM(J1076:K1078)</f>
        <v>0</v>
      </c>
      <c r="K1079" s="624"/>
      <c r="L1079" s="625">
        <f t="shared" ref="L1079" si="2915">SUM(L1076:M1078)</f>
        <v>0</v>
      </c>
      <c r="M1079" s="642"/>
      <c r="N1079" s="625">
        <f t="shared" ref="N1079" si="2916">SUM(N1076:O1078)</f>
        <v>0</v>
      </c>
      <c r="O1079" s="642"/>
      <c r="P1079" s="623">
        <f t="shared" ref="P1079" si="2917">SUM(P1076:Q1078)</f>
        <v>0</v>
      </c>
      <c r="Q1079" s="626"/>
      <c r="R1079" s="88">
        <f t="shared" ref="R1079" si="2918">IF(AND(F1079&gt;=$G$8,H1079&gt;=$I$8,J1079&gt;=$K$8,L1079&gt;=$M$8,N1079&gt;=$O$8,P1079&gt;=$Q$8),SUM(F1079:Q1079),0)</f>
        <v>0</v>
      </c>
      <c r="S1079" s="251"/>
      <c r="T1079" s="97"/>
      <c r="U1079" s="94"/>
      <c r="V1079" s="606"/>
      <c r="W1079" s="88" t="str">
        <f t="shared" ref="W1079" si="2919">LOOKUP(R1079,$AI$6:$AJ$10)</f>
        <v>ضعيف</v>
      </c>
      <c r="X1079" s="641"/>
      <c r="Y1079" s="8"/>
      <c r="Z1079" s="599"/>
      <c r="AK1079" s="667"/>
      <c r="AL1079" s="667"/>
      <c r="AM1079" s="696"/>
      <c r="AN1079" s="698"/>
      <c r="AO1079" s="699"/>
      <c r="AP1079" s="698"/>
    </row>
    <row r="1080" spans="1:42" ht="14.85" customHeight="1" thickBot="1" x14ac:dyDescent="0.3">
      <c r="A1080" s="610">
        <v>234</v>
      </c>
      <c r="B1080" s="613">
        <f>VLOOKUP(A1080,مسلسل,2,0)</f>
        <v>0</v>
      </c>
      <c r="C1080" s="616" t="str">
        <f>IFERROR(VLOOKUP(B1080,اسماء,2,0),"")</f>
        <v/>
      </c>
      <c r="D1080" s="619" t="str">
        <f>IFERROR(VLOOKUP($B1080,اسماء,3,0),"")</f>
        <v/>
      </c>
      <c r="E1080" s="129" t="s">
        <v>30</v>
      </c>
      <c r="F1080" s="600">
        <f>IFERROR(VLOOKUP($B1080,اسماء,5,0),0)</f>
        <v>0</v>
      </c>
      <c r="G1080" s="601"/>
      <c r="H1080" s="602">
        <f>IFERROR(VLOOKUP($B1080,اسماء,6,0),0)</f>
        <v>0</v>
      </c>
      <c r="I1080" s="622"/>
      <c r="J1080" s="600">
        <f>IFERROR(VLOOKUP($B1080,اسماء,7,0),0)</f>
        <v>0</v>
      </c>
      <c r="K1080" s="601"/>
      <c r="L1080" s="602">
        <f>IFERROR(VLOOKUP($B1080,اسماء,8,0),0)</f>
        <v>0</v>
      </c>
      <c r="M1080" s="603"/>
      <c r="N1080" s="602">
        <f>IFERROR(VLOOKUP($B1080,اسماء,9,0),0)</f>
        <v>0</v>
      </c>
      <c r="O1080" s="603"/>
      <c r="P1080" s="600">
        <f>IFERROR(VLOOKUP($B1080,اسماء,10,0),0)</f>
        <v>0</v>
      </c>
      <c r="Q1080" s="622"/>
      <c r="R1080" s="371">
        <f t="shared" ref="R1080" si="2920">SUM(F1080:Q1080)</f>
        <v>0</v>
      </c>
      <c r="S1080" s="213" t="str">
        <f>IFERROR(VLOOKUP($B1080,اسماء,12,0),"")</f>
        <v/>
      </c>
      <c r="T1080" s="214" t="str">
        <f>IFERROR(VLOOKUP($B1080,اسماء,13,0),"")</f>
        <v/>
      </c>
      <c r="U1080" s="364" t="str">
        <f>IFERROR(VLOOKUP($B1080,اسماء,14,0),"")</f>
        <v/>
      </c>
      <c r="V1080" s="604" t="str">
        <f t="shared" ref="V1080" si="2921">IF(Z1080="غائب","راسب",IF(R1083&gt;0,"ناجح","مرحل"))</f>
        <v>مرحل</v>
      </c>
      <c r="W1080" s="19" t="str">
        <f t="shared" ref="W1080:W1081" si="2922">LOOKUP(R1080,$AC$6:$AD$10)</f>
        <v>ضعيف</v>
      </c>
      <c r="X1080" s="639">
        <f t="shared" ref="X1080" si="2923">R1083/$AC$3</f>
        <v>0</v>
      </c>
      <c r="Y1080" s="68"/>
      <c r="Z1080" s="597" t="str">
        <f>IFERROR(VLOOKUP($B1080,اسماء,48,0),"")</f>
        <v/>
      </c>
      <c r="AK1080" s="667" t="str">
        <f t="shared" ref="AK1080" si="2924">IF(R1083=0,"",R1083/1+ROW()*0.00001)</f>
        <v/>
      </c>
      <c r="AL1080" s="667">
        <f>B1080</f>
        <v>0</v>
      </c>
      <c r="AM1080" s="696"/>
      <c r="AN1080" s="698">
        <v>234</v>
      </c>
      <c r="AO1080" s="699" t="str">
        <f>IFERROR(LARGE($AK$10:$AK$1420,AN1080),"")</f>
        <v/>
      </c>
      <c r="AP1080" s="698" t="str">
        <f>VLOOKUP(AO1080,$AK$10:$AL$1530,2,0)</f>
        <v>امجد عمر عبداللطيف سلطان</v>
      </c>
    </row>
    <row r="1081" spans="1:42" ht="14.85" customHeight="1" x14ac:dyDescent="0.25">
      <c r="A1081" s="611"/>
      <c r="B1081" s="614"/>
      <c r="C1081" s="617"/>
      <c r="D1081" s="620"/>
      <c r="E1081" s="130" t="s">
        <v>31</v>
      </c>
      <c r="F1081" s="592">
        <f>IFERROR(VLOOKUP($B1080,اسماء,15,0),0)</f>
        <v>0</v>
      </c>
      <c r="G1081" s="593"/>
      <c r="H1081" s="594">
        <f>IFERROR(VLOOKUP($B1080,اسماء,16,0),0)</f>
        <v>0</v>
      </c>
      <c r="I1081" s="595"/>
      <c r="J1081" s="592">
        <f>IFERROR(VLOOKUP($B1080,اسماء,17,0),0)</f>
        <v>0</v>
      </c>
      <c r="K1081" s="593"/>
      <c r="L1081" s="594">
        <f>IFERROR(VLOOKUP($B1080,اسماء,18,0),0)</f>
        <v>0</v>
      </c>
      <c r="M1081" s="596"/>
      <c r="N1081" s="594">
        <f>IFERROR(VLOOKUP($B1080,اسماء,19,0),0)</f>
        <v>0</v>
      </c>
      <c r="O1081" s="596"/>
      <c r="P1081" s="592">
        <f>IFERROR(VLOOKUP($B1080,اسماء,20,0),0)</f>
        <v>0</v>
      </c>
      <c r="Q1081" s="595"/>
      <c r="R1081" s="372">
        <f t="shared" si="2898"/>
        <v>0</v>
      </c>
      <c r="S1081" s="305" t="str">
        <f>IFERROR(VLOOKUP($B1080,اسماء,23,0),"")</f>
        <v/>
      </c>
      <c r="T1081" s="306" t="str">
        <f>IFERROR(VLOOKUP($B1080,اسماء,24,0),"")</f>
        <v/>
      </c>
      <c r="U1081" s="122" t="str">
        <f>IFERROR(VLOOKUP($B1080,اسماء,25,0),"")</f>
        <v/>
      </c>
      <c r="V1081" s="605"/>
      <c r="W1081" s="19" t="str">
        <f t="shared" si="2922"/>
        <v>ضعيف</v>
      </c>
      <c r="X1081" s="640"/>
      <c r="Y1081" s="68"/>
      <c r="Z1081" s="598"/>
      <c r="AK1081" s="667"/>
      <c r="AL1081" s="667"/>
      <c r="AM1081" s="696"/>
      <c r="AN1081" s="698"/>
      <c r="AO1081" s="699"/>
      <c r="AP1081" s="698"/>
    </row>
    <row r="1082" spans="1:42" ht="14.85" customHeight="1" x14ac:dyDescent="0.25">
      <c r="A1082" s="611"/>
      <c r="B1082" s="614"/>
      <c r="C1082" s="617"/>
      <c r="D1082" s="620"/>
      <c r="E1082" s="130" t="s">
        <v>32</v>
      </c>
      <c r="F1082" s="592">
        <f>IFERROR(VLOOKUP($B1080,اسماء,25,0),0)</f>
        <v>0</v>
      </c>
      <c r="G1082" s="593"/>
      <c r="H1082" s="594">
        <f>IFERROR(VLOOKUP($B1080,اسماء,26,0),0)</f>
        <v>0</v>
      </c>
      <c r="I1082" s="595"/>
      <c r="J1082" s="592">
        <f>IFERROR(VLOOKUP($B1080,اسماء,27,0),0)</f>
        <v>0</v>
      </c>
      <c r="K1082" s="593"/>
      <c r="L1082" s="594">
        <f>IFERROR(VLOOKUP($B1080,اسماء,28,0),0)</f>
        <v>0</v>
      </c>
      <c r="M1082" s="596"/>
      <c r="N1082" s="594">
        <f>IFERROR(VLOOKUP($B1080,اسماء,29,0),0)</f>
        <v>0</v>
      </c>
      <c r="O1082" s="596"/>
      <c r="P1082" s="592">
        <f>IFERROR(VLOOKUP($B1080,اسماء,30,0),0)</f>
        <v>0</v>
      </c>
      <c r="Q1082" s="595"/>
      <c r="R1082" s="372">
        <f t="shared" si="2898"/>
        <v>0</v>
      </c>
      <c r="S1082" s="305" t="str">
        <f>IFERROR(VLOOKUP($B1080,اسماء,34,0),"")</f>
        <v/>
      </c>
      <c r="T1082" s="306" t="str">
        <f>IFERROR(VLOOKUP($B1080,اسماء,35,0),"")</f>
        <v/>
      </c>
      <c r="U1082" s="122" t="str">
        <f>IFERROR(VLOOKUP($B1080,اسماء,36,0),"")</f>
        <v/>
      </c>
      <c r="V1082" s="605"/>
      <c r="W1082" s="20" t="str">
        <f t="shared" ref="W1082" si="2925">LOOKUP(R1082,$AF$6:$AG$10)</f>
        <v>ضعيف</v>
      </c>
      <c r="X1082" s="640"/>
      <c r="Y1082" s="8"/>
      <c r="Z1082" s="598"/>
      <c r="AK1082" s="667"/>
      <c r="AL1082" s="667"/>
      <c r="AM1082" s="696"/>
      <c r="AN1082" s="698"/>
      <c r="AO1082" s="699"/>
      <c r="AP1082" s="698"/>
    </row>
    <row r="1083" spans="1:42" ht="14.85" customHeight="1" thickBot="1" x14ac:dyDescent="0.3">
      <c r="A1083" s="612"/>
      <c r="B1083" s="615"/>
      <c r="C1083" s="618"/>
      <c r="D1083" s="621"/>
      <c r="E1083" s="124" t="s">
        <v>33</v>
      </c>
      <c r="F1083" s="623">
        <f t="shared" ref="F1083" si="2926">SUM(F1080:G1082)</f>
        <v>0</v>
      </c>
      <c r="G1083" s="624"/>
      <c r="H1083" s="625">
        <f t="shared" ref="H1083" si="2927">SUM(H1080:I1082)</f>
        <v>0</v>
      </c>
      <c r="I1083" s="626"/>
      <c r="J1083" s="623">
        <f t="shared" ref="J1083" si="2928">SUM(J1080:K1082)</f>
        <v>0</v>
      </c>
      <c r="K1083" s="624"/>
      <c r="L1083" s="625">
        <f t="shared" ref="L1083" si="2929">SUM(L1080:M1082)</f>
        <v>0</v>
      </c>
      <c r="M1083" s="642"/>
      <c r="N1083" s="625">
        <f t="shared" ref="N1083" si="2930">SUM(N1080:O1082)</f>
        <v>0</v>
      </c>
      <c r="O1083" s="642"/>
      <c r="P1083" s="623">
        <f t="shared" ref="P1083" si="2931">SUM(P1080:Q1082)</f>
        <v>0</v>
      </c>
      <c r="Q1083" s="626"/>
      <c r="R1083" s="88">
        <f t="shared" ref="R1083" si="2932">IF(AND(F1083&gt;=$G$8,H1083&gt;=$I$8,J1083&gt;=$K$8,L1083&gt;=$M$8,N1083&gt;=$O$8,P1083&gt;=$Q$8),SUM(F1083:Q1083),0)</f>
        <v>0</v>
      </c>
      <c r="S1083" s="251"/>
      <c r="T1083" s="97"/>
      <c r="U1083" s="94"/>
      <c r="V1083" s="606"/>
      <c r="W1083" s="88" t="str">
        <f t="shared" ref="W1083" si="2933">LOOKUP(R1083,$AI$6:$AJ$10)</f>
        <v>ضعيف</v>
      </c>
      <c r="X1083" s="641"/>
      <c r="Y1083" s="68"/>
      <c r="Z1083" s="599"/>
      <c r="AK1083" s="667"/>
      <c r="AL1083" s="667"/>
      <c r="AM1083" s="696"/>
      <c r="AN1083" s="698"/>
      <c r="AO1083" s="699"/>
      <c r="AP1083" s="698"/>
    </row>
    <row r="1084" spans="1:42" ht="14.85" customHeight="1" thickBot="1" x14ac:dyDescent="0.3">
      <c r="A1084" s="610">
        <v>235</v>
      </c>
      <c r="B1084" s="613">
        <f>VLOOKUP(A1084,مسلسل,2,0)</f>
        <v>0</v>
      </c>
      <c r="C1084" s="616" t="str">
        <f>IFERROR(VLOOKUP(B1084,اسماء,2,0),"")</f>
        <v/>
      </c>
      <c r="D1084" s="619" t="str">
        <f>IFERROR(VLOOKUP($B1084,اسماء,3,0),"")</f>
        <v/>
      </c>
      <c r="E1084" s="129" t="s">
        <v>30</v>
      </c>
      <c r="F1084" s="600">
        <f>IFERROR(VLOOKUP($B1084,اسماء,5,0),0)</f>
        <v>0</v>
      </c>
      <c r="G1084" s="601"/>
      <c r="H1084" s="602">
        <f>IFERROR(VLOOKUP($B1084,اسماء,6,0),0)</f>
        <v>0</v>
      </c>
      <c r="I1084" s="622"/>
      <c r="J1084" s="600">
        <f>IFERROR(VLOOKUP($B1084,اسماء,7,0),0)</f>
        <v>0</v>
      </c>
      <c r="K1084" s="601"/>
      <c r="L1084" s="602">
        <f>IFERROR(VLOOKUP($B1084,اسماء,8,0),0)</f>
        <v>0</v>
      </c>
      <c r="M1084" s="603"/>
      <c r="N1084" s="602">
        <f>IFERROR(VLOOKUP($B1084,اسماء,9,0),0)</f>
        <v>0</v>
      </c>
      <c r="O1084" s="603"/>
      <c r="P1084" s="600">
        <f>IFERROR(VLOOKUP($B1084,اسماء,10,0),0)</f>
        <v>0</v>
      </c>
      <c r="Q1084" s="622"/>
      <c r="R1084" s="371">
        <f t="shared" ref="R1084" si="2934">SUM(F1084:Q1084)</f>
        <v>0</v>
      </c>
      <c r="S1084" s="213" t="str">
        <f>IFERROR(VLOOKUP($B1084,اسماء,12,0),"")</f>
        <v/>
      </c>
      <c r="T1084" s="214" t="str">
        <f>IFERROR(VLOOKUP($B1084,اسماء,13,0),"")</f>
        <v/>
      </c>
      <c r="U1084" s="364" t="str">
        <f>IFERROR(VLOOKUP($B1084,اسماء,14,0),"")</f>
        <v/>
      </c>
      <c r="V1084" s="604" t="str">
        <f t="shared" ref="V1084" si="2935">IF(Z1084="غائب","راسب",IF(R1087&gt;0,"ناجح","مرحل"))</f>
        <v>مرحل</v>
      </c>
      <c r="W1084" s="19" t="str">
        <f t="shared" ref="W1084:W1085" si="2936">LOOKUP(R1084,$AC$6:$AD$10)</f>
        <v>ضعيف</v>
      </c>
      <c r="X1084" s="639">
        <f t="shared" ref="X1084" si="2937">R1087/$AC$3</f>
        <v>0</v>
      </c>
      <c r="Y1084" s="68"/>
      <c r="Z1084" s="597" t="str">
        <f>IFERROR(VLOOKUP($B1084,اسماء,48,0),"")</f>
        <v/>
      </c>
      <c r="AK1084" s="667" t="str">
        <f t="shared" ref="AK1084" si="2938">IF(R1087=0,"",R1087/1+ROW()*0.00001)</f>
        <v/>
      </c>
      <c r="AL1084" s="667">
        <f>B1084</f>
        <v>0</v>
      </c>
      <c r="AM1084" s="696"/>
      <c r="AN1084" s="698">
        <v>235</v>
      </c>
      <c r="AO1084" s="699" t="str">
        <f>IFERROR(LARGE($AK$10:$AK$1420,AN1084),"")</f>
        <v/>
      </c>
      <c r="AP1084" s="698" t="str">
        <f>VLOOKUP(AO1084,$AK$10:$AL$1530,2,0)</f>
        <v>امجد عمر عبداللطيف سلطان</v>
      </c>
    </row>
    <row r="1085" spans="1:42" ht="14.85" customHeight="1" x14ac:dyDescent="0.25">
      <c r="A1085" s="611"/>
      <c r="B1085" s="614"/>
      <c r="C1085" s="617"/>
      <c r="D1085" s="620"/>
      <c r="E1085" s="130" t="s">
        <v>31</v>
      </c>
      <c r="F1085" s="592">
        <f>IFERROR(VLOOKUP($B1084,اسماء,15,0),0)</f>
        <v>0</v>
      </c>
      <c r="G1085" s="593"/>
      <c r="H1085" s="594">
        <f>IFERROR(VLOOKUP($B1084,اسماء,16,0),0)</f>
        <v>0</v>
      </c>
      <c r="I1085" s="595"/>
      <c r="J1085" s="592">
        <f>IFERROR(VLOOKUP($B1084,اسماء,17,0),0)</f>
        <v>0</v>
      </c>
      <c r="K1085" s="593"/>
      <c r="L1085" s="594">
        <f>IFERROR(VLOOKUP($B1084,اسماء,18,0),0)</f>
        <v>0</v>
      </c>
      <c r="M1085" s="596"/>
      <c r="N1085" s="594">
        <f>IFERROR(VLOOKUP($B1084,اسماء,19,0),0)</f>
        <v>0</v>
      </c>
      <c r="O1085" s="596"/>
      <c r="P1085" s="592">
        <f>IFERROR(VLOOKUP($B1084,اسماء,20,0),0)</f>
        <v>0</v>
      </c>
      <c r="Q1085" s="595"/>
      <c r="R1085" s="372">
        <f t="shared" si="2898"/>
        <v>0</v>
      </c>
      <c r="S1085" s="305" t="str">
        <f>IFERROR(VLOOKUP($B1084,اسماء,23,0),"")</f>
        <v/>
      </c>
      <c r="T1085" s="306" t="str">
        <f>IFERROR(VLOOKUP($B1084,اسماء,24,0),"")</f>
        <v/>
      </c>
      <c r="U1085" s="122" t="str">
        <f>IFERROR(VLOOKUP($B1084,اسماء,25,0),"")</f>
        <v/>
      </c>
      <c r="V1085" s="605"/>
      <c r="W1085" s="19" t="str">
        <f t="shared" si="2936"/>
        <v>ضعيف</v>
      </c>
      <c r="X1085" s="640"/>
      <c r="Y1085" s="8"/>
      <c r="Z1085" s="598"/>
      <c r="AK1085" s="667"/>
      <c r="AL1085" s="667"/>
      <c r="AM1085" s="696"/>
      <c r="AN1085" s="698"/>
      <c r="AO1085" s="699"/>
      <c r="AP1085" s="698"/>
    </row>
    <row r="1086" spans="1:42" ht="14.85" customHeight="1" x14ac:dyDescent="0.25">
      <c r="A1086" s="611"/>
      <c r="B1086" s="614"/>
      <c r="C1086" s="617"/>
      <c r="D1086" s="620"/>
      <c r="E1086" s="130" t="s">
        <v>32</v>
      </c>
      <c r="F1086" s="592">
        <f>IFERROR(VLOOKUP($B1084,اسماء,25,0),0)</f>
        <v>0</v>
      </c>
      <c r="G1086" s="593"/>
      <c r="H1086" s="594">
        <f>IFERROR(VLOOKUP($B1084,اسماء,26,0),0)</f>
        <v>0</v>
      </c>
      <c r="I1086" s="595"/>
      <c r="J1086" s="592">
        <f>IFERROR(VLOOKUP($B1084,اسماء,27,0),0)</f>
        <v>0</v>
      </c>
      <c r="K1086" s="593"/>
      <c r="L1086" s="594">
        <f>IFERROR(VLOOKUP($B1084,اسماء,28,0),0)</f>
        <v>0</v>
      </c>
      <c r="M1086" s="596"/>
      <c r="N1086" s="594">
        <f>IFERROR(VLOOKUP($B1084,اسماء,29,0),0)</f>
        <v>0</v>
      </c>
      <c r="O1086" s="596"/>
      <c r="P1086" s="592">
        <f>IFERROR(VLOOKUP($B1084,اسماء,30,0),0)</f>
        <v>0</v>
      </c>
      <c r="Q1086" s="595"/>
      <c r="R1086" s="372">
        <f t="shared" si="2898"/>
        <v>0</v>
      </c>
      <c r="S1086" s="305" t="str">
        <f>IFERROR(VLOOKUP($B1084,اسماء,34,0),"")</f>
        <v/>
      </c>
      <c r="T1086" s="306" t="str">
        <f>IFERROR(VLOOKUP($B1084,اسماء,35,0),"")</f>
        <v/>
      </c>
      <c r="U1086" s="122" t="str">
        <f>IFERROR(VLOOKUP($B1084,اسماء,36,0),"")</f>
        <v/>
      </c>
      <c r="V1086" s="605"/>
      <c r="W1086" s="20" t="str">
        <f t="shared" ref="W1086" si="2939">LOOKUP(R1086,$AF$6:$AG$10)</f>
        <v>ضعيف</v>
      </c>
      <c r="X1086" s="640"/>
      <c r="Y1086" s="68"/>
      <c r="Z1086" s="598"/>
      <c r="AK1086" s="667"/>
      <c r="AL1086" s="667"/>
      <c r="AM1086" s="696"/>
      <c r="AN1086" s="698"/>
      <c r="AO1086" s="699"/>
      <c r="AP1086" s="698"/>
    </row>
    <row r="1087" spans="1:42" ht="14.85" customHeight="1" thickBot="1" x14ac:dyDescent="0.3">
      <c r="A1087" s="612"/>
      <c r="B1087" s="615"/>
      <c r="C1087" s="618"/>
      <c r="D1087" s="621"/>
      <c r="E1087" s="124" t="s">
        <v>33</v>
      </c>
      <c r="F1087" s="623">
        <f t="shared" ref="F1087" si="2940">SUM(F1084:G1086)</f>
        <v>0</v>
      </c>
      <c r="G1087" s="624"/>
      <c r="H1087" s="625">
        <f t="shared" ref="H1087" si="2941">SUM(H1084:I1086)</f>
        <v>0</v>
      </c>
      <c r="I1087" s="626"/>
      <c r="J1087" s="623">
        <f t="shared" ref="J1087" si="2942">SUM(J1084:K1086)</f>
        <v>0</v>
      </c>
      <c r="K1087" s="624"/>
      <c r="L1087" s="625">
        <f t="shared" ref="L1087" si="2943">SUM(L1084:M1086)</f>
        <v>0</v>
      </c>
      <c r="M1087" s="642"/>
      <c r="N1087" s="625">
        <f t="shared" ref="N1087" si="2944">SUM(N1084:O1086)</f>
        <v>0</v>
      </c>
      <c r="O1087" s="642"/>
      <c r="P1087" s="623">
        <f t="shared" ref="P1087" si="2945">SUM(P1084:Q1086)</f>
        <v>0</v>
      </c>
      <c r="Q1087" s="626"/>
      <c r="R1087" s="88">
        <f t="shared" ref="R1087" si="2946">IF(AND(F1087&gt;=$G$8,H1087&gt;=$I$8,J1087&gt;=$K$8,L1087&gt;=$M$8,N1087&gt;=$O$8,P1087&gt;=$Q$8),SUM(F1087:Q1087),0)</f>
        <v>0</v>
      </c>
      <c r="S1087" s="251"/>
      <c r="T1087" s="97"/>
      <c r="U1087" s="94"/>
      <c r="V1087" s="606"/>
      <c r="W1087" s="88" t="str">
        <f t="shared" ref="W1087" si="2947">LOOKUP(R1087,$AI$6:$AJ$10)</f>
        <v>ضعيف</v>
      </c>
      <c r="X1087" s="641"/>
      <c r="Y1087" s="68"/>
      <c r="Z1087" s="599"/>
      <c r="AK1087" s="667"/>
      <c r="AL1087" s="667"/>
      <c r="AM1087" s="696"/>
      <c r="AN1087" s="698"/>
      <c r="AO1087" s="699"/>
      <c r="AP1087" s="698"/>
    </row>
    <row r="1088" spans="1:42" ht="14.85" customHeight="1" thickBot="1" x14ac:dyDescent="0.3">
      <c r="A1088" s="610">
        <v>236</v>
      </c>
      <c r="B1088" s="613">
        <f>VLOOKUP(A1088,مسلسل,2,0)</f>
        <v>0</v>
      </c>
      <c r="C1088" s="616" t="str">
        <f>IFERROR(VLOOKUP(B1088,اسماء,2,0),"")</f>
        <v/>
      </c>
      <c r="D1088" s="619" t="str">
        <f>IFERROR(VLOOKUP($B1088,اسماء,3,0),"")</f>
        <v/>
      </c>
      <c r="E1088" s="129" t="s">
        <v>30</v>
      </c>
      <c r="F1088" s="600">
        <f>IFERROR(VLOOKUP($B1088,اسماء,5,0),0)</f>
        <v>0</v>
      </c>
      <c r="G1088" s="601"/>
      <c r="H1088" s="602">
        <f>IFERROR(VLOOKUP($B1088,اسماء,6,0),0)</f>
        <v>0</v>
      </c>
      <c r="I1088" s="622"/>
      <c r="J1088" s="600">
        <f>IFERROR(VLOOKUP($B1088,اسماء,7,0),0)</f>
        <v>0</v>
      </c>
      <c r="K1088" s="601"/>
      <c r="L1088" s="602">
        <f>IFERROR(VLOOKUP($B1088,اسماء,8,0),0)</f>
        <v>0</v>
      </c>
      <c r="M1088" s="603"/>
      <c r="N1088" s="602">
        <f>IFERROR(VLOOKUP($B1088,اسماء,9,0),0)</f>
        <v>0</v>
      </c>
      <c r="O1088" s="603"/>
      <c r="P1088" s="600">
        <f>IFERROR(VLOOKUP($B1088,اسماء,10,0),0)</f>
        <v>0</v>
      </c>
      <c r="Q1088" s="622"/>
      <c r="R1088" s="371">
        <f t="shared" ref="R1088" si="2948">SUM(F1088:Q1088)</f>
        <v>0</v>
      </c>
      <c r="S1088" s="213" t="str">
        <f>IFERROR(VLOOKUP($B1088,اسماء,12,0),"")</f>
        <v/>
      </c>
      <c r="T1088" s="214" t="str">
        <f>IFERROR(VLOOKUP($B1088,اسماء,13,0),"")</f>
        <v/>
      </c>
      <c r="U1088" s="364" t="str">
        <f>IFERROR(VLOOKUP($B1088,اسماء,14,0),"")</f>
        <v/>
      </c>
      <c r="V1088" s="604" t="str">
        <f t="shared" ref="V1088" si="2949">IF(Z1088="غائب","راسب",IF(R1091&gt;0,"ناجح","مرحل"))</f>
        <v>مرحل</v>
      </c>
      <c r="W1088" s="19" t="str">
        <f t="shared" ref="W1088:W1089" si="2950">LOOKUP(R1088,$AC$6:$AD$10)</f>
        <v>ضعيف</v>
      </c>
      <c r="X1088" s="639">
        <f t="shared" ref="X1088" si="2951">R1091/$AC$3</f>
        <v>0</v>
      </c>
      <c r="Y1088" s="8"/>
      <c r="Z1088" s="597" t="str">
        <f>IFERROR(VLOOKUP($B1088,اسماء,48,0),"")</f>
        <v/>
      </c>
      <c r="AK1088" s="667" t="str">
        <f t="shared" ref="AK1088" si="2952">IF(R1091=0,"",R1091/1+ROW()*0.00001)</f>
        <v/>
      </c>
      <c r="AL1088" s="667">
        <f>B1088</f>
        <v>0</v>
      </c>
      <c r="AM1088" s="696"/>
      <c r="AN1088" s="698">
        <v>236</v>
      </c>
      <c r="AO1088" s="699" t="str">
        <f>IFERROR(LARGE($AK$10:$AK$1420,AN1088),"")</f>
        <v/>
      </c>
      <c r="AP1088" s="698" t="str">
        <f>VLOOKUP(AO1088,$AK$10:$AL$1530,2,0)</f>
        <v>امجد عمر عبداللطيف سلطان</v>
      </c>
    </row>
    <row r="1089" spans="1:42" ht="14.85" customHeight="1" x14ac:dyDescent="0.25">
      <c r="A1089" s="611"/>
      <c r="B1089" s="614"/>
      <c r="C1089" s="617"/>
      <c r="D1089" s="620"/>
      <c r="E1089" s="130" t="s">
        <v>31</v>
      </c>
      <c r="F1089" s="592">
        <f>IFERROR(VLOOKUP($B1088,اسماء,15,0),0)</f>
        <v>0</v>
      </c>
      <c r="G1089" s="593"/>
      <c r="H1089" s="594">
        <f>IFERROR(VLOOKUP($B1088,اسماء,16,0),0)</f>
        <v>0</v>
      </c>
      <c r="I1089" s="595"/>
      <c r="J1089" s="592">
        <f>IFERROR(VLOOKUP($B1088,اسماء,17,0),0)</f>
        <v>0</v>
      </c>
      <c r="K1089" s="593"/>
      <c r="L1089" s="594">
        <f>IFERROR(VLOOKUP($B1088,اسماء,18,0),0)</f>
        <v>0</v>
      </c>
      <c r="M1089" s="596"/>
      <c r="N1089" s="594">
        <f>IFERROR(VLOOKUP($B1088,اسماء,19,0),0)</f>
        <v>0</v>
      </c>
      <c r="O1089" s="596"/>
      <c r="P1089" s="592">
        <f>IFERROR(VLOOKUP($B1088,اسماء,20,0),0)</f>
        <v>0</v>
      </c>
      <c r="Q1089" s="595"/>
      <c r="R1089" s="372">
        <f t="shared" si="2898"/>
        <v>0</v>
      </c>
      <c r="S1089" s="305" t="str">
        <f>IFERROR(VLOOKUP($B1088,اسماء,23,0),"")</f>
        <v/>
      </c>
      <c r="T1089" s="306" t="str">
        <f>IFERROR(VLOOKUP($B1088,اسماء,24,0),"")</f>
        <v/>
      </c>
      <c r="U1089" s="122" t="str">
        <f>IFERROR(VLOOKUP($B1088,اسماء,25,0),"")</f>
        <v/>
      </c>
      <c r="V1089" s="605"/>
      <c r="W1089" s="19" t="str">
        <f t="shared" si="2950"/>
        <v>ضعيف</v>
      </c>
      <c r="X1089" s="640"/>
      <c r="Y1089" s="68"/>
      <c r="Z1089" s="598"/>
      <c r="AK1089" s="667"/>
      <c r="AL1089" s="667"/>
      <c r="AM1089" s="696"/>
      <c r="AN1089" s="698"/>
      <c r="AO1089" s="699"/>
      <c r="AP1089" s="698"/>
    </row>
    <row r="1090" spans="1:42" ht="14.85" customHeight="1" x14ac:dyDescent="0.25">
      <c r="A1090" s="611"/>
      <c r="B1090" s="614"/>
      <c r="C1090" s="617"/>
      <c r="D1090" s="620"/>
      <c r="E1090" s="130" t="s">
        <v>32</v>
      </c>
      <c r="F1090" s="592">
        <f>IFERROR(VLOOKUP($B1088,اسماء,25,0),0)</f>
        <v>0</v>
      </c>
      <c r="G1090" s="593"/>
      <c r="H1090" s="594">
        <f>IFERROR(VLOOKUP($B1088,اسماء,26,0),0)</f>
        <v>0</v>
      </c>
      <c r="I1090" s="595"/>
      <c r="J1090" s="592">
        <f>IFERROR(VLOOKUP($B1088,اسماء,27,0),0)</f>
        <v>0</v>
      </c>
      <c r="K1090" s="593"/>
      <c r="L1090" s="594">
        <f>IFERROR(VLOOKUP($B1088,اسماء,28,0),0)</f>
        <v>0</v>
      </c>
      <c r="M1090" s="596"/>
      <c r="N1090" s="594">
        <f>IFERROR(VLOOKUP($B1088,اسماء,29,0),0)</f>
        <v>0</v>
      </c>
      <c r="O1090" s="596"/>
      <c r="P1090" s="592">
        <f>IFERROR(VLOOKUP($B1088,اسماء,30,0),0)</f>
        <v>0</v>
      </c>
      <c r="Q1090" s="595"/>
      <c r="R1090" s="372">
        <f t="shared" si="2898"/>
        <v>0</v>
      </c>
      <c r="S1090" s="305" t="str">
        <f>IFERROR(VLOOKUP($B1088,اسماء,34,0),"")</f>
        <v/>
      </c>
      <c r="T1090" s="306" t="str">
        <f>IFERROR(VLOOKUP($B1088,اسماء,35,0),"")</f>
        <v/>
      </c>
      <c r="U1090" s="122" t="str">
        <f>IFERROR(VLOOKUP($B1088,اسماء,36,0),"")</f>
        <v/>
      </c>
      <c r="V1090" s="605"/>
      <c r="W1090" s="20" t="str">
        <f t="shared" ref="W1090" si="2953">LOOKUP(R1090,$AF$6:$AG$10)</f>
        <v>ضعيف</v>
      </c>
      <c r="X1090" s="640"/>
      <c r="Y1090" s="68"/>
      <c r="Z1090" s="598"/>
      <c r="AK1090" s="667"/>
      <c r="AL1090" s="667"/>
      <c r="AM1090" s="696"/>
      <c r="AN1090" s="698"/>
      <c r="AO1090" s="699"/>
      <c r="AP1090" s="698"/>
    </row>
    <row r="1091" spans="1:42" ht="14.85" customHeight="1" thickBot="1" x14ac:dyDescent="0.3">
      <c r="A1091" s="612"/>
      <c r="B1091" s="615"/>
      <c r="C1091" s="618"/>
      <c r="D1091" s="621"/>
      <c r="E1091" s="124" t="s">
        <v>33</v>
      </c>
      <c r="F1091" s="623">
        <f t="shared" ref="F1091" si="2954">SUM(F1088:G1090)</f>
        <v>0</v>
      </c>
      <c r="G1091" s="624"/>
      <c r="H1091" s="625">
        <f t="shared" ref="H1091" si="2955">SUM(H1088:I1090)</f>
        <v>0</v>
      </c>
      <c r="I1091" s="626"/>
      <c r="J1091" s="623">
        <f t="shared" ref="J1091" si="2956">SUM(J1088:K1090)</f>
        <v>0</v>
      </c>
      <c r="K1091" s="624"/>
      <c r="L1091" s="625">
        <f t="shared" ref="L1091" si="2957">SUM(L1088:M1090)</f>
        <v>0</v>
      </c>
      <c r="M1091" s="642"/>
      <c r="N1091" s="625">
        <f t="shared" ref="N1091" si="2958">SUM(N1088:O1090)</f>
        <v>0</v>
      </c>
      <c r="O1091" s="642"/>
      <c r="P1091" s="623">
        <f t="shared" ref="P1091" si="2959">SUM(P1088:Q1090)</f>
        <v>0</v>
      </c>
      <c r="Q1091" s="626"/>
      <c r="R1091" s="88">
        <f t="shared" ref="R1091" si="2960">IF(AND(F1091&gt;=$G$8,H1091&gt;=$I$8,J1091&gt;=$K$8,L1091&gt;=$M$8,N1091&gt;=$O$8,P1091&gt;=$Q$8),SUM(F1091:Q1091),0)</f>
        <v>0</v>
      </c>
      <c r="S1091" s="251"/>
      <c r="T1091" s="97"/>
      <c r="U1091" s="94"/>
      <c r="V1091" s="606"/>
      <c r="W1091" s="88" t="str">
        <f t="shared" ref="W1091" si="2961">LOOKUP(R1091,$AI$6:$AJ$10)</f>
        <v>ضعيف</v>
      </c>
      <c r="X1091" s="641"/>
      <c r="Y1091" s="8"/>
      <c r="Z1091" s="599"/>
      <c r="AK1091" s="667"/>
      <c r="AL1091" s="667"/>
      <c r="AM1091" s="696"/>
      <c r="AN1091" s="698"/>
      <c r="AO1091" s="699"/>
      <c r="AP1091" s="698"/>
    </row>
    <row r="1092" spans="1:42" ht="14.85" customHeight="1" thickBot="1" x14ac:dyDescent="0.3">
      <c r="A1092" s="610">
        <v>237</v>
      </c>
      <c r="B1092" s="613">
        <f>VLOOKUP(A1092,مسلسل,2,0)</f>
        <v>0</v>
      </c>
      <c r="C1092" s="616" t="str">
        <f>IFERROR(VLOOKUP(B1092,اسماء,2,0),"")</f>
        <v/>
      </c>
      <c r="D1092" s="619" t="str">
        <f>IFERROR(VLOOKUP($B1092,اسماء,3,0),"")</f>
        <v/>
      </c>
      <c r="E1092" s="129" t="s">
        <v>30</v>
      </c>
      <c r="F1092" s="600">
        <f>IFERROR(VLOOKUP($B1092,اسماء,5,0),0)</f>
        <v>0</v>
      </c>
      <c r="G1092" s="601"/>
      <c r="H1092" s="602">
        <f>IFERROR(VLOOKUP($B1092,اسماء,6,0),0)</f>
        <v>0</v>
      </c>
      <c r="I1092" s="622"/>
      <c r="J1092" s="600">
        <f>IFERROR(VLOOKUP($B1092,اسماء,7,0),0)</f>
        <v>0</v>
      </c>
      <c r="K1092" s="601"/>
      <c r="L1092" s="602">
        <f>IFERROR(VLOOKUP($B1092,اسماء,8,0),0)</f>
        <v>0</v>
      </c>
      <c r="M1092" s="603"/>
      <c r="N1092" s="602">
        <f>IFERROR(VLOOKUP($B1092,اسماء,9,0),0)</f>
        <v>0</v>
      </c>
      <c r="O1092" s="603"/>
      <c r="P1092" s="600">
        <f>IFERROR(VLOOKUP($B1092,اسماء,10,0),0)</f>
        <v>0</v>
      </c>
      <c r="Q1092" s="622"/>
      <c r="R1092" s="371">
        <f t="shared" ref="R1092" si="2962">SUM(F1092:Q1092)</f>
        <v>0</v>
      </c>
      <c r="S1092" s="213" t="str">
        <f>IFERROR(VLOOKUP($B1092,اسماء,12,0),"")</f>
        <v/>
      </c>
      <c r="T1092" s="214" t="str">
        <f>IFERROR(VLOOKUP($B1092,اسماء,13,0),"")</f>
        <v/>
      </c>
      <c r="U1092" s="364" t="str">
        <f>IFERROR(VLOOKUP($B1092,اسماء,14,0),"")</f>
        <v/>
      </c>
      <c r="V1092" s="604" t="str">
        <f t="shared" ref="V1092" si="2963">IF(Z1092="غائب","راسب",IF(R1095&gt;0,"ناجح","مرحل"))</f>
        <v>مرحل</v>
      </c>
      <c r="W1092" s="19" t="str">
        <f t="shared" ref="W1092:W1093" si="2964">LOOKUP(R1092,$AC$6:$AD$10)</f>
        <v>ضعيف</v>
      </c>
      <c r="X1092" s="639">
        <f t="shared" ref="X1092" si="2965">R1095/$AC$3</f>
        <v>0</v>
      </c>
      <c r="Y1092" s="68"/>
      <c r="Z1092" s="597" t="str">
        <f>IFERROR(VLOOKUP($B1092,اسماء,48,0),"")</f>
        <v/>
      </c>
      <c r="AK1092" s="667" t="str">
        <f t="shared" ref="AK1092" si="2966">IF(R1095=0,"",R1095/1+ROW()*0.00001)</f>
        <v/>
      </c>
      <c r="AL1092" s="667">
        <f>B1092</f>
        <v>0</v>
      </c>
      <c r="AM1092" s="696"/>
      <c r="AN1092" s="698">
        <v>237</v>
      </c>
      <c r="AO1092" s="699" t="str">
        <f>IFERROR(LARGE($AK$10:$AK$1420,AN1092),"")</f>
        <v/>
      </c>
      <c r="AP1092" s="698" t="str">
        <f>VLOOKUP(AO1092,$AK$10:$AL$1530,2,0)</f>
        <v>امجد عمر عبداللطيف سلطان</v>
      </c>
    </row>
    <row r="1093" spans="1:42" ht="14.85" customHeight="1" x14ac:dyDescent="0.25">
      <c r="A1093" s="611"/>
      <c r="B1093" s="614"/>
      <c r="C1093" s="617"/>
      <c r="D1093" s="620"/>
      <c r="E1093" s="130" t="s">
        <v>31</v>
      </c>
      <c r="F1093" s="592">
        <f>IFERROR(VLOOKUP($B1092,اسماء,15,0),0)</f>
        <v>0</v>
      </c>
      <c r="G1093" s="593"/>
      <c r="H1093" s="594">
        <f>IFERROR(VLOOKUP($B1092,اسماء,16,0),0)</f>
        <v>0</v>
      </c>
      <c r="I1093" s="595"/>
      <c r="J1093" s="592">
        <f>IFERROR(VLOOKUP($B1092,اسماء,17,0),0)</f>
        <v>0</v>
      </c>
      <c r="K1093" s="593"/>
      <c r="L1093" s="594">
        <f>IFERROR(VLOOKUP($B1092,اسماء,18,0),0)</f>
        <v>0</v>
      </c>
      <c r="M1093" s="596"/>
      <c r="N1093" s="594">
        <f>IFERROR(VLOOKUP($B1092,اسماء,19,0),0)</f>
        <v>0</v>
      </c>
      <c r="O1093" s="596"/>
      <c r="P1093" s="592">
        <f>IFERROR(VLOOKUP($B1092,اسماء,20,0),0)</f>
        <v>0</v>
      </c>
      <c r="Q1093" s="595"/>
      <c r="R1093" s="372">
        <f t="shared" si="2898"/>
        <v>0</v>
      </c>
      <c r="S1093" s="305" t="str">
        <f>IFERROR(VLOOKUP($B1092,اسماء,23,0),"")</f>
        <v/>
      </c>
      <c r="T1093" s="306" t="str">
        <f>IFERROR(VLOOKUP($B1092,اسماء,24,0),"")</f>
        <v/>
      </c>
      <c r="U1093" s="122" t="str">
        <f>IFERROR(VLOOKUP($B1092,اسماء,25,0),"")</f>
        <v/>
      </c>
      <c r="V1093" s="605"/>
      <c r="W1093" s="19" t="str">
        <f t="shared" si="2964"/>
        <v>ضعيف</v>
      </c>
      <c r="X1093" s="640"/>
      <c r="Y1093" s="68"/>
      <c r="Z1093" s="598"/>
      <c r="AK1093" s="667"/>
      <c r="AL1093" s="667"/>
      <c r="AM1093" s="696"/>
      <c r="AN1093" s="698"/>
      <c r="AO1093" s="699"/>
      <c r="AP1093" s="698"/>
    </row>
    <row r="1094" spans="1:42" ht="14.85" customHeight="1" x14ac:dyDescent="0.25">
      <c r="A1094" s="611"/>
      <c r="B1094" s="614"/>
      <c r="C1094" s="617"/>
      <c r="D1094" s="620"/>
      <c r="E1094" s="130" t="s">
        <v>32</v>
      </c>
      <c r="F1094" s="592">
        <f>IFERROR(VLOOKUP($B1092,اسماء,25,0),0)</f>
        <v>0</v>
      </c>
      <c r="G1094" s="593"/>
      <c r="H1094" s="594">
        <f>IFERROR(VLOOKUP($B1092,اسماء,26,0),0)</f>
        <v>0</v>
      </c>
      <c r="I1094" s="595"/>
      <c r="J1094" s="592">
        <f>IFERROR(VLOOKUP($B1092,اسماء,27,0),0)</f>
        <v>0</v>
      </c>
      <c r="K1094" s="593"/>
      <c r="L1094" s="594">
        <f>IFERROR(VLOOKUP($B1092,اسماء,28,0),0)</f>
        <v>0</v>
      </c>
      <c r="M1094" s="596"/>
      <c r="N1094" s="594">
        <f>IFERROR(VLOOKUP($B1092,اسماء,29,0),0)</f>
        <v>0</v>
      </c>
      <c r="O1094" s="596"/>
      <c r="P1094" s="592">
        <f>IFERROR(VLOOKUP($B1092,اسماء,30,0),0)</f>
        <v>0</v>
      </c>
      <c r="Q1094" s="595"/>
      <c r="R1094" s="372">
        <f t="shared" si="2898"/>
        <v>0</v>
      </c>
      <c r="S1094" s="305" t="str">
        <f>IFERROR(VLOOKUP($B1092,اسماء,34,0),"")</f>
        <v/>
      </c>
      <c r="T1094" s="306" t="str">
        <f>IFERROR(VLOOKUP($B1092,اسماء,35,0),"")</f>
        <v/>
      </c>
      <c r="U1094" s="122" t="str">
        <f>IFERROR(VLOOKUP($B1092,اسماء,36,0),"")</f>
        <v/>
      </c>
      <c r="V1094" s="605"/>
      <c r="W1094" s="20" t="str">
        <f t="shared" ref="W1094" si="2967">LOOKUP(R1094,$AF$6:$AG$10)</f>
        <v>ضعيف</v>
      </c>
      <c r="X1094" s="640"/>
      <c r="Y1094" s="8"/>
      <c r="Z1094" s="598"/>
      <c r="AK1094" s="667"/>
      <c r="AL1094" s="667"/>
      <c r="AM1094" s="696"/>
      <c r="AN1094" s="698"/>
      <c r="AO1094" s="699"/>
      <c r="AP1094" s="698"/>
    </row>
    <row r="1095" spans="1:42" ht="14.85" customHeight="1" thickBot="1" x14ac:dyDescent="0.3">
      <c r="A1095" s="612"/>
      <c r="B1095" s="615"/>
      <c r="C1095" s="618"/>
      <c r="D1095" s="621"/>
      <c r="E1095" s="124" t="s">
        <v>33</v>
      </c>
      <c r="F1095" s="623">
        <f t="shared" ref="F1095" si="2968">SUM(F1092:G1094)</f>
        <v>0</v>
      </c>
      <c r="G1095" s="624"/>
      <c r="H1095" s="625">
        <f t="shared" ref="H1095" si="2969">SUM(H1092:I1094)</f>
        <v>0</v>
      </c>
      <c r="I1095" s="626"/>
      <c r="J1095" s="623">
        <f t="shared" ref="J1095" si="2970">SUM(J1092:K1094)</f>
        <v>0</v>
      </c>
      <c r="K1095" s="624"/>
      <c r="L1095" s="625">
        <f t="shared" ref="L1095" si="2971">SUM(L1092:M1094)</f>
        <v>0</v>
      </c>
      <c r="M1095" s="642"/>
      <c r="N1095" s="625">
        <f t="shared" ref="N1095" si="2972">SUM(N1092:O1094)</f>
        <v>0</v>
      </c>
      <c r="O1095" s="642"/>
      <c r="P1095" s="623">
        <f t="shared" ref="P1095" si="2973">SUM(P1092:Q1094)</f>
        <v>0</v>
      </c>
      <c r="Q1095" s="626"/>
      <c r="R1095" s="88">
        <f t="shared" ref="R1095" si="2974">IF(AND(F1095&gt;=$G$8,H1095&gt;=$I$8,J1095&gt;=$K$8,L1095&gt;=$M$8,N1095&gt;=$O$8,P1095&gt;=$Q$8),SUM(F1095:Q1095),0)</f>
        <v>0</v>
      </c>
      <c r="S1095" s="251"/>
      <c r="T1095" s="97"/>
      <c r="U1095" s="94"/>
      <c r="V1095" s="606"/>
      <c r="W1095" s="88" t="str">
        <f t="shared" ref="W1095" si="2975">LOOKUP(R1095,$AI$6:$AJ$10)</f>
        <v>ضعيف</v>
      </c>
      <c r="X1095" s="641"/>
      <c r="Y1095" s="68"/>
      <c r="Z1095" s="599"/>
      <c r="AK1095" s="667"/>
      <c r="AL1095" s="667"/>
      <c r="AM1095" s="696"/>
      <c r="AN1095" s="698"/>
      <c r="AO1095" s="699"/>
      <c r="AP1095" s="698"/>
    </row>
    <row r="1096" spans="1:42" ht="14.85" customHeight="1" thickBot="1" x14ac:dyDescent="0.3">
      <c r="A1096" s="610">
        <v>238</v>
      </c>
      <c r="B1096" s="613">
        <f>VLOOKUP(A1096,مسلسل,2,0)</f>
        <v>0</v>
      </c>
      <c r="C1096" s="616" t="str">
        <f>IFERROR(VLOOKUP(B1096,اسماء,2,0),"")</f>
        <v/>
      </c>
      <c r="D1096" s="619" t="str">
        <f>IFERROR(VLOOKUP($B1096,اسماء,3,0),"")</f>
        <v/>
      </c>
      <c r="E1096" s="129" t="s">
        <v>30</v>
      </c>
      <c r="F1096" s="600">
        <f>IFERROR(VLOOKUP($B1096,اسماء,5,0),0)</f>
        <v>0</v>
      </c>
      <c r="G1096" s="601"/>
      <c r="H1096" s="602">
        <f>IFERROR(VLOOKUP($B1096,اسماء,6,0),0)</f>
        <v>0</v>
      </c>
      <c r="I1096" s="622"/>
      <c r="J1096" s="600">
        <f>IFERROR(VLOOKUP($B1096,اسماء,7,0),0)</f>
        <v>0</v>
      </c>
      <c r="K1096" s="601"/>
      <c r="L1096" s="602">
        <f>IFERROR(VLOOKUP($B1096,اسماء,8,0),0)</f>
        <v>0</v>
      </c>
      <c r="M1096" s="603"/>
      <c r="N1096" s="602">
        <f>IFERROR(VLOOKUP($B1096,اسماء,9,0),0)</f>
        <v>0</v>
      </c>
      <c r="O1096" s="603"/>
      <c r="P1096" s="600">
        <f>IFERROR(VLOOKUP($B1096,اسماء,10,0),0)</f>
        <v>0</v>
      </c>
      <c r="Q1096" s="622"/>
      <c r="R1096" s="371">
        <f t="shared" ref="R1096" si="2976">SUM(F1096:Q1096)</f>
        <v>0</v>
      </c>
      <c r="S1096" s="213" t="str">
        <f>IFERROR(VLOOKUP($B1096,اسماء,12,0),"")</f>
        <v/>
      </c>
      <c r="T1096" s="214" t="str">
        <f>IFERROR(VLOOKUP($B1096,اسماء,13,0),"")</f>
        <v/>
      </c>
      <c r="U1096" s="364" t="str">
        <f>IFERROR(VLOOKUP($B1096,اسماء,14,0),"")</f>
        <v/>
      </c>
      <c r="V1096" s="604" t="str">
        <f t="shared" ref="V1096" si="2977">IF(Z1096="غائب","راسب",IF(R1099&gt;0,"ناجح","مرحل"))</f>
        <v>مرحل</v>
      </c>
      <c r="W1096" s="19" t="str">
        <f t="shared" ref="W1096:W1097" si="2978">LOOKUP(R1096,$AC$6:$AD$10)</f>
        <v>ضعيف</v>
      </c>
      <c r="X1096" s="639">
        <f t="shared" ref="X1096" si="2979">R1099/$AC$3</f>
        <v>0</v>
      </c>
      <c r="Y1096" s="68"/>
      <c r="Z1096" s="597" t="str">
        <f>IFERROR(VLOOKUP($B1096,اسماء,48,0),"")</f>
        <v/>
      </c>
      <c r="AK1096" s="667" t="str">
        <f t="shared" ref="AK1096" si="2980">IF(R1099=0,"",R1099/1+ROW()*0.00001)</f>
        <v/>
      </c>
      <c r="AL1096" s="667">
        <f>B1096</f>
        <v>0</v>
      </c>
      <c r="AM1096" s="696"/>
      <c r="AN1096" s="698">
        <v>238</v>
      </c>
      <c r="AO1096" s="699" t="str">
        <f>IFERROR(LARGE($AK$10:$AK$1420,AN1096),"")</f>
        <v/>
      </c>
      <c r="AP1096" s="698" t="str">
        <f>VLOOKUP(AO1096,$AK$10:$AL$1530,2,0)</f>
        <v>امجد عمر عبداللطيف سلطان</v>
      </c>
    </row>
    <row r="1097" spans="1:42" ht="14.85" customHeight="1" x14ac:dyDescent="0.25">
      <c r="A1097" s="611"/>
      <c r="B1097" s="614"/>
      <c r="C1097" s="617"/>
      <c r="D1097" s="620"/>
      <c r="E1097" s="130" t="s">
        <v>31</v>
      </c>
      <c r="F1097" s="592">
        <f>IFERROR(VLOOKUP($B1096,اسماء,15,0),0)</f>
        <v>0</v>
      </c>
      <c r="G1097" s="593"/>
      <c r="H1097" s="594">
        <f>IFERROR(VLOOKUP($B1096,اسماء,16,0),0)</f>
        <v>0</v>
      </c>
      <c r="I1097" s="595"/>
      <c r="J1097" s="592">
        <f>IFERROR(VLOOKUP($B1096,اسماء,17,0),0)</f>
        <v>0</v>
      </c>
      <c r="K1097" s="593"/>
      <c r="L1097" s="594">
        <f>IFERROR(VLOOKUP($B1096,اسماء,18,0),0)</f>
        <v>0</v>
      </c>
      <c r="M1097" s="596"/>
      <c r="N1097" s="594">
        <f>IFERROR(VLOOKUP($B1096,اسماء,19,0),0)</f>
        <v>0</v>
      </c>
      <c r="O1097" s="596"/>
      <c r="P1097" s="592">
        <f>IFERROR(VLOOKUP($B1096,اسماء,20,0),0)</f>
        <v>0</v>
      </c>
      <c r="Q1097" s="595"/>
      <c r="R1097" s="372">
        <f t="shared" si="2898"/>
        <v>0</v>
      </c>
      <c r="S1097" s="305" t="str">
        <f>IFERROR(VLOOKUP($B1096,اسماء,23,0),"")</f>
        <v/>
      </c>
      <c r="T1097" s="306" t="str">
        <f>IFERROR(VLOOKUP($B1096,اسماء,24,0),"")</f>
        <v/>
      </c>
      <c r="U1097" s="122" t="str">
        <f>IFERROR(VLOOKUP($B1096,اسماء,25,0),"")</f>
        <v/>
      </c>
      <c r="V1097" s="605"/>
      <c r="W1097" s="19" t="str">
        <f t="shared" si="2978"/>
        <v>ضعيف</v>
      </c>
      <c r="X1097" s="640"/>
      <c r="Y1097" s="8"/>
      <c r="Z1097" s="598"/>
      <c r="AK1097" s="667"/>
      <c r="AL1097" s="667"/>
      <c r="AM1097" s="696"/>
      <c r="AN1097" s="698"/>
      <c r="AO1097" s="699"/>
      <c r="AP1097" s="698"/>
    </row>
    <row r="1098" spans="1:42" ht="14.85" customHeight="1" x14ac:dyDescent="0.25">
      <c r="A1098" s="611"/>
      <c r="B1098" s="614"/>
      <c r="C1098" s="617"/>
      <c r="D1098" s="620"/>
      <c r="E1098" s="130" t="s">
        <v>32</v>
      </c>
      <c r="F1098" s="592">
        <f>IFERROR(VLOOKUP($B1096,اسماء,25,0),0)</f>
        <v>0</v>
      </c>
      <c r="G1098" s="593"/>
      <c r="H1098" s="594">
        <f>IFERROR(VLOOKUP($B1096,اسماء,26,0),0)</f>
        <v>0</v>
      </c>
      <c r="I1098" s="595"/>
      <c r="J1098" s="592">
        <f>IFERROR(VLOOKUP($B1096,اسماء,27,0),0)</f>
        <v>0</v>
      </c>
      <c r="K1098" s="593"/>
      <c r="L1098" s="594">
        <f>IFERROR(VLOOKUP($B1096,اسماء,28,0),0)</f>
        <v>0</v>
      </c>
      <c r="M1098" s="596"/>
      <c r="N1098" s="594">
        <f>IFERROR(VLOOKUP($B1096,اسماء,29,0),0)</f>
        <v>0</v>
      </c>
      <c r="O1098" s="596"/>
      <c r="P1098" s="592">
        <f>IFERROR(VLOOKUP($B1096,اسماء,30,0),0)</f>
        <v>0</v>
      </c>
      <c r="Q1098" s="595"/>
      <c r="R1098" s="372">
        <f t="shared" si="2898"/>
        <v>0</v>
      </c>
      <c r="S1098" s="305" t="str">
        <f>IFERROR(VLOOKUP($B1096,اسماء,34,0),"")</f>
        <v/>
      </c>
      <c r="T1098" s="306" t="str">
        <f>IFERROR(VLOOKUP($B1096,اسماء,35,0),"")</f>
        <v/>
      </c>
      <c r="U1098" s="122" t="str">
        <f>IFERROR(VLOOKUP($B1096,اسماء,36,0),"")</f>
        <v/>
      </c>
      <c r="V1098" s="605"/>
      <c r="W1098" s="20" t="str">
        <f t="shared" ref="W1098" si="2981">LOOKUP(R1098,$AF$6:$AG$10)</f>
        <v>ضعيف</v>
      </c>
      <c r="X1098" s="640"/>
      <c r="Y1098" s="68"/>
      <c r="Z1098" s="598"/>
      <c r="AK1098" s="667"/>
      <c r="AL1098" s="667"/>
      <c r="AM1098" s="696"/>
      <c r="AN1098" s="698"/>
      <c r="AO1098" s="699"/>
      <c r="AP1098" s="698"/>
    </row>
    <row r="1099" spans="1:42" ht="14.85" customHeight="1" thickBot="1" x14ac:dyDescent="0.3">
      <c r="A1099" s="612"/>
      <c r="B1099" s="615"/>
      <c r="C1099" s="618"/>
      <c r="D1099" s="621"/>
      <c r="E1099" s="124" t="s">
        <v>33</v>
      </c>
      <c r="F1099" s="623">
        <f t="shared" ref="F1099" si="2982">SUM(F1096:G1098)</f>
        <v>0</v>
      </c>
      <c r="G1099" s="624"/>
      <c r="H1099" s="625">
        <f t="shared" ref="H1099" si="2983">SUM(H1096:I1098)</f>
        <v>0</v>
      </c>
      <c r="I1099" s="626"/>
      <c r="J1099" s="623">
        <f t="shared" ref="J1099" si="2984">SUM(J1096:K1098)</f>
        <v>0</v>
      </c>
      <c r="K1099" s="624"/>
      <c r="L1099" s="625">
        <f t="shared" ref="L1099" si="2985">SUM(L1096:M1098)</f>
        <v>0</v>
      </c>
      <c r="M1099" s="642"/>
      <c r="N1099" s="625">
        <f t="shared" ref="N1099" si="2986">SUM(N1096:O1098)</f>
        <v>0</v>
      </c>
      <c r="O1099" s="642"/>
      <c r="P1099" s="623">
        <f t="shared" ref="P1099" si="2987">SUM(P1096:Q1098)</f>
        <v>0</v>
      </c>
      <c r="Q1099" s="626"/>
      <c r="R1099" s="88">
        <f t="shared" ref="R1099" si="2988">IF(AND(F1099&gt;=$G$8,H1099&gt;=$I$8,J1099&gt;=$K$8,L1099&gt;=$M$8,N1099&gt;=$O$8,P1099&gt;=$Q$8),SUM(F1099:Q1099),0)</f>
        <v>0</v>
      </c>
      <c r="S1099" s="251"/>
      <c r="T1099" s="97"/>
      <c r="U1099" s="94"/>
      <c r="V1099" s="606"/>
      <c r="W1099" s="88" t="str">
        <f t="shared" ref="W1099" si="2989">LOOKUP(R1099,$AI$6:$AJ$10)</f>
        <v>ضعيف</v>
      </c>
      <c r="X1099" s="641"/>
      <c r="Y1099" s="68"/>
      <c r="Z1099" s="599"/>
      <c r="AK1099" s="667"/>
      <c r="AL1099" s="667"/>
      <c r="AM1099" s="696"/>
      <c r="AN1099" s="698"/>
      <c r="AO1099" s="699"/>
      <c r="AP1099" s="698"/>
    </row>
    <row r="1100" spans="1:42" ht="14.85" customHeight="1" thickBot="1" x14ac:dyDescent="0.3">
      <c r="A1100" s="610">
        <v>239</v>
      </c>
      <c r="B1100" s="613">
        <f>VLOOKUP(A1100,مسلسل,2,0)</f>
        <v>0</v>
      </c>
      <c r="C1100" s="616" t="str">
        <f>IFERROR(VLOOKUP(B1100,اسماء,2,0),"")</f>
        <v/>
      </c>
      <c r="D1100" s="619" t="str">
        <f>IFERROR(VLOOKUP($B1100,اسماء,3,0),"")</f>
        <v/>
      </c>
      <c r="E1100" s="129" t="s">
        <v>30</v>
      </c>
      <c r="F1100" s="600">
        <f>IFERROR(VLOOKUP($B1100,اسماء,5,0),0)</f>
        <v>0</v>
      </c>
      <c r="G1100" s="601"/>
      <c r="H1100" s="602">
        <f>IFERROR(VLOOKUP($B1100,اسماء,6,0),0)</f>
        <v>0</v>
      </c>
      <c r="I1100" s="622"/>
      <c r="J1100" s="600">
        <f>IFERROR(VLOOKUP($B1100,اسماء,7,0),0)</f>
        <v>0</v>
      </c>
      <c r="K1100" s="601"/>
      <c r="L1100" s="602">
        <f>IFERROR(VLOOKUP($B1100,اسماء,8,0),0)</f>
        <v>0</v>
      </c>
      <c r="M1100" s="603"/>
      <c r="N1100" s="602">
        <f>IFERROR(VLOOKUP($B1100,اسماء,9,0),0)</f>
        <v>0</v>
      </c>
      <c r="O1100" s="603"/>
      <c r="P1100" s="600">
        <f>IFERROR(VLOOKUP($B1100,اسماء,10,0),0)</f>
        <v>0</v>
      </c>
      <c r="Q1100" s="622"/>
      <c r="R1100" s="371">
        <f t="shared" ref="R1100" si="2990">SUM(F1100:Q1100)</f>
        <v>0</v>
      </c>
      <c r="S1100" s="213" t="str">
        <f>IFERROR(VLOOKUP($B1100,اسماء,12,0),"")</f>
        <v/>
      </c>
      <c r="T1100" s="214" t="str">
        <f>IFERROR(VLOOKUP($B1100,اسماء,13,0),"")</f>
        <v/>
      </c>
      <c r="U1100" s="364" t="str">
        <f>IFERROR(VLOOKUP($B1100,اسماء,14,0),"")</f>
        <v/>
      </c>
      <c r="V1100" s="604" t="str">
        <f t="shared" ref="V1100" si="2991">IF(Z1100="غائب","راسب",IF(R1103&gt;0,"ناجح","مرحل"))</f>
        <v>مرحل</v>
      </c>
      <c r="W1100" s="19" t="str">
        <f t="shared" ref="W1100:W1101" si="2992">LOOKUP(R1100,$AC$6:$AD$10)</f>
        <v>ضعيف</v>
      </c>
      <c r="X1100" s="639">
        <f t="shared" ref="X1100" si="2993">R1103/$AC$3</f>
        <v>0</v>
      </c>
      <c r="Y1100" s="8"/>
      <c r="Z1100" s="597" t="str">
        <f>IFERROR(VLOOKUP($B1100,اسماء,48,0),"")</f>
        <v/>
      </c>
      <c r="AK1100" s="667" t="str">
        <f t="shared" ref="AK1100" si="2994">IF(R1103=0,"",R1103/1+ROW()*0.00001)</f>
        <v/>
      </c>
      <c r="AL1100" s="667">
        <f>B1100</f>
        <v>0</v>
      </c>
      <c r="AM1100" s="696"/>
      <c r="AN1100" s="698">
        <v>239</v>
      </c>
      <c r="AO1100" s="699" t="str">
        <f>IFERROR(LARGE($AK$10:$AK$1420,AN1100),"")</f>
        <v/>
      </c>
      <c r="AP1100" s="698" t="str">
        <f>VLOOKUP(AO1100,$AK$10:$AL$1530,2,0)</f>
        <v>امجد عمر عبداللطيف سلطان</v>
      </c>
    </row>
    <row r="1101" spans="1:42" ht="14.85" customHeight="1" x14ac:dyDescent="0.25">
      <c r="A1101" s="611"/>
      <c r="B1101" s="614"/>
      <c r="C1101" s="617"/>
      <c r="D1101" s="620"/>
      <c r="E1101" s="130" t="s">
        <v>31</v>
      </c>
      <c r="F1101" s="592">
        <f>IFERROR(VLOOKUP($B1100,اسماء,15,0),0)</f>
        <v>0</v>
      </c>
      <c r="G1101" s="593"/>
      <c r="H1101" s="594">
        <f>IFERROR(VLOOKUP($B1100,اسماء,16,0),0)</f>
        <v>0</v>
      </c>
      <c r="I1101" s="595"/>
      <c r="J1101" s="592">
        <f>IFERROR(VLOOKUP($B1100,اسماء,17,0),0)</f>
        <v>0</v>
      </c>
      <c r="K1101" s="593"/>
      <c r="L1101" s="594">
        <f>IFERROR(VLOOKUP($B1100,اسماء,18,0),0)</f>
        <v>0</v>
      </c>
      <c r="M1101" s="596"/>
      <c r="N1101" s="594">
        <f>IFERROR(VLOOKUP($B1100,اسماء,19,0),0)</f>
        <v>0</v>
      </c>
      <c r="O1101" s="596"/>
      <c r="P1101" s="592">
        <f>IFERROR(VLOOKUP($B1100,اسماء,20,0),0)</f>
        <v>0</v>
      </c>
      <c r="Q1101" s="595"/>
      <c r="R1101" s="372">
        <f t="shared" si="2898"/>
        <v>0</v>
      </c>
      <c r="S1101" s="305" t="str">
        <f>IFERROR(VLOOKUP($B1100,اسماء,23,0),"")</f>
        <v/>
      </c>
      <c r="T1101" s="306" t="str">
        <f>IFERROR(VLOOKUP($B1100,اسماء,24,0),"")</f>
        <v/>
      </c>
      <c r="U1101" s="122" t="str">
        <f>IFERROR(VLOOKUP($B1100,اسماء,25,0),"")</f>
        <v/>
      </c>
      <c r="V1101" s="605"/>
      <c r="W1101" s="19" t="str">
        <f t="shared" si="2992"/>
        <v>ضعيف</v>
      </c>
      <c r="X1101" s="640"/>
      <c r="Y1101" s="68"/>
      <c r="Z1101" s="598"/>
      <c r="AK1101" s="667"/>
      <c r="AL1101" s="667"/>
      <c r="AM1101" s="696"/>
      <c r="AN1101" s="698"/>
      <c r="AO1101" s="699"/>
      <c r="AP1101" s="698"/>
    </row>
    <row r="1102" spans="1:42" ht="14.85" customHeight="1" x14ac:dyDescent="0.25">
      <c r="A1102" s="611"/>
      <c r="B1102" s="614"/>
      <c r="C1102" s="617"/>
      <c r="D1102" s="620"/>
      <c r="E1102" s="130" t="s">
        <v>32</v>
      </c>
      <c r="F1102" s="592">
        <f>IFERROR(VLOOKUP($B1100,اسماء,25,0),0)</f>
        <v>0</v>
      </c>
      <c r="G1102" s="593"/>
      <c r="H1102" s="594">
        <f>IFERROR(VLOOKUP($B1100,اسماء,26,0),0)</f>
        <v>0</v>
      </c>
      <c r="I1102" s="595"/>
      <c r="J1102" s="592">
        <f>IFERROR(VLOOKUP($B1100,اسماء,27,0),0)</f>
        <v>0</v>
      </c>
      <c r="K1102" s="593"/>
      <c r="L1102" s="594">
        <f>IFERROR(VLOOKUP($B1100,اسماء,28,0),0)</f>
        <v>0</v>
      </c>
      <c r="M1102" s="596"/>
      <c r="N1102" s="594">
        <f>IFERROR(VLOOKUP($B1100,اسماء,29,0),0)</f>
        <v>0</v>
      </c>
      <c r="O1102" s="596"/>
      <c r="P1102" s="592">
        <f>IFERROR(VLOOKUP($B1100,اسماء,30,0),0)</f>
        <v>0</v>
      </c>
      <c r="Q1102" s="595"/>
      <c r="R1102" s="372">
        <f t="shared" si="2898"/>
        <v>0</v>
      </c>
      <c r="S1102" s="305" t="str">
        <f>IFERROR(VLOOKUP($B1100,اسماء,34,0),"")</f>
        <v/>
      </c>
      <c r="T1102" s="306" t="str">
        <f>IFERROR(VLOOKUP($B1100,اسماء,35,0),"")</f>
        <v/>
      </c>
      <c r="U1102" s="122" t="str">
        <f>IFERROR(VLOOKUP($B1100,اسماء,36,0),"")</f>
        <v/>
      </c>
      <c r="V1102" s="605"/>
      <c r="W1102" s="20" t="str">
        <f t="shared" ref="W1102" si="2995">LOOKUP(R1102,$AF$6:$AG$10)</f>
        <v>ضعيف</v>
      </c>
      <c r="X1102" s="640"/>
      <c r="Y1102" s="68"/>
      <c r="Z1102" s="598"/>
      <c r="AK1102" s="667"/>
      <c r="AL1102" s="667"/>
      <c r="AM1102" s="696"/>
      <c r="AN1102" s="698"/>
      <c r="AO1102" s="699"/>
      <c r="AP1102" s="698"/>
    </row>
    <row r="1103" spans="1:42" ht="14.85" customHeight="1" thickBot="1" x14ac:dyDescent="0.3">
      <c r="A1103" s="612"/>
      <c r="B1103" s="615"/>
      <c r="C1103" s="618"/>
      <c r="D1103" s="621"/>
      <c r="E1103" s="124" t="s">
        <v>33</v>
      </c>
      <c r="F1103" s="623">
        <f t="shared" ref="F1103" si="2996">SUM(F1100:G1102)</f>
        <v>0</v>
      </c>
      <c r="G1103" s="624"/>
      <c r="H1103" s="625">
        <f t="shared" ref="H1103" si="2997">SUM(H1100:I1102)</f>
        <v>0</v>
      </c>
      <c r="I1103" s="626"/>
      <c r="J1103" s="623">
        <f t="shared" ref="J1103" si="2998">SUM(J1100:K1102)</f>
        <v>0</v>
      </c>
      <c r="K1103" s="624"/>
      <c r="L1103" s="625">
        <f t="shared" ref="L1103" si="2999">SUM(L1100:M1102)</f>
        <v>0</v>
      </c>
      <c r="M1103" s="642"/>
      <c r="N1103" s="625">
        <f t="shared" ref="N1103" si="3000">SUM(N1100:O1102)</f>
        <v>0</v>
      </c>
      <c r="O1103" s="642"/>
      <c r="P1103" s="623">
        <f t="shared" ref="P1103" si="3001">SUM(P1100:Q1102)</f>
        <v>0</v>
      </c>
      <c r="Q1103" s="626"/>
      <c r="R1103" s="88">
        <f t="shared" ref="R1103" si="3002">IF(AND(F1103&gt;=$G$8,H1103&gt;=$I$8,J1103&gt;=$K$8,L1103&gt;=$M$8,N1103&gt;=$O$8,P1103&gt;=$Q$8),SUM(F1103:Q1103),0)</f>
        <v>0</v>
      </c>
      <c r="S1103" s="251"/>
      <c r="T1103" s="97"/>
      <c r="U1103" s="94"/>
      <c r="V1103" s="606"/>
      <c r="W1103" s="88" t="str">
        <f t="shared" ref="W1103" si="3003">LOOKUP(R1103,$AI$6:$AJ$10)</f>
        <v>ضعيف</v>
      </c>
      <c r="X1103" s="641"/>
      <c r="Y1103" s="8"/>
      <c r="Z1103" s="599"/>
      <c r="AK1103" s="667"/>
      <c r="AL1103" s="667"/>
      <c r="AM1103" s="696"/>
      <c r="AN1103" s="698"/>
      <c r="AO1103" s="699"/>
      <c r="AP1103" s="698"/>
    </row>
    <row r="1104" spans="1:42" ht="14.85" customHeight="1" thickBot="1" x14ac:dyDescent="0.3">
      <c r="A1104" s="610">
        <v>240</v>
      </c>
      <c r="B1104" s="613">
        <f>VLOOKUP(A1104,مسلسل,2,0)</f>
        <v>0</v>
      </c>
      <c r="C1104" s="616" t="str">
        <f>IFERROR(VLOOKUP(B1104,اسماء,2,0),"")</f>
        <v/>
      </c>
      <c r="D1104" s="619" t="str">
        <f>IFERROR(VLOOKUP($B1104,اسماء,3,0),"")</f>
        <v/>
      </c>
      <c r="E1104" s="129" t="s">
        <v>30</v>
      </c>
      <c r="F1104" s="600">
        <f>IFERROR(VLOOKUP($B1104,اسماء,5,0),0)</f>
        <v>0</v>
      </c>
      <c r="G1104" s="601"/>
      <c r="H1104" s="602">
        <f>IFERROR(VLOOKUP($B1104,اسماء,6,0),0)</f>
        <v>0</v>
      </c>
      <c r="I1104" s="622"/>
      <c r="J1104" s="600">
        <f>IFERROR(VLOOKUP($B1104,اسماء,7,0),0)</f>
        <v>0</v>
      </c>
      <c r="K1104" s="601"/>
      <c r="L1104" s="602">
        <f>IFERROR(VLOOKUP($B1104,اسماء,8,0),0)</f>
        <v>0</v>
      </c>
      <c r="M1104" s="603"/>
      <c r="N1104" s="602">
        <f>IFERROR(VLOOKUP($B1104,اسماء,9,0),0)</f>
        <v>0</v>
      </c>
      <c r="O1104" s="603"/>
      <c r="P1104" s="600">
        <f>IFERROR(VLOOKUP($B1104,اسماء,10,0),0)</f>
        <v>0</v>
      </c>
      <c r="Q1104" s="622"/>
      <c r="R1104" s="371">
        <f t="shared" ref="R1104" si="3004">SUM(F1104:Q1104)</f>
        <v>0</v>
      </c>
      <c r="S1104" s="213" t="str">
        <f>IFERROR(VLOOKUP($B1104,اسماء,12,0),"")</f>
        <v/>
      </c>
      <c r="T1104" s="214" t="str">
        <f>IFERROR(VLOOKUP($B1104,اسماء,13,0),"")</f>
        <v/>
      </c>
      <c r="U1104" s="364" t="str">
        <f>IFERROR(VLOOKUP($B1104,اسماء,14,0),"")</f>
        <v/>
      </c>
      <c r="V1104" s="604" t="str">
        <f t="shared" ref="V1104" si="3005">IF(Z1104="غائب","راسب",IF(R1107&gt;0,"ناجح","مرحل"))</f>
        <v>مرحل</v>
      </c>
      <c r="W1104" s="19" t="str">
        <f t="shared" ref="W1104:W1105" si="3006">LOOKUP(R1104,$AC$6:$AD$10)</f>
        <v>ضعيف</v>
      </c>
      <c r="X1104" s="639">
        <f t="shared" ref="X1104" si="3007">R1107/$AC$3</f>
        <v>0</v>
      </c>
      <c r="Y1104" s="68"/>
      <c r="Z1104" s="597" t="str">
        <f>IFERROR(VLOOKUP($B1104,اسماء,48,0),"")</f>
        <v/>
      </c>
      <c r="AK1104" s="667" t="str">
        <f t="shared" ref="AK1104" si="3008">IF(R1107=0,"",R1107/1+ROW()*0.00001)</f>
        <v/>
      </c>
      <c r="AL1104" s="667">
        <f>B1104</f>
        <v>0</v>
      </c>
      <c r="AM1104" s="696"/>
      <c r="AN1104" s="698">
        <v>240</v>
      </c>
      <c r="AO1104" s="699" t="str">
        <f>IFERROR(LARGE($AK$10:$AK$1420,AN1104),"")</f>
        <v/>
      </c>
      <c r="AP1104" s="698" t="str">
        <f>VLOOKUP(AO1104,$AK$10:$AL$1530,2,0)</f>
        <v>امجد عمر عبداللطيف سلطان</v>
      </c>
    </row>
    <row r="1105" spans="1:42" ht="14.85" customHeight="1" x14ac:dyDescent="0.25">
      <c r="A1105" s="611"/>
      <c r="B1105" s="614"/>
      <c r="C1105" s="617"/>
      <c r="D1105" s="620"/>
      <c r="E1105" s="130" t="s">
        <v>31</v>
      </c>
      <c r="F1105" s="592">
        <f>IFERROR(VLOOKUP($B1104,اسماء,15,0),0)</f>
        <v>0</v>
      </c>
      <c r="G1105" s="593"/>
      <c r="H1105" s="594">
        <f>IFERROR(VLOOKUP($B1104,اسماء,16,0),0)</f>
        <v>0</v>
      </c>
      <c r="I1105" s="595"/>
      <c r="J1105" s="592">
        <f>IFERROR(VLOOKUP($B1104,اسماء,17,0),0)</f>
        <v>0</v>
      </c>
      <c r="K1105" s="593"/>
      <c r="L1105" s="594">
        <f>IFERROR(VLOOKUP($B1104,اسماء,18,0),0)</f>
        <v>0</v>
      </c>
      <c r="M1105" s="596"/>
      <c r="N1105" s="594">
        <f>IFERROR(VLOOKUP($B1104,اسماء,19,0),0)</f>
        <v>0</v>
      </c>
      <c r="O1105" s="596"/>
      <c r="P1105" s="592">
        <f>IFERROR(VLOOKUP($B1104,اسماء,20,0),0)</f>
        <v>0</v>
      </c>
      <c r="Q1105" s="595"/>
      <c r="R1105" s="372">
        <f t="shared" si="2898"/>
        <v>0</v>
      </c>
      <c r="S1105" s="305" t="str">
        <f>IFERROR(VLOOKUP($B1104,اسماء,23,0),"")</f>
        <v/>
      </c>
      <c r="T1105" s="306" t="str">
        <f>IFERROR(VLOOKUP($B1104,اسماء,24,0),"")</f>
        <v/>
      </c>
      <c r="U1105" s="122" t="str">
        <f>IFERROR(VLOOKUP($B1104,اسماء,25,0),"")</f>
        <v/>
      </c>
      <c r="V1105" s="605"/>
      <c r="W1105" s="19" t="str">
        <f t="shared" si="3006"/>
        <v>ضعيف</v>
      </c>
      <c r="X1105" s="640"/>
      <c r="Y1105" s="68"/>
      <c r="Z1105" s="598"/>
      <c r="AK1105" s="667"/>
      <c r="AL1105" s="667"/>
      <c r="AM1105" s="696"/>
      <c r="AN1105" s="698"/>
      <c r="AO1105" s="699"/>
      <c r="AP1105" s="698"/>
    </row>
    <row r="1106" spans="1:42" ht="14.85" customHeight="1" x14ac:dyDescent="0.25">
      <c r="A1106" s="611"/>
      <c r="B1106" s="614"/>
      <c r="C1106" s="617"/>
      <c r="D1106" s="620"/>
      <c r="E1106" s="130" t="s">
        <v>32</v>
      </c>
      <c r="F1106" s="592">
        <f>IFERROR(VLOOKUP($B1104,اسماء,25,0),0)</f>
        <v>0</v>
      </c>
      <c r="G1106" s="593"/>
      <c r="H1106" s="594">
        <f>IFERROR(VLOOKUP($B1104,اسماء,26,0),0)</f>
        <v>0</v>
      </c>
      <c r="I1106" s="595"/>
      <c r="J1106" s="592">
        <f>IFERROR(VLOOKUP($B1104,اسماء,27,0),0)</f>
        <v>0</v>
      </c>
      <c r="K1106" s="593"/>
      <c r="L1106" s="594">
        <f>IFERROR(VLOOKUP($B1104,اسماء,28,0),0)</f>
        <v>0</v>
      </c>
      <c r="M1106" s="596"/>
      <c r="N1106" s="594">
        <f>IFERROR(VLOOKUP($B1104,اسماء,29,0),0)</f>
        <v>0</v>
      </c>
      <c r="O1106" s="596"/>
      <c r="P1106" s="592">
        <f>IFERROR(VLOOKUP($B1104,اسماء,30,0),0)</f>
        <v>0</v>
      </c>
      <c r="Q1106" s="595"/>
      <c r="R1106" s="372">
        <f t="shared" si="2898"/>
        <v>0</v>
      </c>
      <c r="S1106" s="305" t="str">
        <f>IFERROR(VLOOKUP($B1104,اسماء,34,0),"")</f>
        <v/>
      </c>
      <c r="T1106" s="306" t="str">
        <f>IFERROR(VLOOKUP($B1104,اسماء,35,0),"")</f>
        <v/>
      </c>
      <c r="U1106" s="122" t="str">
        <f>IFERROR(VLOOKUP($B1104,اسماء,36,0),"")</f>
        <v/>
      </c>
      <c r="V1106" s="605"/>
      <c r="W1106" s="20" t="str">
        <f t="shared" ref="W1106" si="3009">LOOKUP(R1106,$AF$6:$AG$10)</f>
        <v>ضعيف</v>
      </c>
      <c r="X1106" s="640"/>
      <c r="Y1106" s="8"/>
      <c r="Z1106" s="598"/>
      <c r="AK1106" s="667"/>
      <c r="AL1106" s="667"/>
      <c r="AM1106" s="696"/>
      <c r="AN1106" s="698"/>
      <c r="AO1106" s="699"/>
      <c r="AP1106" s="698"/>
    </row>
    <row r="1107" spans="1:42" ht="14.85" customHeight="1" thickBot="1" x14ac:dyDescent="0.3">
      <c r="A1107" s="612"/>
      <c r="B1107" s="615"/>
      <c r="C1107" s="618"/>
      <c r="D1107" s="621"/>
      <c r="E1107" s="124" t="s">
        <v>33</v>
      </c>
      <c r="F1107" s="623">
        <f t="shared" ref="F1107" si="3010">SUM(F1104:G1106)</f>
        <v>0</v>
      </c>
      <c r="G1107" s="624"/>
      <c r="H1107" s="625">
        <f t="shared" ref="H1107" si="3011">SUM(H1104:I1106)</f>
        <v>0</v>
      </c>
      <c r="I1107" s="626"/>
      <c r="J1107" s="623">
        <f t="shared" ref="J1107" si="3012">SUM(J1104:K1106)</f>
        <v>0</v>
      </c>
      <c r="K1107" s="624"/>
      <c r="L1107" s="625">
        <f t="shared" ref="L1107" si="3013">SUM(L1104:M1106)</f>
        <v>0</v>
      </c>
      <c r="M1107" s="642"/>
      <c r="N1107" s="625">
        <f t="shared" ref="N1107" si="3014">SUM(N1104:O1106)</f>
        <v>0</v>
      </c>
      <c r="O1107" s="642"/>
      <c r="P1107" s="623">
        <f t="shared" ref="P1107" si="3015">SUM(P1104:Q1106)</f>
        <v>0</v>
      </c>
      <c r="Q1107" s="626"/>
      <c r="R1107" s="88">
        <f t="shared" ref="R1107" si="3016">IF(AND(F1107&gt;=$G$8,H1107&gt;=$I$8,J1107&gt;=$K$8,L1107&gt;=$M$8,N1107&gt;=$O$8,P1107&gt;=$Q$8),SUM(F1107:Q1107),0)</f>
        <v>0</v>
      </c>
      <c r="S1107" s="251"/>
      <c r="T1107" s="97"/>
      <c r="U1107" s="94"/>
      <c r="V1107" s="606"/>
      <c r="W1107" s="88" t="str">
        <f t="shared" ref="W1107" si="3017">LOOKUP(R1107,$AI$6:$AJ$10)</f>
        <v>ضعيف</v>
      </c>
      <c r="X1107" s="641"/>
      <c r="Y1107" s="68"/>
      <c r="Z1107" s="599"/>
      <c r="AK1107" s="667"/>
      <c r="AL1107" s="667"/>
      <c r="AM1107" s="696"/>
      <c r="AN1107" s="698"/>
      <c r="AO1107" s="699"/>
      <c r="AP1107" s="698"/>
    </row>
    <row r="1108" spans="1:42" ht="14.85" customHeight="1" thickBot="1" x14ac:dyDescent="0.3">
      <c r="F1108" s="71"/>
      <c r="G1108" s="72"/>
      <c r="H1108" s="71"/>
      <c r="I1108" s="72"/>
      <c r="J1108" s="71"/>
      <c r="K1108" s="72"/>
      <c r="L1108" s="71"/>
      <c r="M1108" s="72"/>
      <c r="N1108" s="71"/>
      <c r="O1108" s="72"/>
      <c r="P1108" s="71"/>
      <c r="Q1108" s="72"/>
      <c r="R1108" s="70"/>
      <c r="S1108" s="73"/>
      <c r="T1108" s="70"/>
      <c r="U1108" s="70"/>
      <c r="V1108" s="70"/>
      <c r="W1108" s="70"/>
      <c r="X1108" s="254"/>
      <c r="Y1108" s="68"/>
      <c r="AH1108" s="74"/>
    </row>
    <row r="1109" spans="1:42" customFormat="1" ht="14.85" customHeight="1" x14ac:dyDescent="0.3">
      <c r="A1109" s="668" t="s">
        <v>9</v>
      </c>
      <c r="B1109" s="669"/>
      <c r="C1109" s="670"/>
      <c r="D1109" s="277" t="s">
        <v>11</v>
      </c>
      <c r="E1109" s="674" t="s">
        <v>96</v>
      </c>
      <c r="F1109" s="663"/>
      <c r="G1109" s="663"/>
      <c r="H1109" s="663"/>
      <c r="I1109" s="663"/>
      <c r="J1109" s="7"/>
      <c r="K1109" s="7"/>
      <c r="L1109" s="7"/>
      <c r="M1109" s="7"/>
      <c r="N1109" s="7"/>
      <c r="O1109" s="7"/>
      <c r="P1109" s="7"/>
      <c r="Q1109" s="663" t="s">
        <v>156</v>
      </c>
      <c r="R1109" s="663"/>
      <c r="S1109" s="663"/>
      <c r="T1109" s="663"/>
      <c r="U1109" s="663"/>
      <c r="V1109" s="663"/>
      <c r="W1109" s="1"/>
      <c r="X1109" s="255"/>
      <c r="Z1109" s="75"/>
      <c r="AA1109" s="76"/>
      <c r="AB1109" s="76"/>
      <c r="AC1109" s="76"/>
      <c r="AD1109" s="76"/>
    </row>
    <row r="1110" spans="1:42" customFormat="1" ht="14.85" customHeight="1" x14ac:dyDescent="0.25">
      <c r="A1110" s="77" t="s">
        <v>8</v>
      </c>
      <c r="B1110" s="671">
        <f>ادخال1!$BJ$3</f>
        <v>0</v>
      </c>
      <c r="C1110" s="672"/>
      <c r="D1110" s="278"/>
      <c r="E1110" s="7" t="s">
        <v>9</v>
      </c>
      <c r="F1110" s="673" t="str">
        <f>ادخال1!$BJ$5</f>
        <v>د. عبدالرحمن خليفة العريبي</v>
      </c>
      <c r="G1110" s="673"/>
      <c r="H1110" s="673"/>
      <c r="I1110" s="673"/>
      <c r="J1110" s="673"/>
      <c r="K1110" s="673"/>
      <c r="L1110" s="673"/>
      <c r="M1110" s="673"/>
      <c r="N1110" s="673"/>
      <c r="O1110" s="673"/>
      <c r="P1110" s="7"/>
      <c r="Q1110" s="673" t="str">
        <f>ادخال1!$BJ$6</f>
        <v>تاجوراء</v>
      </c>
      <c r="R1110" s="673"/>
      <c r="S1110" s="673"/>
      <c r="T1110" s="673"/>
      <c r="U1110" s="673"/>
      <c r="V1110" s="673"/>
      <c r="W1110" s="673"/>
      <c r="X1110" s="63"/>
      <c r="Y1110" s="63"/>
      <c r="Z1110" s="75"/>
      <c r="AA1110" s="75"/>
      <c r="AB1110" s="75"/>
      <c r="AC1110" s="75"/>
    </row>
    <row r="1111" spans="1:42" customFormat="1" ht="14.85" customHeight="1" thickBot="1" x14ac:dyDescent="0.3">
      <c r="A1111" s="78" t="s">
        <v>97</v>
      </c>
      <c r="B1111" s="665">
        <f>ادخال1!$BJ$4</f>
        <v>0</v>
      </c>
      <c r="C1111" s="666"/>
      <c r="D1111" s="279"/>
      <c r="E1111" s="7" t="s">
        <v>11</v>
      </c>
      <c r="F1111" s="667"/>
      <c r="G1111" s="667"/>
      <c r="H1111" s="667"/>
      <c r="I1111" s="667"/>
      <c r="J1111" s="667"/>
      <c r="K1111" s="667"/>
      <c r="L1111" s="667"/>
      <c r="M1111" s="667"/>
      <c r="N1111" s="667"/>
      <c r="O1111" s="667"/>
      <c r="P1111" s="7"/>
      <c r="Q1111" s="7" t="s">
        <v>11</v>
      </c>
      <c r="R1111" s="1"/>
      <c r="S1111" s="1"/>
      <c r="T1111" s="1"/>
      <c r="U1111" s="1"/>
      <c r="V1111" s="1"/>
      <c r="W1111" s="1"/>
      <c r="X1111" s="255"/>
      <c r="Z1111" s="75"/>
      <c r="AA1111" s="75"/>
      <c r="AB1111" s="75"/>
      <c r="AC1111" s="75"/>
    </row>
    <row r="1112" spans="1:42" customFormat="1" ht="14.85" customHeight="1" x14ac:dyDescent="0.25">
      <c r="A1112" s="663" t="s">
        <v>98</v>
      </c>
      <c r="B1112" s="663"/>
      <c r="C1112" s="663"/>
      <c r="D1112" s="663"/>
      <c r="E1112" s="663" t="s">
        <v>99</v>
      </c>
      <c r="F1112" s="663"/>
      <c r="G1112" s="663"/>
      <c r="H1112" s="663"/>
      <c r="I1112" s="663"/>
      <c r="J1112" s="663"/>
      <c r="K1112" s="663"/>
      <c r="L1112" s="663"/>
      <c r="M1112" s="663"/>
      <c r="N1112" s="663"/>
      <c r="O1112" s="663"/>
      <c r="P1112" s="663"/>
      <c r="Q1112" s="663"/>
      <c r="R1112" s="7"/>
      <c r="S1112" s="664">
        <f ca="1">TODAY()</f>
        <v>46009</v>
      </c>
      <c r="T1112" s="664"/>
      <c r="U1112" s="664"/>
      <c r="V1112" s="664"/>
      <c r="W1112" s="664"/>
      <c r="X1112" s="255"/>
    </row>
    <row r="1113" spans="1:42" customFormat="1" ht="14.85" customHeight="1" thickBot="1" x14ac:dyDescent="0.3">
      <c r="A1113" s="7"/>
      <c r="B1113" s="663" t="s">
        <v>100</v>
      </c>
      <c r="C1113" s="663"/>
      <c r="D1113" s="663"/>
      <c r="E1113" s="663" t="s">
        <v>101</v>
      </c>
      <c r="F1113" s="663"/>
      <c r="G1113" s="663"/>
      <c r="H1113" s="663"/>
      <c r="I1113" s="663"/>
      <c r="J1113" s="663"/>
      <c r="K1113" s="663"/>
      <c r="L1113" s="663"/>
      <c r="M1113" s="663"/>
      <c r="N1113" s="663"/>
      <c r="O1113" s="663"/>
      <c r="P1113" s="663"/>
      <c r="Q1113" s="663"/>
      <c r="R1113" s="1"/>
      <c r="S1113" s="1"/>
      <c r="T1113" s="1"/>
      <c r="U1113" s="1"/>
      <c r="V1113" s="1"/>
      <c r="W1113" s="1"/>
      <c r="X1113" s="255"/>
    </row>
    <row r="1114" spans="1:42" ht="14.85" customHeight="1" thickBot="1" x14ac:dyDescent="0.3">
      <c r="A1114" s="610">
        <v>241</v>
      </c>
      <c r="B1114" s="613">
        <f>VLOOKUP(A1114,مسلسل,2,0)</f>
        <v>0</v>
      </c>
      <c r="C1114" s="616" t="str">
        <f>IFERROR(VLOOKUP(B1114,اسماء,2,0),"")</f>
        <v/>
      </c>
      <c r="D1114" s="619" t="str">
        <f>IFERROR(VLOOKUP($B1114,اسماء,3,0),"")</f>
        <v/>
      </c>
      <c r="E1114" s="129" t="s">
        <v>30</v>
      </c>
      <c r="F1114" s="600">
        <f>IFERROR(VLOOKUP($B1114,اسماء,5,0),0)</f>
        <v>0</v>
      </c>
      <c r="G1114" s="601"/>
      <c r="H1114" s="602">
        <f>IFERROR(VLOOKUP($B1114,اسماء,6,0),0)</f>
        <v>0</v>
      </c>
      <c r="I1114" s="622"/>
      <c r="J1114" s="600">
        <f>IFERROR(VLOOKUP($B1114,اسماء,7,0),0)</f>
        <v>0</v>
      </c>
      <c r="K1114" s="601"/>
      <c r="L1114" s="602">
        <f>IFERROR(VLOOKUP($B1114,اسماء,8,0),0)</f>
        <v>0</v>
      </c>
      <c r="M1114" s="603"/>
      <c r="N1114" s="602">
        <f>IFERROR(VLOOKUP($B1114,اسماء,9,0),0)</f>
        <v>0</v>
      </c>
      <c r="O1114" s="603"/>
      <c r="P1114" s="600">
        <f>IFERROR(VLOOKUP($B1114,اسماء,10,0),0)</f>
        <v>0</v>
      </c>
      <c r="Q1114" s="622"/>
      <c r="R1114" s="371">
        <f>SUM(F1114:Q1114)</f>
        <v>0</v>
      </c>
      <c r="S1114" s="325" t="str">
        <f>IFERROR(VLOOKUP($B1114,اسماء,12,0),"")</f>
        <v/>
      </c>
      <c r="T1114" s="326" t="str">
        <f>IFERROR(VLOOKUP($B1114,اسماء,13,0),"")</f>
        <v/>
      </c>
      <c r="U1114" s="92" t="str">
        <f>IFERROR(VLOOKUP($B1114,اسماء,14,0),"")</f>
        <v/>
      </c>
      <c r="V1114" s="604" t="str">
        <f t="shared" ref="V1114" si="3018">IF(Z1114="غائب","راسب",IF(R1117&gt;0,"ناجح","مرحل"))</f>
        <v>مرحل</v>
      </c>
      <c r="W1114" s="19" t="str">
        <f t="shared" ref="W1114:W1115" si="3019">LOOKUP(R1114,$AC$6:$AD$10)</f>
        <v>ضعيف</v>
      </c>
      <c r="X1114" s="639">
        <f t="shared" ref="X1114" si="3020">R1117/$AC$3</f>
        <v>0</v>
      </c>
      <c r="Y1114" s="68"/>
      <c r="Z1114" s="597" t="str">
        <f>IFERROR(VLOOKUP($B1114,اسماء,48,0),"")</f>
        <v/>
      </c>
      <c r="AK1114" s="671" t="str">
        <f>IF(R1117=0,"",R1117/1+ROW()*0.00001)</f>
        <v/>
      </c>
      <c r="AL1114" s="671">
        <f>B1114</f>
        <v>0</v>
      </c>
      <c r="AM1114" s="696"/>
      <c r="AN1114" s="698">
        <v>241</v>
      </c>
      <c r="AO1114" s="699" t="str">
        <f>IFERROR(LARGE($AK$10:$AK$1420,AN1114),"")</f>
        <v/>
      </c>
      <c r="AP1114" s="698" t="str">
        <f>VLOOKUP(AO1114,$AK$10:$AL$1530,2,0)</f>
        <v>امجد عمر عبداللطيف سلطان</v>
      </c>
    </row>
    <row r="1115" spans="1:42" ht="14.85" customHeight="1" x14ac:dyDescent="0.25">
      <c r="A1115" s="611"/>
      <c r="B1115" s="614"/>
      <c r="C1115" s="617"/>
      <c r="D1115" s="620"/>
      <c r="E1115" s="130" t="s">
        <v>31</v>
      </c>
      <c r="F1115" s="592">
        <f>IFERROR(VLOOKUP($B1114,اسماء,16,0),0)</f>
        <v>0</v>
      </c>
      <c r="G1115" s="593"/>
      <c r="H1115" s="594">
        <f>IFERROR(VLOOKUP($B1114,اسماء,17,0),0)</f>
        <v>0</v>
      </c>
      <c r="I1115" s="595"/>
      <c r="J1115" s="592">
        <f>IFERROR(VLOOKUP($B1114,اسماء,18,0),0)</f>
        <v>0</v>
      </c>
      <c r="K1115" s="593"/>
      <c r="L1115" s="594">
        <f>IFERROR(VLOOKUP($B1114,اسماء,19,0),0)</f>
        <v>0</v>
      </c>
      <c r="M1115" s="596"/>
      <c r="N1115" s="594">
        <f>IFERROR(VLOOKUP($B1114,اسماء,20,0),0)</f>
        <v>0</v>
      </c>
      <c r="O1115" s="596"/>
      <c r="P1115" s="592">
        <f>IFERROR(VLOOKUP($B1114,اسماء,21,0),0)</f>
        <v>0</v>
      </c>
      <c r="Q1115" s="595"/>
      <c r="R1115" s="372">
        <f t="shared" ref="R1115:R1116" si="3021">SUM(F1115:Q1115)</f>
        <v>0</v>
      </c>
      <c r="S1115" s="305" t="str">
        <f>IFERROR(VLOOKUP($B1114,اسماء,23,0),"")</f>
        <v/>
      </c>
      <c r="T1115" s="306" t="str">
        <f>IFERROR(VLOOKUP($B1114,اسماء,24,0),"")</f>
        <v/>
      </c>
      <c r="U1115" s="122" t="str">
        <f>IFERROR(VLOOKUP($B1114,اسماء,25,0),"")</f>
        <v/>
      </c>
      <c r="V1115" s="605"/>
      <c r="W1115" s="19" t="str">
        <f t="shared" si="3019"/>
        <v>ضعيف</v>
      </c>
      <c r="X1115" s="640"/>
      <c r="Y1115" s="8"/>
      <c r="Z1115" s="598"/>
      <c r="AK1115" s="671"/>
      <c r="AL1115" s="671"/>
      <c r="AM1115" s="696"/>
      <c r="AN1115" s="698"/>
      <c r="AO1115" s="699"/>
      <c r="AP1115" s="698"/>
    </row>
    <row r="1116" spans="1:42" ht="14.85" customHeight="1" x14ac:dyDescent="0.25">
      <c r="A1116" s="611"/>
      <c r="B1116" s="614"/>
      <c r="C1116" s="617"/>
      <c r="D1116" s="620"/>
      <c r="E1116" s="130" t="s">
        <v>32</v>
      </c>
      <c r="F1116" s="592">
        <f>IFERROR(VLOOKUP($B1114,اسماء,27,0),0)</f>
        <v>0</v>
      </c>
      <c r="G1116" s="593"/>
      <c r="H1116" s="594">
        <f>IFERROR(VLOOKUP($B1114,اسماء,28,0),0)</f>
        <v>0</v>
      </c>
      <c r="I1116" s="595"/>
      <c r="J1116" s="592">
        <f>IFERROR(VLOOKUP($B1114,اسماء,29,0),0)</f>
        <v>0</v>
      </c>
      <c r="K1116" s="593"/>
      <c r="L1116" s="594">
        <f>IFERROR(VLOOKUP($B1114,اسماء,30,0),0)</f>
        <v>0</v>
      </c>
      <c r="M1116" s="596"/>
      <c r="N1116" s="594">
        <f>IFERROR(VLOOKUP($B1114,اسماء,31,0),0)</f>
        <v>0</v>
      </c>
      <c r="O1116" s="596"/>
      <c r="P1116" s="592">
        <f>IFERROR(VLOOKUP($B1114,اسماء,32,0),0)</f>
        <v>0</v>
      </c>
      <c r="Q1116" s="595"/>
      <c r="R1116" s="372">
        <f t="shared" si="3021"/>
        <v>0</v>
      </c>
      <c r="S1116" s="305" t="str">
        <f>IFERROR(VLOOKUP($B1114,اسماء,34,0),"")</f>
        <v/>
      </c>
      <c r="T1116" s="306" t="str">
        <f>IFERROR(VLOOKUP($B1114,اسماء,35,0),"")</f>
        <v/>
      </c>
      <c r="U1116" s="122" t="str">
        <f>IFERROR(VLOOKUP($B1114,اسماء,36,0),"")</f>
        <v/>
      </c>
      <c r="V1116" s="605"/>
      <c r="W1116" s="20" t="str">
        <f t="shared" ref="W1116" si="3022">LOOKUP(R1116,$AF$6:$AG$10)</f>
        <v>ضعيف</v>
      </c>
      <c r="X1116" s="640"/>
      <c r="Y1116" s="68"/>
      <c r="Z1116" s="598"/>
      <c r="AK1116" s="671"/>
      <c r="AL1116" s="671"/>
      <c r="AM1116" s="696"/>
      <c r="AN1116" s="698"/>
      <c r="AO1116" s="699"/>
      <c r="AP1116" s="698"/>
    </row>
    <row r="1117" spans="1:42" ht="14.85" customHeight="1" thickBot="1" x14ac:dyDescent="0.3">
      <c r="A1117" s="612"/>
      <c r="B1117" s="615"/>
      <c r="C1117" s="618"/>
      <c r="D1117" s="621"/>
      <c r="E1117" s="124" t="s">
        <v>33</v>
      </c>
      <c r="F1117" s="623">
        <f>SUM(F1114:G1116)</f>
        <v>0</v>
      </c>
      <c r="G1117" s="624"/>
      <c r="H1117" s="625">
        <f>SUM(H1114:I1116)</f>
        <v>0</v>
      </c>
      <c r="I1117" s="626"/>
      <c r="J1117" s="623">
        <f>SUM(J1114:K1116)</f>
        <v>0</v>
      </c>
      <c r="K1117" s="624"/>
      <c r="L1117" s="625">
        <f>SUM(L1114:M1116)</f>
        <v>0</v>
      </c>
      <c r="M1117" s="642"/>
      <c r="N1117" s="625">
        <f>SUM(N1114:O1116)</f>
        <v>0</v>
      </c>
      <c r="O1117" s="642"/>
      <c r="P1117" s="623">
        <f>SUM(P1114:Q1116)</f>
        <v>0</v>
      </c>
      <c r="Q1117" s="626"/>
      <c r="R1117" s="88">
        <f>IF(AND(F1117&gt;=$G$8,H1117&gt;=$I$8,J1117&gt;=$K$8,L1117&gt;=$M$8,N1117&gt;=$O$8,P1117&gt;=$Q$8),SUM(F1117:Q1117),0)</f>
        <v>0</v>
      </c>
      <c r="S1117" s="251"/>
      <c r="T1117" s="97"/>
      <c r="U1117" s="94"/>
      <c r="V1117" s="606"/>
      <c r="W1117" s="88" t="str">
        <f t="shared" ref="W1117" si="3023">LOOKUP(R1117,$AI$6:$AJ$10)</f>
        <v>ضعيف</v>
      </c>
      <c r="X1117" s="641"/>
      <c r="Y1117" s="68"/>
      <c r="Z1117" s="599"/>
      <c r="AK1117" s="671"/>
      <c r="AL1117" s="671"/>
      <c r="AM1117" s="696"/>
      <c r="AN1117" s="698"/>
      <c r="AO1117" s="699"/>
      <c r="AP1117" s="698"/>
    </row>
    <row r="1118" spans="1:42" ht="14.85" customHeight="1" thickBot="1" x14ac:dyDescent="0.3">
      <c r="A1118" s="610">
        <v>242</v>
      </c>
      <c r="B1118" s="613">
        <f>VLOOKUP(A1118,مسلسل,2,0)</f>
        <v>0</v>
      </c>
      <c r="C1118" s="616" t="str">
        <f>IFERROR(VLOOKUP(B1118,اسماء,2,0),"")</f>
        <v/>
      </c>
      <c r="D1118" s="619" t="str">
        <f>IFERROR(VLOOKUP($B1118,اسماء,3,0),"")</f>
        <v/>
      </c>
      <c r="E1118" s="129" t="s">
        <v>30</v>
      </c>
      <c r="F1118" s="600">
        <f>IFERROR(VLOOKUP($B1118,اسماء,5,0),0)</f>
        <v>0</v>
      </c>
      <c r="G1118" s="601"/>
      <c r="H1118" s="602">
        <f>IFERROR(VLOOKUP($B1118,اسماء,6,0),0)</f>
        <v>0</v>
      </c>
      <c r="I1118" s="622"/>
      <c r="J1118" s="600">
        <f>IFERROR(VLOOKUP($B1118,اسماء,7,0),0)</f>
        <v>0</v>
      </c>
      <c r="K1118" s="601"/>
      <c r="L1118" s="602">
        <f>IFERROR(VLOOKUP($B1118,اسماء,8,0),0)</f>
        <v>0</v>
      </c>
      <c r="M1118" s="603"/>
      <c r="N1118" s="602">
        <f>IFERROR(VLOOKUP($B1118,اسماء,9,0),0)</f>
        <v>0</v>
      </c>
      <c r="O1118" s="603"/>
      <c r="P1118" s="600">
        <f>IFERROR(VLOOKUP($B1118,اسماء,10,0),0)</f>
        <v>0</v>
      </c>
      <c r="Q1118" s="622"/>
      <c r="R1118" s="371">
        <f t="shared" ref="R1118:R1152" si="3024">SUM(F1118:Q1118)</f>
        <v>0</v>
      </c>
      <c r="S1118" s="213" t="str">
        <f>IFERROR(VLOOKUP($B1118,اسماء,12,0),"")</f>
        <v/>
      </c>
      <c r="T1118" s="214" t="str">
        <f>IFERROR(VLOOKUP($B1118,اسماء,13,0),"")</f>
        <v/>
      </c>
      <c r="U1118" s="364" t="str">
        <f>IFERROR(VLOOKUP($B1118,اسماء,14,0),"")</f>
        <v/>
      </c>
      <c r="V1118" s="604" t="str">
        <f t="shared" ref="V1118" si="3025">IF(Z1118="غائب","راسب",IF(R1121&gt;0,"ناجح","مرحل"))</f>
        <v>مرحل</v>
      </c>
      <c r="W1118" s="19" t="str">
        <f t="shared" ref="W1118:W1119" si="3026">LOOKUP(R1118,$AC$6:$AD$10)</f>
        <v>ضعيف</v>
      </c>
      <c r="X1118" s="639">
        <f t="shared" ref="X1118" si="3027">R1121/$AC$3</f>
        <v>0</v>
      </c>
      <c r="Y1118" s="8"/>
      <c r="Z1118" s="597" t="str">
        <f>IFERROR(VLOOKUP($B1118,اسماء,48,0),"")</f>
        <v/>
      </c>
      <c r="AK1118" s="667" t="str">
        <f t="shared" ref="AK1118" si="3028">IF(R1121=0,"",R1121/1+ROW()*0.00001)</f>
        <v/>
      </c>
      <c r="AL1118" s="667">
        <f>B1118</f>
        <v>0</v>
      </c>
      <c r="AM1118" s="696"/>
      <c r="AN1118" s="698">
        <v>242</v>
      </c>
      <c r="AO1118" s="699" t="str">
        <f>IFERROR(LARGE($AK$10:$AK$1420,AN1118),"")</f>
        <v/>
      </c>
      <c r="AP1118" s="698" t="str">
        <f>VLOOKUP(AO1118,$AK$10:$AL$1530,2,0)</f>
        <v>امجد عمر عبداللطيف سلطان</v>
      </c>
    </row>
    <row r="1119" spans="1:42" ht="14.85" customHeight="1" x14ac:dyDescent="0.25">
      <c r="A1119" s="611"/>
      <c r="B1119" s="614"/>
      <c r="C1119" s="617"/>
      <c r="D1119" s="620"/>
      <c r="E1119" s="130" t="s">
        <v>31</v>
      </c>
      <c r="F1119" s="592">
        <f>IFERROR(VLOOKUP($B1118,اسماء,15,0),0)</f>
        <v>0</v>
      </c>
      <c r="G1119" s="593"/>
      <c r="H1119" s="594">
        <f>IFERROR(VLOOKUP($B1118,اسماء,16,0),0)</f>
        <v>0</v>
      </c>
      <c r="I1119" s="595"/>
      <c r="J1119" s="592">
        <f>IFERROR(VLOOKUP($B1118,اسماء,17,0),0)</f>
        <v>0</v>
      </c>
      <c r="K1119" s="593"/>
      <c r="L1119" s="594">
        <f>IFERROR(VLOOKUP($B1118,اسماء,18,0),0)</f>
        <v>0</v>
      </c>
      <c r="M1119" s="596"/>
      <c r="N1119" s="594">
        <f>IFERROR(VLOOKUP($B1118,اسماء,19,0),0)</f>
        <v>0</v>
      </c>
      <c r="O1119" s="596"/>
      <c r="P1119" s="592">
        <f>IFERROR(VLOOKUP($B1118,اسماء,20,0),0)</f>
        <v>0</v>
      </c>
      <c r="Q1119" s="595"/>
      <c r="R1119" s="372">
        <f t="shared" si="3024"/>
        <v>0</v>
      </c>
      <c r="S1119" s="305" t="str">
        <f>IFERROR(VLOOKUP($B1118,اسماء,23,0),"")</f>
        <v/>
      </c>
      <c r="T1119" s="306" t="str">
        <f>IFERROR(VLOOKUP($B1118,اسماء,24,0),"")</f>
        <v/>
      </c>
      <c r="U1119" s="122" t="str">
        <f>IFERROR(VLOOKUP($B1118,اسماء,25,0),"")</f>
        <v/>
      </c>
      <c r="V1119" s="605"/>
      <c r="W1119" s="19" t="str">
        <f t="shared" si="3026"/>
        <v>ضعيف</v>
      </c>
      <c r="X1119" s="640"/>
      <c r="Y1119" s="68"/>
      <c r="Z1119" s="598"/>
      <c r="AK1119" s="667"/>
      <c r="AL1119" s="667"/>
      <c r="AM1119" s="696"/>
      <c r="AN1119" s="698"/>
      <c r="AO1119" s="699"/>
      <c r="AP1119" s="698"/>
    </row>
    <row r="1120" spans="1:42" ht="14.85" customHeight="1" x14ac:dyDescent="0.25">
      <c r="A1120" s="611"/>
      <c r="B1120" s="614"/>
      <c r="C1120" s="617"/>
      <c r="D1120" s="620"/>
      <c r="E1120" s="130" t="s">
        <v>32</v>
      </c>
      <c r="F1120" s="592">
        <f>IFERROR(VLOOKUP($B1118,اسماء,25,0),0)</f>
        <v>0</v>
      </c>
      <c r="G1120" s="593"/>
      <c r="H1120" s="594">
        <f>IFERROR(VLOOKUP($B1118,اسماء,26,0),0)</f>
        <v>0</v>
      </c>
      <c r="I1120" s="595"/>
      <c r="J1120" s="592">
        <f>IFERROR(VLOOKUP($B1118,اسماء,27,0),0)</f>
        <v>0</v>
      </c>
      <c r="K1120" s="593"/>
      <c r="L1120" s="594">
        <f>IFERROR(VLOOKUP($B1118,اسماء,28,0),0)</f>
        <v>0</v>
      </c>
      <c r="M1120" s="596"/>
      <c r="N1120" s="594">
        <f>IFERROR(VLOOKUP($B1118,اسماء,29,0),0)</f>
        <v>0</v>
      </c>
      <c r="O1120" s="596"/>
      <c r="P1120" s="592">
        <f>IFERROR(VLOOKUP($B1118,اسماء,30,0),0)</f>
        <v>0</v>
      </c>
      <c r="Q1120" s="595"/>
      <c r="R1120" s="372">
        <f t="shared" si="3024"/>
        <v>0</v>
      </c>
      <c r="S1120" s="305" t="str">
        <f>IFERROR(VLOOKUP($B1118,اسماء,34,0),"")</f>
        <v/>
      </c>
      <c r="T1120" s="306" t="str">
        <f>IFERROR(VLOOKUP($B1118,اسماء,35,0),"")</f>
        <v/>
      </c>
      <c r="U1120" s="122" t="str">
        <f>IFERROR(VLOOKUP($B1118,اسماء,36,0),"")</f>
        <v/>
      </c>
      <c r="V1120" s="605"/>
      <c r="W1120" s="20" t="str">
        <f t="shared" ref="W1120" si="3029">LOOKUP(R1120,$AF$6:$AG$10)</f>
        <v>ضعيف</v>
      </c>
      <c r="X1120" s="640"/>
      <c r="Y1120" s="68"/>
      <c r="Z1120" s="598"/>
      <c r="AK1120" s="667"/>
      <c r="AL1120" s="667"/>
      <c r="AM1120" s="696"/>
      <c r="AN1120" s="698"/>
      <c r="AO1120" s="699"/>
      <c r="AP1120" s="698"/>
    </row>
    <row r="1121" spans="1:42" ht="14.85" customHeight="1" thickBot="1" x14ac:dyDescent="0.3">
      <c r="A1121" s="612"/>
      <c r="B1121" s="615"/>
      <c r="C1121" s="618"/>
      <c r="D1121" s="621"/>
      <c r="E1121" s="124" t="s">
        <v>33</v>
      </c>
      <c r="F1121" s="623">
        <f>SUM(F1118:G1120)</f>
        <v>0</v>
      </c>
      <c r="G1121" s="624"/>
      <c r="H1121" s="625">
        <f>SUM(H1118:I1120)</f>
        <v>0</v>
      </c>
      <c r="I1121" s="626"/>
      <c r="J1121" s="623">
        <f>SUM(J1118:K1120)</f>
        <v>0</v>
      </c>
      <c r="K1121" s="624"/>
      <c r="L1121" s="625">
        <f>SUM(L1118:M1120)</f>
        <v>0</v>
      </c>
      <c r="M1121" s="642"/>
      <c r="N1121" s="625">
        <f>SUM(N1118:O1120)</f>
        <v>0</v>
      </c>
      <c r="O1121" s="642"/>
      <c r="P1121" s="623">
        <f>SUM(P1118:Q1120)</f>
        <v>0</v>
      </c>
      <c r="Q1121" s="626"/>
      <c r="R1121" s="88">
        <f t="shared" ref="R1121" si="3030">IF(AND(F1121&gt;=$G$8,H1121&gt;=$I$8,J1121&gt;=$K$8,L1121&gt;=$M$8,N1121&gt;=$O$8,P1121&gt;=$Q$8),SUM(F1121:Q1121),0)</f>
        <v>0</v>
      </c>
      <c r="S1121" s="251"/>
      <c r="T1121" s="97"/>
      <c r="U1121" s="94"/>
      <c r="V1121" s="606"/>
      <c r="W1121" s="88" t="str">
        <f t="shared" ref="W1121" si="3031">LOOKUP(R1121,$AI$6:$AJ$10)</f>
        <v>ضعيف</v>
      </c>
      <c r="X1121" s="641"/>
      <c r="Y1121" s="8"/>
      <c r="Z1121" s="599"/>
      <c r="AK1121" s="667"/>
      <c r="AL1121" s="667"/>
      <c r="AM1121" s="696"/>
      <c r="AN1121" s="698"/>
      <c r="AO1121" s="699"/>
      <c r="AP1121" s="698"/>
    </row>
    <row r="1122" spans="1:42" ht="14.85" customHeight="1" thickBot="1" x14ac:dyDescent="0.3">
      <c r="A1122" s="610">
        <v>243</v>
      </c>
      <c r="B1122" s="613">
        <f>VLOOKUP(A1122,مسلسل,2,0)</f>
        <v>0</v>
      </c>
      <c r="C1122" s="616" t="str">
        <f>IFERROR(VLOOKUP(B1122,اسماء,2,0),"")</f>
        <v/>
      </c>
      <c r="D1122" s="619" t="str">
        <f>IFERROR(VLOOKUP($B1122,اسماء,3,0),"")</f>
        <v/>
      </c>
      <c r="E1122" s="129" t="s">
        <v>30</v>
      </c>
      <c r="F1122" s="600">
        <f>IFERROR(VLOOKUP($B1122,اسماء,5,0),0)</f>
        <v>0</v>
      </c>
      <c r="G1122" s="601"/>
      <c r="H1122" s="602">
        <f>IFERROR(VLOOKUP($B1122,اسماء,6,0),0)</f>
        <v>0</v>
      </c>
      <c r="I1122" s="622"/>
      <c r="J1122" s="600">
        <f>IFERROR(VLOOKUP($B1122,اسماء,7,0),0)</f>
        <v>0</v>
      </c>
      <c r="K1122" s="601"/>
      <c r="L1122" s="602">
        <f>IFERROR(VLOOKUP($B1122,اسماء,8,0),0)</f>
        <v>0</v>
      </c>
      <c r="M1122" s="603"/>
      <c r="N1122" s="602">
        <f>IFERROR(VLOOKUP($B1122,اسماء,9,0),0)</f>
        <v>0</v>
      </c>
      <c r="O1122" s="603"/>
      <c r="P1122" s="600">
        <f>IFERROR(VLOOKUP($B1122,اسماء,10,0),0)</f>
        <v>0</v>
      </c>
      <c r="Q1122" s="622"/>
      <c r="R1122" s="371">
        <f t="shared" ref="R1122" si="3032">SUM(F1122:Q1122)</f>
        <v>0</v>
      </c>
      <c r="S1122" s="213" t="str">
        <f>IFERROR(VLOOKUP($B1122,اسماء,12,0),"")</f>
        <v/>
      </c>
      <c r="T1122" s="214" t="str">
        <f>IFERROR(VLOOKUP($B1122,اسماء,13,0),"")</f>
        <v/>
      </c>
      <c r="U1122" s="364" t="str">
        <f>IFERROR(VLOOKUP($B1122,اسماء,14,0),"")</f>
        <v/>
      </c>
      <c r="V1122" s="604" t="str">
        <f t="shared" ref="V1122" si="3033">IF(Z1122="غائب","راسب",IF(R1125&gt;0,"ناجح","مرحل"))</f>
        <v>مرحل</v>
      </c>
      <c r="W1122" s="19" t="str">
        <f t="shared" ref="W1122:W1123" si="3034">LOOKUP(R1122,$AC$6:$AD$10)</f>
        <v>ضعيف</v>
      </c>
      <c r="X1122" s="639">
        <f t="shared" ref="X1122" si="3035">R1125/$AC$3</f>
        <v>0</v>
      </c>
      <c r="Y1122" s="68"/>
      <c r="Z1122" s="597" t="str">
        <f>IFERROR(VLOOKUP($B1122,اسماء,48,0),"")</f>
        <v/>
      </c>
      <c r="AK1122" s="667" t="str">
        <f t="shared" ref="AK1122" si="3036">IF(R1125=0,"",R1125/1+ROW()*0.00001)</f>
        <v/>
      </c>
      <c r="AL1122" s="667">
        <f>B1122</f>
        <v>0</v>
      </c>
      <c r="AM1122" s="696"/>
      <c r="AN1122" s="698">
        <v>243</v>
      </c>
      <c r="AO1122" s="699" t="str">
        <f>IFERROR(LARGE($AK$10:$AK$1420,AN1122),"")</f>
        <v/>
      </c>
      <c r="AP1122" s="698" t="str">
        <f>VLOOKUP(AO1122,$AK$10:$AL$1530,2,0)</f>
        <v>امجد عمر عبداللطيف سلطان</v>
      </c>
    </row>
    <row r="1123" spans="1:42" ht="14.85" customHeight="1" x14ac:dyDescent="0.25">
      <c r="A1123" s="611"/>
      <c r="B1123" s="614"/>
      <c r="C1123" s="617"/>
      <c r="D1123" s="620"/>
      <c r="E1123" s="130" t="s">
        <v>31</v>
      </c>
      <c r="F1123" s="592">
        <f>IFERROR(VLOOKUP($B1122,اسماء,15,0),0)</f>
        <v>0</v>
      </c>
      <c r="G1123" s="593"/>
      <c r="H1123" s="594">
        <f>IFERROR(VLOOKUP($B1122,اسماء,16,0),0)</f>
        <v>0</v>
      </c>
      <c r="I1123" s="595"/>
      <c r="J1123" s="592">
        <f>IFERROR(VLOOKUP($B1122,اسماء,17,0),0)</f>
        <v>0</v>
      </c>
      <c r="K1123" s="593"/>
      <c r="L1123" s="594">
        <f>IFERROR(VLOOKUP($B1122,اسماء,18,0),0)</f>
        <v>0</v>
      </c>
      <c r="M1123" s="596"/>
      <c r="N1123" s="594">
        <f>IFERROR(VLOOKUP($B1122,اسماء,19,0),0)</f>
        <v>0</v>
      </c>
      <c r="O1123" s="596"/>
      <c r="P1123" s="592">
        <f>IFERROR(VLOOKUP($B1122,اسماء,20,0),0)</f>
        <v>0</v>
      </c>
      <c r="Q1123" s="595"/>
      <c r="R1123" s="372">
        <f t="shared" si="3024"/>
        <v>0</v>
      </c>
      <c r="S1123" s="305" t="str">
        <f>IFERROR(VLOOKUP($B1122,اسماء,23,0),"")</f>
        <v/>
      </c>
      <c r="T1123" s="306" t="str">
        <f>IFERROR(VLOOKUP($B1122,اسماء,24,0),"")</f>
        <v/>
      </c>
      <c r="U1123" s="122" t="str">
        <f>IFERROR(VLOOKUP($B1122,اسماء,25,0),"")</f>
        <v/>
      </c>
      <c r="V1123" s="605"/>
      <c r="W1123" s="19" t="str">
        <f t="shared" si="3034"/>
        <v>ضعيف</v>
      </c>
      <c r="X1123" s="640"/>
      <c r="Y1123" s="68"/>
      <c r="Z1123" s="598"/>
      <c r="AK1123" s="667"/>
      <c r="AL1123" s="667"/>
      <c r="AM1123" s="696"/>
      <c r="AN1123" s="698"/>
      <c r="AO1123" s="699"/>
      <c r="AP1123" s="698"/>
    </row>
    <row r="1124" spans="1:42" ht="14.85" customHeight="1" x14ac:dyDescent="0.25">
      <c r="A1124" s="611"/>
      <c r="B1124" s="614"/>
      <c r="C1124" s="617"/>
      <c r="D1124" s="620"/>
      <c r="E1124" s="130" t="s">
        <v>32</v>
      </c>
      <c r="F1124" s="592">
        <f>IFERROR(VLOOKUP($B1122,اسماء,25,0),0)</f>
        <v>0</v>
      </c>
      <c r="G1124" s="593"/>
      <c r="H1124" s="594">
        <f>IFERROR(VLOOKUP($B1122,اسماء,26,0),0)</f>
        <v>0</v>
      </c>
      <c r="I1124" s="595"/>
      <c r="J1124" s="592">
        <f>IFERROR(VLOOKUP($B1122,اسماء,27,0),0)</f>
        <v>0</v>
      </c>
      <c r="K1124" s="593"/>
      <c r="L1124" s="594">
        <f>IFERROR(VLOOKUP($B1122,اسماء,28,0),0)</f>
        <v>0</v>
      </c>
      <c r="M1124" s="596"/>
      <c r="N1124" s="594">
        <f>IFERROR(VLOOKUP($B1122,اسماء,29,0),0)</f>
        <v>0</v>
      </c>
      <c r="O1124" s="596"/>
      <c r="P1124" s="592">
        <f>IFERROR(VLOOKUP($B1122,اسماء,30,0),0)</f>
        <v>0</v>
      </c>
      <c r="Q1124" s="595"/>
      <c r="R1124" s="372">
        <f t="shared" si="3024"/>
        <v>0</v>
      </c>
      <c r="S1124" s="305" t="str">
        <f>IFERROR(VLOOKUP($B1122,اسماء,34,0),"")</f>
        <v/>
      </c>
      <c r="T1124" s="306" t="str">
        <f>IFERROR(VLOOKUP($B1122,اسماء,35,0),"")</f>
        <v/>
      </c>
      <c r="U1124" s="122" t="str">
        <f>IFERROR(VLOOKUP($B1122,اسماء,36,0),"")</f>
        <v/>
      </c>
      <c r="V1124" s="605"/>
      <c r="W1124" s="20" t="str">
        <f t="shared" ref="W1124" si="3037">LOOKUP(R1124,$AF$6:$AG$10)</f>
        <v>ضعيف</v>
      </c>
      <c r="X1124" s="640"/>
      <c r="Y1124" s="8"/>
      <c r="Z1124" s="598"/>
      <c r="AK1124" s="667"/>
      <c r="AL1124" s="667"/>
      <c r="AM1124" s="696"/>
      <c r="AN1124" s="698"/>
      <c r="AO1124" s="699"/>
      <c r="AP1124" s="698"/>
    </row>
    <row r="1125" spans="1:42" ht="14.85" customHeight="1" thickBot="1" x14ac:dyDescent="0.3">
      <c r="A1125" s="612"/>
      <c r="B1125" s="615"/>
      <c r="C1125" s="618"/>
      <c r="D1125" s="621"/>
      <c r="E1125" s="124" t="s">
        <v>33</v>
      </c>
      <c r="F1125" s="623">
        <f t="shared" ref="F1125" si="3038">SUM(F1122:G1124)</f>
        <v>0</v>
      </c>
      <c r="G1125" s="624"/>
      <c r="H1125" s="625">
        <f t="shared" ref="H1125" si="3039">SUM(H1122:I1124)</f>
        <v>0</v>
      </c>
      <c r="I1125" s="626"/>
      <c r="J1125" s="623">
        <f t="shared" ref="J1125" si="3040">SUM(J1122:K1124)</f>
        <v>0</v>
      </c>
      <c r="K1125" s="624"/>
      <c r="L1125" s="625">
        <f t="shared" ref="L1125" si="3041">SUM(L1122:M1124)</f>
        <v>0</v>
      </c>
      <c r="M1125" s="642"/>
      <c r="N1125" s="625">
        <f t="shared" ref="N1125" si="3042">SUM(N1122:O1124)</f>
        <v>0</v>
      </c>
      <c r="O1125" s="642"/>
      <c r="P1125" s="623">
        <f t="shared" ref="P1125" si="3043">SUM(P1122:Q1124)</f>
        <v>0</v>
      </c>
      <c r="Q1125" s="626"/>
      <c r="R1125" s="88">
        <f t="shared" ref="R1125" si="3044">IF(AND(F1125&gt;=$G$8,H1125&gt;=$I$8,J1125&gt;=$K$8,L1125&gt;=$M$8,N1125&gt;=$O$8,P1125&gt;=$Q$8),SUM(F1125:Q1125),0)</f>
        <v>0</v>
      </c>
      <c r="S1125" s="251"/>
      <c r="T1125" s="97"/>
      <c r="U1125" s="94"/>
      <c r="V1125" s="606"/>
      <c r="W1125" s="88" t="str">
        <f t="shared" ref="W1125" si="3045">LOOKUP(R1125,$AI$6:$AJ$10)</f>
        <v>ضعيف</v>
      </c>
      <c r="X1125" s="641"/>
      <c r="Y1125" s="68"/>
      <c r="Z1125" s="599"/>
      <c r="AK1125" s="667"/>
      <c r="AL1125" s="667"/>
      <c r="AM1125" s="696"/>
      <c r="AN1125" s="698"/>
      <c r="AO1125" s="699"/>
      <c r="AP1125" s="698"/>
    </row>
    <row r="1126" spans="1:42" ht="14.85" customHeight="1" thickBot="1" x14ac:dyDescent="0.3">
      <c r="A1126" s="610">
        <v>244</v>
      </c>
      <c r="B1126" s="613">
        <f>VLOOKUP(A1126,مسلسل,2,0)</f>
        <v>0</v>
      </c>
      <c r="C1126" s="616" t="str">
        <f>IFERROR(VLOOKUP(B1126,اسماء,2,0),"")</f>
        <v/>
      </c>
      <c r="D1126" s="619" t="str">
        <f>IFERROR(VLOOKUP($B1126,اسماء,3,0),"")</f>
        <v/>
      </c>
      <c r="E1126" s="129" t="s">
        <v>30</v>
      </c>
      <c r="F1126" s="600">
        <f>IFERROR(VLOOKUP($B1126,اسماء,5,0),0)</f>
        <v>0</v>
      </c>
      <c r="G1126" s="601"/>
      <c r="H1126" s="602">
        <f>IFERROR(VLOOKUP($B1126,اسماء,6,0),0)</f>
        <v>0</v>
      </c>
      <c r="I1126" s="622"/>
      <c r="J1126" s="600">
        <f>IFERROR(VLOOKUP($B1126,اسماء,7,0),0)</f>
        <v>0</v>
      </c>
      <c r="K1126" s="601"/>
      <c r="L1126" s="602">
        <f>IFERROR(VLOOKUP($B1126,اسماء,8,0),0)</f>
        <v>0</v>
      </c>
      <c r="M1126" s="603"/>
      <c r="N1126" s="602">
        <f>IFERROR(VLOOKUP($B1126,اسماء,9,0),0)</f>
        <v>0</v>
      </c>
      <c r="O1126" s="603"/>
      <c r="P1126" s="600">
        <f>IFERROR(VLOOKUP($B1126,اسماء,10,0),0)</f>
        <v>0</v>
      </c>
      <c r="Q1126" s="622"/>
      <c r="R1126" s="371">
        <f t="shared" ref="R1126" si="3046">SUM(F1126:Q1126)</f>
        <v>0</v>
      </c>
      <c r="S1126" s="213" t="str">
        <f>IFERROR(VLOOKUP($B1126,اسماء,12,0),"")</f>
        <v/>
      </c>
      <c r="T1126" s="214" t="str">
        <f>IFERROR(VLOOKUP($B1126,اسماء,13,0),"")</f>
        <v/>
      </c>
      <c r="U1126" s="364" t="str">
        <f>IFERROR(VLOOKUP($B1126,اسماء,14,0),"")</f>
        <v/>
      </c>
      <c r="V1126" s="604" t="str">
        <f t="shared" ref="V1126" si="3047">IF(Z1126="غائب","راسب",IF(R1129&gt;0,"ناجح","مرحل"))</f>
        <v>مرحل</v>
      </c>
      <c r="W1126" s="19" t="str">
        <f t="shared" ref="W1126:W1127" si="3048">LOOKUP(R1126,$AC$6:$AD$10)</f>
        <v>ضعيف</v>
      </c>
      <c r="X1126" s="639">
        <f t="shared" ref="X1126" si="3049">R1129/$AC$3</f>
        <v>0</v>
      </c>
      <c r="Y1126" s="68"/>
      <c r="Z1126" s="597" t="str">
        <f>IFERROR(VLOOKUP($B1126,اسماء,48,0),"")</f>
        <v/>
      </c>
      <c r="AK1126" s="667" t="str">
        <f t="shared" ref="AK1126" si="3050">IF(R1129=0,"",R1129/1+ROW()*0.00001)</f>
        <v/>
      </c>
      <c r="AL1126" s="667">
        <f>B1126</f>
        <v>0</v>
      </c>
      <c r="AM1126" s="696"/>
      <c r="AN1126" s="698">
        <v>244</v>
      </c>
      <c r="AO1126" s="699" t="str">
        <f>IFERROR(LARGE($AK$10:$AK$1420,AN1126),"")</f>
        <v/>
      </c>
      <c r="AP1126" s="698" t="str">
        <f>VLOOKUP(AO1126,$AK$10:$AL$1530,2,0)</f>
        <v>امجد عمر عبداللطيف سلطان</v>
      </c>
    </row>
    <row r="1127" spans="1:42" ht="14.85" customHeight="1" x14ac:dyDescent="0.25">
      <c r="A1127" s="611"/>
      <c r="B1127" s="614"/>
      <c r="C1127" s="617"/>
      <c r="D1127" s="620"/>
      <c r="E1127" s="130" t="s">
        <v>31</v>
      </c>
      <c r="F1127" s="592">
        <f>IFERROR(VLOOKUP($B1126,اسماء,15,0),0)</f>
        <v>0</v>
      </c>
      <c r="G1127" s="593"/>
      <c r="H1127" s="594">
        <f>IFERROR(VLOOKUP($B1126,اسماء,16,0),0)</f>
        <v>0</v>
      </c>
      <c r="I1127" s="595"/>
      <c r="J1127" s="592">
        <f>IFERROR(VLOOKUP($B1126,اسماء,17,0),0)</f>
        <v>0</v>
      </c>
      <c r="K1127" s="593"/>
      <c r="L1127" s="594">
        <f>IFERROR(VLOOKUP($B1126,اسماء,18,0),0)</f>
        <v>0</v>
      </c>
      <c r="M1127" s="596"/>
      <c r="N1127" s="594">
        <f>IFERROR(VLOOKUP($B1126,اسماء,19,0),0)</f>
        <v>0</v>
      </c>
      <c r="O1127" s="596"/>
      <c r="P1127" s="592">
        <f>IFERROR(VLOOKUP($B1126,اسماء,20,0),0)</f>
        <v>0</v>
      </c>
      <c r="Q1127" s="595"/>
      <c r="R1127" s="372">
        <f t="shared" si="3024"/>
        <v>0</v>
      </c>
      <c r="S1127" s="305" t="str">
        <f>IFERROR(VLOOKUP($B1126,اسماء,23,0),"")</f>
        <v/>
      </c>
      <c r="T1127" s="306" t="str">
        <f>IFERROR(VLOOKUP($B1126,اسماء,24,0),"")</f>
        <v/>
      </c>
      <c r="U1127" s="122" t="str">
        <f>IFERROR(VLOOKUP($B1126,اسماء,25,0),"")</f>
        <v/>
      </c>
      <c r="V1127" s="605"/>
      <c r="W1127" s="19" t="str">
        <f t="shared" si="3048"/>
        <v>ضعيف</v>
      </c>
      <c r="X1127" s="640"/>
      <c r="Y1127" s="8"/>
      <c r="Z1127" s="598"/>
      <c r="AK1127" s="667"/>
      <c r="AL1127" s="667"/>
      <c r="AM1127" s="696"/>
      <c r="AN1127" s="698"/>
      <c r="AO1127" s="699"/>
      <c r="AP1127" s="698"/>
    </row>
    <row r="1128" spans="1:42" ht="14.85" customHeight="1" x14ac:dyDescent="0.25">
      <c r="A1128" s="611"/>
      <c r="B1128" s="614"/>
      <c r="C1128" s="617"/>
      <c r="D1128" s="620"/>
      <c r="E1128" s="130" t="s">
        <v>32</v>
      </c>
      <c r="F1128" s="592">
        <f>IFERROR(VLOOKUP($B1126,اسماء,25,0),0)</f>
        <v>0</v>
      </c>
      <c r="G1128" s="593"/>
      <c r="H1128" s="594">
        <f>IFERROR(VLOOKUP($B1126,اسماء,26,0),0)</f>
        <v>0</v>
      </c>
      <c r="I1128" s="595"/>
      <c r="J1128" s="592">
        <f>IFERROR(VLOOKUP($B1126,اسماء,27,0),0)</f>
        <v>0</v>
      </c>
      <c r="K1128" s="593"/>
      <c r="L1128" s="594">
        <f>IFERROR(VLOOKUP($B1126,اسماء,28,0),0)</f>
        <v>0</v>
      </c>
      <c r="M1128" s="596"/>
      <c r="N1128" s="594">
        <f>IFERROR(VLOOKUP($B1126,اسماء,29,0),0)</f>
        <v>0</v>
      </c>
      <c r="O1128" s="596"/>
      <c r="P1128" s="592">
        <f>IFERROR(VLOOKUP($B1126,اسماء,30,0),0)</f>
        <v>0</v>
      </c>
      <c r="Q1128" s="595"/>
      <c r="R1128" s="372">
        <f t="shared" si="3024"/>
        <v>0</v>
      </c>
      <c r="S1128" s="305" t="str">
        <f>IFERROR(VLOOKUP($B1126,اسماء,34,0),"")</f>
        <v/>
      </c>
      <c r="T1128" s="306" t="str">
        <f>IFERROR(VLOOKUP($B1126,اسماء,35,0),"")</f>
        <v/>
      </c>
      <c r="U1128" s="122" t="str">
        <f>IFERROR(VLOOKUP($B1126,اسماء,36,0),"")</f>
        <v/>
      </c>
      <c r="V1128" s="605"/>
      <c r="W1128" s="20" t="str">
        <f t="shared" ref="W1128" si="3051">LOOKUP(R1128,$AF$6:$AG$10)</f>
        <v>ضعيف</v>
      </c>
      <c r="X1128" s="640"/>
      <c r="Y1128" s="68"/>
      <c r="Z1128" s="598"/>
      <c r="AK1128" s="667"/>
      <c r="AL1128" s="667"/>
      <c r="AM1128" s="696"/>
      <c r="AN1128" s="698"/>
      <c r="AO1128" s="699"/>
      <c r="AP1128" s="698"/>
    </row>
    <row r="1129" spans="1:42" ht="14.85" customHeight="1" thickBot="1" x14ac:dyDescent="0.3">
      <c r="A1129" s="612"/>
      <c r="B1129" s="615"/>
      <c r="C1129" s="618"/>
      <c r="D1129" s="621"/>
      <c r="E1129" s="124" t="s">
        <v>33</v>
      </c>
      <c r="F1129" s="623">
        <f t="shared" ref="F1129" si="3052">SUM(F1126:G1128)</f>
        <v>0</v>
      </c>
      <c r="G1129" s="624"/>
      <c r="H1129" s="625">
        <f t="shared" ref="H1129" si="3053">SUM(H1126:I1128)</f>
        <v>0</v>
      </c>
      <c r="I1129" s="626"/>
      <c r="J1129" s="623">
        <f t="shared" ref="J1129" si="3054">SUM(J1126:K1128)</f>
        <v>0</v>
      </c>
      <c r="K1129" s="624"/>
      <c r="L1129" s="625">
        <f t="shared" ref="L1129" si="3055">SUM(L1126:M1128)</f>
        <v>0</v>
      </c>
      <c r="M1129" s="642"/>
      <c r="N1129" s="625">
        <f t="shared" ref="N1129" si="3056">SUM(N1126:O1128)</f>
        <v>0</v>
      </c>
      <c r="O1129" s="642"/>
      <c r="P1129" s="623">
        <f t="shared" ref="P1129" si="3057">SUM(P1126:Q1128)</f>
        <v>0</v>
      </c>
      <c r="Q1129" s="626"/>
      <c r="R1129" s="88">
        <f t="shared" ref="R1129" si="3058">IF(AND(F1129&gt;=$G$8,H1129&gt;=$I$8,J1129&gt;=$K$8,L1129&gt;=$M$8,N1129&gt;=$O$8,P1129&gt;=$Q$8),SUM(F1129:Q1129),0)</f>
        <v>0</v>
      </c>
      <c r="S1129" s="251"/>
      <c r="T1129" s="97"/>
      <c r="U1129" s="94"/>
      <c r="V1129" s="606"/>
      <c r="W1129" s="88" t="str">
        <f t="shared" ref="W1129" si="3059">LOOKUP(R1129,$AI$6:$AJ$10)</f>
        <v>ضعيف</v>
      </c>
      <c r="X1129" s="641"/>
      <c r="Y1129" s="68"/>
      <c r="Z1129" s="599"/>
      <c r="AK1129" s="667"/>
      <c r="AL1129" s="667"/>
      <c r="AM1129" s="696"/>
      <c r="AN1129" s="698"/>
      <c r="AO1129" s="699"/>
      <c r="AP1129" s="698"/>
    </row>
    <row r="1130" spans="1:42" ht="14.85" customHeight="1" thickBot="1" x14ac:dyDescent="0.3">
      <c r="A1130" s="610">
        <v>245</v>
      </c>
      <c r="B1130" s="613">
        <f>VLOOKUP(A1130,مسلسل,2,0)</f>
        <v>0</v>
      </c>
      <c r="C1130" s="616" t="str">
        <f>IFERROR(VLOOKUP(B1130,اسماء,2,0),"")</f>
        <v/>
      </c>
      <c r="D1130" s="619" t="str">
        <f>IFERROR(VLOOKUP($B1130,اسماء,3,0),"")</f>
        <v/>
      </c>
      <c r="E1130" s="129" t="s">
        <v>30</v>
      </c>
      <c r="F1130" s="600">
        <f>IFERROR(VLOOKUP($B1130,اسماء,5,0),0)</f>
        <v>0</v>
      </c>
      <c r="G1130" s="601"/>
      <c r="H1130" s="602">
        <f>IFERROR(VLOOKUP($B1130,اسماء,6,0),0)</f>
        <v>0</v>
      </c>
      <c r="I1130" s="622"/>
      <c r="J1130" s="600">
        <f>IFERROR(VLOOKUP($B1130,اسماء,7,0),0)</f>
        <v>0</v>
      </c>
      <c r="K1130" s="601"/>
      <c r="L1130" s="602">
        <f>IFERROR(VLOOKUP($B1130,اسماء,8,0),0)</f>
        <v>0</v>
      </c>
      <c r="M1130" s="603"/>
      <c r="N1130" s="602">
        <f>IFERROR(VLOOKUP($B1130,اسماء,9,0),0)</f>
        <v>0</v>
      </c>
      <c r="O1130" s="603"/>
      <c r="P1130" s="600">
        <f>IFERROR(VLOOKUP($B1130,اسماء,10,0),0)</f>
        <v>0</v>
      </c>
      <c r="Q1130" s="622"/>
      <c r="R1130" s="371">
        <f t="shared" ref="R1130" si="3060">SUM(F1130:Q1130)</f>
        <v>0</v>
      </c>
      <c r="S1130" s="213" t="str">
        <f>IFERROR(VLOOKUP($B1130,اسماء,12,0),"")</f>
        <v/>
      </c>
      <c r="T1130" s="214" t="str">
        <f>IFERROR(VLOOKUP($B1130,اسماء,13,0),"")</f>
        <v/>
      </c>
      <c r="U1130" s="364" t="str">
        <f>IFERROR(VLOOKUP($B1130,اسماء,14,0),"")</f>
        <v/>
      </c>
      <c r="V1130" s="604" t="str">
        <f t="shared" ref="V1130" si="3061">IF(Z1130="غائب","راسب",IF(R1133&gt;0,"ناجح","مرحل"))</f>
        <v>مرحل</v>
      </c>
      <c r="W1130" s="19" t="str">
        <f t="shared" ref="W1130:W1131" si="3062">LOOKUP(R1130,$AC$6:$AD$10)</f>
        <v>ضعيف</v>
      </c>
      <c r="X1130" s="639">
        <f t="shared" ref="X1130" si="3063">R1133/$AC$3</f>
        <v>0</v>
      </c>
      <c r="Y1130" s="8"/>
      <c r="Z1130" s="597" t="str">
        <f>IFERROR(VLOOKUP($B1130,اسماء,48,0),"")</f>
        <v/>
      </c>
      <c r="AK1130" s="667" t="str">
        <f t="shared" ref="AK1130" si="3064">IF(R1133=0,"",R1133/1+ROW()*0.00001)</f>
        <v/>
      </c>
      <c r="AL1130" s="667">
        <f>B1130</f>
        <v>0</v>
      </c>
      <c r="AM1130" s="696"/>
      <c r="AN1130" s="698">
        <v>245</v>
      </c>
      <c r="AO1130" s="699" t="str">
        <f>IFERROR(LARGE($AK$10:$AK$1420,AN1130),"")</f>
        <v/>
      </c>
      <c r="AP1130" s="698" t="str">
        <f>VLOOKUP(AO1130,$AK$10:$AL$1530,2,0)</f>
        <v>امجد عمر عبداللطيف سلطان</v>
      </c>
    </row>
    <row r="1131" spans="1:42" ht="14.85" customHeight="1" x14ac:dyDescent="0.25">
      <c r="A1131" s="611"/>
      <c r="B1131" s="614"/>
      <c r="C1131" s="617"/>
      <c r="D1131" s="620"/>
      <c r="E1131" s="130" t="s">
        <v>31</v>
      </c>
      <c r="F1131" s="592">
        <f>IFERROR(VLOOKUP($B1130,اسماء,15,0),0)</f>
        <v>0</v>
      </c>
      <c r="G1131" s="593"/>
      <c r="H1131" s="594">
        <f>IFERROR(VLOOKUP($B1130,اسماء,16,0),0)</f>
        <v>0</v>
      </c>
      <c r="I1131" s="595"/>
      <c r="J1131" s="592">
        <f>IFERROR(VLOOKUP($B1130,اسماء,17,0),0)</f>
        <v>0</v>
      </c>
      <c r="K1131" s="593"/>
      <c r="L1131" s="594">
        <f>IFERROR(VLOOKUP($B1130,اسماء,18,0),0)</f>
        <v>0</v>
      </c>
      <c r="M1131" s="596"/>
      <c r="N1131" s="594">
        <f>IFERROR(VLOOKUP($B1130,اسماء,19,0),0)</f>
        <v>0</v>
      </c>
      <c r="O1131" s="596"/>
      <c r="P1131" s="592">
        <f>IFERROR(VLOOKUP($B1130,اسماء,20,0),0)</f>
        <v>0</v>
      </c>
      <c r="Q1131" s="595"/>
      <c r="R1131" s="372">
        <f t="shared" si="3024"/>
        <v>0</v>
      </c>
      <c r="S1131" s="305" t="str">
        <f>IFERROR(VLOOKUP($B1130,اسماء,23,0),"")</f>
        <v/>
      </c>
      <c r="T1131" s="306" t="str">
        <f>IFERROR(VLOOKUP($B1130,اسماء,24,0),"")</f>
        <v/>
      </c>
      <c r="U1131" s="122" t="str">
        <f>IFERROR(VLOOKUP($B1130,اسماء,25,0),"")</f>
        <v/>
      </c>
      <c r="V1131" s="605"/>
      <c r="W1131" s="19" t="str">
        <f t="shared" si="3062"/>
        <v>ضعيف</v>
      </c>
      <c r="X1131" s="640"/>
      <c r="Y1131" s="68"/>
      <c r="Z1131" s="598"/>
      <c r="AK1131" s="667"/>
      <c r="AL1131" s="667"/>
      <c r="AM1131" s="696"/>
      <c r="AN1131" s="698"/>
      <c r="AO1131" s="699"/>
      <c r="AP1131" s="698"/>
    </row>
    <row r="1132" spans="1:42" ht="14.85" customHeight="1" x14ac:dyDescent="0.25">
      <c r="A1132" s="611"/>
      <c r="B1132" s="614"/>
      <c r="C1132" s="617"/>
      <c r="D1132" s="620"/>
      <c r="E1132" s="130" t="s">
        <v>32</v>
      </c>
      <c r="F1132" s="592">
        <f>IFERROR(VLOOKUP($B1130,اسماء,25,0),0)</f>
        <v>0</v>
      </c>
      <c r="G1132" s="593"/>
      <c r="H1132" s="594">
        <f>IFERROR(VLOOKUP($B1130,اسماء,26,0),0)</f>
        <v>0</v>
      </c>
      <c r="I1132" s="595"/>
      <c r="J1132" s="592">
        <f>IFERROR(VLOOKUP($B1130,اسماء,27,0),0)</f>
        <v>0</v>
      </c>
      <c r="K1132" s="593"/>
      <c r="L1132" s="594">
        <f>IFERROR(VLOOKUP($B1130,اسماء,28,0),0)</f>
        <v>0</v>
      </c>
      <c r="M1132" s="596"/>
      <c r="N1132" s="594">
        <f>IFERROR(VLOOKUP($B1130,اسماء,29,0),0)</f>
        <v>0</v>
      </c>
      <c r="O1132" s="596"/>
      <c r="P1132" s="592">
        <f>IFERROR(VLOOKUP($B1130,اسماء,30,0),0)</f>
        <v>0</v>
      </c>
      <c r="Q1132" s="595"/>
      <c r="R1132" s="372">
        <f t="shared" si="3024"/>
        <v>0</v>
      </c>
      <c r="S1132" s="305" t="str">
        <f>IFERROR(VLOOKUP($B1130,اسماء,34,0),"")</f>
        <v/>
      </c>
      <c r="T1132" s="306" t="str">
        <f>IFERROR(VLOOKUP($B1130,اسماء,35,0),"")</f>
        <v/>
      </c>
      <c r="U1132" s="122" t="str">
        <f>IFERROR(VLOOKUP($B1130,اسماء,36,0),"")</f>
        <v/>
      </c>
      <c r="V1132" s="605"/>
      <c r="W1132" s="20" t="str">
        <f t="shared" ref="W1132" si="3065">LOOKUP(R1132,$AF$6:$AG$10)</f>
        <v>ضعيف</v>
      </c>
      <c r="X1132" s="640"/>
      <c r="Y1132" s="68"/>
      <c r="Z1132" s="598"/>
      <c r="AK1132" s="667"/>
      <c r="AL1132" s="667"/>
      <c r="AM1132" s="696"/>
      <c r="AN1132" s="698"/>
      <c r="AO1132" s="699"/>
      <c r="AP1132" s="698"/>
    </row>
    <row r="1133" spans="1:42" ht="14.85" customHeight="1" thickBot="1" x14ac:dyDescent="0.3">
      <c r="A1133" s="612"/>
      <c r="B1133" s="615"/>
      <c r="C1133" s="618"/>
      <c r="D1133" s="621"/>
      <c r="E1133" s="124" t="s">
        <v>33</v>
      </c>
      <c r="F1133" s="623">
        <f t="shared" ref="F1133" si="3066">SUM(F1130:G1132)</f>
        <v>0</v>
      </c>
      <c r="G1133" s="624"/>
      <c r="H1133" s="625">
        <f t="shared" ref="H1133" si="3067">SUM(H1130:I1132)</f>
        <v>0</v>
      </c>
      <c r="I1133" s="626"/>
      <c r="J1133" s="623">
        <f t="shared" ref="J1133" si="3068">SUM(J1130:K1132)</f>
        <v>0</v>
      </c>
      <c r="K1133" s="624"/>
      <c r="L1133" s="625">
        <f t="shared" ref="L1133" si="3069">SUM(L1130:M1132)</f>
        <v>0</v>
      </c>
      <c r="M1133" s="642"/>
      <c r="N1133" s="625">
        <f t="shared" ref="N1133" si="3070">SUM(N1130:O1132)</f>
        <v>0</v>
      </c>
      <c r="O1133" s="642"/>
      <c r="P1133" s="623">
        <f t="shared" ref="P1133" si="3071">SUM(P1130:Q1132)</f>
        <v>0</v>
      </c>
      <c r="Q1133" s="626"/>
      <c r="R1133" s="88">
        <f t="shared" ref="R1133" si="3072">IF(AND(F1133&gt;=$G$8,H1133&gt;=$I$8,J1133&gt;=$K$8,L1133&gt;=$M$8,N1133&gt;=$O$8,P1133&gt;=$Q$8),SUM(F1133:Q1133),0)</f>
        <v>0</v>
      </c>
      <c r="S1133" s="251"/>
      <c r="T1133" s="97"/>
      <c r="U1133" s="94"/>
      <c r="V1133" s="606"/>
      <c r="W1133" s="88" t="str">
        <f t="shared" ref="W1133" si="3073">LOOKUP(R1133,$AI$6:$AJ$10)</f>
        <v>ضعيف</v>
      </c>
      <c r="X1133" s="641"/>
      <c r="Y1133" s="8"/>
      <c r="Z1133" s="599"/>
      <c r="AK1133" s="667"/>
      <c r="AL1133" s="667"/>
      <c r="AM1133" s="696"/>
      <c r="AN1133" s="698"/>
      <c r="AO1133" s="699"/>
      <c r="AP1133" s="698"/>
    </row>
    <row r="1134" spans="1:42" ht="14.85" customHeight="1" thickBot="1" x14ac:dyDescent="0.3">
      <c r="A1134" s="610">
        <v>246</v>
      </c>
      <c r="B1134" s="613">
        <f>VLOOKUP(A1134,مسلسل,2,0)</f>
        <v>0</v>
      </c>
      <c r="C1134" s="616" t="str">
        <f>IFERROR(VLOOKUP(B1134,اسماء,2,0),"")</f>
        <v/>
      </c>
      <c r="D1134" s="619" t="str">
        <f>IFERROR(VLOOKUP($B1134,اسماء,3,0),"")</f>
        <v/>
      </c>
      <c r="E1134" s="129" t="s">
        <v>30</v>
      </c>
      <c r="F1134" s="600">
        <f>IFERROR(VLOOKUP($B1134,اسماء,5,0),0)</f>
        <v>0</v>
      </c>
      <c r="G1134" s="601"/>
      <c r="H1134" s="602">
        <f>IFERROR(VLOOKUP($B1134,اسماء,6,0),0)</f>
        <v>0</v>
      </c>
      <c r="I1134" s="622"/>
      <c r="J1134" s="600">
        <f>IFERROR(VLOOKUP($B1134,اسماء,7,0),0)</f>
        <v>0</v>
      </c>
      <c r="K1134" s="601"/>
      <c r="L1134" s="602">
        <f>IFERROR(VLOOKUP($B1134,اسماء,8,0),0)</f>
        <v>0</v>
      </c>
      <c r="M1134" s="603"/>
      <c r="N1134" s="602">
        <f>IFERROR(VLOOKUP($B1134,اسماء,9,0),0)</f>
        <v>0</v>
      </c>
      <c r="O1134" s="603"/>
      <c r="P1134" s="600">
        <f>IFERROR(VLOOKUP($B1134,اسماء,10,0),0)</f>
        <v>0</v>
      </c>
      <c r="Q1134" s="622"/>
      <c r="R1134" s="371">
        <f t="shared" ref="R1134" si="3074">SUM(F1134:Q1134)</f>
        <v>0</v>
      </c>
      <c r="S1134" s="213" t="str">
        <f>IFERROR(VLOOKUP($B1134,اسماء,12,0),"")</f>
        <v/>
      </c>
      <c r="T1134" s="214" t="str">
        <f>IFERROR(VLOOKUP($B1134,اسماء,13,0),"")</f>
        <v/>
      </c>
      <c r="U1134" s="364" t="str">
        <f>IFERROR(VLOOKUP($B1134,اسماء,14,0),"")</f>
        <v/>
      </c>
      <c r="V1134" s="604" t="str">
        <f t="shared" ref="V1134" si="3075">IF(Z1134="غائب","راسب",IF(R1137&gt;0,"ناجح","مرحل"))</f>
        <v>مرحل</v>
      </c>
      <c r="W1134" s="19" t="str">
        <f t="shared" ref="W1134:W1135" si="3076">LOOKUP(R1134,$AC$6:$AD$10)</f>
        <v>ضعيف</v>
      </c>
      <c r="X1134" s="639">
        <f t="shared" ref="X1134" si="3077">R1137/$AC$3</f>
        <v>0</v>
      </c>
      <c r="Y1134" s="68"/>
      <c r="Z1134" s="597" t="str">
        <f>IFERROR(VLOOKUP($B1134,اسماء,48,0),"")</f>
        <v/>
      </c>
      <c r="AK1134" s="667" t="str">
        <f t="shared" ref="AK1134" si="3078">IF(R1137=0,"",R1137/1+ROW()*0.00001)</f>
        <v/>
      </c>
      <c r="AL1134" s="667">
        <f>B1134</f>
        <v>0</v>
      </c>
      <c r="AM1134" s="696"/>
      <c r="AN1134" s="698">
        <v>246</v>
      </c>
      <c r="AO1134" s="699" t="str">
        <f>IFERROR(LARGE($AK$10:$AK$1420,AN1134),"")</f>
        <v/>
      </c>
      <c r="AP1134" s="698" t="str">
        <f>VLOOKUP(AO1134,$AK$10:$AL$1530,2,0)</f>
        <v>امجد عمر عبداللطيف سلطان</v>
      </c>
    </row>
    <row r="1135" spans="1:42" ht="14.85" customHeight="1" x14ac:dyDescent="0.25">
      <c r="A1135" s="611"/>
      <c r="B1135" s="614"/>
      <c r="C1135" s="617"/>
      <c r="D1135" s="620"/>
      <c r="E1135" s="130" t="s">
        <v>31</v>
      </c>
      <c r="F1135" s="592">
        <f>IFERROR(VLOOKUP($B1134,اسماء,15,0),0)</f>
        <v>0</v>
      </c>
      <c r="G1135" s="593"/>
      <c r="H1135" s="594">
        <f>IFERROR(VLOOKUP($B1134,اسماء,16,0),0)</f>
        <v>0</v>
      </c>
      <c r="I1135" s="595"/>
      <c r="J1135" s="592">
        <f>IFERROR(VLOOKUP($B1134,اسماء,17,0),0)</f>
        <v>0</v>
      </c>
      <c r="K1135" s="593"/>
      <c r="L1135" s="594">
        <f>IFERROR(VLOOKUP($B1134,اسماء,18,0),0)</f>
        <v>0</v>
      </c>
      <c r="M1135" s="596"/>
      <c r="N1135" s="594">
        <f>IFERROR(VLOOKUP($B1134,اسماء,19,0),0)</f>
        <v>0</v>
      </c>
      <c r="O1135" s="596"/>
      <c r="P1135" s="592">
        <f>IFERROR(VLOOKUP($B1134,اسماء,20,0),0)</f>
        <v>0</v>
      </c>
      <c r="Q1135" s="595"/>
      <c r="R1135" s="372">
        <f t="shared" si="3024"/>
        <v>0</v>
      </c>
      <c r="S1135" s="305" t="str">
        <f>IFERROR(VLOOKUP($B1134,اسماء,23,0),"")</f>
        <v/>
      </c>
      <c r="T1135" s="306" t="str">
        <f>IFERROR(VLOOKUP($B1134,اسماء,24,0),"")</f>
        <v/>
      </c>
      <c r="U1135" s="122" t="str">
        <f>IFERROR(VLOOKUP($B1134,اسماء,25,0),"")</f>
        <v/>
      </c>
      <c r="V1135" s="605"/>
      <c r="W1135" s="19" t="str">
        <f t="shared" si="3076"/>
        <v>ضعيف</v>
      </c>
      <c r="X1135" s="640"/>
      <c r="Y1135" s="68"/>
      <c r="Z1135" s="598"/>
      <c r="AK1135" s="667"/>
      <c r="AL1135" s="667"/>
      <c r="AM1135" s="696"/>
      <c r="AN1135" s="698"/>
      <c r="AO1135" s="699"/>
      <c r="AP1135" s="698"/>
    </row>
    <row r="1136" spans="1:42" ht="14.85" customHeight="1" x14ac:dyDescent="0.25">
      <c r="A1136" s="611"/>
      <c r="B1136" s="614"/>
      <c r="C1136" s="617"/>
      <c r="D1136" s="620"/>
      <c r="E1136" s="130" t="s">
        <v>32</v>
      </c>
      <c r="F1136" s="592">
        <f>IFERROR(VLOOKUP($B1134,اسماء,25,0),0)</f>
        <v>0</v>
      </c>
      <c r="G1136" s="593"/>
      <c r="H1136" s="594">
        <f>IFERROR(VLOOKUP($B1134,اسماء,26,0),0)</f>
        <v>0</v>
      </c>
      <c r="I1136" s="595"/>
      <c r="J1136" s="592">
        <f>IFERROR(VLOOKUP($B1134,اسماء,27,0),0)</f>
        <v>0</v>
      </c>
      <c r="K1136" s="593"/>
      <c r="L1136" s="594">
        <f>IFERROR(VLOOKUP($B1134,اسماء,28,0),0)</f>
        <v>0</v>
      </c>
      <c r="M1136" s="596"/>
      <c r="N1136" s="594">
        <f>IFERROR(VLOOKUP($B1134,اسماء,29,0),0)</f>
        <v>0</v>
      </c>
      <c r="O1136" s="596"/>
      <c r="P1136" s="592">
        <f>IFERROR(VLOOKUP($B1134,اسماء,30,0),0)</f>
        <v>0</v>
      </c>
      <c r="Q1136" s="595"/>
      <c r="R1136" s="372">
        <f t="shared" si="3024"/>
        <v>0</v>
      </c>
      <c r="S1136" s="305" t="str">
        <f>IFERROR(VLOOKUP($B1134,اسماء,34,0),"")</f>
        <v/>
      </c>
      <c r="T1136" s="306" t="str">
        <f>IFERROR(VLOOKUP($B1134,اسماء,35,0),"")</f>
        <v/>
      </c>
      <c r="U1136" s="122" t="str">
        <f>IFERROR(VLOOKUP($B1134,اسماء,36,0),"")</f>
        <v/>
      </c>
      <c r="V1136" s="605"/>
      <c r="W1136" s="20" t="str">
        <f t="shared" ref="W1136" si="3079">LOOKUP(R1136,$AF$6:$AG$10)</f>
        <v>ضعيف</v>
      </c>
      <c r="X1136" s="640"/>
      <c r="Y1136" s="8"/>
      <c r="Z1136" s="598"/>
      <c r="AK1136" s="667"/>
      <c r="AL1136" s="667"/>
      <c r="AM1136" s="696"/>
      <c r="AN1136" s="698"/>
      <c r="AO1136" s="699"/>
      <c r="AP1136" s="698"/>
    </row>
    <row r="1137" spans="1:42" ht="14.85" customHeight="1" thickBot="1" x14ac:dyDescent="0.3">
      <c r="A1137" s="612"/>
      <c r="B1137" s="615"/>
      <c r="C1137" s="618"/>
      <c r="D1137" s="621"/>
      <c r="E1137" s="124" t="s">
        <v>33</v>
      </c>
      <c r="F1137" s="623">
        <f t="shared" ref="F1137" si="3080">SUM(F1134:G1136)</f>
        <v>0</v>
      </c>
      <c r="G1137" s="624"/>
      <c r="H1137" s="625">
        <f t="shared" ref="H1137" si="3081">SUM(H1134:I1136)</f>
        <v>0</v>
      </c>
      <c r="I1137" s="626"/>
      <c r="J1137" s="623">
        <f t="shared" ref="J1137" si="3082">SUM(J1134:K1136)</f>
        <v>0</v>
      </c>
      <c r="K1137" s="624"/>
      <c r="L1137" s="625">
        <f t="shared" ref="L1137" si="3083">SUM(L1134:M1136)</f>
        <v>0</v>
      </c>
      <c r="M1137" s="642"/>
      <c r="N1137" s="625">
        <f t="shared" ref="N1137" si="3084">SUM(N1134:O1136)</f>
        <v>0</v>
      </c>
      <c r="O1137" s="642"/>
      <c r="P1137" s="623">
        <f t="shared" ref="P1137" si="3085">SUM(P1134:Q1136)</f>
        <v>0</v>
      </c>
      <c r="Q1137" s="626"/>
      <c r="R1137" s="88">
        <f t="shared" ref="R1137" si="3086">IF(AND(F1137&gt;=$G$8,H1137&gt;=$I$8,J1137&gt;=$K$8,L1137&gt;=$M$8,N1137&gt;=$O$8,P1137&gt;=$Q$8),SUM(F1137:Q1137),0)</f>
        <v>0</v>
      </c>
      <c r="S1137" s="251"/>
      <c r="T1137" s="97"/>
      <c r="U1137" s="94"/>
      <c r="V1137" s="606"/>
      <c r="W1137" s="88" t="str">
        <f t="shared" ref="W1137" si="3087">LOOKUP(R1137,$AI$6:$AJ$10)</f>
        <v>ضعيف</v>
      </c>
      <c r="X1137" s="641"/>
      <c r="Y1137" s="68"/>
      <c r="Z1137" s="599"/>
      <c r="AK1137" s="667"/>
      <c r="AL1137" s="667"/>
      <c r="AM1137" s="696"/>
      <c r="AN1137" s="698"/>
      <c r="AO1137" s="699"/>
      <c r="AP1137" s="698"/>
    </row>
    <row r="1138" spans="1:42" ht="14.85" customHeight="1" thickBot="1" x14ac:dyDescent="0.3">
      <c r="A1138" s="610">
        <v>247</v>
      </c>
      <c r="B1138" s="613">
        <f>VLOOKUP(A1138,مسلسل,2,0)</f>
        <v>0</v>
      </c>
      <c r="C1138" s="616" t="str">
        <f>IFERROR(VLOOKUP(B1138,اسماء,2,0),"")</f>
        <v/>
      </c>
      <c r="D1138" s="619" t="str">
        <f>IFERROR(VLOOKUP($B1138,اسماء,3,0),"")</f>
        <v/>
      </c>
      <c r="E1138" s="129" t="s">
        <v>30</v>
      </c>
      <c r="F1138" s="600">
        <f>IFERROR(VLOOKUP($B1138,اسماء,5,0),0)</f>
        <v>0</v>
      </c>
      <c r="G1138" s="601"/>
      <c r="H1138" s="602">
        <f>IFERROR(VLOOKUP($B1138,اسماء,6,0),0)</f>
        <v>0</v>
      </c>
      <c r="I1138" s="622"/>
      <c r="J1138" s="600">
        <f>IFERROR(VLOOKUP($B1138,اسماء,7,0),0)</f>
        <v>0</v>
      </c>
      <c r="K1138" s="601"/>
      <c r="L1138" s="602">
        <f>IFERROR(VLOOKUP($B1138,اسماء,8,0),0)</f>
        <v>0</v>
      </c>
      <c r="M1138" s="603"/>
      <c r="N1138" s="602">
        <f>IFERROR(VLOOKUP($B1138,اسماء,9,0),0)</f>
        <v>0</v>
      </c>
      <c r="O1138" s="603"/>
      <c r="P1138" s="600">
        <f>IFERROR(VLOOKUP($B1138,اسماء,10,0),0)</f>
        <v>0</v>
      </c>
      <c r="Q1138" s="622"/>
      <c r="R1138" s="371">
        <f t="shared" ref="R1138" si="3088">SUM(F1138:Q1138)</f>
        <v>0</v>
      </c>
      <c r="S1138" s="213" t="str">
        <f>IFERROR(VLOOKUP($B1138,اسماء,12,0),"")</f>
        <v/>
      </c>
      <c r="T1138" s="214" t="str">
        <f>IFERROR(VLOOKUP($B1138,اسماء,13,0),"")</f>
        <v/>
      </c>
      <c r="U1138" s="364" t="str">
        <f>IFERROR(VLOOKUP($B1138,اسماء,14,0),"")</f>
        <v/>
      </c>
      <c r="V1138" s="604" t="str">
        <f t="shared" ref="V1138" si="3089">IF(Z1138="غائب","راسب",IF(R1141&gt;0,"ناجح","مرحل"))</f>
        <v>مرحل</v>
      </c>
      <c r="W1138" s="19" t="str">
        <f t="shared" ref="W1138:W1139" si="3090">LOOKUP(R1138,$AC$6:$AD$10)</f>
        <v>ضعيف</v>
      </c>
      <c r="X1138" s="639">
        <f t="shared" ref="X1138" si="3091">R1141/$AC$3</f>
        <v>0</v>
      </c>
      <c r="Y1138" s="68"/>
      <c r="Z1138" s="597" t="str">
        <f>IFERROR(VLOOKUP($B1138,اسماء,48,0),"")</f>
        <v/>
      </c>
      <c r="AK1138" s="667" t="str">
        <f t="shared" ref="AK1138" si="3092">IF(R1141=0,"",R1141/1+ROW()*0.00001)</f>
        <v/>
      </c>
      <c r="AL1138" s="667">
        <f>B1138</f>
        <v>0</v>
      </c>
      <c r="AM1138" s="696"/>
      <c r="AN1138" s="698">
        <v>247</v>
      </c>
      <c r="AO1138" s="699" t="str">
        <f>IFERROR(LARGE($AK$10:$AK$1420,AN1138),"")</f>
        <v/>
      </c>
      <c r="AP1138" s="698" t="str">
        <f>VLOOKUP(AO1138,$AK$10:$AL$1530,2,0)</f>
        <v>امجد عمر عبداللطيف سلطان</v>
      </c>
    </row>
    <row r="1139" spans="1:42" ht="14.85" customHeight="1" x14ac:dyDescent="0.25">
      <c r="A1139" s="611"/>
      <c r="B1139" s="614"/>
      <c r="C1139" s="617"/>
      <c r="D1139" s="620"/>
      <c r="E1139" s="130" t="s">
        <v>31</v>
      </c>
      <c r="F1139" s="592">
        <f>IFERROR(VLOOKUP($B1138,اسماء,15,0),0)</f>
        <v>0</v>
      </c>
      <c r="G1139" s="593"/>
      <c r="H1139" s="594">
        <f>IFERROR(VLOOKUP($B1138,اسماء,16,0),0)</f>
        <v>0</v>
      </c>
      <c r="I1139" s="595"/>
      <c r="J1139" s="592">
        <f>IFERROR(VLOOKUP($B1138,اسماء,17,0),0)</f>
        <v>0</v>
      </c>
      <c r="K1139" s="593"/>
      <c r="L1139" s="594">
        <f>IFERROR(VLOOKUP($B1138,اسماء,18,0),0)</f>
        <v>0</v>
      </c>
      <c r="M1139" s="596"/>
      <c r="N1139" s="594">
        <f>IFERROR(VLOOKUP($B1138,اسماء,19,0),0)</f>
        <v>0</v>
      </c>
      <c r="O1139" s="596"/>
      <c r="P1139" s="592">
        <f>IFERROR(VLOOKUP($B1138,اسماء,20,0),0)</f>
        <v>0</v>
      </c>
      <c r="Q1139" s="595"/>
      <c r="R1139" s="372">
        <f t="shared" si="3024"/>
        <v>0</v>
      </c>
      <c r="S1139" s="305" t="str">
        <f>IFERROR(VLOOKUP($B1138,اسماء,23,0),"")</f>
        <v/>
      </c>
      <c r="T1139" s="306" t="str">
        <f>IFERROR(VLOOKUP($B1138,اسماء,24,0),"")</f>
        <v/>
      </c>
      <c r="U1139" s="122" t="str">
        <f>IFERROR(VLOOKUP($B1138,اسماء,25,0),"")</f>
        <v/>
      </c>
      <c r="V1139" s="605"/>
      <c r="W1139" s="19" t="str">
        <f t="shared" si="3090"/>
        <v>ضعيف</v>
      </c>
      <c r="X1139" s="640"/>
      <c r="Y1139" s="8"/>
      <c r="Z1139" s="598"/>
      <c r="AK1139" s="667"/>
      <c r="AL1139" s="667"/>
      <c r="AM1139" s="696"/>
      <c r="AN1139" s="698"/>
      <c r="AO1139" s="699"/>
      <c r="AP1139" s="698"/>
    </row>
    <row r="1140" spans="1:42" ht="14.85" customHeight="1" x14ac:dyDescent="0.25">
      <c r="A1140" s="611"/>
      <c r="B1140" s="614"/>
      <c r="C1140" s="617"/>
      <c r="D1140" s="620"/>
      <c r="E1140" s="130" t="s">
        <v>32</v>
      </c>
      <c r="F1140" s="592">
        <f>IFERROR(VLOOKUP($B1138,اسماء,25,0),0)</f>
        <v>0</v>
      </c>
      <c r="G1140" s="593"/>
      <c r="H1140" s="594">
        <f>IFERROR(VLOOKUP($B1138,اسماء,26,0),0)</f>
        <v>0</v>
      </c>
      <c r="I1140" s="595"/>
      <c r="J1140" s="592">
        <f>IFERROR(VLOOKUP($B1138,اسماء,27,0),0)</f>
        <v>0</v>
      </c>
      <c r="K1140" s="593"/>
      <c r="L1140" s="594">
        <f>IFERROR(VLOOKUP($B1138,اسماء,28,0),0)</f>
        <v>0</v>
      </c>
      <c r="M1140" s="596"/>
      <c r="N1140" s="594">
        <f>IFERROR(VLOOKUP($B1138,اسماء,29,0),0)</f>
        <v>0</v>
      </c>
      <c r="O1140" s="596"/>
      <c r="P1140" s="592">
        <f>IFERROR(VLOOKUP($B1138,اسماء,30,0),0)</f>
        <v>0</v>
      </c>
      <c r="Q1140" s="595"/>
      <c r="R1140" s="372">
        <f t="shared" si="3024"/>
        <v>0</v>
      </c>
      <c r="S1140" s="305" t="str">
        <f>IFERROR(VLOOKUP($B1138,اسماء,34,0),"")</f>
        <v/>
      </c>
      <c r="T1140" s="306" t="str">
        <f>IFERROR(VLOOKUP($B1138,اسماء,35,0),"")</f>
        <v/>
      </c>
      <c r="U1140" s="122" t="str">
        <f>IFERROR(VLOOKUP($B1138,اسماء,36,0),"")</f>
        <v/>
      </c>
      <c r="V1140" s="605"/>
      <c r="W1140" s="20" t="str">
        <f t="shared" ref="W1140" si="3093">LOOKUP(R1140,$AF$6:$AG$10)</f>
        <v>ضعيف</v>
      </c>
      <c r="X1140" s="640"/>
      <c r="Y1140" s="68"/>
      <c r="Z1140" s="598"/>
      <c r="AK1140" s="667"/>
      <c r="AL1140" s="667"/>
      <c r="AM1140" s="696"/>
      <c r="AN1140" s="698"/>
      <c r="AO1140" s="699"/>
      <c r="AP1140" s="698"/>
    </row>
    <row r="1141" spans="1:42" ht="14.85" customHeight="1" thickBot="1" x14ac:dyDescent="0.3">
      <c r="A1141" s="612"/>
      <c r="B1141" s="615"/>
      <c r="C1141" s="618"/>
      <c r="D1141" s="621"/>
      <c r="E1141" s="124" t="s">
        <v>33</v>
      </c>
      <c r="F1141" s="623">
        <f t="shared" ref="F1141" si="3094">SUM(F1138:G1140)</f>
        <v>0</v>
      </c>
      <c r="G1141" s="624"/>
      <c r="H1141" s="625">
        <f t="shared" ref="H1141" si="3095">SUM(H1138:I1140)</f>
        <v>0</v>
      </c>
      <c r="I1141" s="626"/>
      <c r="J1141" s="623">
        <f t="shared" ref="J1141" si="3096">SUM(J1138:K1140)</f>
        <v>0</v>
      </c>
      <c r="K1141" s="624"/>
      <c r="L1141" s="625">
        <f t="shared" ref="L1141" si="3097">SUM(L1138:M1140)</f>
        <v>0</v>
      </c>
      <c r="M1141" s="642"/>
      <c r="N1141" s="625">
        <f t="shared" ref="N1141" si="3098">SUM(N1138:O1140)</f>
        <v>0</v>
      </c>
      <c r="O1141" s="642"/>
      <c r="P1141" s="623">
        <f t="shared" ref="P1141" si="3099">SUM(P1138:Q1140)</f>
        <v>0</v>
      </c>
      <c r="Q1141" s="626"/>
      <c r="R1141" s="88">
        <f t="shared" ref="R1141" si="3100">IF(AND(F1141&gt;=$G$8,H1141&gt;=$I$8,J1141&gt;=$K$8,L1141&gt;=$M$8,N1141&gt;=$O$8,P1141&gt;=$Q$8),SUM(F1141:Q1141),0)</f>
        <v>0</v>
      </c>
      <c r="S1141" s="251"/>
      <c r="T1141" s="97"/>
      <c r="U1141" s="94"/>
      <c r="V1141" s="606"/>
      <c r="W1141" s="88" t="str">
        <f t="shared" ref="W1141" si="3101">LOOKUP(R1141,$AI$6:$AJ$10)</f>
        <v>ضعيف</v>
      </c>
      <c r="X1141" s="641"/>
      <c r="Y1141" s="68"/>
      <c r="Z1141" s="599"/>
      <c r="AK1141" s="667"/>
      <c r="AL1141" s="667"/>
      <c r="AM1141" s="696"/>
      <c r="AN1141" s="698"/>
      <c r="AO1141" s="699"/>
      <c r="AP1141" s="698"/>
    </row>
    <row r="1142" spans="1:42" ht="14.85" customHeight="1" thickBot="1" x14ac:dyDescent="0.3">
      <c r="A1142" s="610">
        <v>248</v>
      </c>
      <c r="B1142" s="613">
        <f>VLOOKUP(A1142,مسلسل,2,0)</f>
        <v>0</v>
      </c>
      <c r="C1142" s="616" t="str">
        <f>IFERROR(VLOOKUP(B1142,اسماء,2,0),"")</f>
        <v/>
      </c>
      <c r="D1142" s="619" t="str">
        <f>IFERROR(VLOOKUP($B1142,اسماء,3,0),"")</f>
        <v/>
      </c>
      <c r="E1142" s="129" t="s">
        <v>30</v>
      </c>
      <c r="F1142" s="600">
        <f>IFERROR(VLOOKUP($B1142,اسماء,5,0),0)</f>
        <v>0</v>
      </c>
      <c r="G1142" s="601"/>
      <c r="H1142" s="602">
        <f>IFERROR(VLOOKUP($B1142,اسماء,6,0),0)</f>
        <v>0</v>
      </c>
      <c r="I1142" s="622"/>
      <c r="J1142" s="600">
        <f>IFERROR(VLOOKUP($B1142,اسماء,7,0),0)</f>
        <v>0</v>
      </c>
      <c r="K1142" s="601"/>
      <c r="L1142" s="602">
        <f>IFERROR(VLOOKUP($B1142,اسماء,8,0),0)</f>
        <v>0</v>
      </c>
      <c r="M1142" s="603"/>
      <c r="N1142" s="602">
        <f>IFERROR(VLOOKUP($B1142,اسماء,9,0),0)</f>
        <v>0</v>
      </c>
      <c r="O1142" s="603"/>
      <c r="P1142" s="600">
        <f>IFERROR(VLOOKUP($B1142,اسماء,10,0),0)</f>
        <v>0</v>
      </c>
      <c r="Q1142" s="622"/>
      <c r="R1142" s="371">
        <f t="shared" ref="R1142" si="3102">SUM(F1142:Q1142)</f>
        <v>0</v>
      </c>
      <c r="S1142" s="213" t="str">
        <f>IFERROR(VLOOKUP($B1142,اسماء,12,0),"")</f>
        <v/>
      </c>
      <c r="T1142" s="214" t="str">
        <f>IFERROR(VLOOKUP($B1142,اسماء,13,0),"")</f>
        <v/>
      </c>
      <c r="U1142" s="364" t="str">
        <f>IFERROR(VLOOKUP($B1142,اسماء,14,0),"")</f>
        <v/>
      </c>
      <c r="V1142" s="604" t="str">
        <f t="shared" ref="V1142" si="3103">IF(Z1142="غائب","راسب",IF(R1145&gt;0,"ناجح","مرحل"))</f>
        <v>مرحل</v>
      </c>
      <c r="W1142" s="19" t="str">
        <f t="shared" ref="W1142:W1143" si="3104">LOOKUP(R1142,$AC$6:$AD$10)</f>
        <v>ضعيف</v>
      </c>
      <c r="X1142" s="639">
        <f t="shared" ref="X1142" si="3105">R1145/$AC$3</f>
        <v>0</v>
      </c>
      <c r="Y1142" s="8"/>
      <c r="Z1142" s="597" t="str">
        <f>IFERROR(VLOOKUP($B1142,اسماء,48,0),"")</f>
        <v/>
      </c>
      <c r="AK1142" s="667" t="str">
        <f t="shared" ref="AK1142" si="3106">IF(R1145=0,"",R1145/1+ROW()*0.00001)</f>
        <v/>
      </c>
      <c r="AL1142" s="667">
        <f>B1142</f>
        <v>0</v>
      </c>
      <c r="AM1142" s="696"/>
      <c r="AN1142" s="698">
        <v>248</v>
      </c>
      <c r="AO1142" s="699" t="str">
        <f>IFERROR(LARGE($AK$10:$AK$1420,AN1142),"")</f>
        <v/>
      </c>
      <c r="AP1142" s="698" t="str">
        <f>VLOOKUP(AO1142,$AK$10:$AL$1530,2,0)</f>
        <v>امجد عمر عبداللطيف سلطان</v>
      </c>
    </row>
    <row r="1143" spans="1:42" ht="14.85" customHeight="1" x14ac:dyDescent="0.25">
      <c r="A1143" s="611"/>
      <c r="B1143" s="614"/>
      <c r="C1143" s="617"/>
      <c r="D1143" s="620"/>
      <c r="E1143" s="130" t="s">
        <v>31</v>
      </c>
      <c r="F1143" s="592">
        <f>IFERROR(VLOOKUP($B1142,اسماء,15,0),0)</f>
        <v>0</v>
      </c>
      <c r="G1143" s="593"/>
      <c r="H1143" s="594">
        <f>IFERROR(VLOOKUP($B1142,اسماء,16,0),0)</f>
        <v>0</v>
      </c>
      <c r="I1143" s="595"/>
      <c r="J1143" s="592">
        <f>IFERROR(VLOOKUP($B1142,اسماء,17,0),0)</f>
        <v>0</v>
      </c>
      <c r="K1143" s="593"/>
      <c r="L1143" s="594">
        <f>IFERROR(VLOOKUP($B1142,اسماء,18,0),0)</f>
        <v>0</v>
      </c>
      <c r="M1143" s="596"/>
      <c r="N1143" s="594">
        <f>IFERROR(VLOOKUP($B1142,اسماء,19,0),0)</f>
        <v>0</v>
      </c>
      <c r="O1143" s="596"/>
      <c r="P1143" s="592">
        <f>IFERROR(VLOOKUP($B1142,اسماء,20,0),0)</f>
        <v>0</v>
      </c>
      <c r="Q1143" s="595"/>
      <c r="R1143" s="372">
        <f t="shared" si="3024"/>
        <v>0</v>
      </c>
      <c r="S1143" s="305" t="str">
        <f>IFERROR(VLOOKUP($B1142,اسماء,23,0),"")</f>
        <v/>
      </c>
      <c r="T1143" s="306" t="str">
        <f>IFERROR(VLOOKUP($B1142,اسماء,24,0),"")</f>
        <v/>
      </c>
      <c r="U1143" s="122" t="str">
        <f>IFERROR(VLOOKUP($B1142,اسماء,25,0),"")</f>
        <v/>
      </c>
      <c r="V1143" s="605"/>
      <c r="W1143" s="19" t="str">
        <f t="shared" si="3104"/>
        <v>ضعيف</v>
      </c>
      <c r="X1143" s="640"/>
      <c r="Y1143" s="68"/>
      <c r="Z1143" s="598"/>
      <c r="AK1143" s="667"/>
      <c r="AL1143" s="667"/>
      <c r="AM1143" s="696"/>
      <c r="AN1143" s="698"/>
      <c r="AO1143" s="699"/>
      <c r="AP1143" s="698"/>
    </row>
    <row r="1144" spans="1:42" ht="14.85" customHeight="1" x14ac:dyDescent="0.25">
      <c r="A1144" s="611"/>
      <c r="B1144" s="614"/>
      <c r="C1144" s="617"/>
      <c r="D1144" s="620"/>
      <c r="E1144" s="130" t="s">
        <v>32</v>
      </c>
      <c r="F1144" s="592">
        <f>IFERROR(VLOOKUP($B1142,اسماء,25,0),0)</f>
        <v>0</v>
      </c>
      <c r="G1144" s="593"/>
      <c r="H1144" s="594">
        <f>IFERROR(VLOOKUP($B1142,اسماء,26,0),0)</f>
        <v>0</v>
      </c>
      <c r="I1144" s="595"/>
      <c r="J1144" s="592">
        <f>IFERROR(VLOOKUP($B1142,اسماء,27,0),0)</f>
        <v>0</v>
      </c>
      <c r="K1144" s="593"/>
      <c r="L1144" s="594">
        <f>IFERROR(VLOOKUP($B1142,اسماء,28,0),0)</f>
        <v>0</v>
      </c>
      <c r="M1144" s="596"/>
      <c r="N1144" s="594">
        <f>IFERROR(VLOOKUP($B1142,اسماء,29,0),0)</f>
        <v>0</v>
      </c>
      <c r="O1144" s="596"/>
      <c r="P1144" s="592">
        <f>IFERROR(VLOOKUP($B1142,اسماء,30,0),0)</f>
        <v>0</v>
      </c>
      <c r="Q1144" s="595"/>
      <c r="R1144" s="372">
        <f t="shared" si="3024"/>
        <v>0</v>
      </c>
      <c r="S1144" s="305" t="str">
        <f>IFERROR(VLOOKUP($B1142,اسماء,34,0),"")</f>
        <v/>
      </c>
      <c r="T1144" s="306" t="str">
        <f>IFERROR(VLOOKUP($B1142,اسماء,35,0),"")</f>
        <v/>
      </c>
      <c r="U1144" s="122" t="str">
        <f>IFERROR(VLOOKUP($B1142,اسماء,36,0),"")</f>
        <v/>
      </c>
      <c r="V1144" s="605"/>
      <c r="W1144" s="20" t="str">
        <f t="shared" ref="W1144" si="3107">LOOKUP(R1144,$AF$6:$AG$10)</f>
        <v>ضعيف</v>
      </c>
      <c r="X1144" s="640"/>
      <c r="Y1144" s="68"/>
      <c r="Z1144" s="598"/>
      <c r="AK1144" s="667"/>
      <c r="AL1144" s="667"/>
      <c r="AM1144" s="696"/>
      <c r="AN1144" s="698"/>
      <c r="AO1144" s="699"/>
      <c r="AP1144" s="698"/>
    </row>
    <row r="1145" spans="1:42" ht="14.85" customHeight="1" thickBot="1" x14ac:dyDescent="0.3">
      <c r="A1145" s="612"/>
      <c r="B1145" s="615"/>
      <c r="C1145" s="618"/>
      <c r="D1145" s="621"/>
      <c r="E1145" s="124" t="s">
        <v>33</v>
      </c>
      <c r="F1145" s="623">
        <f t="shared" ref="F1145" si="3108">SUM(F1142:G1144)</f>
        <v>0</v>
      </c>
      <c r="G1145" s="624"/>
      <c r="H1145" s="625">
        <f t="shared" ref="H1145" si="3109">SUM(H1142:I1144)</f>
        <v>0</v>
      </c>
      <c r="I1145" s="626"/>
      <c r="J1145" s="623">
        <f t="shared" ref="J1145" si="3110">SUM(J1142:K1144)</f>
        <v>0</v>
      </c>
      <c r="K1145" s="624"/>
      <c r="L1145" s="625">
        <f t="shared" ref="L1145" si="3111">SUM(L1142:M1144)</f>
        <v>0</v>
      </c>
      <c r="M1145" s="642"/>
      <c r="N1145" s="625">
        <f t="shared" ref="N1145" si="3112">SUM(N1142:O1144)</f>
        <v>0</v>
      </c>
      <c r="O1145" s="642"/>
      <c r="P1145" s="623">
        <f t="shared" ref="P1145" si="3113">SUM(P1142:Q1144)</f>
        <v>0</v>
      </c>
      <c r="Q1145" s="626"/>
      <c r="R1145" s="88">
        <f t="shared" ref="R1145" si="3114">IF(AND(F1145&gt;=$G$8,H1145&gt;=$I$8,J1145&gt;=$K$8,L1145&gt;=$M$8,N1145&gt;=$O$8,P1145&gt;=$Q$8),SUM(F1145:Q1145),0)</f>
        <v>0</v>
      </c>
      <c r="S1145" s="251"/>
      <c r="T1145" s="97"/>
      <c r="U1145" s="94"/>
      <c r="V1145" s="606"/>
      <c r="W1145" s="88" t="str">
        <f t="shared" ref="W1145" si="3115">LOOKUP(R1145,$AI$6:$AJ$10)</f>
        <v>ضعيف</v>
      </c>
      <c r="X1145" s="641"/>
      <c r="Y1145" s="8"/>
      <c r="Z1145" s="599"/>
      <c r="AK1145" s="667"/>
      <c r="AL1145" s="667"/>
      <c r="AM1145" s="696"/>
      <c r="AN1145" s="698"/>
      <c r="AO1145" s="699"/>
      <c r="AP1145" s="698"/>
    </row>
    <row r="1146" spans="1:42" ht="14.85" customHeight="1" thickBot="1" x14ac:dyDescent="0.3">
      <c r="A1146" s="610">
        <v>249</v>
      </c>
      <c r="B1146" s="613">
        <f>VLOOKUP(A1146,مسلسل,2,0)</f>
        <v>0</v>
      </c>
      <c r="C1146" s="616" t="str">
        <f>IFERROR(VLOOKUP(B1146,اسماء,2,0),"")</f>
        <v/>
      </c>
      <c r="D1146" s="619" t="str">
        <f>IFERROR(VLOOKUP($B1146,اسماء,3,0),"")</f>
        <v/>
      </c>
      <c r="E1146" s="129" t="s">
        <v>30</v>
      </c>
      <c r="F1146" s="600">
        <f>IFERROR(VLOOKUP($B1146,اسماء,5,0),0)</f>
        <v>0</v>
      </c>
      <c r="G1146" s="601"/>
      <c r="H1146" s="602">
        <f>IFERROR(VLOOKUP($B1146,اسماء,6,0),0)</f>
        <v>0</v>
      </c>
      <c r="I1146" s="622"/>
      <c r="J1146" s="600">
        <f>IFERROR(VLOOKUP($B1146,اسماء,7,0),0)</f>
        <v>0</v>
      </c>
      <c r="K1146" s="601"/>
      <c r="L1146" s="602">
        <f>IFERROR(VLOOKUP($B1146,اسماء,8,0),0)</f>
        <v>0</v>
      </c>
      <c r="M1146" s="603"/>
      <c r="N1146" s="602">
        <f>IFERROR(VLOOKUP($B1146,اسماء,9,0),0)</f>
        <v>0</v>
      </c>
      <c r="O1146" s="603"/>
      <c r="P1146" s="600">
        <f>IFERROR(VLOOKUP($B1146,اسماء,10,0),0)</f>
        <v>0</v>
      </c>
      <c r="Q1146" s="622"/>
      <c r="R1146" s="371">
        <f t="shared" ref="R1146" si="3116">SUM(F1146:Q1146)</f>
        <v>0</v>
      </c>
      <c r="S1146" s="213" t="str">
        <f>IFERROR(VLOOKUP($B1146,اسماء,12,0),"")</f>
        <v/>
      </c>
      <c r="T1146" s="214" t="str">
        <f>IFERROR(VLOOKUP($B1146,اسماء,13,0),"")</f>
        <v/>
      </c>
      <c r="U1146" s="364" t="str">
        <f>IFERROR(VLOOKUP($B1146,اسماء,14,0),"")</f>
        <v/>
      </c>
      <c r="V1146" s="604" t="str">
        <f t="shared" ref="V1146" si="3117">IF(Z1146="غائب","راسب",IF(R1149&gt;0,"ناجح","مرحل"))</f>
        <v>مرحل</v>
      </c>
      <c r="W1146" s="19" t="str">
        <f t="shared" ref="W1146:W1147" si="3118">LOOKUP(R1146,$AC$6:$AD$10)</f>
        <v>ضعيف</v>
      </c>
      <c r="X1146" s="639">
        <f t="shared" ref="X1146" si="3119">R1149/$AC$3</f>
        <v>0</v>
      </c>
      <c r="Y1146" s="68"/>
      <c r="Z1146" s="597" t="str">
        <f>IFERROR(VLOOKUP($B1146,اسماء,48,0),"")</f>
        <v/>
      </c>
      <c r="AK1146" s="667" t="str">
        <f t="shared" ref="AK1146" si="3120">IF(R1149=0,"",R1149/1+ROW()*0.00001)</f>
        <v/>
      </c>
      <c r="AL1146" s="667">
        <f>B1146</f>
        <v>0</v>
      </c>
      <c r="AM1146" s="696"/>
      <c r="AN1146" s="698">
        <v>249</v>
      </c>
      <c r="AO1146" s="699" t="str">
        <f>IFERROR(LARGE($AK$10:$AK$1420,AN1146),"")</f>
        <v/>
      </c>
      <c r="AP1146" s="698" t="str">
        <f>VLOOKUP(AO1146,$AK$10:$AL$1530,2,0)</f>
        <v>امجد عمر عبداللطيف سلطان</v>
      </c>
    </row>
    <row r="1147" spans="1:42" ht="14.85" customHeight="1" x14ac:dyDescent="0.25">
      <c r="A1147" s="611"/>
      <c r="B1147" s="614"/>
      <c r="C1147" s="617"/>
      <c r="D1147" s="620"/>
      <c r="E1147" s="130" t="s">
        <v>31</v>
      </c>
      <c r="F1147" s="592">
        <f>IFERROR(VLOOKUP($B1146,اسماء,15,0),0)</f>
        <v>0</v>
      </c>
      <c r="G1147" s="593"/>
      <c r="H1147" s="594">
        <f>IFERROR(VLOOKUP($B1146,اسماء,16,0),0)</f>
        <v>0</v>
      </c>
      <c r="I1147" s="595"/>
      <c r="J1147" s="592">
        <f>IFERROR(VLOOKUP($B1146,اسماء,17,0),0)</f>
        <v>0</v>
      </c>
      <c r="K1147" s="593"/>
      <c r="L1147" s="594">
        <f>IFERROR(VLOOKUP($B1146,اسماء,18,0),0)</f>
        <v>0</v>
      </c>
      <c r="M1147" s="596"/>
      <c r="N1147" s="594">
        <f>IFERROR(VLOOKUP($B1146,اسماء,19,0),0)</f>
        <v>0</v>
      </c>
      <c r="O1147" s="596"/>
      <c r="P1147" s="592">
        <f>IFERROR(VLOOKUP($B1146,اسماء,20,0),0)</f>
        <v>0</v>
      </c>
      <c r="Q1147" s="595"/>
      <c r="R1147" s="372">
        <f t="shared" si="3024"/>
        <v>0</v>
      </c>
      <c r="S1147" s="305" t="str">
        <f>IFERROR(VLOOKUP($B1146,اسماء,23,0),"")</f>
        <v/>
      </c>
      <c r="T1147" s="306" t="str">
        <f>IFERROR(VLOOKUP($B1146,اسماء,24,0),"")</f>
        <v/>
      </c>
      <c r="U1147" s="122" t="str">
        <f>IFERROR(VLOOKUP($B1146,اسماء,25,0),"")</f>
        <v/>
      </c>
      <c r="V1147" s="605"/>
      <c r="W1147" s="19" t="str">
        <f t="shared" si="3118"/>
        <v>ضعيف</v>
      </c>
      <c r="X1147" s="640"/>
      <c r="Y1147" s="68"/>
      <c r="Z1147" s="598"/>
      <c r="AK1147" s="667"/>
      <c r="AL1147" s="667"/>
      <c r="AM1147" s="696"/>
      <c r="AN1147" s="698"/>
      <c r="AO1147" s="699"/>
      <c r="AP1147" s="698"/>
    </row>
    <row r="1148" spans="1:42" ht="14.85" customHeight="1" x14ac:dyDescent="0.25">
      <c r="A1148" s="611"/>
      <c r="B1148" s="614"/>
      <c r="C1148" s="617"/>
      <c r="D1148" s="620"/>
      <c r="E1148" s="130" t="s">
        <v>32</v>
      </c>
      <c r="F1148" s="592">
        <f>IFERROR(VLOOKUP($B1146,اسماء,25,0),0)</f>
        <v>0</v>
      </c>
      <c r="G1148" s="593"/>
      <c r="H1148" s="594">
        <f>IFERROR(VLOOKUP($B1146,اسماء,26,0),0)</f>
        <v>0</v>
      </c>
      <c r="I1148" s="595"/>
      <c r="J1148" s="592">
        <f>IFERROR(VLOOKUP($B1146,اسماء,27,0),0)</f>
        <v>0</v>
      </c>
      <c r="K1148" s="593"/>
      <c r="L1148" s="594">
        <f>IFERROR(VLOOKUP($B1146,اسماء,28,0),0)</f>
        <v>0</v>
      </c>
      <c r="M1148" s="596"/>
      <c r="N1148" s="594">
        <f>IFERROR(VLOOKUP($B1146,اسماء,29,0),0)</f>
        <v>0</v>
      </c>
      <c r="O1148" s="596"/>
      <c r="P1148" s="592">
        <f>IFERROR(VLOOKUP($B1146,اسماء,30,0),0)</f>
        <v>0</v>
      </c>
      <c r="Q1148" s="595"/>
      <c r="R1148" s="372">
        <f t="shared" si="3024"/>
        <v>0</v>
      </c>
      <c r="S1148" s="305" t="str">
        <f>IFERROR(VLOOKUP($B1146,اسماء,34,0),"")</f>
        <v/>
      </c>
      <c r="T1148" s="306" t="str">
        <f>IFERROR(VLOOKUP($B1146,اسماء,35,0),"")</f>
        <v/>
      </c>
      <c r="U1148" s="122" t="str">
        <f>IFERROR(VLOOKUP($B1146,اسماء,36,0),"")</f>
        <v/>
      </c>
      <c r="V1148" s="605"/>
      <c r="W1148" s="20" t="str">
        <f t="shared" ref="W1148" si="3121">LOOKUP(R1148,$AF$6:$AG$10)</f>
        <v>ضعيف</v>
      </c>
      <c r="X1148" s="640"/>
      <c r="Y1148" s="8"/>
      <c r="Z1148" s="598"/>
      <c r="AK1148" s="667"/>
      <c r="AL1148" s="667"/>
      <c r="AM1148" s="696"/>
      <c r="AN1148" s="698"/>
      <c r="AO1148" s="699"/>
      <c r="AP1148" s="698"/>
    </row>
    <row r="1149" spans="1:42" ht="14.85" customHeight="1" thickBot="1" x14ac:dyDescent="0.3">
      <c r="A1149" s="612"/>
      <c r="B1149" s="615"/>
      <c r="C1149" s="618"/>
      <c r="D1149" s="621"/>
      <c r="E1149" s="124" t="s">
        <v>33</v>
      </c>
      <c r="F1149" s="623">
        <f t="shared" ref="F1149" si="3122">SUM(F1146:G1148)</f>
        <v>0</v>
      </c>
      <c r="G1149" s="624"/>
      <c r="H1149" s="625">
        <f t="shared" ref="H1149" si="3123">SUM(H1146:I1148)</f>
        <v>0</v>
      </c>
      <c r="I1149" s="626"/>
      <c r="J1149" s="623">
        <f t="shared" ref="J1149" si="3124">SUM(J1146:K1148)</f>
        <v>0</v>
      </c>
      <c r="K1149" s="624"/>
      <c r="L1149" s="625">
        <f t="shared" ref="L1149" si="3125">SUM(L1146:M1148)</f>
        <v>0</v>
      </c>
      <c r="M1149" s="642"/>
      <c r="N1149" s="625">
        <f t="shared" ref="N1149" si="3126">SUM(N1146:O1148)</f>
        <v>0</v>
      </c>
      <c r="O1149" s="642"/>
      <c r="P1149" s="623">
        <f t="shared" ref="P1149" si="3127">SUM(P1146:Q1148)</f>
        <v>0</v>
      </c>
      <c r="Q1149" s="626"/>
      <c r="R1149" s="88">
        <f t="shared" ref="R1149" si="3128">IF(AND(F1149&gt;=$G$8,H1149&gt;=$I$8,J1149&gt;=$K$8,L1149&gt;=$M$8,N1149&gt;=$O$8,P1149&gt;=$Q$8),SUM(F1149:Q1149),0)</f>
        <v>0</v>
      </c>
      <c r="S1149" s="251"/>
      <c r="T1149" s="97"/>
      <c r="U1149" s="94"/>
      <c r="V1149" s="606"/>
      <c r="W1149" s="88" t="str">
        <f t="shared" ref="W1149" si="3129">LOOKUP(R1149,$AI$6:$AJ$10)</f>
        <v>ضعيف</v>
      </c>
      <c r="X1149" s="641"/>
      <c r="Y1149" s="68"/>
      <c r="Z1149" s="599"/>
      <c r="AK1149" s="667"/>
      <c r="AL1149" s="667"/>
      <c r="AM1149" s="696"/>
      <c r="AN1149" s="698"/>
      <c r="AO1149" s="699"/>
      <c r="AP1149" s="698"/>
    </row>
    <row r="1150" spans="1:42" ht="14.85" customHeight="1" thickBot="1" x14ac:dyDescent="0.3">
      <c r="A1150" s="610">
        <v>250</v>
      </c>
      <c r="B1150" s="613">
        <f>VLOOKUP(A1150,مسلسل,2,0)</f>
        <v>0</v>
      </c>
      <c r="C1150" s="616" t="str">
        <f>IFERROR(VLOOKUP(B1150,اسماء,2,0),"")</f>
        <v/>
      </c>
      <c r="D1150" s="619" t="str">
        <f>IFERROR(VLOOKUP($B1150,اسماء,3,0),"")</f>
        <v/>
      </c>
      <c r="E1150" s="129" t="s">
        <v>30</v>
      </c>
      <c r="F1150" s="600">
        <f>IFERROR(VLOOKUP($B1150,اسماء,5,0),0)</f>
        <v>0</v>
      </c>
      <c r="G1150" s="601"/>
      <c r="H1150" s="602">
        <f>IFERROR(VLOOKUP($B1150,اسماء,6,0),0)</f>
        <v>0</v>
      </c>
      <c r="I1150" s="622"/>
      <c r="J1150" s="600">
        <f>IFERROR(VLOOKUP($B1150,اسماء,7,0),0)</f>
        <v>0</v>
      </c>
      <c r="K1150" s="601"/>
      <c r="L1150" s="602">
        <f>IFERROR(VLOOKUP($B1150,اسماء,8,0),0)</f>
        <v>0</v>
      </c>
      <c r="M1150" s="603"/>
      <c r="N1150" s="602">
        <f>IFERROR(VLOOKUP($B1150,اسماء,9,0),0)</f>
        <v>0</v>
      </c>
      <c r="O1150" s="603"/>
      <c r="P1150" s="600">
        <f>IFERROR(VLOOKUP($B1150,اسماء,10,0),0)</f>
        <v>0</v>
      </c>
      <c r="Q1150" s="622"/>
      <c r="R1150" s="371">
        <f t="shared" ref="R1150" si="3130">SUM(F1150:Q1150)</f>
        <v>0</v>
      </c>
      <c r="S1150" s="213" t="str">
        <f>IFERROR(VLOOKUP($B1150,اسماء,12,0),"")</f>
        <v/>
      </c>
      <c r="T1150" s="214" t="str">
        <f>IFERROR(VLOOKUP($B1150,اسماء,13,0),"")</f>
        <v/>
      </c>
      <c r="U1150" s="364" t="str">
        <f>IFERROR(VLOOKUP($B1150,اسماء,14,0),"")</f>
        <v/>
      </c>
      <c r="V1150" s="604" t="str">
        <f t="shared" ref="V1150" si="3131">IF(Z1150="غائب","راسب",IF(R1153&gt;0,"ناجح","مرحل"))</f>
        <v>مرحل</v>
      </c>
      <c r="W1150" s="19" t="str">
        <f t="shared" ref="W1150:W1151" si="3132">LOOKUP(R1150,$AC$6:$AD$10)</f>
        <v>ضعيف</v>
      </c>
      <c r="X1150" s="639">
        <f t="shared" ref="X1150" si="3133">R1153/$AC$3</f>
        <v>0</v>
      </c>
      <c r="Y1150" s="68"/>
      <c r="Z1150" s="597" t="str">
        <f>IFERROR(VLOOKUP($B1150,اسماء,48,0),"")</f>
        <v/>
      </c>
      <c r="AK1150" s="667" t="str">
        <f t="shared" ref="AK1150" si="3134">IF(R1153=0,"",R1153/1+ROW()*0.00001)</f>
        <v/>
      </c>
      <c r="AL1150" s="667">
        <f>B1150</f>
        <v>0</v>
      </c>
      <c r="AM1150" s="696"/>
      <c r="AN1150" s="698">
        <v>250</v>
      </c>
      <c r="AO1150" s="699" t="str">
        <f>IFERROR(LARGE($AK$10:$AK$1420,AN1150),"")</f>
        <v/>
      </c>
      <c r="AP1150" s="698" t="str">
        <f>VLOOKUP(AO1150,$AK$10:$AL$1530,2,0)</f>
        <v>امجد عمر عبداللطيف سلطان</v>
      </c>
    </row>
    <row r="1151" spans="1:42" ht="14.85" customHeight="1" x14ac:dyDescent="0.25">
      <c r="A1151" s="611"/>
      <c r="B1151" s="614"/>
      <c r="C1151" s="617"/>
      <c r="D1151" s="620"/>
      <c r="E1151" s="130" t="s">
        <v>31</v>
      </c>
      <c r="F1151" s="592">
        <f>IFERROR(VLOOKUP($B1150,اسماء,15,0),0)</f>
        <v>0</v>
      </c>
      <c r="G1151" s="593"/>
      <c r="H1151" s="594">
        <f>IFERROR(VLOOKUP($B1150,اسماء,16,0),0)</f>
        <v>0</v>
      </c>
      <c r="I1151" s="595"/>
      <c r="J1151" s="592">
        <f>IFERROR(VLOOKUP($B1150,اسماء,17,0),0)</f>
        <v>0</v>
      </c>
      <c r="K1151" s="593"/>
      <c r="L1151" s="594">
        <f>IFERROR(VLOOKUP($B1150,اسماء,18,0),0)</f>
        <v>0</v>
      </c>
      <c r="M1151" s="596"/>
      <c r="N1151" s="594">
        <f>IFERROR(VLOOKUP($B1150,اسماء,19,0),0)</f>
        <v>0</v>
      </c>
      <c r="O1151" s="596"/>
      <c r="P1151" s="592">
        <f>IFERROR(VLOOKUP($B1150,اسماء,20,0),0)</f>
        <v>0</v>
      </c>
      <c r="Q1151" s="595"/>
      <c r="R1151" s="372">
        <f t="shared" si="3024"/>
        <v>0</v>
      </c>
      <c r="S1151" s="305" t="str">
        <f>IFERROR(VLOOKUP($B1150,اسماء,23,0),"")</f>
        <v/>
      </c>
      <c r="T1151" s="306" t="str">
        <f>IFERROR(VLOOKUP($B1150,اسماء,24,0),"")</f>
        <v/>
      </c>
      <c r="U1151" s="122" t="str">
        <f>IFERROR(VLOOKUP($B1150,اسماء,25,0),"")</f>
        <v/>
      </c>
      <c r="V1151" s="605"/>
      <c r="W1151" s="19" t="str">
        <f t="shared" si="3132"/>
        <v>ضعيف</v>
      </c>
      <c r="X1151" s="640"/>
      <c r="Y1151" s="8"/>
      <c r="Z1151" s="598"/>
      <c r="AK1151" s="667"/>
      <c r="AL1151" s="667"/>
      <c r="AM1151" s="696"/>
      <c r="AN1151" s="698"/>
      <c r="AO1151" s="699"/>
      <c r="AP1151" s="698"/>
    </row>
    <row r="1152" spans="1:42" ht="14.85" customHeight="1" x14ac:dyDescent="0.25">
      <c r="A1152" s="611"/>
      <c r="B1152" s="614"/>
      <c r="C1152" s="617"/>
      <c r="D1152" s="620"/>
      <c r="E1152" s="130" t="s">
        <v>32</v>
      </c>
      <c r="F1152" s="592">
        <f>IFERROR(VLOOKUP($B1150,اسماء,25,0),0)</f>
        <v>0</v>
      </c>
      <c r="G1152" s="593"/>
      <c r="H1152" s="594">
        <f>IFERROR(VLOOKUP($B1150,اسماء,26,0),0)</f>
        <v>0</v>
      </c>
      <c r="I1152" s="595"/>
      <c r="J1152" s="592">
        <f>IFERROR(VLOOKUP($B1150,اسماء,27,0),0)</f>
        <v>0</v>
      </c>
      <c r="K1152" s="593"/>
      <c r="L1152" s="594">
        <f>IFERROR(VLOOKUP($B1150,اسماء,28,0),0)</f>
        <v>0</v>
      </c>
      <c r="M1152" s="596"/>
      <c r="N1152" s="594">
        <f>IFERROR(VLOOKUP($B1150,اسماء,29,0),0)</f>
        <v>0</v>
      </c>
      <c r="O1152" s="596"/>
      <c r="P1152" s="592">
        <f>IFERROR(VLOOKUP($B1150,اسماء,30,0),0)</f>
        <v>0</v>
      </c>
      <c r="Q1152" s="595"/>
      <c r="R1152" s="372">
        <f t="shared" si="3024"/>
        <v>0</v>
      </c>
      <c r="S1152" s="305" t="str">
        <f>IFERROR(VLOOKUP($B1150,اسماء,34,0),"")</f>
        <v/>
      </c>
      <c r="T1152" s="306" t="str">
        <f>IFERROR(VLOOKUP($B1150,اسماء,35,0),"")</f>
        <v/>
      </c>
      <c r="U1152" s="122" t="str">
        <f>IFERROR(VLOOKUP($B1150,اسماء,36,0),"")</f>
        <v/>
      </c>
      <c r="V1152" s="605"/>
      <c r="W1152" s="20" t="str">
        <f t="shared" ref="W1152" si="3135">LOOKUP(R1152,$AF$6:$AG$10)</f>
        <v>ضعيف</v>
      </c>
      <c r="X1152" s="640"/>
      <c r="Y1152" s="68"/>
      <c r="Z1152" s="598"/>
      <c r="AK1152" s="667"/>
      <c r="AL1152" s="667"/>
      <c r="AM1152" s="696"/>
      <c r="AN1152" s="698"/>
      <c r="AO1152" s="699"/>
      <c r="AP1152" s="698"/>
    </row>
    <row r="1153" spans="1:42" ht="14.85" customHeight="1" thickBot="1" x14ac:dyDescent="0.3">
      <c r="A1153" s="612"/>
      <c r="B1153" s="615"/>
      <c r="C1153" s="618"/>
      <c r="D1153" s="621"/>
      <c r="E1153" s="124" t="s">
        <v>33</v>
      </c>
      <c r="F1153" s="623">
        <f t="shared" ref="F1153" si="3136">SUM(F1150:G1152)</f>
        <v>0</v>
      </c>
      <c r="G1153" s="624"/>
      <c r="H1153" s="625">
        <f t="shared" ref="H1153" si="3137">SUM(H1150:I1152)</f>
        <v>0</v>
      </c>
      <c r="I1153" s="626"/>
      <c r="J1153" s="623">
        <f t="shared" ref="J1153" si="3138">SUM(J1150:K1152)</f>
        <v>0</v>
      </c>
      <c r="K1153" s="624"/>
      <c r="L1153" s="625">
        <f t="shared" ref="L1153" si="3139">SUM(L1150:M1152)</f>
        <v>0</v>
      </c>
      <c r="M1153" s="642"/>
      <c r="N1153" s="625">
        <f t="shared" ref="N1153" si="3140">SUM(N1150:O1152)</f>
        <v>0</v>
      </c>
      <c r="O1153" s="642"/>
      <c r="P1153" s="623">
        <f t="shared" ref="P1153" si="3141">SUM(P1150:Q1152)</f>
        <v>0</v>
      </c>
      <c r="Q1153" s="626"/>
      <c r="R1153" s="88">
        <f t="shared" ref="R1153" si="3142">IF(AND(F1153&gt;=$G$8,H1153&gt;=$I$8,J1153&gt;=$K$8,L1153&gt;=$M$8,N1153&gt;=$O$8,P1153&gt;=$Q$8),SUM(F1153:Q1153),0)</f>
        <v>0</v>
      </c>
      <c r="S1153" s="251"/>
      <c r="T1153" s="97"/>
      <c r="U1153" s="94"/>
      <c r="V1153" s="606"/>
      <c r="W1153" s="88" t="str">
        <f t="shared" ref="W1153" si="3143">LOOKUP(R1153,$AI$6:$AJ$10)</f>
        <v>ضعيف</v>
      </c>
      <c r="X1153" s="641"/>
      <c r="Y1153" s="68"/>
      <c r="Z1153" s="599"/>
      <c r="AK1153" s="667"/>
      <c r="AL1153" s="667"/>
      <c r="AM1153" s="696"/>
      <c r="AN1153" s="698"/>
      <c r="AO1153" s="699"/>
      <c r="AP1153" s="698"/>
    </row>
    <row r="1154" spans="1:42" ht="14.85" customHeight="1" thickBot="1" x14ac:dyDescent="0.3">
      <c r="F1154" s="71"/>
      <c r="G1154" s="72"/>
      <c r="H1154" s="71"/>
      <c r="I1154" s="72"/>
      <c r="J1154" s="71"/>
      <c r="K1154" s="72"/>
      <c r="L1154" s="71"/>
      <c r="M1154" s="72"/>
      <c r="N1154" s="71"/>
      <c r="O1154" s="72"/>
      <c r="P1154" s="71"/>
      <c r="Q1154" s="72"/>
      <c r="R1154" s="70"/>
      <c r="S1154" s="73"/>
      <c r="T1154" s="70"/>
      <c r="U1154" s="70"/>
      <c r="V1154" s="70"/>
      <c r="W1154" s="70"/>
      <c r="X1154" s="254"/>
      <c r="Y1154" s="68"/>
      <c r="AH1154" s="74"/>
    </row>
    <row r="1155" spans="1:42" customFormat="1" ht="14.85" customHeight="1" x14ac:dyDescent="0.3">
      <c r="A1155" s="668" t="s">
        <v>9</v>
      </c>
      <c r="B1155" s="669"/>
      <c r="C1155" s="670"/>
      <c r="D1155" s="277" t="s">
        <v>11</v>
      </c>
      <c r="E1155" s="674" t="s">
        <v>96</v>
      </c>
      <c r="F1155" s="663"/>
      <c r="G1155" s="663"/>
      <c r="H1155" s="663"/>
      <c r="I1155" s="663"/>
      <c r="J1155" s="7"/>
      <c r="K1155" s="7"/>
      <c r="L1155" s="7"/>
      <c r="M1155" s="7"/>
      <c r="N1155" s="7"/>
      <c r="O1155" s="7"/>
      <c r="P1155" s="7"/>
      <c r="Q1155" s="663" t="s">
        <v>156</v>
      </c>
      <c r="R1155" s="663"/>
      <c r="S1155" s="663"/>
      <c r="T1155" s="663"/>
      <c r="U1155" s="663"/>
      <c r="V1155" s="663"/>
      <c r="W1155" s="1"/>
      <c r="X1155" s="255"/>
      <c r="Z1155" s="75"/>
      <c r="AA1155" s="76"/>
      <c r="AB1155" s="76"/>
      <c r="AC1155" s="76"/>
      <c r="AD1155" s="76"/>
    </row>
    <row r="1156" spans="1:42" customFormat="1" ht="14.85" customHeight="1" x14ac:dyDescent="0.25">
      <c r="A1156" s="77" t="s">
        <v>8</v>
      </c>
      <c r="B1156" s="671">
        <f>ادخال1!$BJ$3</f>
        <v>0</v>
      </c>
      <c r="C1156" s="672"/>
      <c r="D1156" s="278"/>
      <c r="E1156" s="7" t="s">
        <v>9</v>
      </c>
      <c r="F1156" s="673" t="str">
        <f>ادخال1!$BJ$5</f>
        <v>د. عبدالرحمن خليفة العريبي</v>
      </c>
      <c r="G1156" s="673"/>
      <c r="H1156" s="673"/>
      <c r="I1156" s="673"/>
      <c r="J1156" s="673"/>
      <c r="K1156" s="673"/>
      <c r="L1156" s="673"/>
      <c r="M1156" s="673"/>
      <c r="N1156" s="673"/>
      <c r="O1156" s="673"/>
      <c r="P1156" s="7"/>
      <c r="Q1156" s="673" t="str">
        <f>ادخال1!$BJ$6</f>
        <v>تاجوراء</v>
      </c>
      <c r="R1156" s="673"/>
      <c r="S1156" s="673"/>
      <c r="T1156" s="673"/>
      <c r="U1156" s="673"/>
      <c r="V1156" s="673"/>
      <c r="W1156" s="673"/>
      <c r="X1156" s="63"/>
      <c r="Y1156" s="63"/>
      <c r="Z1156" s="75"/>
      <c r="AA1156" s="75"/>
      <c r="AB1156" s="75"/>
      <c r="AC1156" s="75"/>
    </row>
    <row r="1157" spans="1:42" customFormat="1" ht="14.85" customHeight="1" thickBot="1" x14ac:dyDescent="0.3">
      <c r="A1157" s="78" t="s">
        <v>97</v>
      </c>
      <c r="B1157" s="665">
        <f>ادخال1!$BJ$4</f>
        <v>0</v>
      </c>
      <c r="C1157" s="666"/>
      <c r="D1157" s="279"/>
      <c r="E1157" s="7" t="s">
        <v>11</v>
      </c>
      <c r="F1157" s="667"/>
      <c r="G1157" s="667"/>
      <c r="H1157" s="667"/>
      <c r="I1157" s="667"/>
      <c r="J1157" s="667"/>
      <c r="K1157" s="667"/>
      <c r="L1157" s="667"/>
      <c r="M1157" s="667"/>
      <c r="N1157" s="667"/>
      <c r="O1157" s="667"/>
      <c r="P1157" s="7"/>
      <c r="Q1157" s="7" t="s">
        <v>11</v>
      </c>
      <c r="R1157" s="1"/>
      <c r="S1157" s="1"/>
      <c r="T1157" s="1"/>
      <c r="U1157" s="1"/>
      <c r="V1157" s="1"/>
      <c r="W1157" s="1"/>
      <c r="X1157" s="255"/>
      <c r="Z1157" s="75"/>
      <c r="AA1157" s="75"/>
      <c r="AB1157" s="75"/>
      <c r="AC1157" s="75"/>
    </row>
    <row r="1158" spans="1:42" customFormat="1" ht="14.85" customHeight="1" x14ac:dyDescent="0.25">
      <c r="A1158" s="663" t="s">
        <v>98</v>
      </c>
      <c r="B1158" s="663"/>
      <c r="C1158" s="663"/>
      <c r="D1158" s="663"/>
      <c r="E1158" s="663" t="s">
        <v>99</v>
      </c>
      <c r="F1158" s="663"/>
      <c r="G1158" s="663"/>
      <c r="H1158" s="663"/>
      <c r="I1158" s="663"/>
      <c r="J1158" s="663"/>
      <c r="K1158" s="663"/>
      <c r="L1158" s="663"/>
      <c r="M1158" s="663"/>
      <c r="N1158" s="663"/>
      <c r="O1158" s="663"/>
      <c r="P1158" s="663"/>
      <c r="Q1158" s="663"/>
      <c r="R1158" s="7"/>
      <c r="S1158" s="664">
        <f ca="1">TODAY()</f>
        <v>46009</v>
      </c>
      <c r="T1158" s="664"/>
      <c r="U1158" s="664"/>
      <c r="V1158" s="664"/>
      <c r="W1158" s="664"/>
      <c r="X1158" s="255"/>
    </row>
    <row r="1159" spans="1:42" customFormat="1" ht="14.85" customHeight="1" thickBot="1" x14ac:dyDescent="0.3">
      <c r="A1159" s="7"/>
      <c r="B1159" s="663" t="s">
        <v>100</v>
      </c>
      <c r="C1159" s="663"/>
      <c r="D1159" s="663"/>
      <c r="E1159" s="663" t="s">
        <v>101</v>
      </c>
      <c r="F1159" s="663"/>
      <c r="G1159" s="663"/>
      <c r="H1159" s="663"/>
      <c r="I1159" s="663"/>
      <c r="J1159" s="663"/>
      <c r="K1159" s="663"/>
      <c r="L1159" s="663"/>
      <c r="M1159" s="663"/>
      <c r="N1159" s="663"/>
      <c r="O1159" s="663"/>
      <c r="P1159" s="663"/>
      <c r="Q1159" s="663"/>
      <c r="R1159" s="1"/>
      <c r="S1159" s="1"/>
      <c r="T1159" s="1"/>
      <c r="U1159" s="1"/>
      <c r="V1159" s="1"/>
      <c r="W1159" s="1"/>
      <c r="X1159" s="255"/>
    </row>
    <row r="1160" spans="1:42" ht="14.85" customHeight="1" thickBot="1" x14ac:dyDescent="0.3">
      <c r="A1160" s="610">
        <v>251</v>
      </c>
      <c r="B1160" s="613">
        <f>VLOOKUP(A1160,مسلسل,2,0)</f>
        <v>0</v>
      </c>
      <c r="C1160" s="616" t="str">
        <f>IFERROR(VLOOKUP(B1160,اسماء,2,0),"")</f>
        <v/>
      </c>
      <c r="D1160" s="619" t="str">
        <f>IFERROR(VLOOKUP($B1160,اسماء,3,0),"")</f>
        <v/>
      </c>
      <c r="E1160" s="129" t="s">
        <v>30</v>
      </c>
      <c r="F1160" s="600">
        <f>IFERROR(VLOOKUP($B1160,اسماء,5,0),0)</f>
        <v>0</v>
      </c>
      <c r="G1160" s="601"/>
      <c r="H1160" s="602">
        <f>IFERROR(VLOOKUP($B1160,اسماء,6,0),0)</f>
        <v>0</v>
      </c>
      <c r="I1160" s="622"/>
      <c r="J1160" s="600">
        <f>IFERROR(VLOOKUP($B1160,اسماء,7,0),0)</f>
        <v>0</v>
      </c>
      <c r="K1160" s="601"/>
      <c r="L1160" s="602">
        <f>IFERROR(VLOOKUP($B1160,اسماء,8,0),0)</f>
        <v>0</v>
      </c>
      <c r="M1160" s="603"/>
      <c r="N1160" s="602">
        <f>IFERROR(VLOOKUP($B1160,اسماء,9,0),0)</f>
        <v>0</v>
      </c>
      <c r="O1160" s="603"/>
      <c r="P1160" s="600">
        <f>IFERROR(VLOOKUP($B1160,اسماء,10,0),0)</f>
        <v>0</v>
      </c>
      <c r="Q1160" s="622"/>
      <c r="R1160" s="371">
        <f>SUM(F1160:Q1160)</f>
        <v>0</v>
      </c>
      <c r="S1160" s="325" t="str">
        <f>IFERROR(VLOOKUP($B1160,اسماء,12,0),"")</f>
        <v/>
      </c>
      <c r="T1160" s="326" t="str">
        <f>IFERROR(VLOOKUP($B1160,اسماء,13,0),"")</f>
        <v/>
      </c>
      <c r="U1160" s="92" t="str">
        <f>IFERROR(VLOOKUP($B1160,اسماء,14,0),"")</f>
        <v/>
      </c>
      <c r="V1160" s="604" t="str">
        <f t="shared" ref="V1160" si="3144">IF(Z1160="غائب","راسب",IF(R1163&gt;0,"ناجح","مرحل"))</f>
        <v>مرحل</v>
      </c>
      <c r="W1160" s="19" t="str">
        <f t="shared" ref="W1160:W1161" si="3145">LOOKUP(R1160,$AC$6:$AD$10)</f>
        <v>ضعيف</v>
      </c>
      <c r="X1160" s="639">
        <f t="shared" ref="X1160" si="3146">R1163/$AC$3</f>
        <v>0</v>
      </c>
      <c r="Y1160" s="8"/>
      <c r="Z1160" s="597" t="str">
        <f>IFERROR(VLOOKUP($B1160,اسماء,48,0),"")</f>
        <v/>
      </c>
      <c r="AK1160" s="695" t="str">
        <f>IF(R1163=0,"",R1163/1+ROW()*0.00001)</f>
        <v/>
      </c>
      <c r="AL1160" s="695">
        <f>B1160</f>
        <v>0</v>
      </c>
      <c r="AM1160" s="696"/>
      <c r="AN1160" s="698">
        <v>251</v>
      </c>
      <c r="AO1160" s="699" t="str">
        <f>IFERROR(LARGE($AK$10:$AK$1420,AN1160),"")</f>
        <v/>
      </c>
      <c r="AP1160" s="700" t="str">
        <f>VLOOKUP(AO1160,$AK$10:$AL$1530,2,0)</f>
        <v>امجد عمر عبداللطيف سلطان</v>
      </c>
    </row>
    <row r="1161" spans="1:42" ht="14.85" customHeight="1" x14ac:dyDescent="0.25">
      <c r="A1161" s="611"/>
      <c r="B1161" s="614"/>
      <c r="C1161" s="617"/>
      <c r="D1161" s="620"/>
      <c r="E1161" s="130" t="s">
        <v>31</v>
      </c>
      <c r="F1161" s="592">
        <f>IFERROR(VLOOKUP($B1160,اسماء,16,0),0)</f>
        <v>0</v>
      </c>
      <c r="G1161" s="593"/>
      <c r="H1161" s="594">
        <f>IFERROR(VLOOKUP($B1160,اسماء,17,0),0)</f>
        <v>0</v>
      </c>
      <c r="I1161" s="595"/>
      <c r="J1161" s="592">
        <f>IFERROR(VLOOKUP($B1160,اسماء,18,0),0)</f>
        <v>0</v>
      </c>
      <c r="K1161" s="593"/>
      <c r="L1161" s="594">
        <f>IFERROR(VLOOKUP($B1160,اسماء,19,0),0)</f>
        <v>0</v>
      </c>
      <c r="M1161" s="596"/>
      <c r="N1161" s="594">
        <f>IFERROR(VLOOKUP($B1160,اسماء,20,0),0)</f>
        <v>0</v>
      </c>
      <c r="O1161" s="596"/>
      <c r="P1161" s="592">
        <f>IFERROR(VLOOKUP($B1160,اسماء,21,0),0)</f>
        <v>0</v>
      </c>
      <c r="Q1161" s="595"/>
      <c r="R1161" s="372">
        <f t="shared" ref="R1161:R1162" si="3147">SUM(F1161:Q1161)</f>
        <v>0</v>
      </c>
      <c r="S1161" s="305" t="str">
        <f>IFERROR(VLOOKUP($B1160,اسماء,23,0),"")</f>
        <v/>
      </c>
      <c r="T1161" s="306" t="str">
        <f>IFERROR(VLOOKUP($B1160,اسماء,24,0),"")</f>
        <v/>
      </c>
      <c r="U1161" s="122" t="str">
        <f>IFERROR(VLOOKUP($B1160,اسماء,25,0),"")</f>
        <v/>
      </c>
      <c r="V1161" s="605"/>
      <c r="W1161" s="19" t="str">
        <f t="shared" si="3145"/>
        <v>ضعيف</v>
      </c>
      <c r="X1161" s="640"/>
      <c r="Y1161" s="68"/>
      <c r="Z1161" s="598"/>
      <c r="AK1161" s="696"/>
      <c r="AL1161" s="696"/>
      <c r="AM1161" s="696"/>
      <c r="AN1161" s="698"/>
      <c r="AO1161" s="699"/>
      <c r="AP1161" s="701"/>
    </row>
    <row r="1162" spans="1:42" ht="14.85" customHeight="1" x14ac:dyDescent="0.25">
      <c r="A1162" s="611"/>
      <c r="B1162" s="614"/>
      <c r="C1162" s="617"/>
      <c r="D1162" s="620"/>
      <c r="E1162" s="130" t="s">
        <v>32</v>
      </c>
      <c r="F1162" s="592">
        <f>IFERROR(VLOOKUP($B1160,اسماء,27,0),0)</f>
        <v>0</v>
      </c>
      <c r="G1162" s="593"/>
      <c r="H1162" s="594">
        <f>IFERROR(VLOOKUP($B1160,اسماء,28,0),0)</f>
        <v>0</v>
      </c>
      <c r="I1162" s="595"/>
      <c r="J1162" s="592">
        <f>IFERROR(VLOOKUP($B1160,اسماء,29,0),0)</f>
        <v>0</v>
      </c>
      <c r="K1162" s="593"/>
      <c r="L1162" s="594">
        <f>IFERROR(VLOOKUP($B1160,اسماء,30,0),0)</f>
        <v>0</v>
      </c>
      <c r="M1162" s="596"/>
      <c r="N1162" s="594">
        <f>IFERROR(VLOOKUP($B1160,اسماء,31,0),0)</f>
        <v>0</v>
      </c>
      <c r="O1162" s="596"/>
      <c r="P1162" s="592">
        <f>IFERROR(VLOOKUP($B1160,اسماء,32,0),0)</f>
        <v>0</v>
      </c>
      <c r="Q1162" s="595"/>
      <c r="R1162" s="372">
        <f t="shared" si="3147"/>
        <v>0</v>
      </c>
      <c r="S1162" s="305" t="str">
        <f>IFERROR(VLOOKUP($B1160,اسماء,34,0),"")</f>
        <v/>
      </c>
      <c r="T1162" s="306" t="str">
        <f>IFERROR(VLOOKUP($B1160,اسماء,35,0),"")</f>
        <v/>
      </c>
      <c r="U1162" s="122" t="str">
        <f>IFERROR(VLOOKUP($B1160,اسماء,36,0),"")</f>
        <v/>
      </c>
      <c r="V1162" s="605"/>
      <c r="W1162" s="20" t="str">
        <f t="shared" ref="W1162" si="3148">LOOKUP(R1162,$AF$6:$AG$10)</f>
        <v>ضعيف</v>
      </c>
      <c r="X1162" s="640"/>
      <c r="Y1162" s="68"/>
      <c r="Z1162" s="598"/>
      <c r="AK1162" s="696"/>
      <c r="AL1162" s="696"/>
      <c r="AM1162" s="696"/>
      <c r="AN1162" s="698"/>
      <c r="AO1162" s="699"/>
      <c r="AP1162" s="701"/>
    </row>
    <row r="1163" spans="1:42" ht="14.85" customHeight="1" thickBot="1" x14ac:dyDescent="0.3">
      <c r="A1163" s="612"/>
      <c r="B1163" s="615"/>
      <c r="C1163" s="618"/>
      <c r="D1163" s="621"/>
      <c r="E1163" s="124" t="s">
        <v>33</v>
      </c>
      <c r="F1163" s="623">
        <f>SUM(F1160:G1162)</f>
        <v>0</v>
      </c>
      <c r="G1163" s="624"/>
      <c r="H1163" s="625">
        <f>SUM(H1160:I1162)</f>
        <v>0</v>
      </c>
      <c r="I1163" s="626"/>
      <c r="J1163" s="623">
        <f>SUM(J1160:K1162)</f>
        <v>0</v>
      </c>
      <c r="K1163" s="624"/>
      <c r="L1163" s="625">
        <f>SUM(L1160:M1162)</f>
        <v>0</v>
      </c>
      <c r="M1163" s="642"/>
      <c r="N1163" s="625">
        <f>SUM(N1160:O1162)</f>
        <v>0</v>
      </c>
      <c r="O1163" s="642"/>
      <c r="P1163" s="623">
        <f>SUM(P1160:Q1162)</f>
        <v>0</v>
      </c>
      <c r="Q1163" s="626"/>
      <c r="R1163" s="88">
        <f>IF(AND(F1163&gt;=$G$8,H1163&gt;=$I$8,J1163&gt;=$K$8,L1163&gt;=$M$8,N1163&gt;=$O$8,P1163&gt;=$Q$8),SUM(F1163:Q1163),0)</f>
        <v>0</v>
      </c>
      <c r="S1163" s="251"/>
      <c r="T1163" s="97"/>
      <c r="U1163" s="94"/>
      <c r="V1163" s="606"/>
      <c r="W1163" s="88" t="str">
        <f t="shared" ref="W1163" si="3149">LOOKUP(R1163,$AI$6:$AJ$10)</f>
        <v>ضعيف</v>
      </c>
      <c r="X1163" s="641"/>
      <c r="Y1163" s="8"/>
      <c r="Z1163" s="599"/>
      <c r="AK1163" s="697"/>
      <c r="AL1163" s="697"/>
      <c r="AM1163" s="696"/>
      <c r="AN1163" s="698"/>
      <c r="AO1163" s="699"/>
      <c r="AP1163" s="702"/>
    </row>
    <row r="1164" spans="1:42" ht="14.85" customHeight="1" thickBot="1" x14ac:dyDescent="0.3">
      <c r="A1164" s="610">
        <v>252</v>
      </c>
      <c r="B1164" s="613">
        <f>VLOOKUP(A1164,مسلسل,2,0)</f>
        <v>0</v>
      </c>
      <c r="C1164" s="616" t="str">
        <f>IFERROR(VLOOKUP(B1164,اسماء,2,0),"")</f>
        <v/>
      </c>
      <c r="D1164" s="619" t="str">
        <f>IFERROR(VLOOKUP($B1164,اسماء,3,0),"")</f>
        <v/>
      </c>
      <c r="E1164" s="129" t="s">
        <v>30</v>
      </c>
      <c r="F1164" s="600">
        <f>IFERROR(VLOOKUP($B1164,اسماء,5,0),0)</f>
        <v>0</v>
      </c>
      <c r="G1164" s="601"/>
      <c r="H1164" s="602">
        <f>IFERROR(VLOOKUP($B1164,اسماء,6,0),0)</f>
        <v>0</v>
      </c>
      <c r="I1164" s="622"/>
      <c r="J1164" s="600">
        <f>IFERROR(VLOOKUP($B1164,اسماء,7,0),0)</f>
        <v>0</v>
      </c>
      <c r="K1164" s="601"/>
      <c r="L1164" s="602">
        <f>IFERROR(VLOOKUP($B1164,اسماء,8,0),0)</f>
        <v>0</v>
      </c>
      <c r="M1164" s="603"/>
      <c r="N1164" s="602">
        <f>IFERROR(VLOOKUP($B1164,اسماء,9,0),0)</f>
        <v>0</v>
      </c>
      <c r="O1164" s="603"/>
      <c r="P1164" s="600">
        <f>IFERROR(VLOOKUP($B1164,اسماء,10,0),0)</f>
        <v>0</v>
      </c>
      <c r="Q1164" s="622"/>
      <c r="R1164" s="371">
        <f t="shared" ref="R1164:R1198" si="3150">SUM(F1164:Q1164)</f>
        <v>0</v>
      </c>
      <c r="S1164" s="213" t="str">
        <f>IFERROR(VLOOKUP($B1164,اسماء,12,0),"")</f>
        <v/>
      </c>
      <c r="T1164" s="214" t="str">
        <f>IFERROR(VLOOKUP($B1164,اسماء,13,0),"")</f>
        <v/>
      </c>
      <c r="U1164" s="364" t="str">
        <f>IFERROR(VLOOKUP($B1164,اسماء,14,0),"")</f>
        <v/>
      </c>
      <c r="V1164" s="604" t="str">
        <f t="shared" ref="V1164" si="3151">IF(Z1164="غائب","راسب",IF(R1167&gt;0,"ناجح","مرحل"))</f>
        <v>مرحل</v>
      </c>
      <c r="W1164" s="19" t="str">
        <f t="shared" ref="W1164:W1165" si="3152">LOOKUP(R1164,$AC$6:$AD$10)</f>
        <v>ضعيف</v>
      </c>
      <c r="X1164" s="639">
        <f t="shared" ref="X1164" si="3153">R1167/$AC$3</f>
        <v>0</v>
      </c>
      <c r="Y1164" s="68"/>
      <c r="Z1164" s="597" t="str">
        <f>IFERROR(VLOOKUP($B1164,اسماء,48,0),"")</f>
        <v/>
      </c>
      <c r="AK1164" s="705" t="str">
        <f t="shared" ref="AK1164" si="3154">IF(R1167=0,"",R1167/1+ROW()*0.00001)</f>
        <v/>
      </c>
      <c r="AL1164" s="703">
        <f>B1164</f>
        <v>0</v>
      </c>
      <c r="AM1164" s="696"/>
      <c r="AN1164" s="698">
        <v>252</v>
      </c>
      <c r="AO1164" s="699" t="str">
        <f>IFERROR(LARGE($AK$10:$AK$1420,AN1164),"")</f>
        <v/>
      </c>
      <c r="AP1164" s="700" t="str">
        <f>VLOOKUP(AO1164,$AK$10:$AL$1530,2,0)</f>
        <v>امجد عمر عبداللطيف سلطان</v>
      </c>
    </row>
    <row r="1165" spans="1:42" ht="14.85" customHeight="1" x14ac:dyDescent="0.25">
      <c r="A1165" s="611"/>
      <c r="B1165" s="614"/>
      <c r="C1165" s="617"/>
      <c r="D1165" s="620"/>
      <c r="E1165" s="130" t="s">
        <v>31</v>
      </c>
      <c r="F1165" s="592">
        <f>IFERROR(VLOOKUP($B1164,اسماء,15,0),0)</f>
        <v>0</v>
      </c>
      <c r="G1165" s="593"/>
      <c r="H1165" s="594">
        <f>IFERROR(VLOOKUP($B1164,اسماء,16,0),0)</f>
        <v>0</v>
      </c>
      <c r="I1165" s="595"/>
      <c r="J1165" s="592">
        <f>IFERROR(VLOOKUP($B1164,اسماء,17,0),0)</f>
        <v>0</v>
      </c>
      <c r="K1165" s="593"/>
      <c r="L1165" s="594">
        <f>IFERROR(VLOOKUP($B1164,اسماء,18,0),0)</f>
        <v>0</v>
      </c>
      <c r="M1165" s="596"/>
      <c r="N1165" s="594">
        <f>IFERROR(VLOOKUP($B1164,اسماء,19,0),0)</f>
        <v>0</v>
      </c>
      <c r="O1165" s="596"/>
      <c r="P1165" s="592">
        <f>IFERROR(VLOOKUP($B1164,اسماء,20,0),0)</f>
        <v>0</v>
      </c>
      <c r="Q1165" s="595"/>
      <c r="R1165" s="372">
        <f t="shared" si="3150"/>
        <v>0</v>
      </c>
      <c r="S1165" s="305" t="str">
        <f>IFERROR(VLOOKUP($B1164,اسماء,23,0),"")</f>
        <v/>
      </c>
      <c r="T1165" s="306" t="str">
        <f>IFERROR(VLOOKUP($B1164,اسماء,24,0),"")</f>
        <v/>
      </c>
      <c r="U1165" s="122" t="str">
        <f>IFERROR(VLOOKUP($B1164,اسماء,25,0),"")</f>
        <v/>
      </c>
      <c r="V1165" s="605"/>
      <c r="W1165" s="19" t="str">
        <f t="shared" si="3152"/>
        <v>ضعيف</v>
      </c>
      <c r="X1165" s="640"/>
      <c r="Y1165" s="68"/>
      <c r="Z1165" s="598"/>
      <c r="AK1165" s="667"/>
      <c r="AL1165" s="694"/>
      <c r="AM1165" s="696"/>
      <c r="AN1165" s="698"/>
      <c r="AO1165" s="699"/>
      <c r="AP1165" s="701"/>
    </row>
    <row r="1166" spans="1:42" ht="14.85" customHeight="1" x14ac:dyDescent="0.25">
      <c r="A1166" s="611"/>
      <c r="B1166" s="614"/>
      <c r="C1166" s="617"/>
      <c r="D1166" s="620"/>
      <c r="E1166" s="130" t="s">
        <v>32</v>
      </c>
      <c r="F1166" s="592">
        <f>IFERROR(VLOOKUP($B1164,اسماء,25,0),0)</f>
        <v>0</v>
      </c>
      <c r="G1166" s="593"/>
      <c r="H1166" s="594">
        <f>IFERROR(VLOOKUP($B1164,اسماء,26,0),0)</f>
        <v>0</v>
      </c>
      <c r="I1166" s="595"/>
      <c r="J1166" s="592">
        <f>IFERROR(VLOOKUP($B1164,اسماء,27,0),0)</f>
        <v>0</v>
      </c>
      <c r="K1166" s="593"/>
      <c r="L1166" s="594">
        <f>IFERROR(VLOOKUP($B1164,اسماء,28,0),0)</f>
        <v>0</v>
      </c>
      <c r="M1166" s="596"/>
      <c r="N1166" s="594">
        <f>IFERROR(VLOOKUP($B1164,اسماء,29,0),0)</f>
        <v>0</v>
      </c>
      <c r="O1166" s="596"/>
      <c r="P1166" s="592">
        <f>IFERROR(VLOOKUP($B1164,اسماء,30,0),0)</f>
        <v>0</v>
      </c>
      <c r="Q1166" s="595"/>
      <c r="R1166" s="372">
        <f t="shared" si="3150"/>
        <v>0</v>
      </c>
      <c r="S1166" s="305" t="str">
        <f>IFERROR(VLOOKUP($B1164,اسماء,34,0),"")</f>
        <v/>
      </c>
      <c r="T1166" s="306" t="str">
        <f>IFERROR(VLOOKUP($B1164,اسماء,35,0),"")</f>
        <v/>
      </c>
      <c r="U1166" s="122" t="str">
        <f>IFERROR(VLOOKUP($B1164,اسماء,36,0),"")</f>
        <v/>
      </c>
      <c r="V1166" s="605"/>
      <c r="W1166" s="20" t="str">
        <f t="shared" ref="W1166" si="3155">LOOKUP(R1166,$AF$6:$AG$10)</f>
        <v>ضعيف</v>
      </c>
      <c r="X1166" s="640"/>
      <c r="Y1166" s="8"/>
      <c r="Z1166" s="598"/>
      <c r="AK1166" s="667"/>
      <c r="AL1166" s="694"/>
      <c r="AM1166" s="696"/>
      <c r="AN1166" s="698"/>
      <c r="AO1166" s="699"/>
      <c r="AP1166" s="701"/>
    </row>
    <row r="1167" spans="1:42" ht="14.85" customHeight="1" thickBot="1" x14ac:dyDescent="0.3">
      <c r="A1167" s="612"/>
      <c r="B1167" s="615"/>
      <c r="C1167" s="618"/>
      <c r="D1167" s="621"/>
      <c r="E1167" s="124" t="s">
        <v>33</v>
      </c>
      <c r="F1167" s="623">
        <f>SUM(F1164:G1166)</f>
        <v>0</v>
      </c>
      <c r="G1167" s="624"/>
      <c r="H1167" s="625">
        <f>SUM(H1164:I1166)</f>
        <v>0</v>
      </c>
      <c r="I1167" s="626"/>
      <c r="J1167" s="623">
        <f>SUM(J1164:K1166)</f>
        <v>0</v>
      </c>
      <c r="K1167" s="624"/>
      <c r="L1167" s="625">
        <f>SUM(L1164:M1166)</f>
        <v>0</v>
      </c>
      <c r="M1167" s="642"/>
      <c r="N1167" s="625">
        <f>SUM(N1164:O1166)</f>
        <v>0</v>
      </c>
      <c r="O1167" s="642"/>
      <c r="P1167" s="623">
        <f>SUM(P1164:Q1166)</f>
        <v>0</v>
      </c>
      <c r="Q1167" s="626"/>
      <c r="R1167" s="88">
        <f t="shared" ref="R1167" si="3156">IF(AND(F1167&gt;=$G$8,H1167&gt;=$I$8,J1167&gt;=$K$8,L1167&gt;=$M$8,N1167&gt;=$O$8,P1167&gt;=$Q$8),SUM(F1167:Q1167),0)</f>
        <v>0</v>
      </c>
      <c r="S1167" s="251"/>
      <c r="T1167" s="97"/>
      <c r="U1167" s="94"/>
      <c r="V1167" s="606"/>
      <c r="W1167" s="88" t="str">
        <f t="shared" ref="W1167" si="3157">LOOKUP(R1167,$AI$6:$AJ$10)</f>
        <v>ضعيف</v>
      </c>
      <c r="X1167" s="641"/>
      <c r="Y1167" s="68"/>
      <c r="Z1167" s="599"/>
      <c r="AK1167" s="667"/>
      <c r="AL1167" s="694"/>
      <c r="AM1167" s="696"/>
      <c r="AN1167" s="698"/>
      <c r="AO1167" s="699"/>
      <c r="AP1167" s="702"/>
    </row>
    <row r="1168" spans="1:42" ht="14.85" customHeight="1" thickBot="1" x14ac:dyDescent="0.3">
      <c r="A1168" s="610">
        <v>253</v>
      </c>
      <c r="B1168" s="613">
        <f>VLOOKUP(A1168,مسلسل,2,0)</f>
        <v>0</v>
      </c>
      <c r="C1168" s="616" t="str">
        <f>IFERROR(VLOOKUP(B1168,اسماء,2,0),"")</f>
        <v/>
      </c>
      <c r="D1168" s="619" t="str">
        <f>IFERROR(VLOOKUP($B1168,اسماء,3,0),"")</f>
        <v/>
      </c>
      <c r="E1168" s="129" t="s">
        <v>30</v>
      </c>
      <c r="F1168" s="600">
        <f>IFERROR(VLOOKUP($B1168,اسماء,5,0),0)</f>
        <v>0</v>
      </c>
      <c r="G1168" s="601"/>
      <c r="H1168" s="602">
        <f>IFERROR(VLOOKUP($B1168,اسماء,6,0),0)</f>
        <v>0</v>
      </c>
      <c r="I1168" s="622"/>
      <c r="J1168" s="600">
        <f>IFERROR(VLOOKUP($B1168,اسماء,7,0),0)</f>
        <v>0</v>
      </c>
      <c r="K1168" s="601"/>
      <c r="L1168" s="602">
        <f>IFERROR(VLOOKUP($B1168,اسماء,8,0),0)</f>
        <v>0</v>
      </c>
      <c r="M1168" s="603"/>
      <c r="N1168" s="602">
        <f>IFERROR(VLOOKUP($B1168,اسماء,9,0),0)</f>
        <v>0</v>
      </c>
      <c r="O1168" s="603"/>
      <c r="P1168" s="600">
        <f>IFERROR(VLOOKUP($B1168,اسماء,10,0),0)</f>
        <v>0</v>
      </c>
      <c r="Q1168" s="622"/>
      <c r="R1168" s="371">
        <f t="shared" ref="R1168" si="3158">SUM(F1168:Q1168)</f>
        <v>0</v>
      </c>
      <c r="S1168" s="213" t="str">
        <f>IFERROR(VLOOKUP($B1168,اسماء,12,0),"")</f>
        <v/>
      </c>
      <c r="T1168" s="214" t="str">
        <f>IFERROR(VLOOKUP($B1168,اسماء,13,0),"")</f>
        <v/>
      </c>
      <c r="U1168" s="364" t="str">
        <f>IFERROR(VLOOKUP($B1168,اسماء,14,0),"")</f>
        <v/>
      </c>
      <c r="V1168" s="604" t="str">
        <f t="shared" ref="V1168" si="3159">IF(Z1168="غائب","راسب",IF(R1171&gt;0,"ناجح","مرحل"))</f>
        <v>مرحل</v>
      </c>
      <c r="W1168" s="19" t="str">
        <f t="shared" ref="W1168:W1169" si="3160">LOOKUP(R1168,$AC$6:$AD$10)</f>
        <v>ضعيف</v>
      </c>
      <c r="X1168" s="639">
        <f t="shared" ref="X1168" si="3161">R1171/$AC$3</f>
        <v>0</v>
      </c>
      <c r="Y1168" s="68"/>
      <c r="Z1168" s="597" t="str">
        <f>IFERROR(VLOOKUP($B1168,اسماء,48,0),"")</f>
        <v/>
      </c>
      <c r="AK1168" s="667" t="str">
        <f t="shared" ref="AK1168" si="3162">IF(R1171=0,"",R1171/1+ROW()*0.00001)</f>
        <v/>
      </c>
      <c r="AL1168" s="694">
        <f>B1168</f>
        <v>0</v>
      </c>
      <c r="AM1168" s="696"/>
      <c r="AN1168" s="698">
        <v>253</v>
      </c>
      <c r="AO1168" s="699" t="str">
        <f>IFERROR(LARGE($AK$10:$AK$1420,AN1168),"")</f>
        <v/>
      </c>
      <c r="AP1168" s="700" t="str">
        <f>VLOOKUP(AO1168,$AK$10:$AL$1530,2,0)</f>
        <v>امجد عمر عبداللطيف سلطان</v>
      </c>
    </row>
    <row r="1169" spans="1:42" ht="14.85" customHeight="1" x14ac:dyDescent="0.25">
      <c r="A1169" s="611"/>
      <c r="B1169" s="614"/>
      <c r="C1169" s="617"/>
      <c r="D1169" s="620"/>
      <c r="E1169" s="130" t="s">
        <v>31</v>
      </c>
      <c r="F1169" s="592">
        <f>IFERROR(VLOOKUP($B1168,اسماء,15,0),0)</f>
        <v>0</v>
      </c>
      <c r="G1169" s="593"/>
      <c r="H1169" s="594">
        <f>IFERROR(VLOOKUP($B1168,اسماء,16,0),0)</f>
        <v>0</v>
      </c>
      <c r="I1169" s="595"/>
      <c r="J1169" s="592">
        <f>IFERROR(VLOOKUP($B1168,اسماء,17,0),0)</f>
        <v>0</v>
      </c>
      <c r="K1169" s="593"/>
      <c r="L1169" s="594">
        <f>IFERROR(VLOOKUP($B1168,اسماء,18,0),0)</f>
        <v>0</v>
      </c>
      <c r="M1169" s="596"/>
      <c r="N1169" s="594">
        <f>IFERROR(VLOOKUP($B1168,اسماء,19,0),0)</f>
        <v>0</v>
      </c>
      <c r="O1169" s="596"/>
      <c r="P1169" s="592">
        <f>IFERROR(VLOOKUP($B1168,اسماء,20,0),0)</f>
        <v>0</v>
      </c>
      <c r="Q1169" s="595"/>
      <c r="R1169" s="372">
        <f t="shared" si="3150"/>
        <v>0</v>
      </c>
      <c r="S1169" s="305" t="str">
        <f>IFERROR(VLOOKUP($B1168,اسماء,23,0),"")</f>
        <v/>
      </c>
      <c r="T1169" s="306" t="str">
        <f>IFERROR(VLOOKUP($B1168,اسماء,24,0),"")</f>
        <v/>
      </c>
      <c r="U1169" s="122" t="str">
        <f>IFERROR(VLOOKUP($B1168,اسماء,25,0),"")</f>
        <v/>
      </c>
      <c r="V1169" s="605"/>
      <c r="W1169" s="19" t="str">
        <f t="shared" si="3160"/>
        <v>ضعيف</v>
      </c>
      <c r="X1169" s="640"/>
      <c r="Y1169" s="8"/>
      <c r="Z1169" s="598"/>
      <c r="AK1169" s="667"/>
      <c r="AL1169" s="694"/>
      <c r="AM1169" s="696"/>
      <c r="AN1169" s="698"/>
      <c r="AO1169" s="699"/>
      <c r="AP1169" s="701"/>
    </row>
    <row r="1170" spans="1:42" ht="14.85" customHeight="1" x14ac:dyDescent="0.25">
      <c r="A1170" s="611"/>
      <c r="B1170" s="614"/>
      <c r="C1170" s="617"/>
      <c r="D1170" s="620"/>
      <c r="E1170" s="130" t="s">
        <v>32</v>
      </c>
      <c r="F1170" s="592">
        <f>IFERROR(VLOOKUP($B1168,اسماء,25,0),0)</f>
        <v>0</v>
      </c>
      <c r="G1170" s="593"/>
      <c r="H1170" s="594">
        <f>IFERROR(VLOOKUP($B1168,اسماء,26,0),0)</f>
        <v>0</v>
      </c>
      <c r="I1170" s="595"/>
      <c r="J1170" s="592">
        <f>IFERROR(VLOOKUP($B1168,اسماء,27,0),0)</f>
        <v>0</v>
      </c>
      <c r="K1170" s="593"/>
      <c r="L1170" s="594">
        <f>IFERROR(VLOOKUP($B1168,اسماء,28,0),0)</f>
        <v>0</v>
      </c>
      <c r="M1170" s="596"/>
      <c r="N1170" s="594">
        <f>IFERROR(VLOOKUP($B1168,اسماء,29,0),0)</f>
        <v>0</v>
      </c>
      <c r="O1170" s="596"/>
      <c r="P1170" s="592">
        <f>IFERROR(VLOOKUP($B1168,اسماء,30,0),0)</f>
        <v>0</v>
      </c>
      <c r="Q1170" s="595"/>
      <c r="R1170" s="372">
        <f t="shared" si="3150"/>
        <v>0</v>
      </c>
      <c r="S1170" s="305" t="str">
        <f>IFERROR(VLOOKUP($B1168,اسماء,34,0),"")</f>
        <v/>
      </c>
      <c r="T1170" s="306" t="str">
        <f>IFERROR(VLOOKUP($B1168,اسماء,35,0),"")</f>
        <v/>
      </c>
      <c r="U1170" s="122" t="str">
        <f>IFERROR(VLOOKUP($B1168,اسماء,36,0),"")</f>
        <v/>
      </c>
      <c r="V1170" s="605"/>
      <c r="W1170" s="20" t="str">
        <f t="shared" ref="W1170" si="3163">LOOKUP(R1170,$AF$6:$AG$10)</f>
        <v>ضعيف</v>
      </c>
      <c r="X1170" s="640"/>
      <c r="Y1170" s="68"/>
      <c r="Z1170" s="598"/>
      <c r="AK1170" s="667"/>
      <c r="AL1170" s="694"/>
      <c r="AM1170" s="696"/>
      <c r="AN1170" s="698"/>
      <c r="AO1170" s="699"/>
      <c r="AP1170" s="701"/>
    </row>
    <row r="1171" spans="1:42" ht="14.85" customHeight="1" thickBot="1" x14ac:dyDescent="0.3">
      <c r="A1171" s="612"/>
      <c r="B1171" s="615"/>
      <c r="C1171" s="618"/>
      <c r="D1171" s="621"/>
      <c r="E1171" s="124" t="s">
        <v>33</v>
      </c>
      <c r="F1171" s="623">
        <f t="shared" ref="F1171" si="3164">SUM(F1168:G1170)</f>
        <v>0</v>
      </c>
      <c r="G1171" s="624"/>
      <c r="H1171" s="625">
        <f t="shared" ref="H1171" si="3165">SUM(H1168:I1170)</f>
        <v>0</v>
      </c>
      <c r="I1171" s="626"/>
      <c r="J1171" s="623">
        <f t="shared" ref="J1171" si="3166">SUM(J1168:K1170)</f>
        <v>0</v>
      </c>
      <c r="K1171" s="624"/>
      <c r="L1171" s="625">
        <f t="shared" ref="L1171" si="3167">SUM(L1168:M1170)</f>
        <v>0</v>
      </c>
      <c r="M1171" s="642"/>
      <c r="N1171" s="625">
        <f t="shared" ref="N1171" si="3168">SUM(N1168:O1170)</f>
        <v>0</v>
      </c>
      <c r="O1171" s="642"/>
      <c r="P1171" s="623">
        <f t="shared" ref="P1171" si="3169">SUM(P1168:Q1170)</f>
        <v>0</v>
      </c>
      <c r="Q1171" s="626"/>
      <c r="R1171" s="88">
        <f t="shared" ref="R1171" si="3170">IF(AND(F1171&gt;=$G$8,H1171&gt;=$I$8,J1171&gt;=$K$8,L1171&gt;=$M$8,N1171&gt;=$O$8,P1171&gt;=$Q$8),SUM(F1171:Q1171),0)</f>
        <v>0</v>
      </c>
      <c r="S1171" s="251"/>
      <c r="T1171" s="97"/>
      <c r="U1171" s="94"/>
      <c r="V1171" s="606"/>
      <c r="W1171" s="88" t="str">
        <f t="shared" ref="W1171" si="3171">LOOKUP(R1171,$AI$6:$AJ$10)</f>
        <v>ضعيف</v>
      </c>
      <c r="X1171" s="641"/>
      <c r="Y1171" s="68"/>
      <c r="Z1171" s="599"/>
      <c r="AK1171" s="667"/>
      <c r="AL1171" s="694"/>
      <c r="AM1171" s="696"/>
      <c r="AN1171" s="698"/>
      <c r="AO1171" s="699"/>
      <c r="AP1171" s="702"/>
    </row>
    <row r="1172" spans="1:42" ht="14.85" customHeight="1" thickBot="1" x14ac:dyDescent="0.3">
      <c r="A1172" s="610">
        <v>254</v>
      </c>
      <c r="B1172" s="613">
        <f>VLOOKUP(A1172,مسلسل,2,0)</f>
        <v>0</v>
      </c>
      <c r="C1172" s="616" t="str">
        <f>IFERROR(VLOOKUP(B1172,اسماء,2,0),"")</f>
        <v/>
      </c>
      <c r="D1172" s="619" t="str">
        <f>IFERROR(VLOOKUP($B1172,اسماء,3,0),"")</f>
        <v/>
      </c>
      <c r="E1172" s="129" t="s">
        <v>30</v>
      </c>
      <c r="F1172" s="600">
        <f>IFERROR(VLOOKUP($B1172,اسماء,5,0),0)</f>
        <v>0</v>
      </c>
      <c r="G1172" s="601"/>
      <c r="H1172" s="602">
        <f>IFERROR(VLOOKUP($B1172,اسماء,6,0),0)</f>
        <v>0</v>
      </c>
      <c r="I1172" s="622"/>
      <c r="J1172" s="600">
        <f>IFERROR(VLOOKUP($B1172,اسماء,7,0),0)</f>
        <v>0</v>
      </c>
      <c r="K1172" s="601"/>
      <c r="L1172" s="602">
        <f>IFERROR(VLOOKUP($B1172,اسماء,8,0),0)</f>
        <v>0</v>
      </c>
      <c r="M1172" s="603"/>
      <c r="N1172" s="602">
        <f>IFERROR(VLOOKUP($B1172,اسماء,9,0),0)</f>
        <v>0</v>
      </c>
      <c r="O1172" s="603"/>
      <c r="P1172" s="600">
        <f>IFERROR(VLOOKUP($B1172,اسماء,10,0),0)</f>
        <v>0</v>
      </c>
      <c r="Q1172" s="622"/>
      <c r="R1172" s="371">
        <f t="shared" ref="R1172" si="3172">SUM(F1172:Q1172)</f>
        <v>0</v>
      </c>
      <c r="S1172" s="213" t="str">
        <f>IFERROR(VLOOKUP($B1172,اسماء,12,0),"")</f>
        <v/>
      </c>
      <c r="T1172" s="214" t="str">
        <f>IFERROR(VLOOKUP($B1172,اسماء,13,0),"")</f>
        <v/>
      </c>
      <c r="U1172" s="364" t="str">
        <f>IFERROR(VLOOKUP($B1172,اسماء,14,0),"")</f>
        <v/>
      </c>
      <c r="V1172" s="604" t="str">
        <f t="shared" ref="V1172" si="3173">IF(Z1172="غائب","راسب",IF(R1175&gt;0,"ناجح","مرحل"))</f>
        <v>مرحل</v>
      </c>
      <c r="W1172" s="19" t="str">
        <f t="shared" ref="W1172:W1173" si="3174">LOOKUP(R1172,$AC$6:$AD$10)</f>
        <v>ضعيف</v>
      </c>
      <c r="X1172" s="639">
        <f t="shared" ref="X1172" si="3175">R1175/$AC$3</f>
        <v>0</v>
      </c>
      <c r="Y1172" s="8"/>
      <c r="Z1172" s="597" t="str">
        <f>IFERROR(VLOOKUP($B1172,اسماء,48,0),"")</f>
        <v/>
      </c>
      <c r="AK1172" s="667" t="str">
        <f t="shared" ref="AK1172" si="3176">IF(R1175=0,"",R1175/1+ROW()*0.00001)</f>
        <v/>
      </c>
      <c r="AL1172" s="694">
        <f>B1172</f>
        <v>0</v>
      </c>
      <c r="AM1172" s="696"/>
      <c r="AN1172" s="698">
        <v>254</v>
      </c>
      <c r="AO1172" s="699" t="str">
        <f>IFERROR(LARGE($AK$10:$AK$1420,AN1172),"")</f>
        <v/>
      </c>
      <c r="AP1172" s="700" t="str">
        <f>VLOOKUP(AO1172,$AK$10:$AL$1530,2,0)</f>
        <v>امجد عمر عبداللطيف سلطان</v>
      </c>
    </row>
    <row r="1173" spans="1:42" ht="14.85" customHeight="1" x14ac:dyDescent="0.25">
      <c r="A1173" s="611"/>
      <c r="B1173" s="614"/>
      <c r="C1173" s="617"/>
      <c r="D1173" s="620"/>
      <c r="E1173" s="130" t="s">
        <v>31</v>
      </c>
      <c r="F1173" s="592">
        <f>IFERROR(VLOOKUP($B1172,اسماء,15,0),0)</f>
        <v>0</v>
      </c>
      <c r="G1173" s="593"/>
      <c r="H1173" s="594">
        <f>IFERROR(VLOOKUP($B1172,اسماء,16,0),0)</f>
        <v>0</v>
      </c>
      <c r="I1173" s="595"/>
      <c r="J1173" s="592">
        <f>IFERROR(VLOOKUP($B1172,اسماء,17,0),0)</f>
        <v>0</v>
      </c>
      <c r="K1173" s="593"/>
      <c r="L1173" s="594">
        <f>IFERROR(VLOOKUP($B1172,اسماء,18,0),0)</f>
        <v>0</v>
      </c>
      <c r="M1173" s="596"/>
      <c r="N1173" s="594">
        <f>IFERROR(VLOOKUP($B1172,اسماء,19,0),0)</f>
        <v>0</v>
      </c>
      <c r="O1173" s="596"/>
      <c r="P1173" s="592">
        <f>IFERROR(VLOOKUP($B1172,اسماء,20,0),0)</f>
        <v>0</v>
      </c>
      <c r="Q1173" s="595"/>
      <c r="R1173" s="372">
        <f t="shared" si="3150"/>
        <v>0</v>
      </c>
      <c r="S1173" s="305" t="str">
        <f>IFERROR(VLOOKUP($B1172,اسماء,23,0),"")</f>
        <v/>
      </c>
      <c r="T1173" s="306" t="str">
        <f>IFERROR(VLOOKUP($B1172,اسماء,24,0),"")</f>
        <v/>
      </c>
      <c r="U1173" s="122" t="str">
        <f>IFERROR(VLOOKUP($B1172,اسماء,25,0),"")</f>
        <v/>
      </c>
      <c r="V1173" s="605"/>
      <c r="W1173" s="19" t="str">
        <f t="shared" si="3174"/>
        <v>ضعيف</v>
      </c>
      <c r="X1173" s="640"/>
      <c r="Y1173" s="68"/>
      <c r="Z1173" s="598"/>
      <c r="AK1173" s="667"/>
      <c r="AL1173" s="694"/>
      <c r="AM1173" s="696"/>
      <c r="AN1173" s="698"/>
      <c r="AO1173" s="699"/>
      <c r="AP1173" s="701"/>
    </row>
    <row r="1174" spans="1:42" ht="14.85" customHeight="1" x14ac:dyDescent="0.25">
      <c r="A1174" s="611"/>
      <c r="B1174" s="614"/>
      <c r="C1174" s="617"/>
      <c r="D1174" s="620"/>
      <c r="E1174" s="130" t="s">
        <v>32</v>
      </c>
      <c r="F1174" s="592">
        <f>IFERROR(VLOOKUP($B1172,اسماء,25,0),0)</f>
        <v>0</v>
      </c>
      <c r="G1174" s="593"/>
      <c r="H1174" s="594">
        <f>IFERROR(VLOOKUP($B1172,اسماء,26,0),0)</f>
        <v>0</v>
      </c>
      <c r="I1174" s="595"/>
      <c r="J1174" s="592">
        <f>IFERROR(VLOOKUP($B1172,اسماء,27,0),0)</f>
        <v>0</v>
      </c>
      <c r="K1174" s="593"/>
      <c r="L1174" s="594">
        <f>IFERROR(VLOOKUP($B1172,اسماء,28,0),0)</f>
        <v>0</v>
      </c>
      <c r="M1174" s="596"/>
      <c r="N1174" s="594">
        <f>IFERROR(VLOOKUP($B1172,اسماء,29,0),0)</f>
        <v>0</v>
      </c>
      <c r="O1174" s="596"/>
      <c r="P1174" s="592">
        <f>IFERROR(VLOOKUP($B1172,اسماء,30,0),0)</f>
        <v>0</v>
      </c>
      <c r="Q1174" s="595"/>
      <c r="R1174" s="372">
        <f t="shared" si="3150"/>
        <v>0</v>
      </c>
      <c r="S1174" s="305" t="str">
        <f>IFERROR(VLOOKUP($B1172,اسماء,34,0),"")</f>
        <v/>
      </c>
      <c r="T1174" s="306" t="str">
        <f>IFERROR(VLOOKUP($B1172,اسماء,35,0),"")</f>
        <v/>
      </c>
      <c r="U1174" s="122" t="str">
        <f>IFERROR(VLOOKUP($B1172,اسماء,36,0),"")</f>
        <v/>
      </c>
      <c r="V1174" s="605"/>
      <c r="W1174" s="20" t="str">
        <f t="shared" ref="W1174" si="3177">LOOKUP(R1174,$AF$6:$AG$10)</f>
        <v>ضعيف</v>
      </c>
      <c r="X1174" s="640"/>
      <c r="Y1174" s="68"/>
      <c r="Z1174" s="598"/>
      <c r="AK1174" s="667"/>
      <c r="AL1174" s="694"/>
      <c r="AM1174" s="696"/>
      <c r="AN1174" s="698"/>
      <c r="AO1174" s="699"/>
      <c r="AP1174" s="701"/>
    </row>
    <row r="1175" spans="1:42" ht="14.85" customHeight="1" thickBot="1" x14ac:dyDescent="0.3">
      <c r="A1175" s="612"/>
      <c r="B1175" s="615"/>
      <c r="C1175" s="618"/>
      <c r="D1175" s="621"/>
      <c r="E1175" s="124" t="s">
        <v>33</v>
      </c>
      <c r="F1175" s="623">
        <f t="shared" ref="F1175" si="3178">SUM(F1172:G1174)</f>
        <v>0</v>
      </c>
      <c r="G1175" s="624"/>
      <c r="H1175" s="625">
        <f t="shared" ref="H1175" si="3179">SUM(H1172:I1174)</f>
        <v>0</v>
      </c>
      <c r="I1175" s="626"/>
      <c r="J1175" s="623">
        <f t="shared" ref="J1175" si="3180">SUM(J1172:K1174)</f>
        <v>0</v>
      </c>
      <c r="K1175" s="624"/>
      <c r="L1175" s="625">
        <f t="shared" ref="L1175" si="3181">SUM(L1172:M1174)</f>
        <v>0</v>
      </c>
      <c r="M1175" s="642"/>
      <c r="N1175" s="625">
        <f t="shared" ref="N1175" si="3182">SUM(N1172:O1174)</f>
        <v>0</v>
      </c>
      <c r="O1175" s="642"/>
      <c r="P1175" s="623">
        <f t="shared" ref="P1175" si="3183">SUM(P1172:Q1174)</f>
        <v>0</v>
      </c>
      <c r="Q1175" s="626"/>
      <c r="R1175" s="88">
        <f t="shared" ref="R1175" si="3184">IF(AND(F1175&gt;=$G$8,H1175&gt;=$I$8,J1175&gt;=$K$8,L1175&gt;=$M$8,N1175&gt;=$O$8,P1175&gt;=$Q$8),SUM(F1175:Q1175),0)</f>
        <v>0</v>
      </c>
      <c r="S1175" s="251"/>
      <c r="T1175" s="97"/>
      <c r="U1175" s="94"/>
      <c r="V1175" s="606"/>
      <c r="W1175" s="88" t="str">
        <f t="shared" ref="W1175" si="3185">LOOKUP(R1175,$AI$6:$AJ$10)</f>
        <v>ضعيف</v>
      </c>
      <c r="X1175" s="641"/>
      <c r="Y1175" s="8"/>
      <c r="Z1175" s="599"/>
      <c r="AK1175" s="667"/>
      <c r="AL1175" s="694"/>
      <c r="AM1175" s="696"/>
      <c r="AN1175" s="698"/>
      <c r="AO1175" s="699"/>
      <c r="AP1175" s="702"/>
    </row>
    <row r="1176" spans="1:42" ht="14.85" customHeight="1" thickBot="1" x14ac:dyDescent="0.3">
      <c r="A1176" s="610">
        <v>255</v>
      </c>
      <c r="B1176" s="613">
        <f>VLOOKUP(A1176,مسلسل,2,0)</f>
        <v>0</v>
      </c>
      <c r="C1176" s="616" t="str">
        <f>IFERROR(VLOOKUP(B1176,اسماء,2,0),"")</f>
        <v/>
      </c>
      <c r="D1176" s="619" t="str">
        <f>IFERROR(VLOOKUP($B1176,اسماء,3,0),"")</f>
        <v/>
      </c>
      <c r="E1176" s="129" t="s">
        <v>30</v>
      </c>
      <c r="F1176" s="600">
        <f>IFERROR(VLOOKUP($B1176,اسماء,5,0),0)</f>
        <v>0</v>
      </c>
      <c r="G1176" s="601"/>
      <c r="H1176" s="602">
        <f>IFERROR(VLOOKUP($B1176,اسماء,6,0),0)</f>
        <v>0</v>
      </c>
      <c r="I1176" s="622"/>
      <c r="J1176" s="600">
        <f>IFERROR(VLOOKUP($B1176,اسماء,7,0),0)</f>
        <v>0</v>
      </c>
      <c r="K1176" s="601"/>
      <c r="L1176" s="602">
        <f>IFERROR(VLOOKUP($B1176,اسماء,8,0),0)</f>
        <v>0</v>
      </c>
      <c r="M1176" s="603"/>
      <c r="N1176" s="602">
        <f>IFERROR(VLOOKUP($B1176,اسماء,9,0),0)</f>
        <v>0</v>
      </c>
      <c r="O1176" s="603"/>
      <c r="P1176" s="600">
        <f>IFERROR(VLOOKUP($B1176,اسماء,10,0),0)</f>
        <v>0</v>
      </c>
      <c r="Q1176" s="622"/>
      <c r="R1176" s="371">
        <f t="shared" ref="R1176" si="3186">SUM(F1176:Q1176)</f>
        <v>0</v>
      </c>
      <c r="S1176" s="213" t="str">
        <f>IFERROR(VLOOKUP($B1176,اسماء,12,0),"")</f>
        <v/>
      </c>
      <c r="T1176" s="214" t="str">
        <f>IFERROR(VLOOKUP($B1176,اسماء,13,0),"")</f>
        <v/>
      </c>
      <c r="U1176" s="364" t="str">
        <f>IFERROR(VLOOKUP($B1176,اسماء,14,0),"")</f>
        <v/>
      </c>
      <c r="V1176" s="604" t="str">
        <f t="shared" ref="V1176" si="3187">IF(Z1176="غائب","راسب",IF(R1179&gt;0,"ناجح","مرحل"))</f>
        <v>مرحل</v>
      </c>
      <c r="W1176" s="19" t="str">
        <f t="shared" ref="W1176:W1177" si="3188">LOOKUP(R1176,$AC$6:$AD$10)</f>
        <v>ضعيف</v>
      </c>
      <c r="X1176" s="639">
        <f t="shared" ref="X1176" si="3189">R1179/$AC$3</f>
        <v>0</v>
      </c>
      <c r="Y1176" s="68"/>
      <c r="Z1176" s="597" t="str">
        <f>IFERROR(VLOOKUP($B1176,اسماء,48,0),"")</f>
        <v/>
      </c>
      <c r="AK1176" s="667" t="str">
        <f t="shared" ref="AK1176" si="3190">IF(R1179=0,"",R1179/1+ROW()*0.00001)</f>
        <v/>
      </c>
      <c r="AL1176" s="694">
        <f>B1176</f>
        <v>0</v>
      </c>
      <c r="AM1176" s="696"/>
      <c r="AN1176" s="698">
        <v>255</v>
      </c>
      <c r="AO1176" s="699" t="str">
        <f>IFERROR(LARGE($AK$10:$AK$1420,AN1176),"")</f>
        <v/>
      </c>
      <c r="AP1176" s="700" t="str">
        <f>VLOOKUP(AO1176,$AK$10:$AL$1530,2,0)</f>
        <v>امجد عمر عبداللطيف سلطان</v>
      </c>
    </row>
    <row r="1177" spans="1:42" ht="14.85" customHeight="1" x14ac:dyDescent="0.25">
      <c r="A1177" s="611"/>
      <c r="B1177" s="614"/>
      <c r="C1177" s="617"/>
      <c r="D1177" s="620"/>
      <c r="E1177" s="130" t="s">
        <v>31</v>
      </c>
      <c r="F1177" s="592">
        <f>IFERROR(VLOOKUP($B1176,اسماء,15,0),0)</f>
        <v>0</v>
      </c>
      <c r="G1177" s="593"/>
      <c r="H1177" s="594">
        <f>IFERROR(VLOOKUP($B1176,اسماء,16,0),0)</f>
        <v>0</v>
      </c>
      <c r="I1177" s="595"/>
      <c r="J1177" s="592">
        <f>IFERROR(VLOOKUP($B1176,اسماء,17,0),0)</f>
        <v>0</v>
      </c>
      <c r="K1177" s="593"/>
      <c r="L1177" s="594">
        <f>IFERROR(VLOOKUP($B1176,اسماء,18,0),0)</f>
        <v>0</v>
      </c>
      <c r="M1177" s="596"/>
      <c r="N1177" s="594">
        <f>IFERROR(VLOOKUP($B1176,اسماء,19,0),0)</f>
        <v>0</v>
      </c>
      <c r="O1177" s="596"/>
      <c r="P1177" s="592">
        <f>IFERROR(VLOOKUP($B1176,اسماء,20,0),0)</f>
        <v>0</v>
      </c>
      <c r="Q1177" s="595"/>
      <c r="R1177" s="372">
        <f t="shared" si="3150"/>
        <v>0</v>
      </c>
      <c r="S1177" s="305" t="str">
        <f>IFERROR(VLOOKUP($B1176,اسماء,23,0),"")</f>
        <v/>
      </c>
      <c r="T1177" s="306" t="str">
        <f>IFERROR(VLOOKUP($B1176,اسماء,24,0),"")</f>
        <v/>
      </c>
      <c r="U1177" s="122" t="str">
        <f>IFERROR(VLOOKUP($B1176,اسماء,25,0),"")</f>
        <v/>
      </c>
      <c r="V1177" s="605"/>
      <c r="W1177" s="19" t="str">
        <f t="shared" si="3188"/>
        <v>ضعيف</v>
      </c>
      <c r="X1177" s="640"/>
      <c r="Y1177" s="68"/>
      <c r="Z1177" s="598"/>
      <c r="AK1177" s="667"/>
      <c r="AL1177" s="694"/>
      <c r="AM1177" s="696"/>
      <c r="AN1177" s="698"/>
      <c r="AO1177" s="699"/>
      <c r="AP1177" s="701"/>
    </row>
    <row r="1178" spans="1:42" ht="14.85" customHeight="1" x14ac:dyDescent="0.25">
      <c r="A1178" s="611"/>
      <c r="B1178" s="614"/>
      <c r="C1178" s="617"/>
      <c r="D1178" s="620"/>
      <c r="E1178" s="130" t="s">
        <v>32</v>
      </c>
      <c r="F1178" s="592">
        <f>IFERROR(VLOOKUP($B1176,اسماء,25,0),0)</f>
        <v>0</v>
      </c>
      <c r="G1178" s="593"/>
      <c r="H1178" s="594">
        <f>IFERROR(VLOOKUP($B1176,اسماء,26,0),0)</f>
        <v>0</v>
      </c>
      <c r="I1178" s="595"/>
      <c r="J1178" s="592">
        <f>IFERROR(VLOOKUP($B1176,اسماء,27,0),0)</f>
        <v>0</v>
      </c>
      <c r="K1178" s="593"/>
      <c r="L1178" s="594">
        <f>IFERROR(VLOOKUP($B1176,اسماء,28,0),0)</f>
        <v>0</v>
      </c>
      <c r="M1178" s="596"/>
      <c r="N1178" s="594">
        <f>IFERROR(VLOOKUP($B1176,اسماء,29,0),0)</f>
        <v>0</v>
      </c>
      <c r="O1178" s="596"/>
      <c r="P1178" s="592">
        <f>IFERROR(VLOOKUP($B1176,اسماء,30,0),0)</f>
        <v>0</v>
      </c>
      <c r="Q1178" s="595"/>
      <c r="R1178" s="372">
        <f t="shared" si="3150"/>
        <v>0</v>
      </c>
      <c r="S1178" s="305" t="str">
        <f>IFERROR(VLOOKUP($B1176,اسماء,34,0),"")</f>
        <v/>
      </c>
      <c r="T1178" s="306" t="str">
        <f>IFERROR(VLOOKUP($B1176,اسماء,35,0),"")</f>
        <v/>
      </c>
      <c r="U1178" s="122" t="str">
        <f>IFERROR(VLOOKUP($B1176,اسماء,36,0),"")</f>
        <v/>
      </c>
      <c r="V1178" s="605"/>
      <c r="W1178" s="20" t="str">
        <f t="shared" ref="W1178" si="3191">LOOKUP(R1178,$AF$6:$AG$10)</f>
        <v>ضعيف</v>
      </c>
      <c r="X1178" s="640"/>
      <c r="Y1178" s="8"/>
      <c r="Z1178" s="598"/>
      <c r="AK1178" s="667"/>
      <c r="AL1178" s="694"/>
      <c r="AM1178" s="696"/>
      <c r="AN1178" s="698"/>
      <c r="AO1178" s="699"/>
      <c r="AP1178" s="701"/>
    </row>
    <row r="1179" spans="1:42" ht="14.85" customHeight="1" thickBot="1" x14ac:dyDescent="0.3">
      <c r="A1179" s="612"/>
      <c r="B1179" s="615"/>
      <c r="C1179" s="618"/>
      <c r="D1179" s="621"/>
      <c r="E1179" s="124" t="s">
        <v>33</v>
      </c>
      <c r="F1179" s="623">
        <f t="shared" ref="F1179" si="3192">SUM(F1176:G1178)</f>
        <v>0</v>
      </c>
      <c r="G1179" s="624"/>
      <c r="H1179" s="625">
        <f t="shared" ref="H1179" si="3193">SUM(H1176:I1178)</f>
        <v>0</v>
      </c>
      <c r="I1179" s="626"/>
      <c r="J1179" s="623">
        <f t="shared" ref="J1179" si="3194">SUM(J1176:K1178)</f>
        <v>0</v>
      </c>
      <c r="K1179" s="624"/>
      <c r="L1179" s="625">
        <f t="shared" ref="L1179" si="3195">SUM(L1176:M1178)</f>
        <v>0</v>
      </c>
      <c r="M1179" s="642"/>
      <c r="N1179" s="625">
        <f t="shared" ref="N1179" si="3196">SUM(N1176:O1178)</f>
        <v>0</v>
      </c>
      <c r="O1179" s="642"/>
      <c r="P1179" s="623">
        <f t="shared" ref="P1179" si="3197">SUM(P1176:Q1178)</f>
        <v>0</v>
      </c>
      <c r="Q1179" s="626"/>
      <c r="R1179" s="88">
        <f t="shared" ref="R1179" si="3198">IF(AND(F1179&gt;=$G$8,H1179&gt;=$I$8,J1179&gt;=$K$8,L1179&gt;=$M$8,N1179&gt;=$O$8,P1179&gt;=$Q$8),SUM(F1179:Q1179),0)</f>
        <v>0</v>
      </c>
      <c r="S1179" s="251"/>
      <c r="T1179" s="97"/>
      <c r="U1179" s="94"/>
      <c r="V1179" s="606"/>
      <c r="W1179" s="88" t="str">
        <f t="shared" ref="W1179" si="3199">LOOKUP(R1179,$AI$6:$AJ$10)</f>
        <v>ضعيف</v>
      </c>
      <c r="X1179" s="641"/>
      <c r="Y1179" s="68"/>
      <c r="Z1179" s="599"/>
      <c r="AK1179" s="667"/>
      <c r="AL1179" s="694"/>
      <c r="AM1179" s="696"/>
      <c r="AN1179" s="698"/>
      <c r="AO1179" s="699"/>
      <c r="AP1179" s="702"/>
    </row>
    <row r="1180" spans="1:42" ht="14.85" customHeight="1" thickBot="1" x14ac:dyDescent="0.3">
      <c r="A1180" s="610">
        <v>256</v>
      </c>
      <c r="B1180" s="613">
        <f>VLOOKUP(A1180,مسلسل,2,0)</f>
        <v>0</v>
      </c>
      <c r="C1180" s="616" t="str">
        <f>IFERROR(VLOOKUP(B1180,اسماء,2,0),"")</f>
        <v/>
      </c>
      <c r="D1180" s="619" t="str">
        <f>IFERROR(VLOOKUP($B1180,اسماء,3,0),"")</f>
        <v/>
      </c>
      <c r="E1180" s="129" t="s">
        <v>30</v>
      </c>
      <c r="F1180" s="600">
        <f>IFERROR(VLOOKUP($B1180,اسماء,5,0),0)</f>
        <v>0</v>
      </c>
      <c r="G1180" s="601"/>
      <c r="H1180" s="602">
        <f>IFERROR(VLOOKUP($B1180,اسماء,6,0),0)</f>
        <v>0</v>
      </c>
      <c r="I1180" s="622"/>
      <c r="J1180" s="600">
        <f>IFERROR(VLOOKUP($B1180,اسماء,7,0),0)</f>
        <v>0</v>
      </c>
      <c r="K1180" s="601"/>
      <c r="L1180" s="602">
        <f>IFERROR(VLOOKUP($B1180,اسماء,8,0),0)</f>
        <v>0</v>
      </c>
      <c r="M1180" s="603"/>
      <c r="N1180" s="602">
        <f>IFERROR(VLOOKUP($B1180,اسماء,9,0),0)</f>
        <v>0</v>
      </c>
      <c r="O1180" s="603"/>
      <c r="P1180" s="600">
        <f>IFERROR(VLOOKUP($B1180,اسماء,10,0),0)</f>
        <v>0</v>
      </c>
      <c r="Q1180" s="622"/>
      <c r="R1180" s="371">
        <f t="shared" ref="R1180" si="3200">SUM(F1180:Q1180)</f>
        <v>0</v>
      </c>
      <c r="S1180" s="213" t="str">
        <f>IFERROR(VLOOKUP($B1180,اسماء,12,0),"")</f>
        <v/>
      </c>
      <c r="T1180" s="214" t="str">
        <f>IFERROR(VLOOKUP($B1180,اسماء,13,0),"")</f>
        <v/>
      </c>
      <c r="U1180" s="364" t="str">
        <f>IFERROR(VLOOKUP($B1180,اسماء,14,0),"")</f>
        <v/>
      </c>
      <c r="V1180" s="604" t="str">
        <f t="shared" ref="V1180" si="3201">IF(Z1180="غائب","راسب",IF(R1183&gt;0,"ناجح","مرحل"))</f>
        <v>مرحل</v>
      </c>
      <c r="W1180" s="19" t="str">
        <f t="shared" ref="W1180:W1181" si="3202">LOOKUP(R1180,$AC$6:$AD$10)</f>
        <v>ضعيف</v>
      </c>
      <c r="X1180" s="639">
        <f t="shared" ref="X1180" si="3203">R1183/$AC$3</f>
        <v>0</v>
      </c>
      <c r="Y1180" s="68"/>
      <c r="Z1180" s="597" t="str">
        <f>IFERROR(VLOOKUP($B1180,اسماء,48,0),"")</f>
        <v/>
      </c>
      <c r="AK1180" s="667" t="str">
        <f t="shared" ref="AK1180" si="3204">IF(R1183=0,"",R1183/1+ROW()*0.00001)</f>
        <v/>
      </c>
      <c r="AL1180" s="694">
        <f>B1180</f>
        <v>0</v>
      </c>
      <c r="AM1180" s="696"/>
      <c r="AN1180" s="698">
        <v>256</v>
      </c>
      <c r="AO1180" s="699" t="str">
        <f>IFERROR(LARGE($AK$10:$AK$1420,AN1180),"")</f>
        <v/>
      </c>
      <c r="AP1180" s="700" t="str">
        <f>VLOOKUP(AO1180,$AK$10:$AL$1530,2,0)</f>
        <v>امجد عمر عبداللطيف سلطان</v>
      </c>
    </row>
    <row r="1181" spans="1:42" ht="14.85" customHeight="1" x14ac:dyDescent="0.25">
      <c r="A1181" s="611"/>
      <c r="B1181" s="614"/>
      <c r="C1181" s="617"/>
      <c r="D1181" s="620"/>
      <c r="E1181" s="130" t="s">
        <v>31</v>
      </c>
      <c r="F1181" s="592">
        <f>IFERROR(VLOOKUP($B1180,اسماء,15,0),0)</f>
        <v>0</v>
      </c>
      <c r="G1181" s="593"/>
      <c r="H1181" s="594">
        <f>IFERROR(VLOOKUP($B1180,اسماء,16,0),0)</f>
        <v>0</v>
      </c>
      <c r="I1181" s="595"/>
      <c r="J1181" s="592">
        <f>IFERROR(VLOOKUP($B1180,اسماء,17,0),0)</f>
        <v>0</v>
      </c>
      <c r="K1181" s="593"/>
      <c r="L1181" s="594">
        <f>IFERROR(VLOOKUP($B1180,اسماء,18,0),0)</f>
        <v>0</v>
      </c>
      <c r="M1181" s="596"/>
      <c r="N1181" s="594">
        <f>IFERROR(VLOOKUP($B1180,اسماء,19,0),0)</f>
        <v>0</v>
      </c>
      <c r="O1181" s="596"/>
      <c r="P1181" s="592">
        <f>IFERROR(VLOOKUP($B1180,اسماء,20,0),0)</f>
        <v>0</v>
      </c>
      <c r="Q1181" s="595"/>
      <c r="R1181" s="372">
        <f t="shared" si="3150"/>
        <v>0</v>
      </c>
      <c r="S1181" s="305" t="str">
        <f>IFERROR(VLOOKUP($B1180,اسماء,23,0),"")</f>
        <v/>
      </c>
      <c r="T1181" s="306" t="str">
        <f>IFERROR(VLOOKUP($B1180,اسماء,24,0),"")</f>
        <v/>
      </c>
      <c r="U1181" s="122" t="str">
        <f>IFERROR(VLOOKUP($B1180,اسماء,25,0),"")</f>
        <v/>
      </c>
      <c r="V1181" s="605"/>
      <c r="W1181" s="19" t="str">
        <f t="shared" si="3202"/>
        <v>ضعيف</v>
      </c>
      <c r="X1181" s="640"/>
      <c r="Y1181" s="8"/>
      <c r="Z1181" s="598"/>
      <c r="AK1181" s="667"/>
      <c r="AL1181" s="694"/>
      <c r="AM1181" s="696"/>
      <c r="AN1181" s="698"/>
      <c r="AO1181" s="699"/>
      <c r="AP1181" s="701"/>
    </row>
    <row r="1182" spans="1:42" ht="14.85" customHeight="1" x14ac:dyDescent="0.25">
      <c r="A1182" s="611"/>
      <c r="B1182" s="614"/>
      <c r="C1182" s="617"/>
      <c r="D1182" s="620"/>
      <c r="E1182" s="130" t="s">
        <v>32</v>
      </c>
      <c r="F1182" s="592">
        <f>IFERROR(VLOOKUP($B1180,اسماء,25,0),0)</f>
        <v>0</v>
      </c>
      <c r="G1182" s="593"/>
      <c r="H1182" s="594">
        <f>IFERROR(VLOOKUP($B1180,اسماء,26,0),0)</f>
        <v>0</v>
      </c>
      <c r="I1182" s="595"/>
      <c r="J1182" s="592">
        <f>IFERROR(VLOOKUP($B1180,اسماء,27,0),0)</f>
        <v>0</v>
      </c>
      <c r="K1182" s="593"/>
      <c r="L1182" s="594">
        <f>IFERROR(VLOOKUP($B1180,اسماء,28,0),0)</f>
        <v>0</v>
      </c>
      <c r="M1182" s="596"/>
      <c r="N1182" s="594">
        <f>IFERROR(VLOOKUP($B1180,اسماء,29,0),0)</f>
        <v>0</v>
      </c>
      <c r="O1182" s="596"/>
      <c r="P1182" s="592">
        <f>IFERROR(VLOOKUP($B1180,اسماء,30,0),0)</f>
        <v>0</v>
      </c>
      <c r="Q1182" s="595"/>
      <c r="R1182" s="372">
        <f t="shared" si="3150"/>
        <v>0</v>
      </c>
      <c r="S1182" s="305" t="str">
        <f>IFERROR(VLOOKUP($B1180,اسماء,34,0),"")</f>
        <v/>
      </c>
      <c r="T1182" s="306" t="str">
        <f>IFERROR(VLOOKUP($B1180,اسماء,35,0),"")</f>
        <v/>
      </c>
      <c r="U1182" s="122" t="str">
        <f>IFERROR(VLOOKUP($B1180,اسماء,36,0),"")</f>
        <v/>
      </c>
      <c r="V1182" s="605"/>
      <c r="W1182" s="20" t="str">
        <f t="shared" ref="W1182" si="3205">LOOKUP(R1182,$AF$6:$AG$10)</f>
        <v>ضعيف</v>
      </c>
      <c r="X1182" s="640"/>
      <c r="Y1182" s="68"/>
      <c r="Z1182" s="598"/>
      <c r="AK1182" s="667"/>
      <c r="AL1182" s="694"/>
      <c r="AM1182" s="696"/>
      <c r="AN1182" s="698"/>
      <c r="AO1182" s="699"/>
      <c r="AP1182" s="701"/>
    </row>
    <row r="1183" spans="1:42" ht="14.85" customHeight="1" thickBot="1" x14ac:dyDescent="0.3">
      <c r="A1183" s="612"/>
      <c r="B1183" s="615"/>
      <c r="C1183" s="618"/>
      <c r="D1183" s="621"/>
      <c r="E1183" s="124" t="s">
        <v>33</v>
      </c>
      <c r="F1183" s="623">
        <f t="shared" ref="F1183" si="3206">SUM(F1180:G1182)</f>
        <v>0</v>
      </c>
      <c r="G1183" s="624"/>
      <c r="H1183" s="625">
        <f t="shared" ref="H1183" si="3207">SUM(H1180:I1182)</f>
        <v>0</v>
      </c>
      <c r="I1183" s="626"/>
      <c r="J1183" s="623">
        <f t="shared" ref="J1183" si="3208">SUM(J1180:K1182)</f>
        <v>0</v>
      </c>
      <c r="K1183" s="624"/>
      <c r="L1183" s="625">
        <f t="shared" ref="L1183" si="3209">SUM(L1180:M1182)</f>
        <v>0</v>
      </c>
      <c r="M1183" s="642"/>
      <c r="N1183" s="625">
        <f t="shared" ref="N1183" si="3210">SUM(N1180:O1182)</f>
        <v>0</v>
      </c>
      <c r="O1183" s="642"/>
      <c r="P1183" s="623">
        <f t="shared" ref="P1183" si="3211">SUM(P1180:Q1182)</f>
        <v>0</v>
      </c>
      <c r="Q1183" s="626"/>
      <c r="R1183" s="88">
        <f t="shared" ref="R1183" si="3212">IF(AND(F1183&gt;=$G$8,H1183&gt;=$I$8,J1183&gt;=$K$8,L1183&gt;=$M$8,N1183&gt;=$O$8,P1183&gt;=$Q$8),SUM(F1183:Q1183),0)</f>
        <v>0</v>
      </c>
      <c r="S1183" s="251"/>
      <c r="T1183" s="97"/>
      <c r="U1183" s="94"/>
      <c r="V1183" s="606"/>
      <c r="W1183" s="88" t="str">
        <f t="shared" ref="W1183" si="3213">LOOKUP(R1183,$AI$6:$AJ$10)</f>
        <v>ضعيف</v>
      </c>
      <c r="X1183" s="641"/>
      <c r="Y1183" s="68"/>
      <c r="Z1183" s="599"/>
      <c r="AK1183" s="667"/>
      <c r="AL1183" s="694"/>
      <c r="AM1183" s="696"/>
      <c r="AN1183" s="698"/>
      <c r="AO1183" s="699"/>
      <c r="AP1183" s="702"/>
    </row>
    <row r="1184" spans="1:42" ht="14.85" customHeight="1" thickBot="1" x14ac:dyDescent="0.3">
      <c r="A1184" s="610">
        <v>257</v>
      </c>
      <c r="B1184" s="613">
        <f>VLOOKUP(A1184,مسلسل,2,0)</f>
        <v>0</v>
      </c>
      <c r="C1184" s="616" t="str">
        <f>IFERROR(VLOOKUP(B1184,اسماء,2,0),"")</f>
        <v/>
      </c>
      <c r="D1184" s="619" t="str">
        <f>IFERROR(VLOOKUP($B1184,اسماء,3,0),"")</f>
        <v/>
      </c>
      <c r="E1184" s="129" t="s">
        <v>30</v>
      </c>
      <c r="F1184" s="600">
        <f>IFERROR(VLOOKUP($B1184,اسماء,5,0),0)</f>
        <v>0</v>
      </c>
      <c r="G1184" s="601"/>
      <c r="H1184" s="602">
        <f>IFERROR(VLOOKUP($B1184,اسماء,6,0),0)</f>
        <v>0</v>
      </c>
      <c r="I1184" s="622"/>
      <c r="J1184" s="600">
        <f>IFERROR(VLOOKUP($B1184,اسماء,7,0),0)</f>
        <v>0</v>
      </c>
      <c r="K1184" s="601"/>
      <c r="L1184" s="602">
        <f>IFERROR(VLOOKUP($B1184,اسماء,8,0),0)</f>
        <v>0</v>
      </c>
      <c r="M1184" s="603"/>
      <c r="N1184" s="602">
        <f>IFERROR(VLOOKUP($B1184,اسماء,9,0),0)</f>
        <v>0</v>
      </c>
      <c r="O1184" s="603"/>
      <c r="P1184" s="600">
        <f>IFERROR(VLOOKUP($B1184,اسماء,10,0),0)</f>
        <v>0</v>
      </c>
      <c r="Q1184" s="622"/>
      <c r="R1184" s="371">
        <f t="shared" ref="R1184" si="3214">SUM(F1184:Q1184)</f>
        <v>0</v>
      </c>
      <c r="S1184" s="213" t="str">
        <f>IFERROR(VLOOKUP($B1184,اسماء,12,0),"")</f>
        <v/>
      </c>
      <c r="T1184" s="214" t="str">
        <f>IFERROR(VLOOKUP($B1184,اسماء,13,0),"")</f>
        <v/>
      </c>
      <c r="U1184" s="364" t="str">
        <f>IFERROR(VLOOKUP($B1184,اسماء,14,0),"")</f>
        <v/>
      </c>
      <c r="V1184" s="604" t="str">
        <f t="shared" ref="V1184" si="3215">IF(Z1184="غائب","راسب",IF(R1187&gt;0,"ناجح","مرحل"))</f>
        <v>مرحل</v>
      </c>
      <c r="W1184" s="19" t="str">
        <f t="shared" ref="W1184:W1185" si="3216">LOOKUP(R1184,$AC$6:$AD$10)</f>
        <v>ضعيف</v>
      </c>
      <c r="X1184" s="639">
        <f t="shared" ref="X1184" si="3217">R1187/$AC$3</f>
        <v>0</v>
      </c>
      <c r="Y1184" s="8"/>
      <c r="Z1184" s="597" t="str">
        <f>IFERROR(VLOOKUP($B1184,اسماء,48,0),"")</f>
        <v/>
      </c>
      <c r="AK1184" s="667" t="str">
        <f t="shared" ref="AK1184" si="3218">IF(R1187=0,"",R1187/1+ROW()*0.00001)</f>
        <v/>
      </c>
      <c r="AL1184" s="694">
        <f>B1184</f>
        <v>0</v>
      </c>
      <c r="AM1184" s="696"/>
      <c r="AN1184" s="698">
        <v>257</v>
      </c>
      <c r="AO1184" s="699" t="str">
        <f>IFERROR(LARGE($AK$10:$AK$1420,AN1184),"")</f>
        <v/>
      </c>
      <c r="AP1184" s="700" t="str">
        <f>VLOOKUP(AO1184,$AK$10:$AL$1530,2,0)</f>
        <v>امجد عمر عبداللطيف سلطان</v>
      </c>
    </row>
    <row r="1185" spans="1:42" ht="14.85" customHeight="1" x14ac:dyDescent="0.25">
      <c r="A1185" s="611"/>
      <c r="B1185" s="614"/>
      <c r="C1185" s="617"/>
      <c r="D1185" s="620"/>
      <c r="E1185" s="130" t="s">
        <v>31</v>
      </c>
      <c r="F1185" s="592">
        <f>IFERROR(VLOOKUP($B1184,اسماء,15,0),0)</f>
        <v>0</v>
      </c>
      <c r="G1185" s="593"/>
      <c r="H1185" s="594">
        <f>IFERROR(VLOOKUP($B1184,اسماء,16,0),0)</f>
        <v>0</v>
      </c>
      <c r="I1185" s="595"/>
      <c r="J1185" s="592">
        <f>IFERROR(VLOOKUP($B1184,اسماء,17,0),0)</f>
        <v>0</v>
      </c>
      <c r="K1185" s="593"/>
      <c r="L1185" s="594">
        <f>IFERROR(VLOOKUP($B1184,اسماء,18,0),0)</f>
        <v>0</v>
      </c>
      <c r="M1185" s="596"/>
      <c r="N1185" s="594">
        <f>IFERROR(VLOOKUP($B1184,اسماء,19,0),0)</f>
        <v>0</v>
      </c>
      <c r="O1185" s="596"/>
      <c r="P1185" s="592">
        <f>IFERROR(VLOOKUP($B1184,اسماء,20,0),0)</f>
        <v>0</v>
      </c>
      <c r="Q1185" s="595"/>
      <c r="R1185" s="372">
        <f t="shared" si="3150"/>
        <v>0</v>
      </c>
      <c r="S1185" s="305" t="str">
        <f>IFERROR(VLOOKUP($B1184,اسماء,23,0),"")</f>
        <v/>
      </c>
      <c r="T1185" s="306" t="str">
        <f>IFERROR(VLOOKUP($B1184,اسماء,24,0),"")</f>
        <v/>
      </c>
      <c r="U1185" s="122" t="str">
        <f>IFERROR(VLOOKUP($B1184,اسماء,25,0),"")</f>
        <v/>
      </c>
      <c r="V1185" s="605"/>
      <c r="W1185" s="19" t="str">
        <f t="shared" si="3216"/>
        <v>ضعيف</v>
      </c>
      <c r="X1185" s="640"/>
      <c r="Y1185" s="68"/>
      <c r="Z1185" s="598"/>
      <c r="AK1185" s="667"/>
      <c r="AL1185" s="694"/>
      <c r="AM1185" s="696"/>
      <c r="AN1185" s="698"/>
      <c r="AO1185" s="699"/>
      <c r="AP1185" s="701"/>
    </row>
    <row r="1186" spans="1:42" ht="14.85" customHeight="1" x14ac:dyDescent="0.25">
      <c r="A1186" s="611"/>
      <c r="B1186" s="614"/>
      <c r="C1186" s="617"/>
      <c r="D1186" s="620"/>
      <c r="E1186" s="130" t="s">
        <v>32</v>
      </c>
      <c r="F1186" s="592">
        <f>IFERROR(VLOOKUP($B1184,اسماء,25,0),0)</f>
        <v>0</v>
      </c>
      <c r="G1186" s="593"/>
      <c r="H1186" s="594">
        <f>IFERROR(VLOOKUP($B1184,اسماء,26,0),0)</f>
        <v>0</v>
      </c>
      <c r="I1186" s="595"/>
      <c r="J1186" s="592">
        <f>IFERROR(VLOOKUP($B1184,اسماء,27,0),0)</f>
        <v>0</v>
      </c>
      <c r="K1186" s="593"/>
      <c r="L1186" s="594">
        <f>IFERROR(VLOOKUP($B1184,اسماء,28,0),0)</f>
        <v>0</v>
      </c>
      <c r="M1186" s="596"/>
      <c r="N1186" s="594">
        <f>IFERROR(VLOOKUP($B1184,اسماء,29,0),0)</f>
        <v>0</v>
      </c>
      <c r="O1186" s="596"/>
      <c r="P1186" s="592">
        <f>IFERROR(VLOOKUP($B1184,اسماء,30,0),0)</f>
        <v>0</v>
      </c>
      <c r="Q1186" s="595"/>
      <c r="R1186" s="372">
        <f t="shared" si="3150"/>
        <v>0</v>
      </c>
      <c r="S1186" s="305" t="str">
        <f>IFERROR(VLOOKUP($B1184,اسماء,34,0),"")</f>
        <v/>
      </c>
      <c r="T1186" s="306" t="str">
        <f>IFERROR(VLOOKUP($B1184,اسماء,35,0),"")</f>
        <v/>
      </c>
      <c r="U1186" s="122" t="str">
        <f>IFERROR(VLOOKUP($B1184,اسماء,36,0),"")</f>
        <v/>
      </c>
      <c r="V1186" s="605"/>
      <c r="W1186" s="20" t="str">
        <f t="shared" ref="W1186" si="3219">LOOKUP(R1186,$AF$6:$AG$10)</f>
        <v>ضعيف</v>
      </c>
      <c r="X1186" s="640"/>
      <c r="Y1186" s="68"/>
      <c r="Z1186" s="598"/>
      <c r="AK1186" s="667"/>
      <c r="AL1186" s="694"/>
      <c r="AM1186" s="696"/>
      <c r="AN1186" s="698"/>
      <c r="AO1186" s="699"/>
      <c r="AP1186" s="701"/>
    </row>
    <row r="1187" spans="1:42" ht="14.85" customHeight="1" thickBot="1" x14ac:dyDescent="0.3">
      <c r="A1187" s="612"/>
      <c r="B1187" s="615"/>
      <c r="C1187" s="618"/>
      <c r="D1187" s="621"/>
      <c r="E1187" s="124" t="s">
        <v>33</v>
      </c>
      <c r="F1187" s="623">
        <f t="shared" ref="F1187" si="3220">SUM(F1184:G1186)</f>
        <v>0</v>
      </c>
      <c r="G1187" s="624"/>
      <c r="H1187" s="625">
        <f t="shared" ref="H1187" si="3221">SUM(H1184:I1186)</f>
        <v>0</v>
      </c>
      <c r="I1187" s="626"/>
      <c r="J1187" s="623">
        <f t="shared" ref="J1187" si="3222">SUM(J1184:K1186)</f>
        <v>0</v>
      </c>
      <c r="K1187" s="624"/>
      <c r="L1187" s="625">
        <f t="shared" ref="L1187" si="3223">SUM(L1184:M1186)</f>
        <v>0</v>
      </c>
      <c r="M1187" s="642"/>
      <c r="N1187" s="625">
        <f t="shared" ref="N1187" si="3224">SUM(N1184:O1186)</f>
        <v>0</v>
      </c>
      <c r="O1187" s="642"/>
      <c r="P1187" s="623">
        <f t="shared" ref="P1187" si="3225">SUM(P1184:Q1186)</f>
        <v>0</v>
      </c>
      <c r="Q1187" s="626"/>
      <c r="R1187" s="88">
        <f t="shared" ref="R1187" si="3226">IF(AND(F1187&gt;=$G$8,H1187&gt;=$I$8,J1187&gt;=$K$8,L1187&gt;=$M$8,N1187&gt;=$O$8,P1187&gt;=$Q$8),SUM(F1187:Q1187),0)</f>
        <v>0</v>
      </c>
      <c r="S1187" s="251"/>
      <c r="T1187" s="97"/>
      <c r="U1187" s="94"/>
      <c r="V1187" s="606"/>
      <c r="W1187" s="88" t="str">
        <f t="shared" ref="W1187" si="3227">LOOKUP(R1187,$AI$6:$AJ$10)</f>
        <v>ضعيف</v>
      </c>
      <c r="X1187" s="641"/>
      <c r="Y1187" s="8"/>
      <c r="Z1187" s="599"/>
      <c r="AK1187" s="667"/>
      <c r="AL1187" s="694"/>
      <c r="AM1187" s="696"/>
      <c r="AN1187" s="698"/>
      <c r="AO1187" s="699"/>
      <c r="AP1187" s="702"/>
    </row>
    <row r="1188" spans="1:42" ht="14.85" customHeight="1" thickBot="1" x14ac:dyDescent="0.3">
      <c r="A1188" s="610">
        <v>258</v>
      </c>
      <c r="B1188" s="613">
        <f>VLOOKUP(A1188,مسلسل,2,0)</f>
        <v>0</v>
      </c>
      <c r="C1188" s="616" t="str">
        <f>IFERROR(VLOOKUP(B1188,اسماء,2,0),"")</f>
        <v/>
      </c>
      <c r="D1188" s="619" t="str">
        <f>IFERROR(VLOOKUP($B1188,اسماء,3,0),"")</f>
        <v/>
      </c>
      <c r="E1188" s="129" t="s">
        <v>30</v>
      </c>
      <c r="F1188" s="600">
        <f>IFERROR(VLOOKUP($B1188,اسماء,5,0),0)</f>
        <v>0</v>
      </c>
      <c r="G1188" s="601"/>
      <c r="H1188" s="602">
        <f>IFERROR(VLOOKUP($B1188,اسماء,6,0),0)</f>
        <v>0</v>
      </c>
      <c r="I1188" s="622"/>
      <c r="J1188" s="600">
        <f>IFERROR(VLOOKUP($B1188,اسماء,7,0),0)</f>
        <v>0</v>
      </c>
      <c r="K1188" s="601"/>
      <c r="L1188" s="602">
        <f>IFERROR(VLOOKUP($B1188,اسماء,8,0),0)</f>
        <v>0</v>
      </c>
      <c r="M1188" s="603"/>
      <c r="N1188" s="602">
        <f>IFERROR(VLOOKUP($B1188,اسماء,9,0),0)</f>
        <v>0</v>
      </c>
      <c r="O1188" s="603"/>
      <c r="P1188" s="600">
        <f>IFERROR(VLOOKUP($B1188,اسماء,10,0),0)</f>
        <v>0</v>
      </c>
      <c r="Q1188" s="622"/>
      <c r="R1188" s="371">
        <f t="shared" ref="R1188" si="3228">SUM(F1188:Q1188)</f>
        <v>0</v>
      </c>
      <c r="S1188" s="213" t="str">
        <f>IFERROR(VLOOKUP($B1188,اسماء,12,0),"")</f>
        <v/>
      </c>
      <c r="T1188" s="214" t="str">
        <f>IFERROR(VLOOKUP($B1188,اسماء,13,0),"")</f>
        <v/>
      </c>
      <c r="U1188" s="364" t="str">
        <f>IFERROR(VLOOKUP($B1188,اسماء,14,0),"")</f>
        <v/>
      </c>
      <c r="V1188" s="604" t="str">
        <f t="shared" ref="V1188" si="3229">IF(Z1188="غائب","راسب",IF(R1191&gt;0,"ناجح","مرحل"))</f>
        <v>مرحل</v>
      </c>
      <c r="W1188" s="19" t="str">
        <f t="shared" ref="W1188:W1189" si="3230">LOOKUP(R1188,$AC$6:$AD$10)</f>
        <v>ضعيف</v>
      </c>
      <c r="X1188" s="639">
        <f t="shared" ref="X1188" si="3231">R1191/$AC$3</f>
        <v>0</v>
      </c>
      <c r="Y1188" s="68"/>
      <c r="Z1188" s="597" t="str">
        <f>IFERROR(VLOOKUP($B1188,اسماء,48,0),"")</f>
        <v/>
      </c>
      <c r="AK1188" s="667" t="str">
        <f t="shared" ref="AK1188" si="3232">IF(R1191=0,"",R1191/1+ROW()*0.00001)</f>
        <v/>
      </c>
      <c r="AL1188" s="694">
        <f>B1188</f>
        <v>0</v>
      </c>
      <c r="AM1188" s="696"/>
      <c r="AN1188" s="698">
        <v>258</v>
      </c>
      <c r="AO1188" s="699" t="str">
        <f>IFERROR(LARGE($AK$10:$AK$1420,AN1188),"")</f>
        <v/>
      </c>
      <c r="AP1188" s="700" t="str">
        <f>VLOOKUP(AO1188,$AK$10:$AL$1530,2,0)</f>
        <v>امجد عمر عبداللطيف سلطان</v>
      </c>
    </row>
    <row r="1189" spans="1:42" ht="14.85" customHeight="1" x14ac:dyDescent="0.25">
      <c r="A1189" s="611"/>
      <c r="B1189" s="614"/>
      <c r="C1189" s="617"/>
      <c r="D1189" s="620"/>
      <c r="E1189" s="130" t="s">
        <v>31</v>
      </c>
      <c r="F1189" s="592">
        <f>IFERROR(VLOOKUP($B1188,اسماء,15,0),0)</f>
        <v>0</v>
      </c>
      <c r="G1189" s="593"/>
      <c r="H1189" s="594">
        <f>IFERROR(VLOOKUP($B1188,اسماء,16,0),0)</f>
        <v>0</v>
      </c>
      <c r="I1189" s="595"/>
      <c r="J1189" s="592">
        <f>IFERROR(VLOOKUP($B1188,اسماء,17,0),0)</f>
        <v>0</v>
      </c>
      <c r="K1189" s="593"/>
      <c r="L1189" s="594">
        <f>IFERROR(VLOOKUP($B1188,اسماء,18,0),0)</f>
        <v>0</v>
      </c>
      <c r="M1189" s="596"/>
      <c r="N1189" s="594">
        <f>IFERROR(VLOOKUP($B1188,اسماء,19,0),0)</f>
        <v>0</v>
      </c>
      <c r="O1189" s="596"/>
      <c r="P1189" s="592">
        <f>IFERROR(VLOOKUP($B1188,اسماء,20,0),0)</f>
        <v>0</v>
      </c>
      <c r="Q1189" s="595"/>
      <c r="R1189" s="372">
        <f t="shared" si="3150"/>
        <v>0</v>
      </c>
      <c r="S1189" s="305" t="str">
        <f>IFERROR(VLOOKUP($B1188,اسماء,23,0),"")</f>
        <v/>
      </c>
      <c r="T1189" s="306" t="str">
        <f>IFERROR(VLOOKUP($B1188,اسماء,24,0),"")</f>
        <v/>
      </c>
      <c r="U1189" s="122" t="str">
        <f>IFERROR(VLOOKUP($B1188,اسماء,25,0),"")</f>
        <v/>
      </c>
      <c r="V1189" s="605"/>
      <c r="W1189" s="19" t="str">
        <f t="shared" si="3230"/>
        <v>ضعيف</v>
      </c>
      <c r="X1189" s="640"/>
      <c r="Y1189" s="68"/>
      <c r="Z1189" s="598"/>
      <c r="AK1189" s="667"/>
      <c r="AL1189" s="694"/>
      <c r="AM1189" s="696"/>
      <c r="AN1189" s="698"/>
      <c r="AO1189" s="699"/>
      <c r="AP1189" s="701"/>
    </row>
    <row r="1190" spans="1:42" ht="14.85" customHeight="1" x14ac:dyDescent="0.25">
      <c r="A1190" s="611"/>
      <c r="B1190" s="614"/>
      <c r="C1190" s="617"/>
      <c r="D1190" s="620"/>
      <c r="E1190" s="130" t="s">
        <v>32</v>
      </c>
      <c r="F1190" s="592">
        <f>IFERROR(VLOOKUP($B1188,اسماء,25,0),0)</f>
        <v>0</v>
      </c>
      <c r="G1190" s="593"/>
      <c r="H1190" s="594">
        <f>IFERROR(VLOOKUP($B1188,اسماء,26,0),0)</f>
        <v>0</v>
      </c>
      <c r="I1190" s="595"/>
      <c r="J1190" s="592">
        <f>IFERROR(VLOOKUP($B1188,اسماء,27,0),0)</f>
        <v>0</v>
      </c>
      <c r="K1190" s="593"/>
      <c r="L1190" s="594">
        <f>IFERROR(VLOOKUP($B1188,اسماء,28,0),0)</f>
        <v>0</v>
      </c>
      <c r="M1190" s="596"/>
      <c r="N1190" s="594">
        <f>IFERROR(VLOOKUP($B1188,اسماء,29,0),0)</f>
        <v>0</v>
      </c>
      <c r="O1190" s="596"/>
      <c r="P1190" s="592">
        <f>IFERROR(VLOOKUP($B1188,اسماء,30,0),0)</f>
        <v>0</v>
      </c>
      <c r="Q1190" s="595"/>
      <c r="R1190" s="372">
        <f t="shared" si="3150"/>
        <v>0</v>
      </c>
      <c r="S1190" s="305" t="str">
        <f>IFERROR(VLOOKUP($B1188,اسماء,34,0),"")</f>
        <v/>
      </c>
      <c r="T1190" s="306" t="str">
        <f>IFERROR(VLOOKUP($B1188,اسماء,35,0),"")</f>
        <v/>
      </c>
      <c r="U1190" s="122" t="str">
        <f>IFERROR(VLOOKUP($B1188,اسماء,36,0),"")</f>
        <v/>
      </c>
      <c r="V1190" s="605"/>
      <c r="W1190" s="20" t="str">
        <f t="shared" ref="W1190" si="3233">LOOKUP(R1190,$AF$6:$AG$10)</f>
        <v>ضعيف</v>
      </c>
      <c r="X1190" s="640"/>
      <c r="Y1190" s="8"/>
      <c r="Z1190" s="598"/>
      <c r="AK1190" s="667"/>
      <c r="AL1190" s="694"/>
      <c r="AM1190" s="696"/>
      <c r="AN1190" s="698"/>
      <c r="AO1190" s="699"/>
      <c r="AP1190" s="701"/>
    </row>
    <row r="1191" spans="1:42" ht="14.85" customHeight="1" thickBot="1" x14ac:dyDescent="0.3">
      <c r="A1191" s="612"/>
      <c r="B1191" s="615"/>
      <c r="C1191" s="618"/>
      <c r="D1191" s="621"/>
      <c r="E1191" s="124" t="s">
        <v>33</v>
      </c>
      <c r="F1191" s="623">
        <f t="shared" ref="F1191" si="3234">SUM(F1188:G1190)</f>
        <v>0</v>
      </c>
      <c r="G1191" s="624"/>
      <c r="H1191" s="625">
        <f t="shared" ref="H1191" si="3235">SUM(H1188:I1190)</f>
        <v>0</v>
      </c>
      <c r="I1191" s="626"/>
      <c r="J1191" s="623">
        <f t="shared" ref="J1191" si="3236">SUM(J1188:K1190)</f>
        <v>0</v>
      </c>
      <c r="K1191" s="624"/>
      <c r="L1191" s="625">
        <f t="shared" ref="L1191" si="3237">SUM(L1188:M1190)</f>
        <v>0</v>
      </c>
      <c r="M1191" s="642"/>
      <c r="N1191" s="625">
        <f t="shared" ref="N1191" si="3238">SUM(N1188:O1190)</f>
        <v>0</v>
      </c>
      <c r="O1191" s="642"/>
      <c r="P1191" s="623">
        <f t="shared" ref="P1191" si="3239">SUM(P1188:Q1190)</f>
        <v>0</v>
      </c>
      <c r="Q1191" s="626"/>
      <c r="R1191" s="88">
        <f t="shared" ref="R1191" si="3240">IF(AND(F1191&gt;=$G$8,H1191&gt;=$I$8,J1191&gt;=$K$8,L1191&gt;=$M$8,N1191&gt;=$O$8,P1191&gt;=$Q$8),SUM(F1191:Q1191),0)</f>
        <v>0</v>
      </c>
      <c r="S1191" s="251"/>
      <c r="T1191" s="97"/>
      <c r="U1191" s="94"/>
      <c r="V1191" s="606"/>
      <c r="W1191" s="88" t="str">
        <f t="shared" ref="W1191" si="3241">LOOKUP(R1191,$AI$6:$AJ$10)</f>
        <v>ضعيف</v>
      </c>
      <c r="X1191" s="641"/>
      <c r="Y1191" s="68"/>
      <c r="Z1191" s="599"/>
      <c r="AK1191" s="667"/>
      <c r="AL1191" s="694"/>
      <c r="AM1191" s="696"/>
      <c r="AN1191" s="698"/>
      <c r="AO1191" s="699"/>
      <c r="AP1191" s="702"/>
    </row>
    <row r="1192" spans="1:42" ht="14.85" customHeight="1" thickBot="1" x14ac:dyDescent="0.3">
      <c r="A1192" s="610">
        <v>259</v>
      </c>
      <c r="B1192" s="613">
        <f>VLOOKUP(A1192,مسلسل,2,0)</f>
        <v>0</v>
      </c>
      <c r="C1192" s="616" t="str">
        <f>IFERROR(VLOOKUP(B1192,اسماء,2,0),"")</f>
        <v/>
      </c>
      <c r="D1192" s="619" t="str">
        <f>IFERROR(VLOOKUP($B1192,اسماء,3,0),"")</f>
        <v/>
      </c>
      <c r="E1192" s="129" t="s">
        <v>30</v>
      </c>
      <c r="F1192" s="600">
        <f>IFERROR(VLOOKUP($B1192,اسماء,5,0),0)</f>
        <v>0</v>
      </c>
      <c r="G1192" s="601"/>
      <c r="H1192" s="602">
        <f>IFERROR(VLOOKUP($B1192,اسماء,6,0),0)</f>
        <v>0</v>
      </c>
      <c r="I1192" s="622"/>
      <c r="J1192" s="600">
        <f>IFERROR(VLOOKUP($B1192,اسماء,7,0),0)</f>
        <v>0</v>
      </c>
      <c r="K1192" s="601"/>
      <c r="L1192" s="602">
        <f>IFERROR(VLOOKUP($B1192,اسماء,8,0),0)</f>
        <v>0</v>
      </c>
      <c r="M1192" s="603"/>
      <c r="N1192" s="602">
        <f>IFERROR(VLOOKUP($B1192,اسماء,9,0),0)</f>
        <v>0</v>
      </c>
      <c r="O1192" s="603"/>
      <c r="P1192" s="600">
        <f>IFERROR(VLOOKUP($B1192,اسماء,10,0),0)</f>
        <v>0</v>
      </c>
      <c r="Q1192" s="622"/>
      <c r="R1192" s="371">
        <f t="shared" ref="R1192" si="3242">SUM(F1192:Q1192)</f>
        <v>0</v>
      </c>
      <c r="S1192" s="213" t="str">
        <f>IFERROR(VLOOKUP($B1192,اسماء,12,0),"")</f>
        <v/>
      </c>
      <c r="T1192" s="214" t="str">
        <f>IFERROR(VLOOKUP($B1192,اسماء,13,0),"")</f>
        <v/>
      </c>
      <c r="U1192" s="364" t="str">
        <f>IFERROR(VLOOKUP($B1192,اسماء,14,0),"")</f>
        <v/>
      </c>
      <c r="V1192" s="604" t="str">
        <f t="shared" ref="V1192" si="3243">IF(Z1192="غائب","راسب",IF(R1195&gt;0,"ناجح","مرحل"))</f>
        <v>مرحل</v>
      </c>
      <c r="W1192" s="19" t="str">
        <f t="shared" ref="W1192:W1193" si="3244">LOOKUP(R1192,$AC$6:$AD$10)</f>
        <v>ضعيف</v>
      </c>
      <c r="X1192" s="639">
        <f t="shared" ref="X1192" si="3245">R1195/$AC$3</f>
        <v>0</v>
      </c>
      <c r="Y1192" s="68"/>
      <c r="Z1192" s="597" t="str">
        <f>IFERROR(VLOOKUP($B1192,اسماء,48,0),"")</f>
        <v/>
      </c>
      <c r="AK1192" s="667" t="str">
        <f t="shared" ref="AK1192" si="3246">IF(R1195=0,"",R1195/1+ROW()*0.00001)</f>
        <v/>
      </c>
      <c r="AL1192" s="694">
        <f>B1192</f>
        <v>0</v>
      </c>
      <c r="AM1192" s="696"/>
      <c r="AN1192" s="698">
        <v>259</v>
      </c>
      <c r="AO1192" s="699" t="str">
        <f>IFERROR(LARGE($AK$10:$AK$1420,AN1192),"")</f>
        <v/>
      </c>
      <c r="AP1192" s="700" t="str">
        <f>VLOOKUP(AO1192,$AK$10:$AL$1530,2,0)</f>
        <v>امجد عمر عبداللطيف سلطان</v>
      </c>
    </row>
    <row r="1193" spans="1:42" ht="14.85" customHeight="1" x14ac:dyDescent="0.25">
      <c r="A1193" s="611"/>
      <c r="B1193" s="614"/>
      <c r="C1193" s="617"/>
      <c r="D1193" s="620"/>
      <c r="E1193" s="130" t="s">
        <v>31</v>
      </c>
      <c r="F1193" s="592">
        <f>IFERROR(VLOOKUP($B1192,اسماء,15,0),0)</f>
        <v>0</v>
      </c>
      <c r="G1193" s="593"/>
      <c r="H1193" s="594">
        <f>IFERROR(VLOOKUP($B1192,اسماء,16,0),0)</f>
        <v>0</v>
      </c>
      <c r="I1193" s="595"/>
      <c r="J1193" s="592">
        <f>IFERROR(VLOOKUP($B1192,اسماء,17,0),0)</f>
        <v>0</v>
      </c>
      <c r="K1193" s="593"/>
      <c r="L1193" s="594">
        <f>IFERROR(VLOOKUP($B1192,اسماء,18,0),0)</f>
        <v>0</v>
      </c>
      <c r="M1193" s="596"/>
      <c r="N1193" s="594">
        <f>IFERROR(VLOOKUP($B1192,اسماء,19,0),0)</f>
        <v>0</v>
      </c>
      <c r="O1193" s="596"/>
      <c r="P1193" s="592">
        <f>IFERROR(VLOOKUP($B1192,اسماء,20,0),0)</f>
        <v>0</v>
      </c>
      <c r="Q1193" s="595"/>
      <c r="R1193" s="372">
        <f t="shared" si="3150"/>
        <v>0</v>
      </c>
      <c r="S1193" s="305" t="str">
        <f>IFERROR(VLOOKUP($B1192,اسماء,23,0),"")</f>
        <v/>
      </c>
      <c r="T1193" s="306" t="str">
        <f>IFERROR(VLOOKUP($B1192,اسماء,24,0),"")</f>
        <v/>
      </c>
      <c r="U1193" s="122" t="str">
        <f>IFERROR(VLOOKUP($B1192,اسماء,25,0),"")</f>
        <v/>
      </c>
      <c r="V1193" s="605"/>
      <c r="W1193" s="19" t="str">
        <f t="shared" si="3244"/>
        <v>ضعيف</v>
      </c>
      <c r="X1193" s="640"/>
      <c r="Y1193" s="8"/>
      <c r="Z1193" s="598"/>
      <c r="AK1193" s="667"/>
      <c r="AL1193" s="694"/>
      <c r="AM1193" s="696"/>
      <c r="AN1193" s="698"/>
      <c r="AO1193" s="699"/>
      <c r="AP1193" s="701"/>
    </row>
    <row r="1194" spans="1:42" ht="14.85" customHeight="1" x14ac:dyDescent="0.25">
      <c r="A1194" s="611"/>
      <c r="B1194" s="614"/>
      <c r="C1194" s="617"/>
      <c r="D1194" s="620"/>
      <c r="E1194" s="130" t="s">
        <v>32</v>
      </c>
      <c r="F1194" s="592">
        <f>IFERROR(VLOOKUP($B1192,اسماء,25,0),0)</f>
        <v>0</v>
      </c>
      <c r="G1194" s="593"/>
      <c r="H1194" s="594">
        <f>IFERROR(VLOOKUP($B1192,اسماء,26,0),0)</f>
        <v>0</v>
      </c>
      <c r="I1194" s="595"/>
      <c r="J1194" s="592">
        <f>IFERROR(VLOOKUP($B1192,اسماء,27,0),0)</f>
        <v>0</v>
      </c>
      <c r="K1194" s="593"/>
      <c r="L1194" s="594">
        <f>IFERROR(VLOOKUP($B1192,اسماء,28,0),0)</f>
        <v>0</v>
      </c>
      <c r="M1194" s="596"/>
      <c r="N1194" s="594">
        <f>IFERROR(VLOOKUP($B1192,اسماء,29,0),0)</f>
        <v>0</v>
      </c>
      <c r="O1194" s="596"/>
      <c r="P1194" s="592">
        <f>IFERROR(VLOOKUP($B1192,اسماء,30,0),0)</f>
        <v>0</v>
      </c>
      <c r="Q1194" s="595"/>
      <c r="R1194" s="372">
        <f t="shared" si="3150"/>
        <v>0</v>
      </c>
      <c r="S1194" s="305" t="str">
        <f>IFERROR(VLOOKUP($B1192,اسماء,34,0),"")</f>
        <v/>
      </c>
      <c r="T1194" s="306" t="str">
        <f>IFERROR(VLOOKUP($B1192,اسماء,35,0),"")</f>
        <v/>
      </c>
      <c r="U1194" s="122" t="str">
        <f>IFERROR(VLOOKUP($B1192,اسماء,36,0),"")</f>
        <v/>
      </c>
      <c r="V1194" s="605"/>
      <c r="W1194" s="20" t="str">
        <f t="shared" ref="W1194" si="3247">LOOKUP(R1194,$AF$6:$AG$10)</f>
        <v>ضعيف</v>
      </c>
      <c r="X1194" s="640"/>
      <c r="Y1194" s="68"/>
      <c r="Z1194" s="598"/>
      <c r="AK1194" s="667"/>
      <c r="AL1194" s="694"/>
      <c r="AM1194" s="696"/>
      <c r="AN1194" s="698"/>
      <c r="AO1194" s="699"/>
      <c r="AP1194" s="701"/>
    </row>
    <row r="1195" spans="1:42" ht="14.85" customHeight="1" thickBot="1" x14ac:dyDescent="0.3">
      <c r="A1195" s="612"/>
      <c r="B1195" s="615"/>
      <c r="C1195" s="618"/>
      <c r="D1195" s="621"/>
      <c r="E1195" s="124" t="s">
        <v>33</v>
      </c>
      <c r="F1195" s="623">
        <f t="shared" ref="F1195" si="3248">SUM(F1192:G1194)</f>
        <v>0</v>
      </c>
      <c r="G1195" s="624"/>
      <c r="H1195" s="625">
        <f t="shared" ref="H1195" si="3249">SUM(H1192:I1194)</f>
        <v>0</v>
      </c>
      <c r="I1195" s="626"/>
      <c r="J1195" s="623">
        <f t="shared" ref="J1195" si="3250">SUM(J1192:K1194)</f>
        <v>0</v>
      </c>
      <c r="K1195" s="624"/>
      <c r="L1195" s="625">
        <f t="shared" ref="L1195" si="3251">SUM(L1192:M1194)</f>
        <v>0</v>
      </c>
      <c r="M1195" s="642"/>
      <c r="N1195" s="625">
        <f t="shared" ref="N1195" si="3252">SUM(N1192:O1194)</f>
        <v>0</v>
      </c>
      <c r="O1195" s="642"/>
      <c r="P1195" s="623">
        <f t="shared" ref="P1195" si="3253">SUM(P1192:Q1194)</f>
        <v>0</v>
      </c>
      <c r="Q1195" s="626"/>
      <c r="R1195" s="88">
        <f t="shared" ref="R1195" si="3254">IF(AND(F1195&gt;=$G$8,H1195&gt;=$I$8,J1195&gt;=$K$8,L1195&gt;=$M$8,N1195&gt;=$O$8,P1195&gt;=$Q$8),SUM(F1195:Q1195),0)</f>
        <v>0</v>
      </c>
      <c r="S1195" s="251"/>
      <c r="T1195" s="97"/>
      <c r="U1195" s="94"/>
      <c r="V1195" s="606"/>
      <c r="W1195" s="88" t="str">
        <f t="shared" ref="W1195" si="3255">LOOKUP(R1195,$AI$6:$AJ$10)</f>
        <v>ضعيف</v>
      </c>
      <c r="X1195" s="641"/>
      <c r="Y1195" s="68"/>
      <c r="Z1195" s="599"/>
      <c r="AK1195" s="667"/>
      <c r="AL1195" s="694"/>
      <c r="AM1195" s="696"/>
      <c r="AN1195" s="698"/>
      <c r="AO1195" s="699"/>
      <c r="AP1195" s="702"/>
    </row>
    <row r="1196" spans="1:42" ht="14.85" customHeight="1" thickBot="1" x14ac:dyDescent="0.3">
      <c r="A1196" s="610">
        <v>260</v>
      </c>
      <c r="B1196" s="613">
        <f>VLOOKUP(A1196,مسلسل,2,0)</f>
        <v>0</v>
      </c>
      <c r="C1196" s="616" t="str">
        <f>IFERROR(VLOOKUP(B1196,اسماء,2,0),"")</f>
        <v/>
      </c>
      <c r="D1196" s="619" t="str">
        <f>IFERROR(VLOOKUP($B1196,اسماء,3,0),"")</f>
        <v/>
      </c>
      <c r="E1196" s="129" t="s">
        <v>30</v>
      </c>
      <c r="F1196" s="600">
        <f>IFERROR(VLOOKUP($B1196,اسماء,5,0),0)</f>
        <v>0</v>
      </c>
      <c r="G1196" s="601"/>
      <c r="H1196" s="602">
        <f>IFERROR(VLOOKUP($B1196,اسماء,6,0),0)</f>
        <v>0</v>
      </c>
      <c r="I1196" s="622"/>
      <c r="J1196" s="600">
        <f>IFERROR(VLOOKUP($B1196,اسماء,7,0),0)</f>
        <v>0</v>
      </c>
      <c r="K1196" s="601"/>
      <c r="L1196" s="602">
        <f>IFERROR(VLOOKUP($B1196,اسماء,8,0),0)</f>
        <v>0</v>
      </c>
      <c r="M1196" s="603"/>
      <c r="N1196" s="602">
        <f>IFERROR(VLOOKUP($B1196,اسماء,9,0),0)</f>
        <v>0</v>
      </c>
      <c r="O1196" s="603"/>
      <c r="P1196" s="600">
        <f>IFERROR(VLOOKUP($B1196,اسماء,10,0),0)</f>
        <v>0</v>
      </c>
      <c r="Q1196" s="622"/>
      <c r="R1196" s="371">
        <f t="shared" ref="R1196" si="3256">SUM(F1196:Q1196)</f>
        <v>0</v>
      </c>
      <c r="S1196" s="213" t="str">
        <f>IFERROR(VLOOKUP($B1196,اسماء,12,0),"")</f>
        <v/>
      </c>
      <c r="T1196" s="214" t="str">
        <f>IFERROR(VLOOKUP($B1196,اسماء,13,0),"")</f>
        <v/>
      </c>
      <c r="U1196" s="364" t="str">
        <f>IFERROR(VLOOKUP($B1196,اسماء,14,0),"")</f>
        <v/>
      </c>
      <c r="V1196" s="604" t="str">
        <f t="shared" ref="V1196" si="3257">IF(Z1196="غائب","راسب",IF(R1199&gt;0,"ناجح","مرحل"))</f>
        <v>مرحل</v>
      </c>
      <c r="W1196" s="19" t="str">
        <f t="shared" ref="W1196:W1197" si="3258">LOOKUP(R1196,$AC$6:$AD$10)</f>
        <v>ضعيف</v>
      </c>
      <c r="X1196" s="639">
        <f t="shared" ref="X1196" si="3259">R1199/$AC$3</f>
        <v>0</v>
      </c>
      <c r="Y1196" s="8"/>
      <c r="Z1196" s="597" t="str">
        <f>IFERROR(VLOOKUP($B1196,اسماء,48,0),"")</f>
        <v/>
      </c>
      <c r="AK1196" s="667" t="str">
        <f t="shared" ref="AK1196" si="3260">IF(R1199=0,"",R1199/1+ROW()*0.00001)</f>
        <v/>
      </c>
      <c r="AL1196" s="694">
        <f>B1196</f>
        <v>0</v>
      </c>
      <c r="AM1196" s="696"/>
      <c r="AN1196" s="698">
        <v>260</v>
      </c>
      <c r="AO1196" s="699" t="str">
        <f>IFERROR(LARGE($AK$10:$AK$1420,AN1196),"")</f>
        <v/>
      </c>
      <c r="AP1196" s="700" t="str">
        <f>VLOOKUP(AO1196,$AK$10:$AL$1530,2,0)</f>
        <v>امجد عمر عبداللطيف سلطان</v>
      </c>
    </row>
    <row r="1197" spans="1:42" ht="14.85" customHeight="1" x14ac:dyDescent="0.25">
      <c r="A1197" s="611"/>
      <c r="B1197" s="614"/>
      <c r="C1197" s="617"/>
      <c r="D1197" s="620"/>
      <c r="E1197" s="130" t="s">
        <v>31</v>
      </c>
      <c r="F1197" s="592">
        <f>IFERROR(VLOOKUP($B1196,اسماء,15,0),0)</f>
        <v>0</v>
      </c>
      <c r="G1197" s="593"/>
      <c r="H1197" s="594">
        <f>IFERROR(VLOOKUP($B1196,اسماء,16,0),0)</f>
        <v>0</v>
      </c>
      <c r="I1197" s="595"/>
      <c r="J1197" s="592">
        <f>IFERROR(VLOOKUP($B1196,اسماء,17,0),0)</f>
        <v>0</v>
      </c>
      <c r="K1197" s="593"/>
      <c r="L1197" s="594">
        <f>IFERROR(VLOOKUP($B1196,اسماء,18,0),0)</f>
        <v>0</v>
      </c>
      <c r="M1197" s="596"/>
      <c r="N1197" s="594">
        <f>IFERROR(VLOOKUP($B1196,اسماء,19,0),0)</f>
        <v>0</v>
      </c>
      <c r="O1197" s="596"/>
      <c r="P1197" s="592">
        <f>IFERROR(VLOOKUP($B1196,اسماء,20,0),0)</f>
        <v>0</v>
      </c>
      <c r="Q1197" s="595"/>
      <c r="R1197" s="372">
        <f t="shared" si="3150"/>
        <v>0</v>
      </c>
      <c r="S1197" s="305" t="str">
        <f>IFERROR(VLOOKUP($B1196,اسماء,23,0),"")</f>
        <v/>
      </c>
      <c r="T1197" s="306" t="str">
        <f>IFERROR(VLOOKUP($B1196,اسماء,24,0),"")</f>
        <v/>
      </c>
      <c r="U1197" s="122" t="str">
        <f>IFERROR(VLOOKUP($B1196,اسماء,25,0),"")</f>
        <v/>
      </c>
      <c r="V1197" s="605"/>
      <c r="W1197" s="19" t="str">
        <f t="shared" si="3258"/>
        <v>ضعيف</v>
      </c>
      <c r="X1197" s="640"/>
      <c r="Y1197" s="68"/>
      <c r="Z1197" s="598"/>
      <c r="AK1197" s="667"/>
      <c r="AL1197" s="694"/>
      <c r="AM1197" s="696"/>
      <c r="AN1197" s="698"/>
      <c r="AO1197" s="699"/>
      <c r="AP1197" s="701"/>
    </row>
    <row r="1198" spans="1:42" ht="14.85" customHeight="1" x14ac:dyDescent="0.25">
      <c r="A1198" s="611"/>
      <c r="B1198" s="614"/>
      <c r="C1198" s="617"/>
      <c r="D1198" s="620"/>
      <c r="E1198" s="130" t="s">
        <v>32</v>
      </c>
      <c r="F1198" s="592">
        <f>IFERROR(VLOOKUP($B1196,اسماء,25,0),0)</f>
        <v>0</v>
      </c>
      <c r="G1198" s="593"/>
      <c r="H1198" s="594">
        <f>IFERROR(VLOOKUP($B1196,اسماء,26,0),0)</f>
        <v>0</v>
      </c>
      <c r="I1198" s="595"/>
      <c r="J1198" s="592">
        <f>IFERROR(VLOOKUP($B1196,اسماء,27,0),0)</f>
        <v>0</v>
      </c>
      <c r="K1198" s="593"/>
      <c r="L1198" s="594">
        <f>IFERROR(VLOOKUP($B1196,اسماء,28,0),0)</f>
        <v>0</v>
      </c>
      <c r="M1198" s="596"/>
      <c r="N1198" s="594">
        <f>IFERROR(VLOOKUP($B1196,اسماء,29,0),0)</f>
        <v>0</v>
      </c>
      <c r="O1198" s="596"/>
      <c r="P1198" s="592">
        <f>IFERROR(VLOOKUP($B1196,اسماء,30,0),0)</f>
        <v>0</v>
      </c>
      <c r="Q1198" s="595"/>
      <c r="R1198" s="372">
        <f t="shared" si="3150"/>
        <v>0</v>
      </c>
      <c r="S1198" s="305" t="str">
        <f>IFERROR(VLOOKUP($B1196,اسماء,34,0),"")</f>
        <v/>
      </c>
      <c r="T1198" s="306" t="str">
        <f>IFERROR(VLOOKUP($B1196,اسماء,35,0),"")</f>
        <v/>
      </c>
      <c r="U1198" s="122" t="str">
        <f>IFERROR(VLOOKUP($B1196,اسماء,36,0),"")</f>
        <v/>
      </c>
      <c r="V1198" s="605"/>
      <c r="W1198" s="20" t="str">
        <f t="shared" ref="W1198" si="3261">LOOKUP(R1198,$AF$6:$AG$10)</f>
        <v>ضعيف</v>
      </c>
      <c r="X1198" s="640"/>
      <c r="Y1198" s="68"/>
      <c r="Z1198" s="598"/>
      <c r="AK1198" s="667"/>
      <c r="AL1198" s="694"/>
      <c r="AM1198" s="696"/>
      <c r="AN1198" s="698"/>
      <c r="AO1198" s="699"/>
      <c r="AP1198" s="701"/>
    </row>
    <row r="1199" spans="1:42" ht="14.85" customHeight="1" thickBot="1" x14ac:dyDescent="0.3">
      <c r="A1199" s="612"/>
      <c r="B1199" s="615"/>
      <c r="C1199" s="618"/>
      <c r="D1199" s="621"/>
      <c r="E1199" s="124" t="s">
        <v>33</v>
      </c>
      <c r="F1199" s="623">
        <f t="shared" ref="F1199" si="3262">SUM(F1196:G1198)</f>
        <v>0</v>
      </c>
      <c r="G1199" s="624"/>
      <c r="H1199" s="625">
        <f t="shared" ref="H1199" si="3263">SUM(H1196:I1198)</f>
        <v>0</v>
      </c>
      <c r="I1199" s="626"/>
      <c r="J1199" s="623">
        <f t="shared" ref="J1199" si="3264">SUM(J1196:K1198)</f>
        <v>0</v>
      </c>
      <c r="K1199" s="624"/>
      <c r="L1199" s="625">
        <f t="shared" ref="L1199" si="3265">SUM(L1196:M1198)</f>
        <v>0</v>
      </c>
      <c r="M1199" s="642"/>
      <c r="N1199" s="625">
        <f t="shared" ref="N1199" si="3266">SUM(N1196:O1198)</f>
        <v>0</v>
      </c>
      <c r="O1199" s="642"/>
      <c r="P1199" s="623">
        <f t="shared" ref="P1199" si="3267">SUM(P1196:Q1198)</f>
        <v>0</v>
      </c>
      <c r="Q1199" s="626"/>
      <c r="R1199" s="88">
        <f t="shared" ref="R1199" si="3268">IF(AND(F1199&gt;=$G$8,H1199&gt;=$I$8,J1199&gt;=$K$8,L1199&gt;=$M$8,N1199&gt;=$O$8,P1199&gt;=$Q$8),SUM(F1199:Q1199),0)</f>
        <v>0</v>
      </c>
      <c r="S1199" s="251"/>
      <c r="T1199" s="97"/>
      <c r="U1199" s="94"/>
      <c r="V1199" s="606"/>
      <c r="W1199" s="88" t="str">
        <f t="shared" ref="W1199" si="3269">LOOKUP(R1199,$AI$6:$AJ$10)</f>
        <v>ضعيف</v>
      </c>
      <c r="X1199" s="641"/>
      <c r="Y1199" s="8"/>
      <c r="Z1199" s="599"/>
      <c r="AK1199" s="667"/>
      <c r="AL1199" s="694"/>
      <c r="AM1199" s="696"/>
      <c r="AN1199" s="698"/>
      <c r="AO1199" s="699"/>
      <c r="AP1199" s="702"/>
    </row>
    <row r="1200" spans="1:42" ht="14.85" customHeight="1" thickBot="1" x14ac:dyDescent="0.3">
      <c r="F1200" s="71"/>
      <c r="G1200" s="72"/>
      <c r="H1200" s="71"/>
      <c r="I1200" s="72"/>
      <c r="J1200" s="71"/>
      <c r="K1200" s="72"/>
      <c r="L1200" s="71"/>
      <c r="M1200" s="72"/>
      <c r="N1200" s="71"/>
      <c r="O1200" s="72"/>
      <c r="P1200" s="71"/>
      <c r="Q1200" s="72"/>
      <c r="R1200" s="70"/>
      <c r="S1200" s="73"/>
      <c r="T1200" s="70"/>
      <c r="U1200" s="70"/>
      <c r="V1200" s="70"/>
      <c r="W1200" s="70"/>
      <c r="X1200" s="254"/>
      <c r="Y1200" s="68"/>
      <c r="AH1200" s="74"/>
    </row>
    <row r="1201" spans="1:42" customFormat="1" ht="14.85" customHeight="1" x14ac:dyDescent="0.3">
      <c r="A1201" s="668" t="s">
        <v>9</v>
      </c>
      <c r="B1201" s="669"/>
      <c r="C1201" s="670"/>
      <c r="D1201" s="277" t="s">
        <v>11</v>
      </c>
      <c r="E1201" s="674" t="s">
        <v>96</v>
      </c>
      <c r="F1201" s="663"/>
      <c r="G1201" s="663"/>
      <c r="H1201" s="663"/>
      <c r="I1201" s="663"/>
      <c r="J1201" s="7"/>
      <c r="K1201" s="7"/>
      <c r="L1201" s="7"/>
      <c r="M1201" s="7"/>
      <c r="N1201" s="7"/>
      <c r="O1201" s="7"/>
      <c r="P1201" s="7"/>
      <c r="Q1201" s="663" t="s">
        <v>156</v>
      </c>
      <c r="R1201" s="663"/>
      <c r="S1201" s="663"/>
      <c r="T1201" s="663"/>
      <c r="U1201" s="663"/>
      <c r="V1201" s="663"/>
      <c r="W1201" s="1"/>
      <c r="X1201" s="255"/>
      <c r="Z1201" s="75"/>
      <c r="AA1201" s="76"/>
      <c r="AB1201" s="76"/>
      <c r="AC1201" s="76"/>
      <c r="AD1201" s="76"/>
    </row>
    <row r="1202" spans="1:42" customFormat="1" ht="14.85" customHeight="1" x14ac:dyDescent="0.25">
      <c r="A1202" s="77" t="s">
        <v>8</v>
      </c>
      <c r="B1202" s="671">
        <f>ادخال1!$BJ$3</f>
        <v>0</v>
      </c>
      <c r="C1202" s="672"/>
      <c r="D1202" s="278"/>
      <c r="E1202" s="7" t="s">
        <v>9</v>
      </c>
      <c r="F1202" s="673" t="str">
        <f>ادخال1!$BJ$5</f>
        <v>د. عبدالرحمن خليفة العريبي</v>
      </c>
      <c r="G1202" s="673"/>
      <c r="H1202" s="673"/>
      <c r="I1202" s="673"/>
      <c r="J1202" s="673"/>
      <c r="K1202" s="673"/>
      <c r="L1202" s="673"/>
      <c r="M1202" s="673"/>
      <c r="N1202" s="673"/>
      <c r="O1202" s="673"/>
      <c r="P1202" s="7"/>
      <c r="Q1202" s="673" t="str">
        <f>ادخال1!$BJ$6</f>
        <v>تاجوراء</v>
      </c>
      <c r="R1202" s="673"/>
      <c r="S1202" s="673"/>
      <c r="T1202" s="673"/>
      <c r="U1202" s="673"/>
      <c r="V1202" s="673"/>
      <c r="W1202" s="673"/>
      <c r="X1202" s="63"/>
      <c r="Y1202" s="63"/>
      <c r="Z1202" s="75"/>
      <c r="AA1202" s="75"/>
      <c r="AB1202" s="75"/>
      <c r="AC1202" s="75"/>
    </row>
    <row r="1203" spans="1:42" customFormat="1" ht="14.85" customHeight="1" thickBot="1" x14ac:dyDescent="0.3">
      <c r="A1203" s="78" t="s">
        <v>97</v>
      </c>
      <c r="B1203" s="665">
        <f>ادخال1!$BJ$4</f>
        <v>0</v>
      </c>
      <c r="C1203" s="666"/>
      <c r="D1203" s="279"/>
      <c r="E1203" s="7" t="s">
        <v>11</v>
      </c>
      <c r="F1203" s="667"/>
      <c r="G1203" s="667"/>
      <c r="H1203" s="667"/>
      <c r="I1203" s="667"/>
      <c r="J1203" s="667"/>
      <c r="K1203" s="667"/>
      <c r="L1203" s="667"/>
      <c r="M1203" s="667"/>
      <c r="N1203" s="667"/>
      <c r="O1203" s="667"/>
      <c r="P1203" s="7"/>
      <c r="Q1203" s="7" t="s">
        <v>11</v>
      </c>
      <c r="R1203" s="1"/>
      <c r="S1203" s="1"/>
      <c r="T1203" s="1"/>
      <c r="U1203" s="1"/>
      <c r="V1203" s="1"/>
      <c r="W1203" s="1"/>
      <c r="X1203" s="255"/>
      <c r="Z1203" s="75"/>
      <c r="AA1203" s="75"/>
      <c r="AB1203" s="75"/>
      <c r="AC1203" s="75"/>
    </row>
    <row r="1204" spans="1:42" customFormat="1" ht="14.85" customHeight="1" x14ac:dyDescent="0.25">
      <c r="A1204" s="663" t="s">
        <v>98</v>
      </c>
      <c r="B1204" s="663"/>
      <c r="C1204" s="663"/>
      <c r="D1204" s="663"/>
      <c r="E1204" s="663" t="s">
        <v>99</v>
      </c>
      <c r="F1204" s="663"/>
      <c r="G1204" s="663"/>
      <c r="H1204" s="663"/>
      <c r="I1204" s="663"/>
      <c r="J1204" s="663"/>
      <c r="K1204" s="663"/>
      <c r="L1204" s="663"/>
      <c r="M1204" s="663"/>
      <c r="N1204" s="663"/>
      <c r="O1204" s="663"/>
      <c r="P1204" s="663"/>
      <c r="Q1204" s="663"/>
      <c r="R1204" s="7"/>
      <c r="S1204" s="664">
        <f ca="1">TODAY()</f>
        <v>46009</v>
      </c>
      <c r="T1204" s="664"/>
      <c r="U1204" s="664"/>
      <c r="V1204" s="664"/>
      <c r="W1204" s="664"/>
      <c r="X1204" s="255"/>
    </row>
    <row r="1205" spans="1:42" customFormat="1" ht="14.85" customHeight="1" thickBot="1" x14ac:dyDescent="0.3">
      <c r="A1205" s="7"/>
      <c r="B1205" s="663" t="s">
        <v>100</v>
      </c>
      <c r="C1205" s="663"/>
      <c r="D1205" s="663"/>
      <c r="E1205" s="663" t="s">
        <v>101</v>
      </c>
      <c r="F1205" s="663"/>
      <c r="G1205" s="663"/>
      <c r="H1205" s="663"/>
      <c r="I1205" s="663"/>
      <c r="J1205" s="663"/>
      <c r="K1205" s="663"/>
      <c r="L1205" s="663"/>
      <c r="M1205" s="663"/>
      <c r="N1205" s="663"/>
      <c r="O1205" s="663"/>
      <c r="P1205" s="663"/>
      <c r="Q1205" s="663"/>
      <c r="R1205" s="1"/>
      <c r="S1205" s="1"/>
      <c r="T1205" s="1"/>
      <c r="U1205" s="1"/>
      <c r="V1205" s="1"/>
      <c r="W1205" s="1"/>
      <c r="X1205" s="255"/>
    </row>
    <row r="1206" spans="1:42" ht="14.85" customHeight="1" thickBot="1" x14ac:dyDescent="0.3">
      <c r="A1206" s="610">
        <v>261</v>
      </c>
      <c r="B1206" s="613">
        <f>VLOOKUP(A1206,مسلسل,2,0)</f>
        <v>0</v>
      </c>
      <c r="C1206" s="616" t="str">
        <f>IFERROR(VLOOKUP(B1206,اسماء,2,0),"")</f>
        <v/>
      </c>
      <c r="D1206" s="619" t="str">
        <f>IFERROR(VLOOKUP($B1206,اسماء,3,0),"")</f>
        <v/>
      </c>
      <c r="E1206" s="129" t="s">
        <v>30</v>
      </c>
      <c r="F1206" s="600">
        <f>IFERROR(VLOOKUP($B1206,اسماء,5,0),0)</f>
        <v>0</v>
      </c>
      <c r="G1206" s="601"/>
      <c r="H1206" s="602">
        <f>IFERROR(VLOOKUP($B1206,اسماء,6,0),0)</f>
        <v>0</v>
      </c>
      <c r="I1206" s="622"/>
      <c r="J1206" s="600">
        <f>IFERROR(VLOOKUP($B1206,اسماء,7,0),0)</f>
        <v>0</v>
      </c>
      <c r="K1206" s="601"/>
      <c r="L1206" s="602">
        <f>IFERROR(VLOOKUP($B1206,اسماء,8,0),0)</f>
        <v>0</v>
      </c>
      <c r="M1206" s="603"/>
      <c r="N1206" s="602">
        <f>IFERROR(VLOOKUP($B1206,اسماء,9,0),0)</f>
        <v>0</v>
      </c>
      <c r="O1206" s="603"/>
      <c r="P1206" s="600">
        <f>IFERROR(VLOOKUP($B1206,اسماء,10,0),0)</f>
        <v>0</v>
      </c>
      <c r="Q1206" s="622"/>
      <c r="R1206" s="371">
        <f>SUM(F1206:Q1206)</f>
        <v>0</v>
      </c>
      <c r="S1206" s="325" t="str">
        <f>IFERROR(VLOOKUP($B1206,اسماء,12,0),"")</f>
        <v/>
      </c>
      <c r="T1206" s="326" t="str">
        <f>IFERROR(VLOOKUP($B1206,اسماء,13,0),"")</f>
        <v/>
      </c>
      <c r="U1206" s="92" t="str">
        <f>IFERROR(VLOOKUP($B1206,اسماء,14,0),"")</f>
        <v/>
      </c>
      <c r="V1206" s="604" t="str">
        <f t="shared" ref="V1206" si="3270">IF(Z1206="غائب","راسب",IF(R1209&gt;0,"ناجح","مرحل"))</f>
        <v>مرحل</v>
      </c>
      <c r="W1206" s="19" t="str">
        <f t="shared" ref="W1206:W1207" si="3271">LOOKUP(R1206,$AC$6:$AD$10)</f>
        <v>ضعيف</v>
      </c>
      <c r="X1206" s="639">
        <f t="shared" ref="X1206" si="3272">R1209/$AC$3</f>
        <v>0</v>
      </c>
      <c r="Y1206" s="68"/>
      <c r="Z1206" s="597" t="str">
        <f>IFERROR(VLOOKUP($B1206,اسماء,48,0),"")</f>
        <v/>
      </c>
      <c r="AK1206" s="695" t="str">
        <f>IF(R1209=0,"",R1209/1+ROW()*0.00001)</f>
        <v/>
      </c>
      <c r="AL1206" s="695">
        <f>B1206</f>
        <v>0</v>
      </c>
      <c r="AM1206" s="696"/>
      <c r="AN1206" s="698">
        <v>261</v>
      </c>
      <c r="AO1206" s="699" t="str">
        <f>IFERROR(LARGE($AK$10:$AK$1420,AN1206),"")</f>
        <v/>
      </c>
      <c r="AP1206" s="700" t="str">
        <f>VLOOKUP(AO1206,$AK$10:$AL$1530,2,0)</f>
        <v>امجد عمر عبداللطيف سلطان</v>
      </c>
    </row>
    <row r="1207" spans="1:42" ht="14.85" customHeight="1" x14ac:dyDescent="0.25">
      <c r="A1207" s="611"/>
      <c r="B1207" s="614"/>
      <c r="C1207" s="617"/>
      <c r="D1207" s="620"/>
      <c r="E1207" s="130" t="s">
        <v>31</v>
      </c>
      <c r="F1207" s="592">
        <f>IFERROR(VLOOKUP($B1206,اسماء,16,0),0)</f>
        <v>0</v>
      </c>
      <c r="G1207" s="593"/>
      <c r="H1207" s="594">
        <f>IFERROR(VLOOKUP($B1206,اسماء,17,0),0)</f>
        <v>0</v>
      </c>
      <c r="I1207" s="595"/>
      <c r="J1207" s="592">
        <f>IFERROR(VLOOKUP($B1206,اسماء,18,0),0)</f>
        <v>0</v>
      </c>
      <c r="K1207" s="593"/>
      <c r="L1207" s="594">
        <f>IFERROR(VLOOKUP($B1206,اسماء,19,0),0)</f>
        <v>0</v>
      </c>
      <c r="M1207" s="596"/>
      <c r="N1207" s="594">
        <f>IFERROR(VLOOKUP($B1206,اسماء,20,0),0)</f>
        <v>0</v>
      </c>
      <c r="O1207" s="596"/>
      <c r="P1207" s="592">
        <f>IFERROR(VLOOKUP($B1206,اسماء,21,0),0)</f>
        <v>0</v>
      </c>
      <c r="Q1207" s="595"/>
      <c r="R1207" s="372">
        <f t="shared" ref="R1207:R1208" si="3273">SUM(F1207:Q1207)</f>
        <v>0</v>
      </c>
      <c r="S1207" s="305" t="str">
        <f>IFERROR(VLOOKUP($B1206,اسماء,23,0),"")</f>
        <v/>
      </c>
      <c r="T1207" s="306" t="str">
        <f>IFERROR(VLOOKUP($B1206,اسماء,24,0),"")</f>
        <v/>
      </c>
      <c r="U1207" s="122" t="str">
        <f>IFERROR(VLOOKUP($B1206,اسماء,25,0),"")</f>
        <v/>
      </c>
      <c r="V1207" s="605"/>
      <c r="W1207" s="19" t="str">
        <f t="shared" si="3271"/>
        <v>ضعيف</v>
      </c>
      <c r="X1207" s="640"/>
      <c r="Y1207" s="68"/>
      <c r="Z1207" s="598"/>
      <c r="AK1207" s="696"/>
      <c r="AL1207" s="696"/>
      <c r="AM1207" s="696"/>
      <c r="AN1207" s="698"/>
      <c r="AO1207" s="699"/>
      <c r="AP1207" s="701"/>
    </row>
    <row r="1208" spans="1:42" ht="14.85" customHeight="1" x14ac:dyDescent="0.25">
      <c r="A1208" s="611"/>
      <c r="B1208" s="614"/>
      <c r="C1208" s="617"/>
      <c r="D1208" s="620"/>
      <c r="E1208" s="130" t="s">
        <v>32</v>
      </c>
      <c r="F1208" s="592">
        <f>IFERROR(VLOOKUP($B1206,اسماء,27,0),0)</f>
        <v>0</v>
      </c>
      <c r="G1208" s="593"/>
      <c r="H1208" s="594">
        <f>IFERROR(VLOOKUP($B1206,اسماء,28,0),0)</f>
        <v>0</v>
      </c>
      <c r="I1208" s="595"/>
      <c r="J1208" s="592">
        <f>IFERROR(VLOOKUP($B1206,اسماء,29,0),0)</f>
        <v>0</v>
      </c>
      <c r="K1208" s="593"/>
      <c r="L1208" s="594">
        <f>IFERROR(VLOOKUP($B1206,اسماء,30,0),0)</f>
        <v>0</v>
      </c>
      <c r="M1208" s="596"/>
      <c r="N1208" s="594">
        <f>IFERROR(VLOOKUP($B1206,اسماء,31,0),0)</f>
        <v>0</v>
      </c>
      <c r="O1208" s="596"/>
      <c r="P1208" s="592">
        <f>IFERROR(VLOOKUP($B1206,اسماء,32,0),0)</f>
        <v>0</v>
      </c>
      <c r="Q1208" s="595"/>
      <c r="R1208" s="372">
        <f t="shared" si="3273"/>
        <v>0</v>
      </c>
      <c r="S1208" s="305" t="str">
        <f>IFERROR(VLOOKUP($B1206,اسماء,34,0),"")</f>
        <v/>
      </c>
      <c r="T1208" s="306" t="str">
        <f>IFERROR(VLOOKUP($B1206,اسماء,35,0),"")</f>
        <v/>
      </c>
      <c r="U1208" s="122" t="str">
        <f>IFERROR(VLOOKUP($B1206,اسماء,36,0),"")</f>
        <v/>
      </c>
      <c r="V1208" s="605"/>
      <c r="W1208" s="20" t="str">
        <f t="shared" ref="W1208" si="3274">LOOKUP(R1208,$AF$6:$AG$10)</f>
        <v>ضعيف</v>
      </c>
      <c r="X1208" s="640"/>
      <c r="Y1208" s="8"/>
      <c r="Z1208" s="598"/>
      <c r="AK1208" s="696"/>
      <c r="AL1208" s="696"/>
      <c r="AM1208" s="696"/>
      <c r="AN1208" s="698"/>
      <c r="AO1208" s="699"/>
      <c r="AP1208" s="701"/>
    </row>
    <row r="1209" spans="1:42" ht="14.85" customHeight="1" thickBot="1" x14ac:dyDescent="0.3">
      <c r="A1209" s="612"/>
      <c r="B1209" s="615"/>
      <c r="C1209" s="618"/>
      <c r="D1209" s="621"/>
      <c r="E1209" s="124" t="s">
        <v>33</v>
      </c>
      <c r="F1209" s="623">
        <f>SUM(F1206:G1208)</f>
        <v>0</v>
      </c>
      <c r="G1209" s="624"/>
      <c r="H1209" s="625">
        <f>SUM(H1206:I1208)</f>
        <v>0</v>
      </c>
      <c r="I1209" s="626"/>
      <c r="J1209" s="623">
        <f>SUM(J1206:K1208)</f>
        <v>0</v>
      </c>
      <c r="K1209" s="624"/>
      <c r="L1209" s="625">
        <f>SUM(L1206:M1208)</f>
        <v>0</v>
      </c>
      <c r="M1209" s="642"/>
      <c r="N1209" s="625">
        <f>SUM(N1206:O1208)</f>
        <v>0</v>
      </c>
      <c r="O1209" s="642"/>
      <c r="P1209" s="623">
        <f>SUM(P1206:Q1208)</f>
        <v>0</v>
      </c>
      <c r="Q1209" s="626"/>
      <c r="R1209" s="88">
        <f>IF(AND(F1209&gt;=$G$8,H1209&gt;=$I$8,J1209&gt;=$K$8,L1209&gt;=$M$8,N1209&gt;=$O$8,P1209&gt;=$Q$8),SUM(F1209:Q1209),0)</f>
        <v>0</v>
      </c>
      <c r="S1209" s="251"/>
      <c r="T1209" s="97"/>
      <c r="U1209" s="94"/>
      <c r="V1209" s="606"/>
      <c r="W1209" s="88" t="str">
        <f t="shared" ref="W1209" si="3275">LOOKUP(R1209,$AI$6:$AJ$10)</f>
        <v>ضعيف</v>
      </c>
      <c r="X1209" s="641"/>
      <c r="Y1209" s="68"/>
      <c r="Z1209" s="599"/>
      <c r="AK1209" s="697"/>
      <c r="AL1209" s="697"/>
      <c r="AM1209" s="696"/>
      <c r="AN1209" s="698"/>
      <c r="AO1209" s="699"/>
      <c r="AP1209" s="702"/>
    </row>
    <row r="1210" spans="1:42" ht="14.85" customHeight="1" thickBot="1" x14ac:dyDescent="0.3">
      <c r="A1210" s="610">
        <v>262</v>
      </c>
      <c r="B1210" s="613">
        <f>VLOOKUP(A1210,مسلسل,2,0)</f>
        <v>0</v>
      </c>
      <c r="C1210" s="616" t="str">
        <f>IFERROR(VLOOKUP(B1210,اسماء,2,0),"")</f>
        <v/>
      </c>
      <c r="D1210" s="619" t="str">
        <f>IFERROR(VLOOKUP($B1210,اسماء,3,0),"")</f>
        <v/>
      </c>
      <c r="E1210" s="129" t="s">
        <v>30</v>
      </c>
      <c r="F1210" s="600">
        <f>IFERROR(VLOOKUP($B1210,اسماء,5,0),0)</f>
        <v>0</v>
      </c>
      <c r="G1210" s="601"/>
      <c r="H1210" s="602">
        <f>IFERROR(VLOOKUP($B1210,اسماء,6,0),0)</f>
        <v>0</v>
      </c>
      <c r="I1210" s="622"/>
      <c r="J1210" s="600">
        <f>IFERROR(VLOOKUP($B1210,اسماء,7,0),0)</f>
        <v>0</v>
      </c>
      <c r="K1210" s="601"/>
      <c r="L1210" s="602">
        <f>IFERROR(VLOOKUP($B1210,اسماء,8,0),0)</f>
        <v>0</v>
      </c>
      <c r="M1210" s="603"/>
      <c r="N1210" s="602">
        <f>IFERROR(VLOOKUP($B1210,اسماء,9,0),0)</f>
        <v>0</v>
      </c>
      <c r="O1210" s="603"/>
      <c r="P1210" s="600">
        <f>IFERROR(VLOOKUP($B1210,اسماء,10,0),0)</f>
        <v>0</v>
      </c>
      <c r="Q1210" s="622"/>
      <c r="R1210" s="371">
        <f t="shared" ref="R1210:R1244" si="3276">SUM(F1210:Q1210)</f>
        <v>0</v>
      </c>
      <c r="S1210" s="213" t="str">
        <f>IFERROR(VLOOKUP($B1210,اسماء,12,0),"")</f>
        <v/>
      </c>
      <c r="T1210" s="214" t="str">
        <f>IFERROR(VLOOKUP($B1210,اسماء,13,0),"")</f>
        <v/>
      </c>
      <c r="U1210" s="364" t="str">
        <f>IFERROR(VLOOKUP($B1210,اسماء,14,0),"")</f>
        <v/>
      </c>
      <c r="V1210" s="604" t="str">
        <f t="shared" ref="V1210" si="3277">IF(Z1210="غائب","راسب",IF(R1213&gt;0,"ناجح","مرحل"))</f>
        <v>مرحل</v>
      </c>
      <c r="W1210" s="19" t="str">
        <f t="shared" ref="W1210:W1211" si="3278">LOOKUP(R1210,$AC$6:$AD$10)</f>
        <v>ضعيف</v>
      </c>
      <c r="X1210" s="639">
        <f t="shared" ref="X1210" si="3279">R1213/$AC$3</f>
        <v>0</v>
      </c>
      <c r="Y1210" s="68"/>
      <c r="Z1210" s="597" t="str">
        <f>IFERROR(VLOOKUP($B1210,اسماء,48,0),"")</f>
        <v/>
      </c>
      <c r="AK1210" s="705" t="str">
        <f t="shared" ref="AK1210" si="3280">IF(R1213=0,"",R1213/1+ROW()*0.00001)</f>
        <v/>
      </c>
      <c r="AL1210" s="703">
        <f>B1210</f>
        <v>0</v>
      </c>
      <c r="AM1210" s="696"/>
      <c r="AN1210" s="698">
        <v>262</v>
      </c>
      <c r="AO1210" s="699" t="str">
        <f>IFERROR(LARGE($AK$10:$AK$1420,AN1210),"")</f>
        <v/>
      </c>
      <c r="AP1210" s="700" t="str">
        <f>VLOOKUP(AO1210,$AK$10:$AL$1530,2,0)</f>
        <v>امجد عمر عبداللطيف سلطان</v>
      </c>
    </row>
    <row r="1211" spans="1:42" ht="14.85" customHeight="1" x14ac:dyDescent="0.25">
      <c r="A1211" s="611"/>
      <c r="B1211" s="614"/>
      <c r="C1211" s="617"/>
      <c r="D1211" s="620"/>
      <c r="E1211" s="130" t="s">
        <v>31</v>
      </c>
      <c r="F1211" s="592">
        <f>IFERROR(VLOOKUP($B1210,اسماء,15,0),0)</f>
        <v>0</v>
      </c>
      <c r="G1211" s="593"/>
      <c r="H1211" s="594">
        <f>IFERROR(VLOOKUP($B1210,اسماء,16,0),0)</f>
        <v>0</v>
      </c>
      <c r="I1211" s="595"/>
      <c r="J1211" s="592">
        <f>IFERROR(VLOOKUP($B1210,اسماء,17,0),0)</f>
        <v>0</v>
      </c>
      <c r="K1211" s="593"/>
      <c r="L1211" s="594">
        <f>IFERROR(VLOOKUP($B1210,اسماء,18,0),0)</f>
        <v>0</v>
      </c>
      <c r="M1211" s="596"/>
      <c r="N1211" s="594">
        <f>IFERROR(VLOOKUP($B1210,اسماء,19,0),0)</f>
        <v>0</v>
      </c>
      <c r="O1211" s="596"/>
      <c r="P1211" s="592">
        <f>IFERROR(VLOOKUP($B1210,اسماء,20,0),0)</f>
        <v>0</v>
      </c>
      <c r="Q1211" s="595"/>
      <c r="R1211" s="372">
        <f t="shared" si="3276"/>
        <v>0</v>
      </c>
      <c r="S1211" s="305" t="str">
        <f>IFERROR(VLOOKUP($B1210,اسماء,23,0),"")</f>
        <v/>
      </c>
      <c r="T1211" s="306" t="str">
        <f>IFERROR(VLOOKUP($B1210,اسماء,24,0),"")</f>
        <v/>
      </c>
      <c r="U1211" s="122" t="str">
        <f>IFERROR(VLOOKUP($B1210,اسماء,25,0),"")</f>
        <v/>
      </c>
      <c r="V1211" s="605"/>
      <c r="W1211" s="19" t="str">
        <f t="shared" si="3278"/>
        <v>ضعيف</v>
      </c>
      <c r="X1211" s="640"/>
      <c r="Y1211" s="8"/>
      <c r="Z1211" s="598"/>
      <c r="AK1211" s="667"/>
      <c r="AL1211" s="694"/>
      <c r="AM1211" s="696"/>
      <c r="AN1211" s="698"/>
      <c r="AO1211" s="699"/>
      <c r="AP1211" s="701"/>
    </row>
    <row r="1212" spans="1:42" ht="14.85" customHeight="1" x14ac:dyDescent="0.25">
      <c r="A1212" s="611"/>
      <c r="B1212" s="614"/>
      <c r="C1212" s="617"/>
      <c r="D1212" s="620"/>
      <c r="E1212" s="130" t="s">
        <v>32</v>
      </c>
      <c r="F1212" s="592">
        <f>IFERROR(VLOOKUP($B1210,اسماء,25,0),0)</f>
        <v>0</v>
      </c>
      <c r="G1212" s="593"/>
      <c r="H1212" s="594">
        <f>IFERROR(VLOOKUP($B1210,اسماء,26,0),0)</f>
        <v>0</v>
      </c>
      <c r="I1212" s="595"/>
      <c r="J1212" s="592">
        <f>IFERROR(VLOOKUP($B1210,اسماء,27,0),0)</f>
        <v>0</v>
      </c>
      <c r="K1212" s="593"/>
      <c r="L1212" s="594">
        <f>IFERROR(VLOOKUP($B1210,اسماء,28,0),0)</f>
        <v>0</v>
      </c>
      <c r="M1212" s="596"/>
      <c r="N1212" s="594">
        <f>IFERROR(VLOOKUP($B1210,اسماء,29,0),0)</f>
        <v>0</v>
      </c>
      <c r="O1212" s="596"/>
      <c r="P1212" s="592">
        <f>IFERROR(VLOOKUP($B1210,اسماء,30,0),0)</f>
        <v>0</v>
      </c>
      <c r="Q1212" s="595"/>
      <c r="R1212" s="372">
        <f t="shared" si="3276"/>
        <v>0</v>
      </c>
      <c r="S1212" s="305" t="str">
        <f>IFERROR(VLOOKUP($B1210,اسماء,34,0),"")</f>
        <v/>
      </c>
      <c r="T1212" s="306" t="str">
        <f>IFERROR(VLOOKUP($B1210,اسماء,35,0),"")</f>
        <v/>
      </c>
      <c r="U1212" s="122" t="str">
        <f>IFERROR(VLOOKUP($B1210,اسماء,36,0),"")</f>
        <v/>
      </c>
      <c r="V1212" s="605"/>
      <c r="W1212" s="20" t="str">
        <f t="shared" ref="W1212" si="3281">LOOKUP(R1212,$AF$6:$AG$10)</f>
        <v>ضعيف</v>
      </c>
      <c r="X1212" s="640"/>
      <c r="Y1212" s="68"/>
      <c r="Z1212" s="598"/>
      <c r="AK1212" s="667"/>
      <c r="AL1212" s="694"/>
      <c r="AM1212" s="696"/>
      <c r="AN1212" s="698"/>
      <c r="AO1212" s="699"/>
      <c r="AP1212" s="701"/>
    </row>
    <row r="1213" spans="1:42" ht="14.85" customHeight="1" thickBot="1" x14ac:dyDescent="0.3">
      <c r="A1213" s="612"/>
      <c r="B1213" s="615"/>
      <c r="C1213" s="618"/>
      <c r="D1213" s="621"/>
      <c r="E1213" s="124" t="s">
        <v>33</v>
      </c>
      <c r="F1213" s="623">
        <f>SUM(F1210:G1212)</f>
        <v>0</v>
      </c>
      <c r="G1213" s="624"/>
      <c r="H1213" s="625">
        <f>SUM(H1210:I1212)</f>
        <v>0</v>
      </c>
      <c r="I1213" s="626"/>
      <c r="J1213" s="623">
        <f>SUM(J1210:K1212)</f>
        <v>0</v>
      </c>
      <c r="K1213" s="624"/>
      <c r="L1213" s="625">
        <f>SUM(L1210:M1212)</f>
        <v>0</v>
      </c>
      <c r="M1213" s="642"/>
      <c r="N1213" s="625">
        <f>SUM(N1210:O1212)</f>
        <v>0</v>
      </c>
      <c r="O1213" s="642"/>
      <c r="P1213" s="623">
        <f>SUM(P1210:Q1212)</f>
        <v>0</v>
      </c>
      <c r="Q1213" s="626"/>
      <c r="R1213" s="88">
        <f t="shared" ref="R1213" si="3282">IF(AND(F1213&gt;=$G$8,H1213&gt;=$I$8,J1213&gt;=$K$8,L1213&gt;=$M$8,N1213&gt;=$O$8,P1213&gt;=$Q$8),SUM(F1213:Q1213),0)</f>
        <v>0</v>
      </c>
      <c r="S1213" s="251"/>
      <c r="T1213" s="97"/>
      <c r="U1213" s="94"/>
      <c r="V1213" s="606"/>
      <c r="W1213" s="88" t="str">
        <f t="shared" ref="W1213" si="3283">LOOKUP(R1213,$AI$6:$AJ$10)</f>
        <v>ضعيف</v>
      </c>
      <c r="X1213" s="641"/>
      <c r="Y1213" s="68"/>
      <c r="Z1213" s="599"/>
      <c r="AK1213" s="667"/>
      <c r="AL1213" s="694"/>
      <c r="AM1213" s="696"/>
      <c r="AN1213" s="698"/>
      <c r="AO1213" s="699"/>
      <c r="AP1213" s="702"/>
    </row>
    <row r="1214" spans="1:42" ht="14.85" customHeight="1" thickBot="1" x14ac:dyDescent="0.3">
      <c r="A1214" s="610">
        <v>263</v>
      </c>
      <c r="B1214" s="613">
        <f>VLOOKUP(A1214,مسلسل,2,0)</f>
        <v>0</v>
      </c>
      <c r="C1214" s="616" t="str">
        <f>IFERROR(VLOOKUP(B1214,اسماء,2,0),"")</f>
        <v/>
      </c>
      <c r="D1214" s="619" t="str">
        <f>IFERROR(VLOOKUP($B1214,اسماء,3,0),"")</f>
        <v/>
      </c>
      <c r="E1214" s="129" t="s">
        <v>30</v>
      </c>
      <c r="F1214" s="600">
        <f>IFERROR(VLOOKUP($B1214,اسماء,5,0),0)</f>
        <v>0</v>
      </c>
      <c r="G1214" s="601"/>
      <c r="H1214" s="602">
        <f>IFERROR(VLOOKUP($B1214,اسماء,6,0),0)</f>
        <v>0</v>
      </c>
      <c r="I1214" s="622"/>
      <c r="J1214" s="600">
        <f>IFERROR(VLOOKUP($B1214,اسماء,7,0),0)</f>
        <v>0</v>
      </c>
      <c r="K1214" s="601"/>
      <c r="L1214" s="602">
        <f>IFERROR(VLOOKUP($B1214,اسماء,8,0),0)</f>
        <v>0</v>
      </c>
      <c r="M1214" s="603"/>
      <c r="N1214" s="602">
        <f>IFERROR(VLOOKUP($B1214,اسماء,9,0),0)</f>
        <v>0</v>
      </c>
      <c r="O1214" s="603"/>
      <c r="P1214" s="600">
        <f>IFERROR(VLOOKUP($B1214,اسماء,10,0),0)</f>
        <v>0</v>
      </c>
      <c r="Q1214" s="622"/>
      <c r="R1214" s="371">
        <f t="shared" ref="R1214" si="3284">SUM(F1214:Q1214)</f>
        <v>0</v>
      </c>
      <c r="S1214" s="213" t="str">
        <f>IFERROR(VLOOKUP($B1214,اسماء,12,0),"")</f>
        <v/>
      </c>
      <c r="T1214" s="214" t="str">
        <f>IFERROR(VLOOKUP($B1214,اسماء,13,0),"")</f>
        <v/>
      </c>
      <c r="U1214" s="364" t="str">
        <f>IFERROR(VLOOKUP($B1214,اسماء,14,0),"")</f>
        <v/>
      </c>
      <c r="V1214" s="604" t="str">
        <f t="shared" ref="V1214" si="3285">IF(Z1214="غائب","راسب",IF(R1217&gt;0,"ناجح","مرحل"))</f>
        <v>مرحل</v>
      </c>
      <c r="W1214" s="19" t="str">
        <f t="shared" ref="W1214:W1215" si="3286">LOOKUP(R1214,$AC$6:$AD$10)</f>
        <v>ضعيف</v>
      </c>
      <c r="X1214" s="639">
        <f t="shared" ref="X1214" si="3287">R1217/$AC$3</f>
        <v>0</v>
      </c>
      <c r="Y1214" s="8"/>
      <c r="Z1214" s="597" t="str">
        <f>IFERROR(VLOOKUP($B1214,اسماء,48,0),"")</f>
        <v/>
      </c>
      <c r="AK1214" s="667" t="str">
        <f t="shared" ref="AK1214" si="3288">IF(R1217=0,"",R1217/1+ROW()*0.00001)</f>
        <v/>
      </c>
      <c r="AL1214" s="694">
        <f>B1214</f>
        <v>0</v>
      </c>
      <c r="AM1214" s="696"/>
      <c r="AN1214" s="698">
        <v>263</v>
      </c>
      <c r="AO1214" s="699" t="str">
        <f>IFERROR(LARGE($AK$10:$AK$1420,AN1214),"")</f>
        <v/>
      </c>
      <c r="AP1214" s="700" t="str">
        <f>VLOOKUP(AO1214,$AK$10:$AL$1530,2,0)</f>
        <v>امجد عمر عبداللطيف سلطان</v>
      </c>
    </row>
    <row r="1215" spans="1:42" ht="14.85" customHeight="1" x14ac:dyDescent="0.25">
      <c r="A1215" s="611"/>
      <c r="B1215" s="614"/>
      <c r="C1215" s="617"/>
      <c r="D1215" s="620"/>
      <c r="E1215" s="130" t="s">
        <v>31</v>
      </c>
      <c r="F1215" s="592">
        <f>IFERROR(VLOOKUP($B1214,اسماء,15,0),0)</f>
        <v>0</v>
      </c>
      <c r="G1215" s="593"/>
      <c r="H1215" s="594">
        <f>IFERROR(VLOOKUP($B1214,اسماء,16,0),0)</f>
        <v>0</v>
      </c>
      <c r="I1215" s="595"/>
      <c r="J1215" s="592">
        <f>IFERROR(VLOOKUP($B1214,اسماء,17,0),0)</f>
        <v>0</v>
      </c>
      <c r="K1215" s="593"/>
      <c r="L1215" s="594">
        <f>IFERROR(VLOOKUP($B1214,اسماء,18,0),0)</f>
        <v>0</v>
      </c>
      <c r="M1215" s="596"/>
      <c r="N1215" s="594">
        <f>IFERROR(VLOOKUP($B1214,اسماء,19,0),0)</f>
        <v>0</v>
      </c>
      <c r="O1215" s="596"/>
      <c r="P1215" s="592">
        <f>IFERROR(VLOOKUP($B1214,اسماء,20,0),0)</f>
        <v>0</v>
      </c>
      <c r="Q1215" s="595"/>
      <c r="R1215" s="372">
        <f t="shared" si="3276"/>
        <v>0</v>
      </c>
      <c r="S1215" s="305" t="str">
        <f>IFERROR(VLOOKUP($B1214,اسماء,23,0),"")</f>
        <v/>
      </c>
      <c r="T1215" s="306" t="str">
        <f>IFERROR(VLOOKUP($B1214,اسماء,24,0),"")</f>
        <v/>
      </c>
      <c r="U1215" s="122" t="str">
        <f>IFERROR(VLOOKUP($B1214,اسماء,25,0),"")</f>
        <v/>
      </c>
      <c r="V1215" s="605"/>
      <c r="W1215" s="19" t="str">
        <f t="shared" si="3286"/>
        <v>ضعيف</v>
      </c>
      <c r="X1215" s="640"/>
      <c r="Y1215" s="68"/>
      <c r="Z1215" s="598"/>
      <c r="AK1215" s="667"/>
      <c r="AL1215" s="694"/>
      <c r="AM1215" s="696"/>
      <c r="AN1215" s="698"/>
      <c r="AO1215" s="699"/>
      <c r="AP1215" s="701"/>
    </row>
    <row r="1216" spans="1:42" ht="14.85" customHeight="1" x14ac:dyDescent="0.25">
      <c r="A1216" s="611"/>
      <c r="B1216" s="614"/>
      <c r="C1216" s="617"/>
      <c r="D1216" s="620"/>
      <c r="E1216" s="130" t="s">
        <v>32</v>
      </c>
      <c r="F1216" s="592">
        <f>IFERROR(VLOOKUP($B1214,اسماء,25,0),0)</f>
        <v>0</v>
      </c>
      <c r="G1216" s="593"/>
      <c r="H1216" s="594">
        <f>IFERROR(VLOOKUP($B1214,اسماء,26,0),0)</f>
        <v>0</v>
      </c>
      <c r="I1216" s="595"/>
      <c r="J1216" s="592">
        <f>IFERROR(VLOOKUP($B1214,اسماء,27,0),0)</f>
        <v>0</v>
      </c>
      <c r="K1216" s="593"/>
      <c r="L1216" s="594">
        <f>IFERROR(VLOOKUP($B1214,اسماء,28,0),0)</f>
        <v>0</v>
      </c>
      <c r="M1216" s="596"/>
      <c r="N1216" s="594">
        <f>IFERROR(VLOOKUP($B1214,اسماء,29,0),0)</f>
        <v>0</v>
      </c>
      <c r="O1216" s="596"/>
      <c r="P1216" s="592">
        <f>IFERROR(VLOOKUP($B1214,اسماء,30,0),0)</f>
        <v>0</v>
      </c>
      <c r="Q1216" s="595"/>
      <c r="R1216" s="372">
        <f t="shared" si="3276"/>
        <v>0</v>
      </c>
      <c r="S1216" s="305" t="str">
        <f>IFERROR(VLOOKUP($B1214,اسماء,34,0),"")</f>
        <v/>
      </c>
      <c r="T1216" s="306" t="str">
        <f>IFERROR(VLOOKUP($B1214,اسماء,35,0),"")</f>
        <v/>
      </c>
      <c r="U1216" s="122" t="str">
        <f>IFERROR(VLOOKUP($B1214,اسماء,36,0),"")</f>
        <v/>
      </c>
      <c r="V1216" s="605"/>
      <c r="W1216" s="20" t="str">
        <f t="shared" ref="W1216" si="3289">LOOKUP(R1216,$AF$6:$AG$10)</f>
        <v>ضعيف</v>
      </c>
      <c r="X1216" s="640"/>
      <c r="Y1216" s="68"/>
      <c r="Z1216" s="598"/>
      <c r="AK1216" s="667"/>
      <c r="AL1216" s="694"/>
      <c r="AM1216" s="696"/>
      <c r="AN1216" s="698"/>
      <c r="AO1216" s="699"/>
      <c r="AP1216" s="701"/>
    </row>
    <row r="1217" spans="1:42" ht="14.85" customHeight="1" thickBot="1" x14ac:dyDescent="0.3">
      <c r="A1217" s="612"/>
      <c r="B1217" s="615"/>
      <c r="C1217" s="618"/>
      <c r="D1217" s="621"/>
      <c r="E1217" s="124" t="s">
        <v>33</v>
      </c>
      <c r="F1217" s="623">
        <f t="shared" ref="F1217" si="3290">SUM(F1214:G1216)</f>
        <v>0</v>
      </c>
      <c r="G1217" s="624"/>
      <c r="H1217" s="625">
        <f t="shared" ref="H1217" si="3291">SUM(H1214:I1216)</f>
        <v>0</v>
      </c>
      <c r="I1217" s="626"/>
      <c r="J1217" s="623">
        <f t="shared" ref="J1217" si="3292">SUM(J1214:K1216)</f>
        <v>0</v>
      </c>
      <c r="K1217" s="624"/>
      <c r="L1217" s="625">
        <f t="shared" ref="L1217" si="3293">SUM(L1214:M1216)</f>
        <v>0</v>
      </c>
      <c r="M1217" s="642"/>
      <c r="N1217" s="625">
        <f t="shared" ref="N1217" si="3294">SUM(N1214:O1216)</f>
        <v>0</v>
      </c>
      <c r="O1217" s="642"/>
      <c r="P1217" s="623">
        <f t="shared" ref="P1217" si="3295">SUM(P1214:Q1216)</f>
        <v>0</v>
      </c>
      <c r="Q1217" s="626"/>
      <c r="R1217" s="88">
        <f t="shared" ref="R1217" si="3296">IF(AND(F1217&gt;=$G$8,H1217&gt;=$I$8,J1217&gt;=$K$8,L1217&gt;=$M$8,N1217&gt;=$O$8,P1217&gt;=$Q$8),SUM(F1217:Q1217),0)</f>
        <v>0</v>
      </c>
      <c r="S1217" s="251"/>
      <c r="T1217" s="97"/>
      <c r="U1217" s="94"/>
      <c r="V1217" s="606"/>
      <c r="W1217" s="88" t="str">
        <f t="shared" ref="W1217" si="3297">LOOKUP(R1217,$AI$6:$AJ$10)</f>
        <v>ضعيف</v>
      </c>
      <c r="X1217" s="641"/>
      <c r="Y1217" s="8"/>
      <c r="Z1217" s="599"/>
      <c r="AK1217" s="667"/>
      <c r="AL1217" s="694"/>
      <c r="AM1217" s="696"/>
      <c r="AN1217" s="698"/>
      <c r="AO1217" s="699"/>
      <c r="AP1217" s="702"/>
    </row>
    <row r="1218" spans="1:42" ht="14.85" customHeight="1" thickBot="1" x14ac:dyDescent="0.3">
      <c r="A1218" s="610">
        <v>264</v>
      </c>
      <c r="B1218" s="613">
        <f>VLOOKUP(A1218,مسلسل,2,0)</f>
        <v>0</v>
      </c>
      <c r="C1218" s="616" t="str">
        <f>IFERROR(VLOOKUP(B1218,اسماء,2,0),"")</f>
        <v/>
      </c>
      <c r="D1218" s="619" t="str">
        <f>IFERROR(VLOOKUP($B1218,اسماء,3,0),"")</f>
        <v/>
      </c>
      <c r="E1218" s="129" t="s">
        <v>30</v>
      </c>
      <c r="F1218" s="600">
        <f>IFERROR(VLOOKUP($B1218,اسماء,5,0),0)</f>
        <v>0</v>
      </c>
      <c r="G1218" s="601"/>
      <c r="H1218" s="602">
        <f>IFERROR(VLOOKUP($B1218,اسماء,6,0),0)</f>
        <v>0</v>
      </c>
      <c r="I1218" s="622"/>
      <c r="J1218" s="600">
        <f>IFERROR(VLOOKUP($B1218,اسماء,7,0),0)</f>
        <v>0</v>
      </c>
      <c r="K1218" s="601"/>
      <c r="L1218" s="602">
        <f>IFERROR(VLOOKUP($B1218,اسماء,8,0),0)</f>
        <v>0</v>
      </c>
      <c r="M1218" s="603"/>
      <c r="N1218" s="602">
        <f>IFERROR(VLOOKUP($B1218,اسماء,9,0),0)</f>
        <v>0</v>
      </c>
      <c r="O1218" s="603"/>
      <c r="P1218" s="600">
        <f>IFERROR(VLOOKUP($B1218,اسماء,10,0),0)</f>
        <v>0</v>
      </c>
      <c r="Q1218" s="622"/>
      <c r="R1218" s="371">
        <f t="shared" ref="R1218" si="3298">SUM(F1218:Q1218)</f>
        <v>0</v>
      </c>
      <c r="S1218" s="213" t="str">
        <f>IFERROR(VLOOKUP($B1218,اسماء,12,0),"")</f>
        <v/>
      </c>
      <c r="T1218" s="214" t="str">
        <f>IFERROR(VLOOKUP($B1218,اسماء,13,0),"")</f>
        <v/>
      </c>
      <c r="U1218" s="364" t="str">
        <f>IFERROR(VLOOKUP($B1218,اسماء,14,0),"")</f>
        <v/>
      </c>
      <c r="V1218" s="604" t="str">
        <f t="shared" ref="V1218" si="3299">IF(Z1218="غائب","راسب",IF(R1221&gt;0,"ناجح","مرحل"))</f>
        <v>مرحل</v>
      </c>
      <c r="W1218" s="19" t="str">
        <f t="shared" ref="W1218:W1219" si="3300">LOOKUP(R1218,$AC$6:$AD$10)</f>
        <v>ضعيف</v>
      </c>
      <c r="X1218" s="639">
        <f t="shared" ref="X1218" si="3301">R1221/$AC$3</f>
        <v>0</v>
      </c>
      <c r="Y1218" s="68"/>
      <c r="Z1218" s="597" t="str">
        <f>IFERROR(VLOOKUP($B1218,اسماء,48,0),"")</f>
        <v/>
      </c>
      <c r="AK1218" s="667" t="str">
        <f t="shared" ref="AK1218" si="3302">IF(R1221=0,"",R1221/1+ROW()*0.00001)</f>
        <v/>
      </c>
      <c r="AL1218" s="694">
        <f>B1218</f>
        <v>0</v>
      </c>
      <c r="AM1218" s="696"/>
      <c r="AN1218" s="698">
        <v>264</v>
      </c>
      <c r="AO1218" s="699" t="str">
        <f>IFERROR(LARGE($AK$10:$AK$1420,AN1218),"")</f>
        <v/>
      </c>
      <c r="AP1218" s="700" t="str">
        <f>VLOOKUP(AO1218,$AK$10:$AL$1530,2,0)</f>
        <v>امجد عمر عبداللطيف سلطان</v>
      </c>
    </row>
    <row r="1219" spans="1:42" ht="14.85" customHeight="1" x14ac:dyDescent="0.25">
      <c r="A1219" s="611"/>
      <c r="B1219" s="614"/>
      <c r="C1219" s="617"/>
      <c r="D1219" s="620"/>
      <c r="E1219" s="130" t="s">
        <v>31</v>
      </c>
      <c r="F1219" s="592">
        <f>IFERROR(VLOOKUP($B1218,اسماء,15,0),0)</f>
        <v>0</v>
      </c>
      <c r="G1219" s="593"/>
      <c r="H1219" s="594">
        <f>IFERROR(VLOOKUP($B1218,اسماء,16,0),0)</f>
        <v>0</v>
      </c>
      <c r="I1219" s="595"/>
      <c r="J1219" s="592">
        <f>IFERROR(VLOOKUP($B1218,اسماء,17,0),0)</f>
        <v>0</v>
      </c>
      <c r="K1219" s="593"/>
      <c r="L1219" s="594">
        <f>IFERROR(VLOOKUP($B1218,اسماء,18,0),0)</f>
        <v>0</v>
      </c>
      <c r="M1219" s="596"/>
      <c r="N1219" s="594">
        <f>IFERROR(VLOOKUP($B1218,اسماء,19,0),0)</f>
        <v>0</v>
      </c>
      <c r="O1219" s="596"/>
      <c r="P1219" s="592">
        <f>IFERROR(VLOOKUP($B1218,اسماء,20,0),0)</f>
        <v>0</v>
      </c>
      <c r="Q1219" s="595"/>
      <c r="R1219" s="372">
        <f t="shared" si="3276"/>
        <v>0</v>
      </c>
      <c r="S1219" s="305" t="str">
        <f>IFERROR(VLOOKUP($B1218,اسماء,23,0),"")</f>
        <v/>
      </c>
      <c r="T1219" s="306" t="str">
        <f>IFERROR(VLOOKUP($B1218,اسماء,24,0),"")</f>
        <v/>
      </c>
      <c r="U1219" s="122" t="str">
        <f>IFERROR(VLOOKUP($B1218,اسماء,25,0),"")</f>
        <v/>
      </c>
      <c r="V1219" s="605"/>
      <c r="W1219" s="19" t="str">
        <f t="shared" si="3300"/>
        <v>ضعيف</v>
      </c>
      <c r="X1219" s="640"/>
      <c r="Y1219" s="68"/>
      <c r="Z1219" s="598"/>
      <c r="AK1219" s="667"/>
      <c r="AL1219" s="694"/>
      <c r="AM1219" s="696"/>
      <c r="AN1219" s="698"/>
      <c r="AO1219" s="699"/>
      <c r="AP1219" s="701"/>
    </row>
    <row r="1220" spans="1:42" ht="14.85" customHeight="1" x14ac:dyDescent="0.25">
      <c r="A1220" s="611"/>
      <c r="B1220" s="614"/>
      <c r="C1220" s="617"/>
      <c r="D1220" s="620"/>
      <c r="E1220" s="130" t="s">
        <v>32</v>
      </c>
      <c r="F1220" s="592">
        <f>IFERROR(VLOOKUP($B1218,اسماء,25,0),0)</f>
        <v>0</v>
      </c>
      <c r="G1220" s="593"/>
      <c r="H1220" s="594">
        <f>IFERROR(VLOOKUP($B1218,اسماء,26,0),0)</f>
        <v>0</v>
      </c>
      <c r="I1220" s="595"/>
      <c r="J1220" s="592">
        <f>IFERROR(VLOOKUP($B1218,اسماء,27,0),0)</f>
        <v>0</v>
      </c>
      <c r="K1220" s="593"/>
      <c r="L1220" s="594">
        <f>IFERROR(VLOOKUP($B1218,اسماء,28,0),0)</f>
        <v>0</v>
      </c>
      <c r="M1220" s="596"/>
      <c r="N1220" s="594">
        <f>IFERROR(VLOOKUP($B1218,اسماء,29,0),0)</f>
        <v>0</v>
      </c>
      <c r="O1220" s="596"/>
      <c r="P1220" s="592">
        <f>IFERROR(VLOOKUP($B1218,اسماء,30,0),0)</f>
        <v>0</v>
      </c>
      <c r="Q1220" s="595"/>
      <c r="R1220" s="372">
        <f t="shared" si="3276"/>
        <v>0</v>
      </c>
      <c r="S1220" s="305" t="str">
        <f>IFERROR(VLOOKUP($B1218,اسماء,34,0),"")</f>
        <v/>
      </c>
      <c r="T1220" s="306" t="str">
        <f>IFERROR(VLOOKUP($B1218,اسماء,35,0),"")</f>
        <v/>
      </c>
      <c r="U1220" s="122" t="str">
        <f>IFERROR(VLOOKUP($B1218,اسماء,36,0),"")</f>
        <v/>
      </c>
      <c r="V1220" s="605"/>
      <c r="W1220" s="20" t="str">
        <f t="shared" ref="W1220" si="3303">LOOKUP(R1220,$AF$6:$AG$10)</f>
        <v>ضعيف</v>
      </c>
      <c r="X1220" s="640"/>
      <c r="Y1220" s="8"/>
      <c r="Z1220" s="598"/>
      <c r="AK1220" s="667"/>
      <c r="AL1220" s="694"/>
      <c r="AM1220" s="696"/>
      <c r="AN1220" s="698"/>
      <c r="AO1220" s="699"/>
      <c r="AP1220" s="701"/>
    </row>
    <row r="1221" spans="1:42" ht="14.85" customHeight="1" thickBot="1" x14ac:dyDescent="0.3">
      <c r="A1221" s="612"/>
      <c r="B1221" s="615"/>
      <c r="C1221" s="618"/>
      <c r="D1221" s="621"/>
      <c r="E1221" s="124" t="s">
        <v>33</v>
      </c>
      <c r="F1221" s="623">
        <f t="shared" ref="F1221" si="3304">SUM(F1218:G1220)</f>
        <v>0</v>
      </c>
      <c r="G1221" s="624"/>
      <c r="H1221" s="625">
        <f t="shared" ref="H1221" si="3305">SUM(H1218:I1220)</f>
        <v>0</v>
      </c>
      <c r="I1221" s="626"/>
      <c r="J1221" s="623">
        <f t="shared" ref="J1221" si="3306">SUM(J1218:K1220)</f>
        <v>0</v>
      </c>
      <c r="K1221" s="624"/>
      <c r="L1221" s="625">
        <f t="shared" ref="L1221" si="3307">SUM(L1218:M1220)</f>
        <v>0</v>
      </c>
      <c r="M1221" s="642"/>
      <c r="N1221" s="625">
        <f t="shared" ref="N1221" si="3308">SUM(N1218:O1220)</f>
        <v>0</v>
      </c>
      <c r="O1221" s="642"/>
      <c r="P1221" s="623">
        <f t="shared" ref="P1221" si="3309">SUM(P1218:Q1220)</f>
        <v>0</v>
      </c>
      <c r="Q1221" s="626"/>
      <c r="R1221" s="88">
        <f t="shared" ref="R1221" si="3310">IF(AND(F1221&gt;=$G$8,H1221&gt;=$I$8,J1221&gt;=$K$8,L1221&gt;=$M$8,N1221&gt;=$O$8,P1221&gt;=$Q$8),SUM(F1221:Q1221),0)</f>
        <v>0</v>
      </c>
      <c r="S1221" s="251"/>
      <c r="T1221" s="97"/>
      <c r="U1221" s="94"/>
      <c r="V1221" s="606"/>
      <c r="W1221" s="88" t="str">
        <f t="shared" ref="W1221" si="3311">LOOKUP(R1221,$AI$6:$AJ$10)</f>
        <v>ضعيف</v>
      </c>
      <c r="X1221" s="641"/>
      <c r="Y1221" s="68"/>
      <c r="Z1221" s="599"/>
      <c r="AK1221" s="667"/>
      <c r="AL1221" s="694"/>
      <c r="AM1221" s="696"/>
      <c r="AN1221" s="698"/>
      <c r="AO1221" s="699"/>
      <c r="AP1221" s="702"/>
    </row>
    <row r="1222" spans="1:42" ht="14.85" customHeight="1" thickBot="1" x14ac:dyDescent="0.3">
      <c r="A1222" s="610">
        <v>265</v>
      </c>
      <c r="B1222" s="613">
        <f>VLOOKUP(A1222,مسلسل,2,0)</f>
        <v>0</v>
      </c>
      <c r="C1222" s="616" t="str">
        <f>IFERROR(VLOOKUP(B1222,اسماء,2,0),"")</f>
        <v/>
      </c>
      <c r="D1222" s="619" t="str">
        <f>IFERROR(VLOOKUP($B1222,اسماء,3,0),"")</f>
        <v/>
      </c>
      <c r="E1222" s="129" t="s">
        <v>30</v>
      </c>
      <c r="F1222" s="600">
        <f>IFERROR(VLOOKUP($B1222,اسماء,5,0),0)</f>
        <v>0</v>
      </c>
      <c r="G1222" s="601"/>
      <c r="H1222" s="602">
        <f>IFERROR(VLOOKUP($B1222,اسماء,6,0),0)</f>
        <v>0</v>
      </c>
      <c r="I1222" s="622"/>
      <c r="J1222" s="600">
        <f>IFERROR(VLOOKUP($B1222,اسماء,7,0),0)</f>
        <v>0</v>
      </c>
      <c r="K1222" s="601"/>
      <c r="L1222" s="602">
        <f>IFERROR(VLOOKUP($B1222,اسماء,8,0),0)</f>
        <v>0</v>
      </c>
      <c r="M1222" s="603"/>
      <c r="N1222" s="602">
        <f>IFERROR(VLOOKUP($B1222,اسماء,9,0),0)</f>
        <v>0</v>
      </c>
      <c r="O1222" s="603"/>
      <c r="P1222" s="600">
        <f>IFERROR(VLOOKUP($B1222,اسماء,10,0),0)</f>
        <v>0</v>
      </c>
      <c r="Q1222" s="622"/>
      <c r="R1222" s="371">
        <f t="shared" ref="R1222" si="3312">SUM(F1222:Q1222)</f>
        <v>0</v>
      </c>
      <c r="S1222" s="213" t="str">
        <f>IFERROR(VLOOKUP($B1222,اسماء,12,0),"")</f>
        <v/>
      </c>
      <c r="T1222" s="214" t="str">
        <f>IFERROR(VLOOKUP($B1222,اسماء,13,0),"")</f>
        <v/>
      </c>
      <c r="U1222" s="364" t="str">
        <f>IFERROR(VLOOKUP($B1222,اسماء,14,0),"")</f>
        <v/>
      </c>
      <c r="V1222" s="604" t="str">
        <f t="shared" ref="V1222" si="3313">IF(Z1222="غائب","راسب",IF(R1225&gt;0,"ناجح","مرحل"))</f>
        <v>مرحل</v>
      </c>
      <c r="W1222" s="19" t="str">
        <f t="shared" ref="W1222:W1223" si="3314">LOOKUP(R1222,$AC$6:$AD$10)</f>
        <v>ضعيف</v>
      </c>
      <c r="X1222" s="639">
        <f t="shared" ref="X1222" si="3315">R1225/$AC$3</f>
        <v>0</v>
      </c>
      <c r="Y1222" s="68"/>
      <c r="Z1222" s="597" t="str">
        <f>IFERROR(VLOOKUP($B1222,اسماء,48,0),"")</f>
        <v/>
      </c>
      <c r="AK1222" s="667" t="str">
        <f t="shared" ref="AK1222" si="3316">IF(R1225=0,"",R1225/1+ROW()*0.00001)</f>
        <v/>
      </c>
      <c r="AL1222" s="694">
        <f>B1222</f>
        <v>0</v>
      </c>
      <c r="AM1222" s="696"/>
      <c r="AN1222" s="698">
        <v>265</v>
      </c>
      <c r="AO1222" s="699" t="str">
        <f>IFERROR(LARGE($AK$10:$AK$1420,AN1222),"")</f>
        <v/>
      </c>
      <c r="AP1222" s="700" t="str">
        <f>VLOOKUP(AO1222,$AK$10:$AL$1530,2,0)</f>
        <v>امجد عمر عبداللطيف سلطان</v>
      </c>
    </row>
    <row r="1223" spans="1:42" ht="14.85" customHeight="1" x14ac:dyDescent="0.25">
      <c r="A1223" s="611"/>
      <c r="B1223" s="614"/>
      <c r="C1223" s="617"/>
      <c r="D1223" s="620"/>
      <c r="E1223" s="130" t="s">
        <v>31</v>
      </c>
      <c r="F1223" s="592">
        <f>IFERROR(VLOOKUP($B1222,اسماء,15,0),0)</f>
        <v>0</v>
      </c>
      <c r="G1223" s="593"/>
      <c r="H1223" s="594">
        <f>IFERROR(VLOOKUP($B1222,اسماء,16,0),0)</f>
        <v>0</v>
      </c>
      <c r="I1223" s="595"/>
      <c r="J1223" s="592">
        <f>IFERROR(VLOOKUP($B1222,اسماء,17,0),0)</f>
        <v>0</v>
      </c>
      <c r="K1223" s="593"/>
      <c r="L1223" s="594">
        <f>IFERROR(VLOOKUP($B1222,اسماء,18,0),0)</f>
        <v>0</v>
      </c>
      <c r="M1223" s="596"/>
      <c r="N1223" s="594">
        <f>IFERROR(VLOOKUP($B1222,اسماء,19,0),0)</f>
        <v>0</v>
      </c>
      <c r="O1223" s="596"/>
      <c r="P1223" s="592">
        <f>IFERROR(VLOOKUP($B1222,اسماء,20,0),0)</f>
        <v>0</v>
      </c>
      <c r="Q1223" s="595"/>
      <c r="R1223" s="372">
        <f t="shared" si="3276"/>
        <v>0</v>
      </c>
      <c r="S1223" s="305" t="str">
        <f>IFERROR(VLOOKUP($B1222,اسماء,23,0),"")</f>
        <v/>
      </c>
      <c r="T1223" s="306" t="str">
        <f>IFERROR(VLOOKUP($B1222,اسماء,24,0),"")</f>
        <v/>
      </c>
      <c r="U1223" s="122" t="str">
        <f>IFERROR(VLOOKUP($B1222,اسماء,25,0),"")</f>
        <v/>
      </c>
      <c r="V1223" s="605"/>
      <c r="W1223" s="19" t="str">
        <f t="shared" si="3314"/>
        <v>ضعيف</v>
      </c>
      <c r="X1223" s="640"/>
      <c r="Y1223" s="8"/>
      <c r="Z1223" s="598"/>
      <c r="AK1223" s="667"/>
      <c r="AL1223" s="694"/>
      <c r="AM1223" s="696"/>
      <c r="AN1223" s="698"/>
      <c r="AO1223" s="699"/>
      <c r="AP1223" s="701"/>
    </row>
    <row r="1224" spans="1:42" ht="14.85" customHeight="1" x14ac:dyDescent="0.25">
      <c r="A1224" s="611"/>
      <c r="B1224" s="614"/>
      <c r="C1224" s="617"/>
      <c r="D1224" s="620"/>
      <c r="E1224" s="130" t="s">
        <v>32</v>
      </c>
      <c r="F1224" s="592">
        <f>IFERROR(VLOOKUP($B1222,اسماء,25,0),0)</f>
        <v>0</v>
      </c>
      <c r="G1224" s="593"/>
      <c r="H1224" s="594">
        <f>IFERROR(VLOOKUP($B1222,اسماء,26,0),0)</f>
        <v>0</v>
      </c>
      <c r="I1224" s="595"/>
      <c r="J1224" s="592">
        <f>IFERROR(VLOOKUP($B1222,اسماء,27,0),0)</f>
        <v>0</v>
      </c>
      <c r="K1224" s="593"/>
      <c r="L1224" s="594">
        <f>IFERROR(VLOOKUP($B1222,اسماء,28,0),0)</f>
        <v>0</v>
      </c>
      <c r="M1224" s="596"/>
      <c r="N1224" s="594">
        <f>IFERROR(VLOOKUP($B1222,اسماء,29,0),0)</f>
        <v>0</v>
      </c>
      <c r="O1224" s="596"/>
      <c r="P1224" s="592">
        <f>IFERROR(VLOOKUP($B1222,اسماء,30,0),0)</f>
        <v>0</v>
      </c>
      <c r="Q1224" s="595"/>
      <c r="R1224" s="372">
        <f t="shared" si="3276"/>
        <v>0</v>
      </c>
      <c r="S1224" s="305" t="str">
        <f>IFERROR(VLOOKUP($B1222,اسماء,34,0),"")</f>
        <v/>
      </c>
      <c r="T1224" s="306" t="str">
        <f>IFERROR(VLOOKUP($B1222,اسماء,35,0),"")</f>
        <v/>
      </c>
      <c r="U1224" s="122" t="str">
        <f>IFERROR(VLOOKUP($B1222,اسماء,36,0),"")</f>
        <v/>
      </c>
      <c r="V1224" s="605"/>
      <c r="W1224" s="20" t="str">
        <f t="shared" ref="W1224" si="3317">LOOKUP(R1224,$AF$6:$AG$10)</f>
        <v>ضعيف</v>
      </c>
      <c r="X1224" s="640"/>
      <c r="Y1224" s="68"/>
      <c r="Z1224" s="598"/>
      <c r="AK1224" s="667"/>
      <c r="AL1224" s="694"/>
      <c r="AM1224" s="696"/>
      <c r="AN1224" s="698"/>
      <c r="AO1224" s="699"/>
      <c r="AP1224" s="701"/>
    </row>
    <row r="1225" spans="1:42" ht="14.85" customHeight="1" thickBot="1" x14ac:dyDescent="0.3">
      <c r="A1225" s="612"/>
      <c r="B1225" s="615"/>
      <c r="C1225" s="618"/>
      <c r="D1225" s="621"/>
      <c r="E1225" s="124" t="s">
        <v>33</v>
      </c>
      <c r="F1225" s="623">
        <f t="shared" ref="F1225" si="3318">SUM(F1222:G1224)</f>
        <v>0</v>
      </c>
      <c r="G1225" s="624"/>
      <c r="H1225" s="625">
        <f t="shared" ref="H1225" si="3319">SUM(H1222:I1224)</f>
        <v>0</v>
      </c>
      <c r="I1225" s="626"/>
      <c r="J1225" s="623">
        <f t="shared" ref="J1225" si="3320">SUM(J1222:K1224)</f>
        <v>0</v>
      </c>
      <c r="K1225" s="624"/>
      <c r="L1225" s="625">
        <f t="shared" ref="L1225" si="3321">SUM(L1222:M1224)</f>
        <v>0</v>
      </c>
      <c r="M1225" s="642"/>
      <c r="N1225" s="625">
        <f t="shared" ref="N1225" si="3322">SUM(N1222:O1224)</f>
        <v>0</v>
      </c>
      <c r="O1225" s="642"/>
      <c r="P1225" s="623">
        <f t="shared" ref="P1225" si="3323">SUM(P1222:Q1224)</f>
        <v>0</v>
      </c>
      <c r="Q1225" s="626"/>
      <c r="R1225" s="88">
        <f t="shared" ref="R1225" si="3324">IF(AND(F1225&gt;=$G$8,H1225&gt;=$I$8,J1225&gt;=$K$8,L1225&gt;=$M$8,N1225&gt;=$O$8,P1225&gt;=$Q$8),SUM(F1225:Q1225),0)</f>
        <v>0</v>
      </c>
      <c r="S1225" s="251"/>
      <c r="T1225" s="97"/>
      <c r="U1225" s="94"/>
      <c r="V1225" s="606"/>
      <c r="W1225" s="88" t="str">
        <f t="shared" ref="W1225" si="3325">LOOKUP(R1225,$AI$6:$AJ$10)</f>
        <v>ضعيف</v>
      </c>
      <c r="X1225" s="641"/>
      <c r="Y1225" s="68"/>
      <c r="Z1225" s="599"/>
      <c r="AK1225" s="667"/>
      <c r="AL1225" s="694"/>
      <c r="AM1225" s="696"/>
      <c r="AN1225" s="698"/>
      <c r="AO1225" s="699"/>
      <c r="AP1225" s="702"/>
    </row>
    <row r="1226" spans="1:42" ht="14.85" customHeight="1" thickBot="1" x14ac:dyDescent="0.3">
      <c r="A1226" s="610">
        <v>266</v>
      </c>
      <c r="B1226" s="613">
        <f>VLOOKUP(A1226,مسلسل,2,0)</f>
        <v>0</v>
      </c>
      <c r="C1226" s="616" t="str">
        <f>IFERROR(VLOOKUP(B1226,اسماء,2,0),"")</f>
        <v/>
      </c>
      <c r="D1226" s="619" t="str">
        <f>IFERROR(VLOOKUP($B1226,اسماء,3,0),"")</f>
        <v/>
      </c>
      <c r="E1226" s="129" t="s">
        <v>30</v>
      </c>
      <c r="F1226" s="600">
        <f>IFERROR(VLOOKUP($B1226,اسماء,5,0),0)</f>
        <v>0</v>
      </c>
      <c r="G1226" s="601"/>
      <c r="H1226" s="602">
        <f>IFERROR(VLOOKUP($B1226,اسماء,6,0),0)</f>
        <v>0</v>
      </c>
      <c r="I1226" s="622"/>
      <c r="J1226" s="600">
        <f>IFERROR(VLOOKUP($B1226,اسماء,7,0),0)</f>
        <v>0</v>
      </c>
      <c r="K1226" s="601"/>
      <c r="L1226" s="602">
        <f>IFERROR(VLOOKUP($B1226,اسماء,8,0),0)</f>
        <v>0</v>
      </c>
      <c r="M1226" s="603"/>
      <c r="N1226" s="602">
        <f>IFERROR(VLOOKUP($B1226,اسماء,9,0),0)</f>
        <v>0</v>
      </c>
      <c r="O1226" s="603"/>
      <c r="P1226" s="600">
        <f>IFERROR(VLOOKUP($B1226,اسماء,10,0),0)</f>
        <v>0</v>
      </c>
      <c r="Q1226" s="622"/>
      <c r="R1226" s="371">
        <f t="shared" ref="R1226" si="3326">SUM(F1226:Q1226)</f>
        <v>0</v>
      </c>
      <c r="S1226" s="213" t="str">
        <f>IFERROR(VLOOKUP($B1226,اسماء,12,0),"")</f>
        <v/>
      </c>
      <c r="T1226" s="214" t="str">
        <f>IFERROR(VLOOKUP($B1226,اسماء,13,0),"")</f>
        <v/>
      </c>
      <c r="U1226" s="364" t="str">
        <f>IFERROR(VLOOKUP($B1226,اسماء,14,0),"")</f>
        <v/>
      </c>
      <c r="V1226" s="604" t="str">
        <f t="shared" ref="V1226" si="3327">IF(Z1226="غائب","راسب",IF(R1229&gt;0,"ناجح","مرحل"))</f>
        <v>مرحل</v>
      </c>
      <c r="W1226" s="19" t="str">
        <f t="shared" ref="W1226:W1227" si="3328">LOOKUP(R1226,$AC$6:$AD$10)</f>
        <v>ضعيف</v>
      </c>
      <c r="X1226" s="639">
        <f t="shared" ref="X1226" si="3329">R1229/$AC$3</f>
        <v>0</v>
      </c>
      <c r="Y1226" s="8"/>
      <c r="Z1226" s="597" t="str">
        <f>IFERROR(VLOOKUP($B1226,اسماء,48,0),"")</f>
        <v/>
      </c>
      <c r="AK1226" s="667" t="str">
        <f t="shared" ref="AK1226" si="3330">IF(R1229=0,"",R1229/1+ROW()*0.00001)</f>
        <v/>
      </c>
      <c r="AL1226" s="694">
        <f>B1226</f>
        <v>0</v>
      </c>
      <c r="AM1226" s="696"/>
      <c r="AN1226" s="698">
        <v>266</v>
      </c>
      <c r="AO1226" s="699" t="str">
        <f>IFERROR(LARGE($AK$10:$AK$1420,AN1226),"")</f>
        <v/>
      </c>
      <c r="AP1226" s="700" t="str">
        <f>VLOOKUP(AO1226,$AK$10:$AL$1530,2,0)</f>
        <v>امجد عمر عبداللطيف سلطان</v>
      </c>
    </row>
    <row r="1227" spans="1:42" ht="14.85" customHeight="1" x14ac:dyDescent="0.25">
      <c r="A1227" s="611"/>
      <c r="B1227" s="614"/>
      <c r="C1227" s="617"/>
      <c r="D1227" s="620"/>
      <c r="E1227" s="130" t="s">
        <v>31</v>
      </c>
      <c r="F1227" s="592">
        <f>IFERROR(VLOOKUP($B1226,اسماء,15,0),0)</f>
        <v>0</v>
      </c>
      <c r="G1227" s="593"/>
      <c r="H1227" s="594">
        <f>IFERROR(VLOOKUP($B1226,اسماء,16,0),0)</f>
        <v>0</v>
      </c>
      <c r="I1227" s="595"/>
      <c r="J1227" s="592">
        <f>IFERROR(VLOOKUP($B1226,اسماء,17,0),0)</f>
        <v>0</v>
      </c>
      <c r="K1227" s="593"/>
      <c r="L1227" s="594">
        <f>IFERROR(VLOOKUP($B1226,اسماء,18,0),0)</f>
        <v>0</v>
      </c>
      <c r="M1227" s="596"/>
      <c r="N1227" s="594">
        <f>IFERROR(VLOOKUP($B1226,اسماء,19,0),0)</f>
        <v>0</v>
      </c>
      <c r="O1227" s="596"/>
      <c r="P1227" s="592">
        <f>IFERROR(VLOOKUP($B1226,اسماء,20,0),0)</f>
        <v>0</v>
      </c>
      <c r="Q1227" s="595"/>
      <c r="R1227" s="372">
        <f t="shared" si="3276"/>
        <v>0</v>
      </c>
      <c r="S1227" s="305" t="str">
        <f>IFERROR(VLOOKUP($B1226,اسماء,23,0),"")</f>
        <v/>
      </c>
      <c r="T1227" s="306" t="str">
        <f>IFERROR(VLOOKUP($B1226,اسماء,24,0),"")</f>
        <v/>
      </c>
      <c r="U1227" s="122" t="str">
        <f>IFERROR(VLOOKUP($B1226,اسماء,25,0),"")</f>
        <v/>
      </c>
      <c r="V1227" s="605"/>
      <c r="W1227" s="19" t="str">
        <f t="shared" si="3328"/>
        <v>ضعيف</v>
      </c>
      <c r="X1227" s="640"/>
      <c r="Y1227" s="68"/>
      <c r="Z1227" s="598"/>
      <c r="AK1227" s="667"/>
      <c r="AL1227" s="694"/>
      <c r="AM1227" s="696"/>
      <c r="AN1227" s="698"/>
      <c r="AO1227" s="699"/>
      <c r="AP1227" s="701"/>
    </row>
    <row r="1228" spans="1:42" ht="14.85" customHeight="1" x14ac:dyDescent="0.25">
      <c r="A1228" s="611"/>
      <c r="B1228" s="614"/>
      <c r="C1228" s="617"/>
      <c r="D1228" s="620"/>
      <c r="E1228" s="130" t="s">
        <v>32</v>
      </c>
      <c r="F1228" s="592">
        <f>IFERROR(VLOOKUP($B1226,اسماء,25,0),0)</f>
        <v>0</v>
      </c>
      <c r="G1228" s="593"/>
      <c r="H1228" s="594">
        <f>IFERROR(VLOOKUP($B1226,اسماء,26,0),0)</f>
        <v>0</v>
      </c>
      <c r="I1228" s="595"/>
      <c r="J1228" s="592">
        <f>IFERROR(VLOOKUP($B1226,اسماء,27,0),0)</f>
        <v>0</v>
      </c>
      <c r="K1228" s="593"/>
      <c r="L1228" s="594">
        <f>IFERROR(VLOOKUP($B1226,اسماء,28,0),0)</f>
        <v>0</v>
      </c>
      <c r="M1228" s="596"/>
      <c r="N1228" s="594">
        <f>IFERROR(VLOOKUP($B1226,اسماء,29,0),0)</f>
        <v>0</v>
      </c>
      <c r="O1228" s="596"/>
      <c r="P1228" s="592">
        <f>IFERROR(VLOOKUP($B1226,اسماء,30,0),0)</f>
        <v>0</v>
      </c>
      <c r="Q1228" s="595"/>
      <c r="R1228" s="372">
        <f t="shared" si="3276"/>
        <v>0</v>
      </c>
      <c r="S1228" s="305" t="str">
        <f>IFERROR(VLOOKUP($B1226,اسماء,34,0),"")</f>
        <v/>
      </c>
      <c r="T1228" s="306" t="str">
        <f>IFERROR(VLOOKUP($B1226,اسماء,35,0),"")</f>
        <v/>
      </c>
      <c r="U1228" s="122" t="str">
        <f>IFERROR(VLOOKUP($B1226,اسماء,36,0),"")</f>
        <v/>
      </c>
      <c r="V1228" s="605"/>
      <c r="W1228" s="20" t="str">
        <f t="shared" ref="W1228" si="3331">LOOKUP(R1228,$AF$6:$AG$10)</f>
        <v>ضعيف</v>
      </c>
      <c r="X1228" s="640"/>
      <c r="Y1228" s="68"/>
      <c r="Z1228" s="598"/>
      <c r="AK1228" s="667"/>
      <c r="AL1228" s="694"/>
      <c r="AM1228" s="696"/>
      <c r="AN1228" s="698"/>
      <c r="AO1228" s="699"/>
      <c r="AP1228" s="701"/>
    </row>
    <row r="1229" spans="1:42" ht="14.85" customHeight="1" thickBot="1" x14ac:dyDescent="0.3">
      <c r="A1229" s="612"/>
      <c r="B1229" s="615"/>
      <c r="C1229" s="618"/>
      <c r="D1229" s="621"/>
      <c r="E1229" s="124" t="s">
        <v>33</v>
      </c>
      <c r="F1229" s="623">
        <f t="shared" ref="F1229" si="3332">SUM(F1226:G1228)</f>
        <v>0</v>
      </c>
      <c r="G1229" s="624"/>
      <c r="H1229" s="625">
        <f t="shared" ref="H1229" si="3333">SUM(H1226:I1228)</f>
        <v>0</v>
      </c>
      <c r="I1229" s="626"/>
      <c r="J1229" s="623">
        <f t="shared" ref="J1229" si="3334">SUM(J1226:K1228)</f>
        <v>0</v>
      </c>
      <c r="K1229" s="624"/>
      <c r="L1229" s="625">
        <f t="shared" ref="L1229" si="3335">SUM(L1226:M1228)</f>
        <v>0</v>
      </c>
      <c r="M1229" s="642"/>
      <c r="N1229" s="625">
        <f t="shared" ref="N1229" si="3336">SUM(N1226:O1228)</f>
        <v>0</v>
      </c>
      <c r="O1229" s="642"/>
      <c r="P1229" s="623">
        <f t="shared" ref="P1229" si="3337">SUM(P1226:Q1228)</f>
        <v>0</v>
      </c>
      <c r="Q1229" s="626"/>
      <c r="R1229" s="88">
        <f t="shared" ref="R1229" si="3338">IF(AND(F1229&gt;=$G$8,H1229&gt;=$I$8,J1229&gt;=$K$8,L1229&gt;=$M$8,N1229&gt;=$O$8,P1229&gt;=$Q$8),SUM(F1229:Q1229),0)</f>
        <v>0</v>
      </c>
      <c r="S1229" s="251"/>
      <c r="T1229" s="97"/>
      <c r="U1229" s="94"/>
      <c r="V1229" s="606"/>
      <c r="W1229" s="88" t="str">
        <f t="shared" ref="W1229" si="3339">LOOKUP(R1229,$AI$6:$AJ$10)</f>
        <v>ضعيف</v>
      </c>
      <c r="X1229" s="641"/>
      <c r="Y1229" s="8"/>
      <c r="Z1229" s="599"/>
      <c r="AK1229" s="667"/>
      <c r="AL1229" s="694"/>
      <c r="AM1229" s="696"/>
      <c r="AN1229" s="698"/>
      <c r="AO1229" s="699"/>
      <c r="AP1229" s="702"/>
    </row>
    <row r="1230" spans="1:42" ht="14.85" customHeight="1" thickBot="1" x14ac:dyDescent="0.3">
      <c r="A1230" s="610">
        <v>267</v>
      </c>
      <c r="B1230" s="613">
        <f>VLOOKUP(A1230,مسلسل,2,0)</f>
        <v>0</v>
      </c>
      <c r="C1230" s="616" t="str">
        <f>IFERROR(VLOOKUP(B1230,اسماء,2,0),"")</f>
        <v/>
      </c>
      <c r="D1230" s="619" t="str">
        <f>IFERROR(VLOOKUP($B1230,اسماء,3,0),"")</f>
        <v/>
      </c>
      <c r="E1230" s="129" t="s">
        <v>30</v>
      </c>
      <c r="F1230" s="600">
        <f>IFERROR(VLOOKUP($B1230,اسماء,5,0),0)</f>
        <v>0</v>
      </c>
      <c r="G1230" s="601"/>
      <c r="H1230" s="602">
        <f>IFERROR(VLOOKUP($B1230,اسماء,6,0),0)</f>
        <v>0</v>
      </c>
      <c r="I1230" s="622"/>
      <c r="J1230" s="600">
        <f>IFERROR(VLOOKUP($B1230,اسماء,7,0),0)</f>
        <v>0</v>
      </c>
      <c r="K1230" s="601"/>
      <c r="L1230" s="602">
        <f>IFERROR(VLOOKUP($B1230,اسماء,8,0),0)</f>
        <v>0</v>
      </c>
      <c r="M1230" s="603"/>
      <c r="N1230" s="602">
        <f>IFERROR(VLOOKUP($B1230,اسماء,9,0),0)</f>
        <v>0</v>
      </c>
      <c r="O1230" s="603"/>
      <c r="P1230" s="600">
        <f>IFERROR(VLOOKUP($B1230,اسماء,10,0),0)</f>
        <v>0</v>
      </c>
      <c r="Q1230" s="622"/>
      <c r="R1230" s="371">
        <f t="shared" ref="R1230" si="3340">SUM(F1230:Q1230)</f>
        <v>0</v>
      </c>
      <c r="S1230" s="213" t="str">
        <f>IFERROR(VLOOKUP($B1230,اسماء,12,0),"")</f>
        <v/>
      </c>
      <c r="T1230" s="214" t="str">
        <f>IFERROR(VLOOKUP($B1230,اسماء,13,0),"")</f>
        <v/>
      </c>
      <c r="U1230" s="364" t="str">
        <f>IFERROR(VLOOKUP($B1230,اسماء,14,0),"")</f>
        <v/>
      </c>
      <c r="V1230" s="604" t="str">
        <f t="shared" ref="V1230" si="3341">IF(Z1230="غائب","راسب",IF(R1233&gt;0,"ناجح","مرحل"))</f>
        <v>مرحل</v>
      </c>
      <c r="W1230" s="19" t="str">
        <f t="shared" ref="W1230:W1231" si="3342">LOOKUP(R1230,$AC$6:$AD$10)</f>
        <v>ضعيف</v>
      </c>
      <c r="X1230" s="639">
        <f t="shared" ref="X1230" si="3343">R1233/$AC$3</f>
        <v>0</v>
      </c>
      <c r="Y1230" s="68"/>
      <c r="Z1230" s="597" t="str">
        <f>IFERROR(VLOOKUP($B1230,اسماء,48,0),"")</f>
        <v/>
      </c>
      <c r="AK1230" s="667" t="str">
        <f t="shared" ref="AK1230" si="3344">IF(R1233=0,"",R1233/1+ROW()*0.00001)</f>
        <v/>
      </c>
      <c r="AL1230" s="694">
        <f>B1230</f>
        <v>0</v>
      </c>
      <c r="AM1230" s="696"/>
      <c r="AN1230" s="698">
        <v>267</v>
      </c>
      <c r="AO1230" s="699" t="str">
        <f>IFERROR(LARGE($AK$10:$AK$1420,AN1230),"")</f>
        <v/>
      </c>
      <c r="AP1230" s="700" t="str">
        <f>VLOOKUP(AO1230,$AK$10:$AL$1530,2,0)</f>
        <v>امجد عمر عبداللطيف سلطان</v>
      </c>
    </row>
    <row r="1231" spans="1:42" ht="14.85" customHeight="1" x14ac:dyDescent="0.25">
      <c r="A1231" s="611"/>
      <c r="B1231" s="614"/>
      <c r="C1231" s="617"/>
      <c r="D1231" s="620"/>
      <c r="E1231" s="130" t="s">
        <v>31</v>
      </c>
      <c r="F1231" s="592">
        <f>IFERROR(VLOOKUP($B1230,اسماء,15,0),0)</f>
        <v>0</v>
      </c>
      <c r="G1231" s="593"/>
      <c r="H1231" s="594">
        <f>IFERROR(VLOOKUP($B1230,اسماء,16,0),0)</f>
        <v>0</v>
      </c>
      <c r="I1231" s="595"/>
      <c r="J1231" s="592">
        <f>IFERROR(VLOOKUP($B1230,اسماء,17,0),0)</f>
        <v>0</v>
      </c>
      <c r="K1231" s="593"/>
      <c r="L1231" s="594">
        <f>IFERROR(VLOOKUP($B1230,اسماء,18,0),0)</f>
        <v>0</v>
      </c>
      <c r="M1231" s="596"/>
      <c r="N1231" s="594">
        <f>IFERROR(VLOOKUP($B1230,اسماء,19,0),0)</f>
        <v>0</v>
      </c>
      <c r="O1231" s="596"/>
      <c r="P1231" s="592">
        <f>IFERROR(VLOOKUP($B1230,اسماء,20,0),0)</f>
        <v>0</v>
      </c>
      <c r="Q1231" s="595"/>
      <c r="R1231" s="372">
        <f t="shared" si="3276"/>
        <v>0</v>
      </c>
      <c r="S1231" s="305" t="str">
        <f>IFERROR(VLOOKUP($B1230,اسماء,23,0),"")</f>
        <v/>
      </c>
      <c r="T1231" s="306" t="str">
        <f>IFERROR(VLOOKUP($B1230,اسماء,24,0),"")</f>
        <v/>
      </c>
      <c r="U1231" s="122" t="str">
        <f>IFERROR(VLOOKUP($B1230,اسماء,25,0),"")</f>
        <v/>
      </c>
      <c r="V1231" s="605"/>
      <c r="W1231" s="19" t="str">
        <f t="shared" si="3342"/>
        <v>ضعيف</v>
      </c>
      <c r="X1231" s="640"/>
      <c r="Y1231" s="68"/>
      <c r="Z1231" s="598"/>
      <c r="AK1231" s="667"/>
      <c r="AL1231" s="694"/>
      <c r="AM1231" s="696"/>
      <c r="AN1231" s="698"/>
      <c r="AO1231" s="699"/>
      <c r="AP1231" s="701"/>
    </row>
    <row r="1232" spans="1:42" ht="14.85" customHeight="1" x14ac:dyDescent="0.25">
      <c r="A1232" s="611"/>
      <c r="B1232" s="614"/>
      <c r="C1232" s="617"/>
      <c r="D1232" s="620"/>
      <c r="E1232" s="130" t="s">
        <v>32</v>
      </c>
      <c r="F1232" s="592">
        <f>IFERROR(VLOOKUP($B1230,اسماء,25,0),0)</f>
        <v>0</v>
      </c>
      <c r="G1232" s="593"/>
      <c r="H1232" s="594">
        <f>IFERROR(VLOOKUP($B1230,اسماء,26,0),0)</f>
        <v>0</v>
      </c>
      <c r="I1232" s="595"/>
      <c r="J1232" s="592">
        <f>IFERROR(VLOOKUP($B1230,اسماء,27,0),0)</f>
        <v>0</v>
      </c>
      <c r="K1232" s="593"/>
      <c r="L1232" s="594">
        <f>IFERROR(VLOOKUP($B1230,اسماء,28,0),0)</f>
        <v>0</v>
      </c>
      <c r="M1232" s="596"/>
      <c r="N1232" s="594">
        <f>IFERROR(VLOOKUP($B1230,اسماء,29,0),0)</f>
        <v>0</v>
      </c>
      <c r="O1232" s="596"/>
      <c r="P1232" s="592">
        <f>IFERROR(VLOOKUP($B1230,اسماء,30,0),0)</f>
        <v>0</v>
      </c>
      <c r="Q1232" s="595"/>
      <c r="R1232" s="372">
        <f t="shared" si="3276"/>
        <v>0</v>
      </c>
      <c r="S1232" s="305" t="str">
        <f>IFERROR(VLOOKUP($B1230,اسماء,34,0),"")</f>
        <v/>
      </c>
      <c r="T1232" s="306" t="str">
        <f>IFERROR(VLOOKUP($B1230,اسماء,35,0),"")</f>
        <v/>
      </c>
      <c r="U1232" s="122" t="str">
        <f>IFERROR(VLOOKUP($B1230,اسماء,36,0),"")</f>
        <v/>
      </c>
      <c r="V1232" s="605"/>
      <c r="W1232" s="20" t="str">
        <f t="shared" ref="W1232" si="3345">LOOKUP(R1232,$AF$6:$AG$10)</f>
        <v>ضعيف</v>
      </c>
      <c r="X1232" s="640"/>
      <c r="Y1232" s="8"/>
      <c r="Z1232" s="598"/>
      <c r="AK1232" s="667"/>
      <c r="AL1232" s="694"/>
      <c r="AM1232" s="696"/>
      <c r="AN1232" s="698"/>
      <c r="AO1232" s="699"/>
      <c r="AP1232" s="701"/>
    </row>
    <row r="1233" spans="1:42" ht="14.85" customHeight="1" thickBot="1" x14ac:dyDescent="0.3">
      <c r="A1233" s="612"/>
      <c r="B1233" s="615"/>
      <c r="C1233" s="618"/>
      <c r="D1233" s="621"/>
      <c r="E1233" s="124" t="s">
        <v>33</v>
      </c>
      <c r="F1233" s="623">
        <f t="shared" ref="F1233" si="3346">SUM(F1230:G1232)</f>
        <v>0</v>
      </c>
      <c r="G1233" s="624"/>
      <c r="H1233" s="625">
        <f t="shared" ref="H1233" si="3347">SUM(H1230:I1232)</f>
        <v>0</v>
      </c>
      <c r="I1233" s="626"/>
      <c r="J1233" s="623">
        <f t="shared" ref="J1233" si="3348">SUM(J1230:K1232)</f>
        <v>0</v>
      </c>
      <c r="K1233" s="624"/>
      <c r="L1233" s="625">
        <f t="shared" ref="L1233" si="3349">SUM(L1230:M1232)</f>
        <v>0</v>
      </c>
      <c r="M1233" s="642"/>
      <c r="N1233" s="625">
        <f t="shared" ref="N1233" si="3350">SUM(N1230:O1232)</f>
        <v>0</v>
      </c>
      <c r="O1233" s="642"/>
      <c r="P1233" s="623">
        <f t="shared" ref="P1233" si="3351">SUM(P1230:Q1232)</f>
        <v>0</v>
      </c>
      <c r="Q1233" s="626"/>
      <c r="R1233" s="88">
        <f t="shared" ref="R1233" si="3352">IF(AND(F1233&gt;=$G$8,H1233&gt;=$I$8,J1233&gt;=$K$8,L1233&gt;=$M$8,N1233&gt;=$O$8,P1233&gt;=$Q$8),SUM(F1233:Q1233),0)</f>
        <v>0</v>
      </c>
      <c r="S1233" s="251"/>
      <c r="T1233" s="97"/>
      <c r="U1233" s="94"/>
      <c r="V1233" s="606"/>
      <c r="W1233" s="88" t="str">
        <f t="shared" ref="W1233" si="3353">LOOKUP(R1233,$AI$6:$AJ$10)</f>
        <v>ضعيف</v>
      </c>
      <c r="X1233" s="641"/>
      <c r="Y1233" s="68"/>
      <c r="Z1233" s="599"/>
      <c r="AK1233" s="667"/>
      <c r="AL1233" s="694"/>
      <c r="AM1233" s="696"/>
      <c r="AN1233" s="698"/>
      <c r="AO1233" s="699"/>
      <c r="AP1233" s="702"/>
    </row>
    <row r="1234" spans="1:42" ht="14.85" customHeight="1" thickBot="1" x14ac:dyDescent="0.3">
      <c r="A1234" s="610">
        <v>268</v>
      </c>
      <c r="B1234" s="613">
        <f>VLOOKUP(A1234,مسلسل,2,0)</f>
        <v>0</v>
      </c>
      <c r="C1234" s="616" t="str">
        <f>IFERROR(VLOOKUP(B1234,اسماء,2,0),"")</f>
        <v/>
      </c>
      <c r="D1234" s="619" t="str">
        <f>IFERROR(VLOOKUP($B1234,اسماء,3,0),"")</f>
        <v/>
      </c>
      <c r="E1234" s="129" t="s">
        <v>30</v>
      </c>
      <c r="F1234" s="600">
        <f>IFERROR(VLOOKUP($B1234,اسماء,5,0),0)</f>
        <v>0</v>
      </c>
      <c r="G1234" s="601"/>
      <c r="H1234" s="602">
        <f>IFERROR(VLOOKUP($B1234,اسماء,6,0),0)</f>
        <v>0</v>
      </c>
      <c r="I1234" s="622"/>
      <c r="J1234" s="600">
        <f>IFERROR(VLOOKUP($B1234,اسماء,7,0),0)</f>
        <v>0</v>
      </c>
      <c r="K1234" s="601"/>
      <c r="L1234" s="602">
        <f>IFERROR(VLOOKUP($B1234,اسماء,8,0),0)</f>
        <v>0</v>
      </c>
      <c r="M1234" s="603"/>
      <c r="N1234" s="602">
        <f>IFERROR(VLOOKUP($B1234,اسماء,9,0),0)</f>
        <v>0</v>
      </c>
      <c r="O1234" s="603"/>
      <c r="P1234" s="600">
        <f>IFERROR(VLOOKUP($B1234,اسماء,10,0),0)</f>
        <v>0</v>
      </c>
      <c r="Q1234" s="622"/>
      <c r="R1234" s="371">
        <f t="shared" ref="R1234" si="3354">SUM(F1234:Q1234)</f>
        <v>0</v>
      </c>
      <c r="S1234" s="213" t="str">
        <f>IFERROR(VLOOKUP($B1234,اسماء,12,0),"")</f>
        <v/>
      </c>
      <c r="T1234" s="214" t="str">
        <f>IFERROR(VLOOKUP($B1234,اسماء,13,0),"")</f>
        <v/>
      </c>
      <c r="U1234" s="364" t="str">
        <f>IFERROR(VLOOKUP($B1234,اسماء,14,0),"")</f>
        <v/>
      </c>
      <c r="V1234" s="604" t="str">
        <f t="shared" ref="V1234" si="3355">IF(Z1234="غائب","راسب",IF(R1237&gt;0,"ناجح","مرحل"))</f>
        <v>مرحل</v>
      </c>
      <c r="W1234" s="19" t="str">
        <f t="shared" ref="W1234:W1235" si="3356">LOOKUP(R1234,$AC$6:$AD$10)</f>
        <v>ضعيف</v>
      </c>
      <c r="X1234" s="639">
        <f t="shared" ref="X1234" si="3357">R1237/$AC$3</f>
        <v>0</v>
      </c>
      <c r="Y1234" s="68"/>
      <c r="Z1234" s="597" t="str">
        <f>IFERROR(VLOOKUP($B1234,اسماء,48,0),"")</f>
        <v/>
      </c>
      <c r="AK1234" s="667" t="str">
        <f t="shared" ref="AK1234" si="3358">IF(R1237=0,"",R1237/1+ROW()*0.00001)</f>
        <v/>
      </c>
      <c r="AL1234" s="694">
        <f>B1234</f>
        <v>0</v>
      </c>
      <c r="AM1234" s="696"/>
      <c r="AN1234" s="698">
        <v>268</v>
      </c>
      <c r="AO1234" s="699" t="str">
        <f>IFERROR(LARGE($AK$10:$AK$1420,AN1234),"")</f>
        <v/>
      </c>
      <c r="AP1234" s="700" t="str">
        <f>VLOOKUP(AO1234,$AK$10:$AL$1530,2,0)</f>
        <v>امجد عمر عبداللطيف سلطان</v>
      </c>
    </row>
    <row r="1235" spans="1:42" ht="14.85" customHeight="1" x14ac:dyDescent="0.25">
      <c r="A1235" s="611"/>
      <c r="B1235" s="614"/>
      <c r="C1235" s="617"/>
      <c r="D1235" s="620"/>
      <c r="E1235" s="130" t="s">
        <v>31</v>
      </c>
      <c r="F1235" s="592">
        <f>IFERROR(VLOOKUP($B1234,اسماء,15,0),0)</f>
        <v>0</v>
      </c>
      <c r="G1235" s="593"/>
      <c r="H1235" s="594">
        <f>IFERROR(VLOOKUP($B1234,اسماء,16,0),0)</f>
        <v>0</v>
      </c>
      <c r="I1235" s="595"/>
      <c r="J1235" s="592">
        <f>IFERROR(VLOOKUP($B1234,اسماء,17,0),0)</f>
        <v>0</v>
      </c>
      <c r="K1235" s="593"/>
      <c r="L1235" s="594">
        <f>IFERROR(VLOOKUP($B1234,اسماء,18,0),0)</f>
        <v>0</v>
      </c>
      <c r="M1235" s="596"/>
      <c r="N1235" s="594">
        <f>IFERROR(VLOOKUP($B1234,اسماء,19,0),0)</f>
        <v>0</v>
      </c>
      <c r="O1235" s="596"/>
      <c r="P1235" s="592">
        <f>IFERROR(VLOOKUP($B1234,اسماء,20,0),0)</f>
        <v>0</v>
      </c>
      <c r="Q1235" s="595"/>
      <c r="R1235" s="372">
        <f t="shared" si="3276"/>
        <v>0</v>
      </c>
      <c r="S1235" s="305" t="str">
        <f>IFERROR(VLOOKUP($B1234,اسماء,23,0),"")</f>
        <v/>
      </c>
      <c r="T1235" s="306" t="str">
        <f>IFERROR(VLOOKUP($B1234,اسماء,24,0),"")</f>
        <v/>
      </c>
      <c r="U1235" s="122" t="str">
        <f>IFERROR(VLOOKUP($B1234,اسماء,25,0),"")</f>
        <v/>
      </c>
      <c r="V1235" s="605"/>
      <c r="W1235" s="19" t="str">
        <f t="shared" si="3356"/>
        <v>ضعيف</v>
      </c>
      <c r="X1235" s="640"/>
      <c r="Y1235" s="8"/>
      <c r="Z1235" s="598"/>
      <c r="AK1235" s="667"/>
      <c r="AL1235" s="694"/>
      <c r="AM1235" s="696"/>
      <c r="AN1235" s="698"/>
      <c r="AO1235" s="699"/>
      <c r="AP1235" s="701"/>
    </row>
    <row r="1236" spans="1:42" ht="14.85" customHeight="1" x14ac:dyDescent="0.25">
      <c r="A1236" s="611"/>
      <c r="B1236" s="614"/>
      <c r="C1236" s="617"/>
      <c r="D1236" s="620"/>
      <c r="E1236" s="130" t="s">
        <v>32</v>
      </c>
      <c r="F1236" s="592">
        <f>IFERROR(VLOOKUP($B1234,اسماء,25,0),0)</f>
        <v>0</v>
      </c>
      <c r="G1236" s="593"/>
      <c r="H1236" s="594">
        <f>IFERROR(VLOOKUP($B1234,اسماء,26,0),0)</f>
        <v>0</v>
      </c>
      <c r="I1236" s="595"/>
      <c r="J1236" s="592">
        <f>IFERROR(VLOOKUP($B1234,اسماء,27,0),0)</f>
        <v>0</v>
      </c>
      <c r="K1236" s="593"/>
      <c r="L1236" s="594">
        <f>IFERROR(VLOOKUP($B1234,اسماء,28,0),0)</f>
        <v>0</v>
      </c>
      <c r="M1236" s="596"/>
      <c r="N1236" s="594">
        <f>IFERROR(VLOOKUP($B1234,اسماء,29,0),0)</f>
        <v>0</v>
      </c>
      <c r="O1236" s="596"/>
      <c r="P1236" s="592">
        <f>IFERROR(VLOOKUP($B1234,اسماء,30,0),0)</f>
        <v>0</v>
      </c>
      <c r="Q1236" s="595"/>
      <c r="R1236" s="372">
        <f t="shared" si="3276"/>
        <v>0</v>
      </c>
      <c r="S1236" s="305" t="str">
        <f>IFERROR(VLOOKUP($B1234,اسماء,34,0),"")</f>
        <v/>
      </c>
      <c r="T1236" s="306" t="str">
        <f>IFERROR(VLOOKUP($B1234,اسماء,35,0),"")</f>
        <v/>
      </c>
      <c r="U1236" s="122" t="str">
        <f>IFERROR(VLOOKUP($B1234,اسماء,36,0),"")</f>
        <v/>
      </c>
      <c r="V1236" s="605"/>
      <c r="W1236" s="20" t="str">
        <f t="shared" ref="W1236" si="3359">LOOKUP(R1236,$AF$6:$AG$10)</f>
        <v>ضعيف</v>
      </c>
      <c r="X1236" s="640"/>
      <c r="Y1236" s="68"/>
      <c r="Z1236" s="598"/>
      <c r="AK1236" s="667"/>
      <c r="AL1236" s="694"/>
      <c r="AM1236" s="696"/>
      <c r="AN1236" s="698"/>
      <c r="AO1236" s="699"/>
      <c r="AP1236" s="701"/>
    </row>
    <row r="1237" spans="1:42" ht="14.85" customHeight="1" thickBot="1" x14ac:dyDescent="0.3">
      <c r="A1237" s="612"/>
      <c r="B1237" s="615"/>
      <c r="C1237" s="618"/>
      <c r="D1237" s="621"/>
      <c r="E1237" s="124" t="s">
        <v>33</v>
      </c>
      <c r="F1237" s="623">
        <f t="shared" ref="F1237" si="3360">SUM(F1234:G1236)</f>
        <v>0</v>
      </c>
      <c r="G1237" s="624"/>
      <c r="H1237" s="625">
        <f t="shared" ref="H1237" si="3361">SUM(H1234:I1236)</f>
        <v>0</v>
      </c>
      <c r="I1237" s="626"/>
      <c r="J1237" s="623">
        <f t="shared" ref="J1237" si="3362">SUM(J1234:K1236)</f>
        <v>0</v>
      </c>
      <c r="K1237" s="624"/>
      <c r="L1237" s="625">
        <f t="shared" ref="L1237" si="3363">SUM(L1234:M1236)</f>
        <v>0</v>
      </c>
      <c r="M1237" s="642"/>
      <c r="N1237" s="625">
        <f t="shared" ref="N1237" si="3364">SUM(N1234:O1236)</f>
        <v>0</v>
      </c>
      <c r="O1237" s="642"/>
      <c r="P1237" s="623">
        <f t="shared" ref="P1237" si="3365">SUM(P1234:Q1236)</f>
        <v>0</v>
      </c>
      <c r="Q1237" s="626"/>
      <c r="R1237" s="88">
        <f t="shared" ref="R1237" si="3366">IF(AND(F1237&gt;=$G$8,H1237&gt;=$I$8,J1237&gt;=$K$8,L1237&gt;=$M$8,N1237&gt;=$O$8,P1237&gt;=$Q$8),SUM(F1237:Q1237),0)</f>
        <v>0</v>
      </c>
      <c r="S1237" s="251"/>
      <c r="T1237" s="97"/>
      <c r="U1237" s="94"/>
      <c r="V1237" s="606"/>
      <c r="W1237" s="88" t="str">
        <f t="shared" ref="W1237" si="3367">LOOKUP(R1237,$AI$6:$AJ$10)</f>
        <v>ضعيف</v>
      </c>
      <c r="X1237" s="641"/>
      <c r="Y1237" s="68"/>
      <c r="Z1237" s="599"/>
      <c r="AK1237" s="667"/>
      <c r="AL1237" s="694"/>
      <c r="AM1237" s="696"/>
      <c r="AN1237" s="698"/>
      <c r="AO1237" s="699"/>
      <c r="AP1237" s="702"/>
    </row>
    <row r="1238" spans="1:42" ht="14.85" customHeight="1" thickBot="1" x14ac:dyDescent="0.3">
      <c r="A1238" s="610">
        <v>269</v>
      </c>
      <c r="B1238" s="613">
        <f>VLOOKUP(A1238,مسلسل,2,0)</f>
        <v>0</v>
      </c>
      <c r="C1238" s="616" t="str">
        <f>IFERROR(VLOOKUP(B1238,اسماء,2,0),"")</f>
        <v/>
      </c>
      <c r="D1238" s="619" t="str">
        <f>IFERROR(VLOOKUP($B1238,اسماء,3,0),"")</f>
        <v/>
      </c>
      <c r="E1238" s="129" t="s">
        <v>30</v>
      </c>
      <c r="F1238" s="600">
        <f>IFERROR(VLOOKUP($B1238,اسماء,5,0),0)</f>
        <v>0</v>
      </c>
      <c r="G1238" s="601"/>
      <c r="H1238" s="602">
        <f>IFERROR(VLOOKUP($B1238,اسماء,6,0),0)</f>
        <v>0</v>
      </c>
      <c r="I1238" s="622"/>
      <c r="J1238" s="600">
        <f>IFERROR(VLOOKUP($B1238,اسماء,7,0),0)</f>
        <v>0</v>
      </c>
      <c r="K1238" s="601"/>
      <c r="L1238" s="602">
        <f>IFERROR(VLOOKUP($B1238,اسماء,8,0),0)</f>
        <v>0</v>
      </c>
      <c r="M1238" s="603"/>
      <c r="N1238" s="602">
        <f>IFERROR(VLOOKUP($B1238,اسماء,9,0),0)</f>
        <v>0</v>
      </c>
      <c r="O1238" s="603"/>
      <c r="P1238" s="600">
        <f>IFERROR(VLOOKUP($B1238,اسماء,10,0),0)</f>
        <v>0</v>
      </c>
      <c r="Q1238" s="622"/>
      <c r="R1238" s="371">
        <f t="shared" ref="R1238" si="3368">SUM(F1238:Q1238)</f>
        <v>0</v>
      </c>
      <c r="S1238" s="213" t="str">
        <f>IFERROR(VLOOKUP($B1238,اسماء,12,0),"")</f>
        <v/>
      </c>
      <c r="T1238" s="214" t="str">
        <f>IFERROR(VLOOKUP($B1238,اسماء,13,0),"")</f>
        <v/>
      </c>
      <c r="U1238" s="364" t="str">
        <f>IFERROR(VLOOKUP($B1238,اسماء,14,0),"")</f>
        <v/>
      </c>
      <c r="V1238" s="604" t="str">
        <f t="shared" ref="V1238" si="3369">IF(Z1238="غائب","راسب",IF(R1241&gt;0,"ناجح","مرحل"))</f>
        <v>مرحل</v>
      </c>
      <c r="W1238" s="19" t="str">
        <f t="shared" ref="W1238:W1239" si="3370">LOOKUP(R1238,$AC$6:$AD$10)</f>
        <v>ضعيف</v>
      </c>
      <c r="X1238" s="639">
        <f t="shared" ref="X1238" si="3371">R1241/$AC$3</f>
        <v>0</v>
      </c>
      <c r="Y1238" s="8"/>
      <c r="Z1238" s="597" t="str">
        <f>IFERROR(VLOOKUP($B1238,اسماء,48,0),"")</f>
        <v/>
      </c>
      <c r="AK1238" s="667" t="str">
        <f t="shared" ref="AK1238" si="3372">IF(R1241=0,"",R1241/1+ROW()*0.00001)</f>
        <v/>
      </c>
      <c r="AL1238" s="694">
        <f>B1238</f>
        <v>0</v>
      </c>
      <c r="AM1238" s="696"/>
      <c r="AN1238" s="698">
        <v>269</v>
      </c>
      <c r="AO1238" s="699" t="str">
        <f>IFERROR(LARGE($AK$10:$AK$1420,AN1238),"")</f>
        <v/>
      </c>
      <c r="AP1238" s="700" t="str">
        <f>VLOOKUP(AO1238,$AK$10:$AL$1530,2,0)</f>
        <v>امجد عمر عبداللطيف سلطان</v>
      </c>
    </row>
    <row r="1239" spans="1:42" ht="14.85" customHeight="1" x14ac:dyDescent="0.25">
      <c r="A1239" s="611"/>
      <c r="B1239" s="614"/>
      <c r="C1239" s="617"/>
      <c r="D1239" s="620"/>
      <c r="E1239" s="130" t="s">
        <v>31</v>
      </c>
      <c r="F1239" s="592">
        <f>IFERROR(VLOOKUP($B1238,اسماء,15,0),0)</f>
        <v>0</v>
      </c>
      <c r="G1239" s="593"/>
      <c r="H1239" s="594">
        <f>IFERROR(VLOOKUP($B1238,اسماء,16,0),0)</f>
        <v>0</v>
      </c>
      <c r="I1239" s="595"/>
      <c r="J1239" s="592">
        <f>IFERROR(VLOOKUP($B1238,اسماء,17,0),0)</f>
        <v>0</v>
      </c>
      <c r="K1239" s="593"/>
      <c r="L1239" s="594">
        <f>IFERROR(VLOOKUP($B1238,اسماء,18,0),0)</f>
        <v>0</v>
      </c>
      <c r="M1239" s="596"/>
      <c r="N1239" s="594">
        <f>IFERROR(VLOOKUP($B1238,اسماء,19,0),0)</f>
        <v>0</v>
      </c>
      <c r="O1239" s="596"/>
      <c r="P1239" s="592">
        <f>IFERROR(VLOOKUP($B1238,اسماء,20,0),0)</f>
        <v>0</v>
      </c>
      <c r="Q1239" s="595"/>
      <c r="R1239" s="372">
        <f t="shared" si="3276"/>
        <v>0</v>
      </c>
      <c r="S1239" s="305" t="str">
        <f>IFERROR(VLOOKUP($B1238,اسماء,23,0),"")</f>
        <v/>
      </c>
      <c r="T1239" s="306" t="str">
        <f>IFERROR(VLOOKUP($B1238,اسماء,24,0),"")</f>
        <v/>
      </c>
      <c r="U1239" s="122" t="str">
        <f>IFERROR(VLOOKUP($B1238,اسماء,25,0),"")</f>
        <v/>
      </c>
      <c r="V1239" s="605"/>
      <c r="W1239" s="19" t="str">
        <f t="shared" si="3370"/>
        <v>ضعيف</v>
      </c>
      <c r="X1239" s="640"/>
      <c r="Y1239" s="68"/>
      <c r="Z1239" s="598"/>
      <c r="AK1239" s="667"/>
      <c r="AL1239" s="694"/>
      <c r="AM1239" s="696"/>
      <c r="AN1239" s="698"/>
      <c r="AO1239" s="699"/>
      <c r="AP1239" s="701"/>
    </row>
    <row r="1240" spans="1:42" ht="14.85" customHeight="1" x14ac:dyDescent="0.25">
      <c r="A1240" s="611"/>
      <c r="B1240" s="614"/>
      <c r="C1240" s="617"/>
      <c r="D1240" s="620"/>
      <c r="E1240" s="130" t="s">
        <v>32</v>
      </c>
      <c r="F1240" s="592">
        <f>IFERROR(VLOOKUP($B1238,اسماء,25,0),0)</f>
        <v>0</v>
      </c>
      <c r="G1240" s="593"/>
      <c r="H1240" s="594">
        <f>IFERROR(VLOOKUP($B1238,اسماء,26,0),0)</f>
        <v>0</v>
      </c>
      <c r="I1240" s="595"/>
      <c r="J1240" s="592">
        <f>IFERROR(VLOOKUP($B1238,اسماء,27,0),0)</f>
        <v>0</v>
      </c>
      <c r="K1240" s="593"/>
      <c r="L1240" s="594">
        <f>IFERROR(VLOOKUP($B1238,اسماء,28,0),0)</f>
        <v>0</v>
      </c>
      <c r="M1240" s="596"/>
      <c r="N1240" s="594">
        <f>IFERROR(VLOOKUP($B1238,اسماء,29,0),0)</f>
        <v>0</v>
      </c>
      <c r="O1240" s="596"/>
      <c r="P1240" s="592">
        <f>IFERROR(VLOOKUP($B1238,اسماء,30,0),0)</f>
        <v>0</v>
      </c>
      <c r="Q1240" s="595"/>
      <c r="R1240" s="372">
        <f t="shared" si="3276"/>
        <v>0</v>
      </c>
      <c r="S1240" s="305" t="str">
        <f>IFERROR(VLOOKUP($B1238,اسماء,34,0),"")</f>
        <v/>
      </c>
      <c r="T1240" s="306" t="str">
        <f>IFERROR(VLOOKUP($B1238,اسماء,35,0),"")</f>
        <v/>
      </c>
      <c r="U1240" s="122" t="str">
        <f>IFERROR(VLOOKUP($B1238,اسماء,36,0),"")</f>
        <v/>
      </c>
      <c r="V1240" s="605"/>
      <c r="W1240" s="20" t="str">
        <f t="shared" ref="W1240" si="3373">LOOKUP(R1240,$AF$6:$AG$10)</f>
        <v>ضعيف</v>
      </c>
      <c r="X1240" s="640"/>
      <c r="Y1240" s="68"/>
      <c r="Z1240" s="598"/>
      <c r="AK1240" s="667"/>
      <c r="AL1240" s="694"/>
      <c r="AM1240" s="696"/>
      <c r="AN1240" s="698"/>
      <c r="AO1240" s="699"/>
      <c r="AP1240" s="701"/>
    </row>
    <row r="1241" spans="1:42" ht="14.85" customHeight="1" thickBot="1" x14ac:dyDescent="0.3">
      <c r="A1241" s="612"/>
      <c r="B1241" s="615"/>
      <c r="C1241" s="618"/>
      <c r="D1241" s="621"/>
      <c r="E1241" s="124" t="s">
        <v>33</v>
      </c>
      <c r="F1241" s="623">
        <f t="shared" ref="F1241" si="3374">SUM(F1238:G1240)</f>
        <v>0</v>
      </c>
      <c r="G1241" s="624"/>
      <c r="H1241" s="625">
        <f t="shared" ref="H1241" si="3375">SUM(H1238:I1240)</f>
        <v>0</v>
      </c>
      <c r="I1241" s="626"/>
      <c r="J1241" s="623">
        <f t="shared" ref="J1241" si="3376">SUM(J1238:K1240)</f>
        <v>0</v>
      </c>
      <c r="K1241" s="624"/>
      <c r="L1241" s="625">
        <f t="shared" ref="L1241" si="3377">SUM(L1238:M1240)</f>
        <v>0</v>
      </c>
      <c r="M1241" s="642"/>
      <c r="N1241" s="625">
        <f t="shared" ref="N1241" si="3378">SUM(N1238:O1240)</f>
        <v>0</v>
      </c>
      <c r="O1241" s="642"/>
      <c r="P1241" s="623">
        <f t="shared" ref="P1241" si="3379">SUM(P1238:Q1240)</f>
        <v>0</v>
      </c>
      <c r="Q1241" s="626"/>
      <c r="R1241" s="88">
        <f t="shared" ref="R1241" si="3380">IF(AND(F1241&gt;=$G$8,H1241&gt;=$I$8,J1241&gt;=$K$8,L1241&gt;=$M$8,N1241&gt;=$O$8,P1241&gt;=$Q$8),SUM(F1241:Q1241),0)</f>
        <v>0</v>
      </c>
      <c r="S1241" s="251"/>
      <c r="T1241" s="97"/>
      <c r="U1241" s="94"/>
      <c r="V1241" s="606"/>
      <c r="W1241" s="88" t="str">
        <f t="shared" ref="W1241" si="3381">LOOKUP(R1241,$AI$6:$AJ$10)</f>
        <v>ضعيف</v>
      </c>
      <c r="X1241" s="641"/>
      <c r="Y1241" s="8"/>
      <c r="Z1241" s="599"/>
      <c r="AK1241" s="667"/>
      <c r="AL1241" s="694"/>
      <c r="AM1241" s="696"/>
      <c r="AN1241" s="698"/>
      <c r="AO1241" s="699"/>
      <c r="AP1241" s="702"/>
    </row>
    <row r="1242" spans="1:42" ht="14.85" customHeight="1" thickBot="1" x14ac:dyDescent="0.3">
      <c r="A1242" s="610">
        <v>270</v>
      </c>
      <c r="B1242" s="613">
        <f>VLOOKUP(A1242,مسلسل,2,0)</f>
        <v>0</v>
      </c>
      <c r="C1242" s="616" t="str">
        <f>IFERROR(VLOOKUP(B1242,اسماء,2,0),"")</f>
        <v/>
      </c>
      <c r="D1242" s="619" t="str">
        <f>IFERROR(VLOOKUP($B1242,اسماء,3,0),"")</f>
        <v/>
      </c>
      <c r="E1242" s="129" t="s">
        <v>30</v>
      </c>
      <c r="F1242" s="600">
        <f>IFERROR(VLOOKUP($B1242,اسماء,5,0),0)</f>
        <v>0</v>
      </c>
      <c r="G1242" s="601"/>
      <c r="H1242" s="602">
        <f>IFERROR(VLOOKUP($B1242,اسماء,6,0),0)</f>
        <v>0</v>
      </c>
      <c r="I1242" s="622"/>
      <c r="J1242" s="600">
        <f>IFERROR(VLOOKUP($B1242,اسماء,7,0),0)</f>
        <v>0</v>
      </c>
      <c r="K1242" s="601"/>
      <c r="L1242" s="602">
        <f>IFERROR(VLOOKUP($B1242,اسماء,8,0),0)</f>
        <v>0</v>
      </c>
      <c r="M1242" s="603"/>
      <c r="N1242" s="602">
        <f>IFERROR(VLOOKUP($B1242,اسماء,9,0),0)</f>
        <v>0</v>
      </c>
      <c r="O1242" s="603"/>
      <c r="P1242" s="600">
        <f>IFERROR(VLOOKUP($B1242,اسماء,10,0),0)</f>
        <v>0</v>
      </c>
      <c r="Q1242" s="622"/>
      <c r="R1242" s="371">
        <f t="shared" ref="R1242" si="3382">SUM(F1242:Q1242)</f>
        <v>0</v>
      </c>
      <c r="S1242" s="213" t="str">
        <f>IFERROR(VLOOKUP($B1242,اسماء,12,0),"")</f>
        <v/>
      </c>
      <c r="T1242" s="214" t="str">
        <f>IFERROR(VLOOKUP($B1242,اسماء,13,0),"")</f>
        <v/>
      </c>
      <c r="U1242" s="364" t="str">
        <f>IFERROR(VLOOKUP($B1242,اسماء,14,0),"")</f>
        <v/>
      </c>
      <c r="V1242" s="604" t="str">
        <f t="shared" ref="V1242" si="3383">IF(Z1242="غائب","راسب",IF(R1245&gt;0,"ناجح","مرحل"))</f>
        <v>مرحل</v>
      </c>
      <c r="W1242" s="19" t="str">
        <f t="shared" ref="W1242:W1243" si="3384">LOOKUP(R1242,$AC$6:$AD$10)</f>
        <v>ضعيف</v>
      </c>
      <c r="X1242" s="639">
        <f t="shared" ref="X1242" si="3385">R1245/$AC$3</f>
        <v>0</v>
      </c>
      <c r="Y1242" s="68"/>
      <c r="Z1242" s="597" t="str">
        <f>IFERROR(VLOOKUP($B1242,اسماء,48,0),"")</f>
        <v/>
      </c>
      <c r="AK1242" s="667" t="str">
        <f t="shared" ref="AK1242" si="3386">IF(R1245=0,"",R1245/1+ROW()*0.00001)</f>
        <v/>
      </c>
      <c r="AL1242" s="694">
        <f>B1242</f>
        <v>0</v>
      </c>
      <c r="AM1242" s="696"/>
      <c r="AN1242" s="698">
        <v>270</v>
      </c>
      <c r="AO1242" s="699" t="str">
        <f>IFERROR(LARGE($AK$10:$AK$1420,AN1242),"")</f>
        <v/>
      </c>
      <c r="AP1242" s="700" t="str">
        <f>VLOOKUP(AO1242,$AK$10:$AL$1530,2,0)</f>
        <v>امجد عمر عبداللطيف سلطان</v>
      </c>
    </row>
    <row r="1243" spans="1:42" ht="14.85" customHeight="1" x14ac:dyDescent="0.25">
      <c r="A1243" s="611"/>
      <c r="B1243" s="614"/>
      <c r="C1243" s="617"/>
      <c r="D1243" s="620"/>
      <c r="E1243" s="130" t="s">
        <v>31</v>
      </c>
      <c r="F1243" s="592">
        <f>IFERROR(VLOOKUP($B1242,اسماء,15,0),0)</f>
        <v>0</v>
      </c>
      <c r="G1243" s="593"/>
      <c r="H1243" s="594">
        <f>IFERROR(VLOOKUP($B1242,اسماء,16,0),0)</f>
        <v>0</v>
      </c>
      <c r="I1243" s="595"/>
      <c r="J1243" s="592">
        <f>IFERROR(VLOOKUP($B1242,اسماء,17,0),0)</f>
        <v>0</v>
      </c>
      <c r="K1243" s="593"/>
      <c r="L1243" s="594">
        <f>IFERROR(VLOOKUP($B1242,اسماء,18,0),0)</f>
        <v>0</v>
      </c>
      <c r="M1243" s="596"/>
      <c r="N1243" s="594">
        <f>IFERROR(VLOOKUP($B1242,اسماء,19,0),0)</f>
        <v>0</v>
      </c>
      <c r="O1243" s="596"/>
      <c r="P1243" s="592">
        <f>IFERROR(VLOOKUP($B1242,اسماء,20,0),0)</f>
        <v>0</v>
      </c>
      <c r="Q1243" s="595"/>
      <c r="R1243" s="372">
        <f t="shared" si="3276"/>
        <v>0</v>
      </c>
      <c r="S1243" s="305" t="str">
        <f>IFERROR(VLOOKUP($B1242,اسماء,23,0),"")</f>
        <v/>
      </c>
      <c r="T1243" s="306" t="str">
        <f>IFERROR(VLOOKUP($B1242,اسماء,24,0),"")</f>
        <v/>
      </c>
      <c r="U1243" s="122" t="str">
        <f>IFERROR(VLOOKUP($B1242,اسماء,25,0),"")</f>
        <v/>
      </c>
      <c r="V1243" s="605"/>
      <c r="W1243" s="19" t="str">
        <f t="shared" si="3384"/>
        <v>ضعيف</v>
      </c>
      <c r="X1243" s="640"/>
      <c r="Y1243" s="68"/>
      <c r="Z1243" s="598"/>
      <c r="AK1243" s="667"/>
      <c r="AL1243" s="694"/>
      <c r="AM1243" s="696"/>
      <c r="AN1243" s="698"/>
      <c r="AO1243" s="699"/>
      <c r="AP1243" s="701"/>
    </row>
    <row r="1244" spans="1:42" ht="14.85" customHeight="1" x14ac:dyDescent="0.25">
      <c r="A1244" s="611"/>
      <c r="B1244" s="614"/>
      <c r="C1244" s="617"/>
      <c r="D1244" s="620"/>
      <c r="E1244" s="130" t="s">
        <v>32</v>
      </c>
      <c r="F1244" s="592">
        <f>IFERROR(VLOOKUP($B1242,اسماء,25,0),0)</f>
        <v>0</v>
      </c>
      <c r="G1244" s="593"/>
      <c r="H1244" s="594">
        <f>IFERROR(VLOOKUP($B1242,اسماء,26,0),0)</f>
        <v>0</v>
      </c>
      <c r="I1244" s="595"/>
      <c r="J1244" s="592">
        <f>IFERROR(VLOOKUP($B1242,اسماء,27,0),0)</f>
        <v>0</v>
      </c>
      <c r="K1244" s="593"/>
      <c r="L1244" s="594">
        <f>IFERROR(VLOOKUP($B1242,اسماء,28,0),0)</f>
        <v>0</v>
      </c>
      <c r="M1244" s="596"/>
      <c r="N1244" s="594">
        <f>IFERROR(VLOOKUP($B1242,اسماء,29,0),0)</f>
        <v>0</v>
      </c>
      <c r="O1244" s="596"/>
      <c r="P1244" s="592">
        <f>IFERROR(VLOOKUP($B1242,اسماء,30,0),0)</f>
        <v>0</v>
      </c>
      <c r="Q1244" s="595"/>
      <c r="R1244" s="372">
        <f t="shared" si="3276"/>
        <v>0</v>
      </c>
      <c r="S1244" s="305" t="str">
        <f>IFERROR(VLOOKUP($B1242,اسماء,34,0),"")</f>
        <v/>
      </c>
      <c r="T1244" s="306" t="str">
        <f>IFERROR(VLOOKUP($B1242,اسماء,35,0),"")</f>
        <v/>
      </c>
      <c r="U1244" s="122" t="str">
        <f>IFERROR(VLOOKUP($B1242,اسماء,36,0),"")</f>
        <v/>
      </c>
      <c r="V1244" s="605"/>
      <c r="W1244" s="20" t="str">
        <f t="shared" ref="W1244" si="3387">LOOKUP(R1244,$AF$6:$AG$10)</f>
        <v>ضعيف</v>
      </c>
      <c r="X1244" s="640"/>
      <c r="Y1244" s="8"/>
      <c r="Z1244" s="598"/>
      <c r="AK1244" s="667"/>
      <c r="AL1244" s="694"/>
      <c r="AM1244" s="696"/>
      <c r="AN1244" s="698"/>
      <c r="AO1244" s="699"/>
      <c r="AP1244" s="701"/>
    </row>
    <row r="1245" spans="1:42" ht="14.85" customHeight="1" thickBot="1" x14ac:dyDescent="0.3">
      <c r="A1245" s="612"/>
      <c r="B1245" s="615"/>
      <c r="C1245" s="618"/>
      <c r="D1245" s="621"/>
      <c r="E1245" s="124" t="s">
        <v>33</v>
      </c>
      <c r="F1245" s="623">
        <f t="shared" ref="F1245" si="3388">SUM(F1242:G1244)</f>
        <v>0</v>
      </c>
      <c r="G1245" s="624"/>
      <c r="H1245" s="625">
        <f t="shared" ref="H1245" si="3389">SUM(H1242:I1244)</f>
        <v>0</v>
      </c>
      <c r="I1245" s="626"/>
      <c r="J1245" s="623">
        <f t="shared" ref="J1245" si="3390">SUM(J1242:K1244)</f>
        <v>0</v>
      </c>
      <c r="K1245" s="624"/>
      <c r="L1245" s="625">
        <f t="shared" ref="L1245" si="3391">SUM(L1242:M1244)</f>
        <v>0</v>
      </c>
      <c r="M1245" s="642"/>
      <c r="N1245" s="625">
        <f t="shared" ref="N1245" si="3392">SUM(N1242:O1244)</f>
        <v>0</v>
      </c>
      <c r="O1245" s="642"/>
      <c r="P1245" s="623">
        <f t="shared" ref="P1245" si="3393">SUM(P1242:Q1244)</f>
        <v>0</v>
      </c>
      <c r="Q1245" s="626"/>
      <c r="R1245" s="88">
        <f t="shared" ref="R1245" si="3394">IF(AND(F1245&gt;=$G$8,H1245&gt;=$I$8,J1245&gt;=$K$8,L1245&gt;=$M$8,N1245&gt;=$O$8,P1245&gt;=$Q$8),SUM(F1245:Q1245),0)</f>
        <v>0</v>
      </c>
      <c r="S1245" s="251"/>
      <c r="T1245" s="97"/>
      <c r="U1245" s="94"/>
      <c r="V1245" s="606"/>
      <c r="W1245" s="88" t="str">
        <f t="shared" ref="W1245" si="3395">LOOKUP(R1245,$AI$6:$AJ$10)</f>
        <v>ضعيف</v>
      </c>
      <c r="X1245" s="641"/>
      <c r="Y1245" s="68"/>
      <c r="Z1245" s="599"/>
      <c r="AK1245" s="667"/>
      <c r="AL1245" s="694"/>
      <c r="AM1245" s="696"/>
      <c r="AN1245" s="698"/>
      <c r="AO1245" s="699"/>
      <c r="AP1245" s="702"/>
    </row>
    <row r="1246" spans="1:42" ht="14.85" customHeight="1" thickBot="1" x14ac:dyDescent="0.3">
      <c r="F1246" s="71"/>
      <c r="G1246" s="72"/>
      <c r="H1246" s="71"/>
      <c r="I1246" s="72"/>
      <c r="J1246" s="71"/>
      <c r="K1246" s="72"/>
      <c r="L1246" s="71"/>
      <c r="M1246" s="72"/>
      <c r="N1246" s="71"/>
      <c r="O1246" s="72"/>
      <c r="P1246" s="71"/>
      <c r="Q1246" s="72"/>
      <c r="R1246" s="70"/>
      <c r="S1246" s="73"/>
      <c r="T1246" s="70"/>
      <c r="U1246" s="70"/>
      <c r="V1246" s="70"/>
      <c r="W1246" s="70"/>
      <c r="X1246" s="254"/>
      <c r="Y1246" s="68"/>
      <c r="AH1246" s="74"/>
    </row>
    <row r="1247" spans="1:42" customFormat="1" ht="14.85" customHeight="1" x14ac:dyDescent="0.3">
      <c r="A1247" s="668" t="s">
        <v>9</v>
      </c>
      <c r="B1247" s="669"/>
      <c r="C1247" s="670"/>
      <c r="D1247" s="277" t="s">
        <v>11</v>
      </c>
      <c r="E1247" s="674" t="s">
        <v>96</v>
      </c>
      <c r="F1247" s="663"/>
      <c r="G1247" s="663"/>
      <c r="H1247" s="663"/>
      <c r="I1247" s="663"/>
      <c r="J1247" s="7"/>
      <c r="K1247" s="7"/>
      <c r="L1247" s="7"/>
      <c r="M1247" s="7"/>
      <c r="N1247" s="7"/>
      <c r="O1247" s="7"/>
      <c r="P1247" s="7"/>
      <c r="Q1247" s="663" t="s">
        <v>156</v>
      </c>
      <c r="R1247" s="663"/>
      <c r="S1247" s="663"/>
      <c r="T1247" s="663"/>
      <c r="U1247" s="663"/>
      <c r="V1247" s="663"/>
      <c r="W1247" s="1"/>
      <c r="X1247" s="255"/>
      <c r="Z1247" s="75"/>
      <c r="AA1247" s="76"/>
      <c r="AB1247" s="76"/>
      <c r="AC1247" s="76"/>
      <c r="AD1247" s="76"/>
    </row>
    <row r="1248" spans="1:42" customFormat="1" ht="14.85" customHeight="1" x14ac:dyDescent="0.25">
      <c r="A1248" s="77" t="s">
        <v>8</v>
      </c>
      <c r="B1248" s="671">
        <f>ادخال1!$BJ$3</f>
        <v>0</v>
      </c>
      <c r="C1248" s="672"/>
      <c r="D1248" s="278"/>
      <c r="E1248" s="7" t="s">
        <v>9</v>
      </c>
      <c r="F1248" s="673" t="str">
        <f>ادخال1!$BJ$5</f>
        <v>د. عبدالرحمن خليفة العريبي</v>
      </c>
      <c r="G1248" s="673"/>
      <c r="H1248" s="673"/>
      <c r="I1248" s="673"/>
      <c r="J1248" s="673"/>
      <c r="K1248" s="673"/>
      <c r="L1248" s="673"/>
      <c r="M1248" s="673"/>
      <c r="N1248" s="673"/>
      <c r="O1248" s="673"/>
      <c r="P1248" s="7"/>
      <c r="Q1248" s="673" t="str">
        <f>ادخال1!$BJ$6</f>
        <v>تاجوراء</v>
      </c>
      <c r="R1248" s="673"/>
      <c r="S1248" s="673"/>
      <c r="T1248" s="673"/>
      <c r="U1248" s="673"/>
      <c r="V1248" s="673"/>
      <c r="W1248" s="673"/>
      <c r="X1248" s="63"/>
      <c r="Y1248" s="63"/>
      <c r="Z1248" s="75"/>
      <c r="AA1248" s="75"/>
      <c r="AB1248" s="75"/>
      <c r="AC1248" s="75"/>
    </row>
    <row r="1249" spans="1:42" customFormat="1" ht="14.85" customHeight="1" thickBot="1" x14ac:dyDescent="0.3">
      <c r="A1249" s="78" t="s">
        <v>97</v>
      </c>
      <c r="B1249" s="665">
        <f>ادخال1!$BJ$4</f>
        <v>0</v>
      </c>
      <c r="C1249" s="666"/>
      <c r="D1249" s="279"/>
      <c r="E1249" s="7" t="s">
        <v>11</v>
      </c>
      <c r="F1249" s="667"/>
      <c r="G1249" s="667"/>
      <c r="H1249" s="667"/>
      <c r="I1249" s="667"/>
      <c r="J1249" s="667"/>
      <c r="K1249" s="667"/>
      <c r="L1249" s="667"/>
      <c r="M1249" s="667"/>
      <c r="N1249" s="667"/>
      <c r="O1249" s="667"/>
      <c r="P1249" s="7"/>
      <c r="Q1249" s="7" t="s">
        <v>11</v>
      </c>
      <c r="R1249" s="1"/>
      <c r="S1249" s="1"/>
      <c r="T1249" s="1"/>
      <c r="U1249" s="1"/>
      <c r="V1249" s="1"/>
      <c r="W1249" s="1"/>
      <c r="X1249" s="255"/>
      <c r="Z1249" s="75"/>
      <c r="AA1249" s="75"/>
      <c r="AB1249" s="75"/>
      <c r="AC1249" s="75"/>
    </row>
    <row r="1250" spans="1:42" customFormat="1" ht="14.85" customHeight="1" x14ac:dyDescent="0.25">
      <c r="A1250" s="663" t="s">
        <v>98</v>
      </c>
      <c r="B1250" s="663"/>
      <c r="C1250" s="663"/>
      <c r="D1250" s="663"/>
      <c r="E1250" s="663" t="s">
        <v>99</v>
      </c>
      <c r="F1250" s="663"/>
      <c r="G1250" s="663"/>
      <c r="H1250" s="663"/>
      <c r="I1250" s="663"/>
      <c r="J1250" s="663"/>
      <c r="K1250" s="663"/>
      <c r="L1250" s="663"/>
      <c r="M1250" s="663"/>
      <c r="N1250" s="663"/>
      <c r="O1250" s="663"/>
      <c r="P1250" s="663"/>
      <c r="Q1250" s="663"/>
      <c r="R1250" s="7"/>
      <c r="S1250" s="664">
        <f ca="1">TODAY()</f>
        <v>46009</v>
      </c>
      <c r="T1250" s="664"/>
      <c r="U1250" s="664"/>
      <c r="V1250" s="664"/>
      <c r="W1250" s="664"/>
      <c r="X1250" s="255"/>
    </row>
    <row r="1251" spans="1:42" customFormat="1" ht="14.85" customHeight="1" thickBot="1" x14ac:dyDescent="0.3">
      <c r="A1251" s="7"/>
      <c r="B1251" s="663" t="s">
        <v>100</v>
      </c>
      <c r="C1251" s="663"/>
      <c r="D1251" s="663"/>
      <c r="E1251" s="663" t="s">
        <v>101</v>
      </c>
      <c r="F1251" s="663"/>
      <c r="G1251" s="663"/>
      <c r="H1251" s="663"/>
      <c r="I1251" s="663"/>
      <c r="J1251" s="663"/>
      <c r="K1251" s="663"/>
      <c r="L1251" s="663"/>
      <c r="M1251" s="663"/>
      <c r="N1251" s="663"/>
      <c r="O1251" s="663"/>
      <c r="P1251" s="663"/>
      <c r="Q1251" s="663"/>
      <c r="R1251" s="1"/>
      <c r="S1251" s="1"/>
      <c r="T1251" s="1"/>
      <c r="U1251" s="1"/>
      <c r="V1251" s="1"/>
      <c r="W1251" s="1"/>
      <c r="X1251" s="255"/>
    </row>
    <row r="1252" spans="1:42" ht="14.85" customHeight="1" thickBot="1" x14ac:dyDescent="0.3">
      <c r="A1252" s="610">
        <v>271</v>
      </c>
      <c r="B1252" s="613">
        <f>VLOOKUP(A1252,مسلسل,2,0)</f>
        <v>0</v>
      </c>
      <c r="C1252" s="616" t="str">
        <f>IFERROR(VLOOKUP(B1252,اسماء,2,0),"")</f>
        <v/>
      </c>
      <c r="D1252" s="619" t="str">
        <f>IFERROR(VLOOKUP($B1252,اسماء,3,0),"")</f>
        <v/>
      </c>
      <c r="E1252" s="129" t="s">
        <v>30</v>
      </c>
      <c r="F1252" s="600">
        <f>IFERROR(VLOOKUP($B1252,اسماء,5,0),0)</f>
        <v>0</v>
      </c>
      <c r="G1252" s="601"/>
      <c r="H1252" s="602">
        <f>IFERROR(VLOOKUP($B1252,اسماء,6,0),0)</f>
        <v>0</v>
      </c>
      <c r="I1252" s="622"/>
      <c r="J1252" s="600">
        <f>IFERROR(VLOOKUP($B1252,اسماء,7,0),0)</f>
        <v>0</v>
      </c>
      <c r="K1252" s="601"/>
      <c r="L1252" s="602">
        <f>IFERROR(VLOOKUP($B1252,اسماء,8,0),0)</f>
        <v>0</v>
      </c>
      <c r="M1252" s="603"/>
      <c r="N1252" s="602">
        <f>IFERROR(VLOOKUP($B1252,اسماء,9,0),0)</f>
        <v>0</v>
      </c>
      <c r="O1252" s="603"/>
      <c r="P1252" s="600">
        <f>IFERROR(VLOOKUP($B1252,اسماء,10,0),0)</f>
        <v>0</v>
      </c>
      <c r="Q1252" s="622"/>
      <c r="R1252" s="371">
        <f>SUM(F1252:Q1252)</f>
        <v>0</v>
      </c>
      <c r="S1252" s="325" t="str">
        <f>IFERROR(VLOOKUP($B1252,اسماء,12,0),"")</f>
        <v/>
      </c>
      <c r="T1252" s="326" t="str">
        <f>IFERROR(VLOOKUP($B1252,اسماء,13,0),"")</f>
        <v/>
      </c>
      <c r="U1252" s="92" t="str">
        <f>IFERROR(VLOOKUP($B1252,اسماء,14,0),"")</f>
        <v/>
      </c>
      <c r="V1252" s="604" t="str">
        <f t="shared" ref="V1252" si="3396">IF(Z1252="غائب","راسب",IF(R1255&gt;0,"ناجح","مرحل"))</f>
        <v>مرحل</v>
      </c>
      <c r="W1252" s="19" t="str">
        <f t="shared" ref="W1252:W1253" si="3397">LOOKUP(R1252,$AC$6:$AD$10)</f>
        <v>ضعيف</v>
      </c>
      <c r="X1252" s="639">
        <f t="shared" ref="X1252" si="3398">R1255/$AC$3</f>
        <v>0</v>
      </c>
      <c r="Y1252" s="68"/>
      <c r="Z1252" s="597" t="str">
        <f>IFERROR(VLOOKUP($B1252,اسماء,48,0),"")</f>
        <v/>
      </c>
      <c r="AK1252" s="695" t="str">
        <f>IF(R1255=0,"",R1255/1+ROW()*0.00001)</f>
        <v/>
      </c>
      <c r="AL1252" s="695">
        <f>B1252</f>
        <v>0</v>
      </c>
      <c r="AM1252" s="696"/>
      <c r="AN1252" s="698">
        <v>271</v>
      </c>
      <c r="AO1252" s="699" t="str">
        <f>IFERROR(LARGE($AK$10:$AK$1420,AN1252),"")</f>
        <v/>
      </c>
      <c r="AP1252" s="700" t="str">
        <f>VLOOKUP(AO1252,$AK$10:$AL$1530,2,0)</f>
        <v>امجد عمر عبداللطيف سلطان</v>
      </c>
    </row>
    <row r="1253" spans="1:42" ht="14.85" customHeight="1" x14ac:dyDescent="0.25">
      <c r="A1253" s="611"/>
      <c r="B1253" s="614"/>
      <c r="C1253" s="617"/>
      <c r="D1253" s="620"/>
      <c r="E1253" s="130" t="s">
        <v>31</v>
      </c>
      <c r="F1253" s="592">
        <f>IFERROR(VLOOKUP($B1252,اسماء,16,0),0)</f>
        <v>0</v>
      </c>
      <c r="G1253" s="593"/>
      <c r="H1253" s="594">
        <f>IFERROR(VLOOKUP($B1252,اسماء,17,0),0)</f>
        <v>0</v>
      </c>
      <c r="I1253" s="595"/>
      <c r="J1253" s="592">
        <f>IFERROR(VLOOKUP($B1252,اسماء,18,0),0)</f>
        <v>0</v>
      </c>
      <c r="K1253" s="593"/>
      <c r="L1253" s="594">
        <f>IFERROR(VLOOKUP($B1252,اسماء,19,0),0)</f>
        <v>0</v>
      </c>
      <c r="M1253" s="596"/>
      <c r="N1253" s="594">
        <f>IFERROR(VLOOKUP($B1252,اسماء,20,0),0)</f>
        <v>0</v>
      </c>
      <c r="O1253" s="596"/>
      <c r="P1253" s="592">
        <f>IFERROR(VLOOKUP($B1252,اسماء,21,0),0)</f>
        <v>0</v>
      </c>
      <c r="Q1253" s="595"/>
      <c r="R1253" s="372">
        <f t="shared" ref="R1253:R1254" si="3399">SUM(F1253:Q1253)</f>
        <v>0</v>
      </c>
      <c r="S1253" s="305" t="str">
        <f>IFERROR(VLOOKUP($B1252,اسماء,23,0),"")</f>
        <v/>
      </c>
      <c r="T1253" s="306" t="str">
        <f>IFERROR(VLOOKUP($B1252,اسماء,24,0),"")</f>
        <v/>
      </c>
      <c r="U1253" s="122" t="str">
        <f>IFERROR(VLOOKUP($B1252,اسماء,25,0),"")</f>
        <v/>
      </c>
      <c r="V1253" s="605"/>
      <c r="W1253" s="19" t="str">
        <f t="shared" si="3397"/>
        <v>ضعيف</v>
      </c>
      <c r="X1253" s="640"/>
      <c r="Y1253" s="8"/>
      <c r="Z1253" s="598"/>
      <c r="AK1253" s="696"/>
      <c r="AL1253" s="696"/>
      <c r="AM1253" s="696"/>
      <c r="AN1253" s="698"/>
      <c r="AO1253" s="699"/>
      <c r="AP1253" s="701"/>
    </row>
    <row r="1254" spans="1:42" ht="14.85" customHeight="1" x14ac:dyDescent="0.25">
      <c r="A1254" s="611"/>
      <c r="B1254" s="614"/>
      <c r="C1254" s="617"/>
      <c r="D1254" s="620"/>
      <c r="E1254" s="130" t="s">
        <v>32</v>
      </c>
      <c r="F1254" s="592">
        <f>IFERROR(VLOOKUP($B1252,اسماء,27,0),0)</f>
        <v>0</v>
      </c>
      <c r="G1254" s="593"/>
      <c r="H1254" s="594">
        <f>IFERROR(VLOOKUP($B1252,اسماء,28,0),0)</f>
        <v>0</v>
      </c>
      <c r="I1254" s="595"/>
      <c r="J1254" s="592">
        <f>IFERROR(VLOOKUP($B1252,اسماء,29,0),0)</f>
        <v>0</v>
      </c>
      <c r="K1254" s="593"/>
      <c r="L1254" s="594">
        <f>IFERROR(VLOOKUP($B1252,اسماء,30,0),0)</f>
        <v>0</v>
      </c>
      <c r="M1254" s="596"/>
      <c r="N1254" s="594">
        <f>IFERROR(VLOOKUP($B1252,اسماء,31,0),0)</f>
        <v>0</v>
      </c>
      <c r="O1254" s="596"/>
      <c r="P1254" s="592">
        <f>IFERROR(VLOOKUP($B1252,اسماء,32,0),0)</f>
        <v>0</v>
      </c>
      <c r="Q1254" s="595"/>
      <c r="R1254" s="372">
        <f t="shared" si="3399"/>
        <v>0</v>
      </c>
      <c r="S1254" s="305" t="str">
        <f>IFERROR(VLOOKUP($B1252,اسماء,34,0),"")</f>
        <v/>
      </c>
      <c r="T1254" s="306" t="str">
        <f>IFERROR(VLOOKUP($B1252,اسماء,35,0),"")</f>
        <v/>
      </c>
      <c r="U1254" s="122" t="str">
        <f>IFERROR(VLOOKUP($B1252,اسماء,36,0),"")</f>
        <v/>
      </c>
      <c r="V1254" s="605"/>
      <c r="W1254" s="20" t="str">
        <f t="shared" ref="W1254" si="3400">LOOKUP(R1254,$AF$6:$AG$10)</f>
        <v>ضعيف</v>
      </c>
      <c r="X1254" s="640"/>
      <c r="Y1254" s="68"/>
      <c r="Z1254" s="598"/>
      <c r="AK1254" s="696"/>
      <c r="AL1254" s="696"/>
      <c r="AM1254" s="696"/>
      <c r="AN1254" s="698"/>
      <c r="AO1254" s="699"/>
      <c r="AP1254" s="701"/>
    </row>
    <row r="1255" spans="1:42" ht="14.85" customHeight="1" thickBot="1" x14ac:dyDescent="0.3">
      <c r="A1255" s="612"/>
      <c r="B1255" s="615"/>
      <c r="C1255" s="618"/>
      <c r="D1255" s="621"/>
      <c r="E1255" s="124" t="s">
        <v>33</v>
      </c>
      <c r="F1255" s="623">
        <f>SUM(F1252:G1254)</f>
        <v>0</v>
      </c>
      <c r="G1255" s="624"/>
      <c r="H1255" s="625">
        <f>SUM(H1252:I1254)</f>
        <v>0</v>
      </c>
      <c r="I1255" s="626"/>
      <c r="J1255" s="623">
        <f>SUM(J1252:K1254)</f>
        <v>0</v>
      </c>
      <c r="K1255" s="624"/>
      <c r="L1255" s="625">
        <f>SUM(L1252:M1254)</f>
        <v>0</v>
      </c>
      <c r="M1255" s="642"/>
      <c r="N1255" s="625">
        <f>SUM(N1252:O1254)</f>
        <v>0</v>
      </c>
      <c r="O1255" s="642"/>
      <c r="P1255" s="623">
        <f>SUM(P1252:Q1254)</f>
        <v>0</v>
      </c>
      <c r="Q1255" s="626"/>
      <c r="R1255" s="88">
        <f>IF(AND(F1255&gt;=$G$8,H1255&gt;=$I$8,J1255&gt;=$K$8,L1255&gt;=$M$8,N1255&gt;=$O$8,P1255&gt;=$Q$8),SUM(F1255:Q1255),0)</f>
        <v>0</v>
      </c>
      <c r="S1255" s="251"/>
      <c r="T1255" s="97"/>
      <c r="U1255" s="94"/>
      <c r="V1255" s="606"/>
      <c r="W1255" s="88" t="str">
        <f t="shared" ref="W1255" si="3401">LOOKUP(R1255,$AI$6:$AJ$10)</f>
        <v>ضعيف</v>
      </c>
      <c r="X1255" s="641"/>
      <c r="Y1255" s="68"/>
      <c r="Z1255" s="599"/>
      <c r="AK1255" s="697"/>
      <c r="AL1255" s="697"/>
      <c r="AM1255" s="696"/>
      <c r="AN1255" s="698"/>
      <c r="AO1255" s="699"/>
      <c r="AP1255" s="702"/>
    </row>
    <row r="1256" spans="1:42" ht="14.85" customHeight="1" thickBot="1" x14ac:dyDescent="0.3">
      <c r="A1256" s="610">
        <v>272</v>
      </c>
      <c r="B1256" s="613">
        <f>VLOOKUP(A1256,مسلسل,2,0)</f>
        <v>0</v>
      </c>
      <c r="C1256" s="616" t="str">
        <f>IFERROR(VLOOKUP(B1256,اسماء,2,0),"")</f>
        <v/>
      </c>
      <c r="D1256" s="619" t="str">
        <f>IFERROR(VLOOKUP($B1256,اسماء,3,0),"")</f>
        <v/>
      </c>
      <c r="E1256" s="129" t="s">
        <v>30</v>
      </c>
      <c r="F1256" s="600">
        <f>IFERROR(VLOOKUP($B1256,اسماء,5,0),0)</f>
        <v>0</v>
      </c>
      <c r="G1256" s="601"/>
      <c r="H1256" s="602">
        <f>IFERROR(VLOOKUP($B1256,اسماء,6,0),0)</f>
        <v>0</v>
      </c>
      <c r="I1256" s="622"/>
      <c r="J1256" s="600">
        <f>IFERROR(VLOOKUP($B1256,اسماء,7,0),0)</f>
        <v>0</v>
      </c>
      <c r="K1256" s="601"/>
      <c r="L1256" s="602">
        <f>IFERROR(VLOOKUP($B1256,اسماء,8,0),0)</f>
        <v>0</v>
      </c>
      <c r="M1256" s="603"/>
      <c r="N1256" s="602">
        <f>IFERROR(VLOOKUP($B1256,اسماء,9,0),0)</f>
        <v>0</v>
      </c>
      <c r="O1256" s="603"/>
      <c r="P1256" s="600">
        <f>IFERROR(VLOOKUP($B1256,اسماء,10,0),0)</f>
        <v>0</v>
      </c>
      <c r="Q1256" s="622"/>
      <c r="R1256" s="371">
        <f t="shared" ref="R1256:R1290" si="3402">SUM(F1256:Q1256)</f>
        <v>0</v>
      </c>
      <c r="S1256" s="213" t="str">
        <f>IFERROR(VLOOKUP($B1256,اسماء,12,0),"")</f>
        <v/>
      </c>
      <c r="T1256" s="214" t="str">
        <f>IFERROR(VLOOKUP($B1256,اسماء,13,0),"")</f>
        <v/>
      </c>
      <c r="U1256" s="364" t="str">
        <f>IFERROR(VLOOKUP($B1256,اسماء,14,0),"")</f>
        <v/>
      </c>
      <c r="V1256" s="604" t="str">
        <f t="shared" ref="V1256" si="3403">IF(Z1256="غائب","راسب",IF(R1259&gt;0,"ناجح","مرحل"))</f>
        <v>مرحل</v>
      </c>
      <c r="W1256" s="19" t="str">
        <f t="shared" ref="W1256:W1257" si="3404">LOOKUP(R1256,$AC$6:$AD$10)</f>
        <v>ضعيف</v>
      </c>
      <c r="X1256" s="639">
        <f t="shared" ref="X1256" si="3405">R1259/$AC$3</f>
        <v>0</v>
      </c>
      <c r="Y1256" s="8"/>
      <c r="Z1256" s="597" t="str">
        <f>IFERROR(VLOOKUP($B1256,اسماء,48,0),"")</f>
        <v/>
      </c>
      <c r="AK1256" s="705" t="str">
        <f t="shared" ref="AK1256" si="3406">IF(R1259=0,"",R1259/1+ROW()*0.00001)</f>
        <v/>
      </c>
      <c r="AL1256" s="703">
        <f>B1256</f>
        <v>0</v>
      </c>
      <c r="AM1256" s="696"/>
      <c r="AN1256" s="698">
        <v>272</v>
      </c>
      <c r="AO1256" s="699" t="str">
        <f>IFERROR(LARGE($AK$10:$AK$1420,AN1256),"")</f>
        <v/>
      </c>
      <c r="AP1256" s="700" t="str">
        <f>VLOOKUP(AO1256,$AK$10:$AL$1530,2,0)</f>
        <v>امجد عمر عبداللطيف سلطان</v>
      </c>
    </row>
    <row r="1257" spans="1:42" ht="14.85" customHeight="1" x14ac:dyDescent="0.25">
      <c r="A1257" s="611"/>
      <c r="B1257" s="614"/>
      <c r="C1257" s="617"/>
      <c r="D1257" s="620"/>
      <c r="E1257" s="130" t="s">
        <v>31</v>
      </c>
      <c r="F1257" s="592">
        <f>IFERROR(VLOOKUP($B1256,اسماء,15,0),0)</f>
        <v>0</v>
      </c>
      <c r="G1257" s="593"/>
      <c r="H1257" s="594">
        <f>IFERROR(VLOOKUP($B1256,اسماء,16,0),0)</f>
        <v>0</v>
      </c>
      <c r="I1257" s="595"/>
      <c r="J1257" s="592">
        <f>IFERROR(VLOOKUP($B1256,اسماء,17,0),0)</f>
        <v>0</v>
      </c>
      <c r="K1257" s="593"/>
      <c r="L1257" s="594">
        <f>IFERROR(VLOOKUP($B1256,اسماء,18,0),0)</f>
        <v>0</v>
      </c>
      <c r="M1257" s="596"/>
      <c r="N1257" s="594">
        <f>IFERROR(VLOOKUP($B1256,اسماء,19,0),0)</f>
        <v>0</v>
      </c>
      <c r="O1257" s="596"/>
      <c r="P1257" s="592">
        <f>IFERROR(VLOOKUP($B1256,اسماء,20,0),0)</f>
        <v>0</v>
      </c>
      <c r="Q1257" s="595"/>
      <c r="R1257" s="372">
        <f t="shared" si="3402"/>
        <v>0</v>
      </c>
      <c r="S1257" s="305" t="str">
        <f>IFERROR(VLOOKUP($B1256,اسماء,23,0),"")</f>
        <v/>
      </c>
      <c r="T1257" s="306" t="str">
        <f>IFERROR(VLOOKUP($B1256,اسماء,24,0),"")</f>
        <v/>
      </c>
      <c r="U1257" s="122" t="str">
        <f>IFERROR(VLOOKUP($B1256,اسماء,25,0),"")</f>
        <v/>
      </c>
      <c r="V1257" s="605"/>
      <c r="W1257" s="19" t="str">
        <f t="shared" si="3404"/>
        <v>ضعيف</v>
      </c>
      <c r="X1257" s="640"/>
      <c r="Y1257" s="68"/>
      <c r="Z1257" s="598"/>
      <c r="AK1257" s="667"/>
      <c r="AL1257" s="694"/>
      <c r="AM1257" s="696"/>
      <c r="AN1257" s="698"/>
      <c r="AO1257" s="699"/>
      <c r="AP1257" s="701"/>
    </row>
    <row r="1258" spans="1:42" ht="14.85" customHeight="1" x14ac:dyDescent="0.25">
      <c r="A1258" s="611"/>
      <c r="B1258" s="614"/>
      <c r="C1258" s="617"/>
      <c r="D1258" s="620"/>
      <c r="E1258" s="130" t="s">
        <v>32</v>
      </c>
      <c r="F1258" s="592">
        <f>IFERROR(VLOOKUP($B1256,اسماء,25,0),0)</f>
        <v>0</v>
      </c>
      <c r="G1258" s="593"/>
      <c r="H1258" s="594">
        <f>IFERROR(VLOOKUP($B1256,اسماء,26,0),0)</f>
        <v>0</v>
      </c>
      <c r="I1258" s="595"/>
      <c r="J1258" s="592">
        <f>IFERROR(VLOOKUP($B1256,اسماء,27,0),0)</f>
        <v>0</v>
      </c>
      <c r="K1258" s="593"/>
      <c r="L1258" s="594">
        <f>IFERROR(VLOOKUP($B1256,اسماء,28,0),0)</f>
        <v>0</v>
      </c>
      <c r="M1258" s="596"/>
      <c r="N1258" s="594">
        <f>IFERROR(VLOOKUP($B1256,اسماء,29,0),0)</f>
        <v>0</v>
      </c>
      <c r="O1258" s="596"/>
      <c r="P1258" s="592">
        <f>IFERROR(VLOOKUP($B1256,اسماء,30,0),0)</f>
        <v>0</v>
      </c>
      <c r="Q1258" s="595"/>
      <c r="R1258" s="372">
        <f t="shared" si="3402"/>
        <v>0</v>
      </c>
      <c r="S1258" s="305" t="str">
        <f>IFERROR(VLOOKUP($B1256,اسماء,34,0),"")</f>
        <v/>
      </c>
      <c r="T1258" s="306" t="str">
        <f>IFERROR(VLOOKUP($B1256,اسماء,35,0),"")</f>
        <v/>
      </c>
      <c r="U1258" s="122" t="str">
        <f>IFERROR(VLOOKUP($B1256,اسماء,36,0),"")</f>
        <v/>
      </c>
      <c r="V1258" s="605"/>
      <c r="W1258" s="20" t="str">
        <f t="shared" ref="W1258" si="3407">LOOKUP(R1258,$AF$6:$AG$10)</f>
        <v>ضعيف</v>
      </c>
      <c r="X1258" s="640"/>
      <c r="Y1258" s="68"/>
      <c r="Z1258" s="598"/>
      <c r="AK1258" s="667"/>
      <c r="AL1258" s="694"/>
      <c r="AM1258" s="696"/>
      <c r="AN1258" s="698"/>
      <c r="AO1258" s="699"/>
      <c r="AP1258" s="701"/>
    </row>
    <row r="1259" spans="1:42" ht="14.85" customHeight="1" thickBot="1" x14ac:dyDescent="0.3">
      <c r="A1259" s="612"/>
      <c r="B1259" s="615"/>
      <c r="C1259" s="618"/>
      <c r="D1259" s="621"/>
      <c r="E1259" s="124" t="s">
        <v>33</v>
      </c>
      <c r="F1259" s="623">
        <f>SUM(F1256:G1258)</f>
        <v>0</v>
      </c>
      <c r="G1259" s="624"/>
      <c r="H1259" s="625">
        <f>SUM(H1256:I1258)</f>
        <v>0</v>
      </c>
      <c r="I1259" s="626"/>
      <c r="J1259" s="623">
        <f>SUM(J1256:K1258)</f>
        <v>0</v>
      </c>
      <c r="K1259" s="624"/>
      <c r="L1259" s="625">
        <f>SUM(L1256:M1258)</f>
        <v>0</v>
      </c>
      <c r="M1259" s="642"/>
      <c r="N1259" s="625">
        <f>SUM(N1256:O1258)</f>
        <v>0</v>
      </c>
      <c r="O1259" s="642"/>
      <c r="P1259" s="623">
        <f>SUM(P1256:Q1258)</f>
        <v>0</v>
      </c>
      <c r="Q1259" s="626"/>
      <c r="R1259" s="88">
        <f t="shared" ref="R1259" si="3408">IF(AND(F1259&gt;=$G$8,H1259&gt;=$I$8,J1259&gt;=$K$8,L1259&gt;=$M$8,N1259&gt;=$O$8,P1259&gt;=$Q$8),SUM(F1259:Q1259),0)</f>
        <v>0</v>
      </c>
      <c r="S1259" s="251"/>
      <c r="T1259" s="97"/>
      <c r="U1259" s="94"/>
      <c r="V1259" s="606"/>
      <c r="W1259" s="88" t="str">
        <f t="shared" ref="W1259" si="3409">LOOKUP(R1259,$AI$6:$AJ$10)</f>
        <v>ضعيف</v>
      </c>
      <c r="X1259" s="641"/>
      <c r="Y1259" s="8"/>
      <c r="Z1259" s="599"/>
      <c r="AK1259" s="667"/>
      <c r="AL1259" s="694"/>
      <c r="AM1259" s="696"/>
      <c r="AN1259" s="698"/>
      <c r="AO1259" s="699"/>
      <c r="AP1259" s="702"/>
    </row>
    <row r="1260" spans="1:42" ht="14.85" customHeight="1" thickBot="1" x14ac:dyDescent="0.3">
      <c r="A1260" s="610">
        <v>273</v>
      </c>
      <c r="B1260" s="613">
        <f>VLOOKUP(A1260,مسلسل,2,0)</f>
        <v>0</v>
      </c>
      <c r="C1260" s="616" t="str">
        <f>IFERROR(VLOOKUP(B1260,اسماء,2,0),"")</f>
        <v/>
      </c>
      <c r="D1260" s="619" t="str">
        <f>IFERROR(VLOOKUP($B1260,اسماء,3,0),"")</f>
        <v/>
      </c>
      <c r="E1260" s="129" t="s">
        <v>30</v>
      </c>
      <c r="F1260" s="600">
        <f>IFERROR(VLOOKUP($B1260,اسماء,5,0),0)</f>
        <v>0</v>
      </c>
      <c r="G1260" s="601"/>
      <c r="H1260" s="602">
        <f>IFERROR(VLOOKUP($B1260,اسماء,6,0),0)</f>
        <v>0</v>
      </c>
      <c r="I1260" s="622"/>
      <c r="J1260" s="600">
        <f>IFERROR(VLOOKUP($B1260,اسماء,7,0),0)</f>
        <v>0</v>
      </c>
      <c r="K1260" s="601"/>
      <c r="L1260" s="602">
        <f>IFERROR(VLOOKUP($B1260,اسماء,8,0),0)</f>
        <v>0</v>
      </c>
      <c r="M1260" s="603"/>
      <c r="N1260" s="602">
        <f>IFERROR(VLOOKUP($B1260,اسماء,9,0),0)</f>
        <v>0</v>
      </c>
      <c r="O1260" s="603"/>
      <c r="P1260" s="600">
        <f>IFERROR(VLOOKUP($B1260,اسماء,10,0),0)</f>
        <v>0</v>
      </c>
      <c r="Q1260" s="622"/>
      <c r="R1260" s="371">
        <f t="shared" ref="R1260" si="3410">SUM(F1260:Q1260)</f>
        <v>0</v>
      </c>
      <c r="S1260" s="213" t="str">
        <f>IFERROR(VLOOKUP($B1260,اسماء,12,0),"")</f>
        <v/>
      </c>
      <c r="T1260" s="214" t="str">
        <f>IFERROR(VLOOKUP($B1260,اسماء,13,0),"")</f>
        <v/>
      </c>
      <c r="U1260" s="364" t="str">
        <f>IFERROR(VLOOKUP($B1260,اسماء,14,0),"")</f>
        <v/>
      </c>
      <c r="V1260" s="604" t="str">
        <f t="shared" ref="V1260" si="3411">IF(Z1260="غائب","راسب",IF(R1263&gt;0,"ناجح","مرحل"))</f>
        <v>مرحل</v>
      </c>
      <c r="W1260" s="19" t="str">
        <f t="shared" ref="W1260:W1261" si="3412">LOOKUP(R1260,$AC$6:$AD$10)</f>
        <v>ضعيف</v>
      </c>
      <c r="X1260" s="639">
        <f t="shared" ref="X1260" si="3413">R1263/$AC$3</f>
        <v>0</v>
      </c>
      <c r="Y1260" s="68"/>
      <c r="Z1260" s="597" t="str">
        <f>IFERROR(VLOOKUP($B1260,اسماء,48,0),"")</f>
        <v/>
      </c>
      <c r="AK1260" s="667" t="str">
        <f t="shared" ref="AK1260" si="3414">IF(R1263=0,"",R1263/1+ROW()*0.00001)</f>
        <v/>
      </c>
      <c r="AL1260" s="694">
        <f>B1260</f>
        <v>0</v>
      </c>
      <c r="AM1260" s="696"/>
      <c r="AN1260" s="698">
        <v>273</v>
      </c>
      <c r="AO1260" s="699" t="str">
        <f>IFERROR(LARGE($AK$10:$AK$1420,AN1260),"")</f>
        <v/>
      </c>
      <c r="AP1260" s="700" t="str">
        <f>VLOOKUP(AO1260,$AK$10:$AL$1530,2,0)</f>
        <v>امجد عمر عبداللطيف سلطان</v>
      </c>
    </row>
    <row r="1261" spans="1:42" ht="14.85" customHeight="1" x14ac:dyDescent="0.25">
      <c r="A1261" s="611"/>
      <c r="B1261" s="614"/>
      <c r="C1261" s="617"/>
      <c r="D1261" s="620"/>
      <c r="E1261" s="130" t="s">
        <v>31</v>
      </c>
      <c r="F1261" s="592">
        <f>IFERROR(VLOOKUP($B1260,اسماء,15,0),0)</f>
        <v>0</v>
      </c>
      <c r="G1261" s="593"/>
      <c r="H1261" s="594">
        <f>IFERROR(VLOOKUP($B1260,اسماء,16,0),0)</f>
        <v>0</v>
      </c>
      <c r="I1261" s="595"/>
      <c r="J1261" s="592">
        <f>IFERROR(VLOOKUP($B1260,اسماء,17,0),0)</f>
        <v>0</v>
      </c>
      <c r="K1261" s="593"/>
      <c r="L1261" s="594">
        <f>IFERROR(VLOOKUP($B1260,اسماء,18,0),0)</f>
        <v>0</v>
      </c>
      <c r="M1261" s="596"/>
      <c r="N1261" s="594">
        <f>IFERROR(VLOOKUP($B1260,اسماء,19,0),0)</f>
        <v>0</v>
      </c>
      <c r="O1261" s="596"/>
      <c r="P1261" s="592">
        <f>IFERROR(VLOOKUP($B1260,اسماء,20,0),0)</f>
        <v>0</v>
      </c>
      <c r="Q1261" s="595"/>
      <c r="R1261" s="372">
        <f t="shared" si="3402"/>
        <v>0</v>
      </c>
      <c r="S1261" s="305" t="str">
        <f>IFERROR(VLOOKUP($B1260,اسماء,23,0),"")</f>
        <v/>
      </c>
      <c r="T1261" s="306" t="str">
        <f>IFERROR(VLOOKUP($B1260,اسماء,24,0),"")</f>
        <v/>
      </c>
      <c r="U1261" s="122" t="str">
        <f>IFERROR(VLOOKUP($B1260,اسماء,25,0),"")</f>
        <v/>
      </c>
      <c r="V1261" s="605"/>
      <c r="W1261" s="19" t="str">
        <f t="shared" si="3412"/>
        <v>ضعيف</v>
      </c>
      <c r="X1261" s="640"/>
      <c r="Y1261" s="68"/>
      <c r="Z1261" s="598"/>
      <c r="AK1261" s="667"/>
      <c r="AL1261" s="694"/>
      <c r="AM1261" s="696"/>
      <c r="AN1261" s="698"/>
      <c r="AO1261" s="699"/>
      <c r="AP1261" s="701"/>
    </row>
    <row r="1262" spans="1:42" ht="14.85" customHeight="1" x14ac:dyDescent="0.25">
      <c r="A1262" s="611"/>
      <c r="B1262" s="614"/>
      <c r="C1262" s="617"/>
      <c r="D1262" s="620"/>
      <c r="E1262" s="130" t="s">
        <v>32</v>
      </c>
      <c r="F1262" s="592">
        <f>IFERROR(VLOOKUP($B1260,اسماء,25,0),0)</f>
        <v>0</v>
      </c>
      <c r="G1262" s="593"/>
      <c r="H1262" s="594">
        <f>IFERROR(VLOOKUP($B1260,اسماء,26,0),0)</f>
        <v>0</v>
      </c>
      <c r="I1262" s="595"/>
      <c r="J1262" s="592">
        <f>IFERROR(VLOOKUP($B1260,اسماء,27,0),0)</f>
        <v>0</v>
      </c>
      <c r="K1262" s="593"/>
      <c r="L1262" s="594">
        <f>IFERROR(VLOOKUP($B1260,اسماء,28,0),0)</f>
        <v>0</v>
      </c>
      <c r="M1262" s="596"/>
      <c r="N1262" s="594">
        <f>IFERROR(VLOOKUP($B1260,اسماء,29,0),0)</f>
        <v>0</v>
      </c>
      <c r="O1262" s="596"/>
      <c r="P1262" s="592">
        <f>IFERROR(VLOOKUP($B1260,اسماء,30,0),0)</f>
        <v>0</v>
      </c>
      <c r="Q1262" s="595"/>
      <c r="R1262" s="372">
        <f t="shared" si="3402"/>
        <v>0</v>
      </c>
      <c r="S1262" s="305" t="str">
        <f>IFERROR(VLOOKUP($B1260,اسماء,34,0),"")</f>
        <v/>
      </c>
      <c r="T1262" s="306" t="str">
        <f>IFERROR(VLOOKUP($B1260,اسماء,35,0),"")</f>
        <v/>
      </c>
      <c r="U1262" s="122" t="str">
        <f>IFERROR(VLOOKUP($B1260,اسماء,36,0),"")</f>
        <v/>
      </c>
      <c r="V1262" s="605"/>
      <c r="W1262" s="20" t="str">
        <f t="shared" ref="W1262" si="3415">LOOKUP(R1262,$AF$6:$AG$10)</f>
        <v>ضعيف</v>
      </c>
      <c r="X1262" s="640"/>
      <c r="Y1262" s="8"/>
      <c r="Z1262" s="598"/>
      <c r="AK1262" s="667"/>
      <c r="AL1262" s="694"/>
      <c r="AM1262" s="696"/>
      <c r="AN1262" s="698"/>
      <c r="AO1262" s="699"/>
      <c r="AP1262" s="701"/>
    </row>
    <row r="1263" spans="1:42" ht="14.85" customHeight="1" thickBot="1" x14ac:dyDescent="0.3">
      <c r="A1263" s="612"/>
      <c r="B1263" s="615"/>
      <c r="C1263" s="618"/>
      <c r="D1263" s="621"/>
      <c r="E1263" s="124" t="s">
        <v>33</v>
      </c>
      <c r="F1263" s="623">
        <f t="shared" ref="F1263" si="3416">SUM(F1260:G1262)</f>
        <v>0</v>
      </c>
      <c r="G1263" s="624"/>
      <c r="H1263" s="625">
        <f t="shared" ref="H1263" si="3417">SUM(H1260:I1262)</f>
        <v>0</v>
      </c>
      <c r="I1263" s="626"/>
      <c r="J1263" s="623">
        <f t="shared" ref="J1263" si="3418">SUM(J1260:K1262)</f>
        <v>0</v>
      </c>
      <c r="K1263" s="624"/>
      <c r="L1263" s="625">
        <f t="shared" ref="L1263" si="3419">SUM(L1260:M1262)</f>
        <v>0</v>
      </c>
      <c r="M1263" s="642"/>
      <c r="N1263" s="625">
        <f t="shared" ref="N1263" si="3420">SUM(N1260:O1262)</f>
        <v>0</v>
      </c>
      <c r="O1263" s="642"/>
      <c r="P1263" s="623">
        <f t="shared" ref="P1263" si="3421">SUM(P1260:Q1262)</f>
        <v>0</v>
      </c>
      <c r="Q1263" s="626"/>
      <c r="R1263" s="88">
        <f t="shared" ref="R1263" si="3422">IF(AND(F1263&gt;=$G$8,H1263&gt;=$I$8,J1263&gt;=$K$8,L1263&gt;=$M$8,N1263&gt;=$O$8,P1263&gt;=$Q$8),SUM(F1263:Q1263),0)</f>
        <v>0</v>
      </c>
      <c r="S1263" s="251"/>
      <c r="T1263" s="97"/>
      <c r="U1263" s="94"/>
      <c r="V1263" s="606"/>
      <c r="W1263" s="88" t="str">
        <f t="shared" ref="W1263" si="3423">LOOKUP(R1263,$AI$6:$AJ$10)</f>
        <v>ضعيف</v>
      </c>
      <c r="X1263" s="641"/>
      <c r="Y1263" s="68"/>
      <c r="Z1263" s="599"/>
      <c r="AK1263" s="667"/>
      <c r="AL1263" s="694"/>
      <c r="AM1263" s="696"/>
      <c r="AN1263" s="698"/>
      <c r="AO1263" s="699"/>
      <c r="AP1263" s="702"/>
    </row>
    <row r="1264" spans="1:42" ht="14.85" customHeight="1" thickBot="1" x14ac:dyDescent="0.3">
      <c r="A1264" s="610">
        <v>274</v>
      </c>
      <c r="B1264" s="613">
        <f>VLOOKUP(A1264,مسلسل,2,0)</f>
        <v>0</v>
      </c>
      <c r="C1264" s="616" t="str">
        <f>IFERROR(VLOOKUP(B1264,اسماء,2,0),"")</f>
        <v/>
      </c>
      <c r="D1264" s="619" t="str">
        <f>IFERROR(VLOOKUP($B1264,اسماء,3,0),"")</f>
        <v/>
      </c>
      <c r="E1264" s="129" t="s">
        <v>30</v>
      </c>
      <c r="F1264" s="600">
        <f>IFERROR(VLOOKUP($B1264,اسماء,5,0),0)</f>
        <v>0</v>
      </c>
      <c r="G1264" s="601"/>
      <c r="H1264" s="602">
        <f>IFERROR(VLOOKUP($B1264,اسماء,6,0),0)</f>
        <v>0</v>
      </c>
      <c r="I1264" s="622"/>
      <c r="J1264" s="600">
        <f>IFERROR(VLOOKUP($B1264,اسماء,7,0),0)</f>
        <v>0</v>
      </c>
      <c r="K1264" s="601"/>
      <c r="L1264" s="602">
        <f>IFERROR(VLOOKUP($B1264,اسماء,8,0),0)</f>
        <v>0</v>
      </c>
      <c r="M1264" s="603"/>
      <c r="N1264" s="602">
        <f>IFERROR(VLOOKUP($B1264,اسماء,9,0),0)</f>
        <v>0</v>
      </c>
      <c r="O1264" s="603"/>
      <c r="P1264" s="600">
        <f>IFERROR(VLOOKUP($B1264,اسماء,10,0),0)</f>
        <v>0</v>
      </c>
      <c r="Q1264" s="622"/>
      <c r="R1264" s="371">
        <f t="shared" ref="R1264" si="3424">SUM(F1264:Q1264)</f>
        <v>0</v>
      </c>
      <c r="S1264" s="213" t="str">
        <f>IFERROR(VLOOKUP($B1264,اسماء,12,0),"")</f>
        <v/>
      </c>
      <c r="T1264" s="214" t="str">
        <f>IFERROR(VLOOKUP($B1264,اسماء,13,0),"")</f>
        <v/>
      </c>
      <c r="U1264" s="364" t="str">
        <f>IFERROR(VLOOKUP($B1264,اسماء,14,0),"")</f>
        <v/>
      </c>
      <c r="V1264" s="604" t="str">
        <f t="shared" ref="V1264" si="3425">IF(Z1264="غائب","راسب",IF(R1267&gt;0,"ناجح","مرحل"))</f>
        <v>مرحل</v>
      </c>
      <c r="W1264" s="19" t="str">
        <f t="shared" ref="W1264:W1265" si="3426">LOOKUP(R1264,$AC$6:$AD$10)</f>
        <v>ضعيف</v>
      </c>
      <c r="X1264" s="639">
        <f t="shared" ref="X1264" si="3427">R1267/$AC$3</f>
        <v>0</v>
      </c>
      <c r="Y1264" s="68"/>
      <c r="Z1264" s="597" t="str">
        <f>IFERROR(VLOOKUP($B1264,اسماء,48,0),"")</f>
        <v/>
      </c>
      <c r="AK1264" s="667" t="str">
        <f t="shared" ref="AK1264" si="3428">IF(R1267=0,"",R1267/1+ROW()*0.00001)</f>
        <v/>
      </c>
      <c r="AL1264" s="694">
        <f>B1264</f>
        <v>0</v>
      </c>
      <c r="AM1264" s="696"/>
      <c r="AN1264" s="698">
        <v>274</v>
      </c>
      <c r="AO1264" s="699" t="str">
        <f>IFERROR(LARGE($AK$10:$AK$1420,AN1264),"")</f>
        <v/>
      </c>
      <c r="AP1264" s="700" t="str">
        <f>VLOOKUP(AO1264,$AK$10:$AL$1530,2,0)</f>
        <v>امجد عمر عبداللطيف سلطان</v>
      </c>
    </row>
    <row r="1265" spans="1:42" ht="14.85" customHeight="1" x14ac:dyDescent="0.25">
      <c r="A1265" s="611"/>
      <c r="B1265" s="614"/>
      <c r="C1265" s="617"/>
      <c r="D1265" s="620"/>
      <c r="E1265" s="130" t="s">
        <v>31</v>
      </c>
      <c r="F1265" s="592">
        <f>IFERROR(VLOOKUP($B1264,اسماء,15,0),0)</f>
        <v>0</v>
      </c>
      <c r="G1265" s="593"/>
      <c r="H1265" s="594">
        <f>IFERROR(VLOOKUP($B1264,اسماء,16,0),0)</f>
        <v>0</v>
      </c>
      <c r="I1265" s="595"/>
      <c r="J1265" s="592">
        <f>IFERROR(VLOOKUP($B1264,اسماء,17,0),0)</f>
        <v>0</v>
      </c>
      <c r="K1265" s="593"/>
      <c r="L1265" s="594">
        <f>IFERROR(VLOOKUP($B1264,اسماء,18,0),0)</f>
        <v>0</v>
      </c>
      <c r="M1265" s="596"/>
      <c r="N1265" s="594">
        <f>IFERROR(VLOOKUP($B1264,اسماء,19,0),0)</f>
        <v>0</v>
      </c>
      <c r="O1265" s="596"/>
      <c r="P1265" s="592">
        <f>IFERROR(VLOOKUP($B1264,اسماء,20,0),0)</f>
        <v>0</v>
      </c>
      <c r="Q1265" s="595"/>
      <c r="R1265" s="372">
        <f t="shared" si="3402"/>
        <v>0</v>
      </c>
      <c r="S1265" s="305" t="str">
        <f>IFERROR(VLOOKUP($B1264,اسماء,23,0),"")</f>
        <v/>
      </c>
      <c r="T1265" s="306" t="str">
        <f>IFERROR(VLOOKUP($B1264,اسماء,24,0),"")</f>
        <v/>
      </c>
      <c r="U1265" s="122" t="str">
        <f>IFERROR(VLOOKUP($B1264,اسماء,25,0),"")</f>
        <v/>
      </c>
      <c r="V1265" s="605"/>
      <c r="W1265" s="19" t="str">
        <f t="shared" si="3426"/>
        <v>ضعيف</v>
      </c>
      <c r="X1265" s="640"/>
      <c r="Y1265" s="8"/>
      <c r="Z1265" s="598"/>
      <c r="AK1265" s="667"/>
      <c r="AL1265" s="694"/>
      <c r="AM1265" s="696"/>
      <c r="AN1265" s="698"/>
      <c r="AO1265" s="699"/>
      <c r="AP1265" s="701"/>
    </row>
    <row r="1266" spans="1:42" ht="14.85" customHeight="1" x14ac:dyDescent="0.25">
      <c r="A1266" s="611"/>
      <c r="B1266" s="614"/>
      <c r="C1266" s="617"/>
      <c r="D1266" s="620"/>
      <c r="E1266" s="130" t="s">
        <v>32</v>
      </c>
      <c r="F1266" s="592">
        <f>IFERROR(VLOOKUP($B1264,اسماء,25,0),0)</f>
        <v>0</v>
      </c>
      <c r="G1266" s="593"/>
      <c r="H1266" s="594">
        <f>IFERROR(VLOOKUP($B1264,اسماء,26,0),0)</f>
        <v>0</v>
      </c>
      <c r="I1266" s="595"/>
      <c r="J1266" s="592">
        <f>IFERROR(VLOOKUP($B1264,اسماء,27,0),0)</f>
        <v>0</v>
      </c>
      <c r="K1266" s="593"/>
      <c r="L1266" s="594">
        <f>IFERROR(VLOOKUP($B1264,اسماء,28,0),0)</f>
        <v>0</v>
      </c>
      <c r="M1266" s="596"/>
      <c r="N1266" s="594">
        <f>IFERROR(VLOOKUP($B1264,اسماء,29,0),0)</f>
        <v>0</v>
      </c>
      <c r="O1266" s="596"/>
      <c r="P1266" s="592">
        <f>IFERROR(VLOOKUP($B1264,اسماء,30,0),0)</f>
        <v>0</v>
      </c>
      <c r="Q1266" s="595"/>
      <c r="R1266" s="372">
        <f t="shared" si="3402"/>
        <v>0</v>
      </c>
      <c r="S1266" s="305" t="str">
        <f>IFERROR(VLOOKUP($B1264,اسماء,34,0),"")</f>
        <v/>
      </c>
      <c r="T1266" s="306" t="str">
        <f>IFERROR(VLOOKUP($B1264,اسماء,35,0),"")</f>
        <v/>
      </c>
      <c r="U1266" s="122" t="str">
        <f>IFERROR(VLOOKUP($B1264,اسماء,36,0),"")</f>
        <v/>
      </c>
      <c r="V1266" s="605"/>
      <c r="W1266" s="20" t="str">
        <f t="shared" ref="W1266" si="3429">LOOKUP(R1266,$AF$6:$AG$10)</f>
        <v>ضعيف</v>
      </c>
      <c r="X1266" s="640"/>
      <c r="Y1266" s="68"/>
      <c r="Z1266" s="598"/>
      <c r="AK1266" s="667"/>
      <c r="AL1266" s="694"/>
      <c r="AM1266" s="696"/>
      <c r="AN1266" s="698"/>
      <c r="AO1266" s="699"/>
      <c r="AP1266" s="701"/>
    </row>
    <row r="1267" spans="1:42" ht="14.85" customHeight="1" thickBot="1" x14ac:dyDescent="0.3">
      <c r="A1267" s="612"/>
      <c r="B1267" s="615"/>
      <c r="C1267" s="618"/>
      <c r="D1267" s="621"/>
      <c r="E1267" s="124" t="s">
        <v>33</v>
      </c>
      <c r="F1267" s="623">
        <f t="shared" ref="F1267" si="3430">SUM(F1264:G1266)</f>
        <v>0</v>
      </c>
      <c r="G1267" s="624"/>
      <c r="H1267" s="625">
        <f t="shared" ref="H1267" si="3431">SUM(H1264:I1266)</f>
        <v>0</v>
      </c>
      <c r="I1267" s="626"/>
      <c r="J1267" s="623">
        <f t="shared" ref="J1267" si="3432">SUM(J1264:K1266)</f>
        <v>0</v>
      </c>
      <c r="K1267" s="624"/>
      <c r="L1267" s="625">
        <f t="shared" ref="L1267" si="3433">SUM(L1264:M1266)</f>
        <v>0</v>
      </c>
      <c r="M1267" s="642"/>
      <c r="N1267" s="625">
        <f t="shared" ref="N1267" si="3434">SUM(N1264:O1266)</f>
        <v>0</v>
      </c>
      <c r="O1267" s="642"/>
      <c r="P1267" s="623">
        <f t="shared" ref="P1267" si="3435">SUM(P1264:Q1266)</f>
        <v>0</v>
      </c>
      <c r="Q1267" s="626"/>
      <c r="R1267" s="88">
        <f t="shared" ref="R1267" si="3436">IF(AND(F1267&gt;=$G$8,H1267&gt;=$I$8,J1267&gt;=$K$8,L1267&gt;=$M$8,N1267&gt;=$O$8,P1267&gt;=$Q$8),SUM(F1267:Q1267),0)</f>
        <v>0</v>
      </c>
      <c r="S1267" s="251"/>
      <c r="T1267" s="97"/>
      <c r="U1267" s="94"/>
      <c r="V1267" s="606"/>
      <c r="W1267" s="88" t="str">
        <f t="shared" ref="W1267" si="3437">LOOKUP(R1267,$AI$6:$AJ$10)</f>
        <v>ضعيف</v>
      </c>
      <c r="X1267" s="641"/>
      <c r="Y1267" s="68"/>
      <c r="Z1267" s="599"/>
      <c r="AK1267" s="667"/>
      <c r="AL1267" s="694"/>
      <c r="AM1267" s="696"/>
      <c r="AN1267" s="698"/>
      <c r="AO1267" s="699"/>
      <c r="AP1267" s="702"/>
    </row>
    <row r="1268" spans="1:42" ht="14.85" customHeight="1" thickBot="1" x14ac:dyDescent="0.3">
      <c r="A1268" s="610">
        <v>275</v>
      </c>
      <c r="B1268" s="613">
        <f>VLOOKUP(A1268,مسلسل,2,0)</f>
        <v>0</v>
      </c>
      <c r="C1268" s="616" t="str">
        <f>IFERROR(VLOOKUP(B1268,اسماء,2,0),"")</f>
        <v/>
      </c>
      <c r="D1268" s="619" t="str">
        <f>IFERROR(VLOOKUP($B1268,اسماء,3,0),"")</f>
        <v/>
      </c>
      <c r="E1268" s="129" t="s">
        <v>30</v>
      </c>
      <c r="F1268" s="600">
        <f>IFERROR(VLOOKUP($B1268,اسماء,5,0),0)</f>
        <v>0</v>
      </c>
      <c r="G1268" s="601"/>
      <c r="H1268" s="602">
        <f>IFERROR(VLOOKUP($B1268,اسماء,6,0),0)</f>
        <v>0</v>
      </c>
      <c r="I1268" s="622"/>
      <c r="J1268" s="600">
        <f>IFERROR(VLOOKUP($B1268,اسماء,7,0),0)</f>
        <v>0</v>
      </c>
      <c r="K1268" s="601"/>
      <c r="L1268" s="602">
        <f>IFERROR(VLOOKUP($B1268,اسماء,8,0),0)</f>
        <v>0</v>
      </c>
      <c r="M1268" s="603"/>
      <c r="N1268" s="602">
        <f>IFERROR(VLOOKUP($B1268,اسماء,9,0),0)</f>
        <v>0</v>
      </c>
      <c r="O1268" s="603"/>
      <c r="P1268" s="600">
        <f>IFERROR(VLOOKUP($B1268,اسماء,10,0),0)</f>
        <v>0</v>
      </c>
      <c r="Q1268" s="622"/>
      <c r="R1268" s="371">
        <f t="shared" ref="R1268" si="3438">SUM(F1268:Q1268)</f>
        <v>0</v>
      </c>
      <c r="S1268" s="213" t="str">
        <f>IFERROR(VLOOKUP($B1268,اسماء,12,0),"")</f>
        <v/>
      </c>
      <c r="T1268" s="214" t="str">
        <f>IFERROR(VLOOKUP($B1268,اسماء,13,0),"")</f>
        <v/>
      </c>
      <c r="U1268" s="364" t="str">
        <f>IFERROR(VLOOKUP($B1268,اسماء,14,0),"")</f>
        <v/>
      </c>
      <c r="V1268" s="604" t="str">
        <f t="shared" ref="V1268" si="3439">IF(Z1268="غائب","راسب",IF(R1271&gt;0,"ناجح","مرحل"))</f>
        <v>مرحل</v>
      </c>
      <c r="W1268" s="19" t="str">
        <f t="shared" ref="W1268:W1269" si="3440">LOOKUP(R1268,$AC$6:$AD$10)</f>
        <v>ضعيف</v>
      </c>
      <c r="X1268" s="639">
        <f t="shared" ref="X1268" si="3441">R1271/$AC$3</f>
        <v>0</v>
      </c>
      <c r="Y1268" s="8"/>
      <c r="Z1268" s="597" t="str">
        <f>IFERROR(VLOOKUP($B1268,اسماء,48,0),"")</f>
        <v/>
      </c>
      <c r="AK1268" s="667" t="str">
        <f t="shared" ref="AK1268" si="3442">IF(R1271=0,"",R1271/1+ROW()*0.00001)</f>
        <v/>
      </c>
      <c r="AL1268" s="694">
        <f>B1268</f>
        <v>0</v>
      </c>
      <c r="AM1268" s="696"/>
      <c r="AN1268" s="698">
        <v>275</v>
      </c>
      <c r="AO1268" s="699" t="str">
        <f>IFERROR(LARGE($AK$10:$AK$1420,AN1268),"")</f>
        <v/>
      </c>
      <c r="AP1268" s="700" t="str">
        <f>VLOOKUP(AO1268,$AK$10:$AL$1530,2,0)</f>
        <v>امجد عمر عبداللطيف سلطان</v>
      </c>
    </row>
    <row r="1269" spans="1:42" ht="14.85" customHeight="1" x14ac:dyDescent="0.25">
      <c r="A1269" s="611"/>
      <c r="B1269" s="614"/>
      <c r="C1269" s="617"/>
      <c r="D1269" s="620"/>
      <c r="E1269" s="130" t="s">
        <v>31</v>
      </c>
      <c r="F1269" s="592">
        <f>IFERROR(VLOOKUP($B1268,اسماء,15,0),0)</f>
        <v>0</v>
      </c>
      <c r="G1269" s="593"/>
      <c r="H1269" s="594">
        <f>IFERROR(VLOOKUP($B1268,اسماء,16,0),0)</f>
        <v>0</v>
      </c>
      <c r="I1269" s="595"/>
      <c r="J1269" s="592">
        <f>IFERROR(VLOOKUP($B1268,اسماء,17,0),0)</f>
        <v>0</v>
      </c>
      <c r="K1269" s="593"/>
      <c r="L1269" s="594">
        <f>IFERROR(VLOOKUP($B1268,اسماء,18,0),0)</f>
        <v>0</v>
      </c>
      <c r="M1269" s="596"/>
      <c r="N1269" s="594">
        <f>IFERROR(VLOOKUP($B1268,اسماء,19,0),0)</f>
        <v>0</v>
      </c>
      <c r="O1269" s="596"/>
      <c r="P1269" s="592">
        <f>IFERROR(VLOOKUP($B1268,اسماء,20,0),0)</f>
        <v>0</v>
      </c>
      <c r="Q1269" s="595"/>
      <c r="R1269" s="372">
        <f t="shared" si="3402"/>
        <v>0</v>
      </c>
      <c r="S1269" s="305" t="str">
        <f>IFERROR(VLOOKUP($B1268,اسماء,23,0),"")</f>
        <v/>
      </c>
      <c r="T1269" s="306" t="str">
        <f>IFERROR(VLOOKUP($B1268,اسماء,24,0),"")</f>
        <v/>
      </c>
      <c r="U1269" s="122" t="str">
        <f>IFERROR(VLOOKUP($B1268,اسماء,25,0),"")</f>
        <v/>
      </c>
      <c r="V1269" s="605"/>
      <c r="W1269" s="19" t="str">
        <f t="shared" si="3440"/>
        <v>ضعيف</v>
      </c>
      <c r="X1269" s="640"/>
      <c r="Y1269" s="68"/>
      <c r="Z1269" s="598"/>
      <c r="AK1269" s="667"/>
      <c r="AL1269" s="694"/>
      <c r="AM1269" s="696"/>
      <c r="AN1269" s="698"/>
      <c r="AO1269" s="699"/>
      <c r="AP1269" s="701"/>
    </row>
    <row r="1270" spans="1:42" ht="14.85" customHeight="1" x14ac:dyDescent="0.25">
      <c r="A1270" s="611"/>
      <c r="B1270" s="614"/>
      <c r="C1270" s="617"/>
      <c r="D1270" s="620"/>
      <c r="E1270" s="130" t="s">
        <v>32</v>
      </c>
      <c r="F1270" s="592">
        <f>IFERROR(VLOOKUP($B1268,اسماء,25,0),0)</f>
        <v>0</v>
      </c>
      <c r="G1270" s="593"/>
      <c r="H1270" s="594">
        <f>IFERROR(VLOOKUP($B1268,اسماء,26,0),0)</f>
        <v>0</v>
      </c>
      <c r="I1270" s="595"/>
      <c r="J1270" s="592">
        <f>IFERROR(VLOOKUP($B1268,اسماء,27,0),0)</f>
        <v>0</v>
      </c>
      <c r="K1270" s="593"/>
      <c r="L1270" s="594">
        <f>IFERROR(VLOOKUP($B1268,اسماء,28,0),0)</f>
        <v>0</v>
      </c>
      <c r="M1270" s="596"/>
      <c r="N1270" s="594">
        <f>IFERROR(VLOOKUP($B1268,اسماء,29,0),0)</f>
        <v>0</v>
      </c>
      <c r="O1270" s="596"/>
      <c r="P1270" s="592">
        <f>IFERROR(VLOOKUP($B1268,اسماء,30,0),0)</f>
        <v>0</v>
      </c>
      <c r="Q1270" s="595"/>
      <c r="R1270" s="372">
        <f t="shared" si="3402"/>
        <v>0</v>
      </c>
      <c r="S1270" s="305" t="str">
        <f>IFERROR(VLOOKUP($B1268,اسماء,34,0),"")</f>
        <v/>
      </c>
      <c r="T1270" s="306" t="str">
        <f>IFERROR(VLOOKUP($B1268,اسماء,35,0),"")</f>
        <v/>
      </c>
      <c r="U1270" s="122" t="str">
        <f>IFERROR(VLOOKUP($B1268,اسماء,36,0),"")</f>
        <v/>
      </c>
      <c r="V1270" s="605"/>
      <c r="W1270" s="20" t="str">
        <f t="shared" ref="W1270" si="3443">LOOKUP(R1270,$AF$6:$AG$10)</f>
        <v>ضعيف</v>
      </c>
      <c r="X1270" s="640"/>
      <c r="Y1270" s="68"/>
      <c r="Z1270" s="598"/>
      <c r="AK1270" s="667"/>
      <c r="AL1270" s="694"/>
      <c r="AM1270" s="696"/>
      <c r="AN1270" s="698"/>
      <c r="AO1270" s="699"/>
      <c r="AP1270" s="701"/>
    </row>
    <row r="1271" spans="1:42" ht="14.85" customHeight="1" thickBot="1" x14ac:dyDescent="0.3">
      <c r="A1271" s="612"/>
      <c r="B1271" s="615"/>
      <c r="C1271" s="618"/>
      <c r="D1271" s="621"/>
      <c r="E1271" s="124" t="s">
        <v>33</v>
      </c>
      <c r="F1271" s="623">
        <f t="shared" ref="F1271" si="3444">SUM(F1268:G1270)</f>
        <v>0</v>
      </c>
      <c r="G1271" s="624"/>
      <c r="H1271" s="625">
        <f t="shared" ref="H1271" si="3445">SUM(H1268:I1270)</f>
        <v>0</v>
      </c>
      <c r="I1271" s="626"/>
      <c r="J1271" s="623">
        <f t="shared" ref="J1271" si="3446">SUM(J1268:K1270)</f>
        <v>0</v>
      </c>
      <c r="K1271" s="624"/>
      <c r="L1271" s="625">
        <f t="shared" ref="L1271" si="3447">SUM(L1268:M1270)</f>
        <v>0</v>
      </c>
      <c r="M1271" s="642"/>
      <c r="N1271" s="625">
        <f t="shared" ref="N1271" si="3448">SUM(N1268:O1270)</f>
        <v>0</v>
      </c>
      <c r="O1271" s="642"/>
      <c r="P1271" s="623">
        <f t="shared" ref="P1271" si="3449">SUM(P1268:Q1270)</f>
        <v>0</v>
      </c>
      <c r="Q1271" s="626"/>
      <c r="R1271" s="88">
        <f t="shared" ref="R1271" si="3450">IF(AND(F1271&gt;=$G$8,H1271&gt;=$I$8,J1271&gt;=$K$8,L1271&gt;=$M$8,N1271&gt;=$O$8,P1271&gt;=$Q$8),SUM(F1271:Q1271),0)</f>
        <v>0</v>
      </c>
      <c r="S1271" s="251"/>
      <c r="T1271" s="97"/>
      <c r="U1271" s="94"/>
      <c r="V1271" s="606"/>
      <c r="W1271" s="88" t="str">
        <f t="shared" ref="W1271" si="3451">LOOKUP(R1271,$AI$6:$AJ$10)</f>
        <v>ضعيف</v>
      </c>
      <c r="X1271" s="641"/>
      <c r="Y1271" s="8"/>
      <c r="Z1271" s="599"/>
      <c r="AK1271" s="667"/>
      <c r="AL1271" s="694"/>
      <c r="AM1271" s="696"/>
      <c r="AN1271" s="698"/>
      <c r="AO1271" s="699"/>
      <c r="AP1271" s="702"/>
    </row>
    <row r="1272" spans="1:42" ht="14.85" customHeight="1" thickBot="1" x14ac:dyDescent="0.3">
      <c r="A1272" s="610">
        <v>276</v>
      </c>
      <c r="B1272" s="613">
        <f>VLOOKUP(A1272,مسلسل,2,0)</f>
        <v>0</v>
      </c>
      <c r="C1272" s="616" t="str">
        <f>IFERROR(VLOOKUP(B1272,اسماء,2,0),"")</f>
        <v/>
      </c>
      <c r="D1272" s="619" t="str">
        <f>IFERROR(VLOOKUP($B1272,اسماء,3,0),"")</f>
        <v/>
      </c>
      <c r="E1272" s="129" t="s">
        <v>30</v>
      </c>
      <c r="F1272" s="600">
        <f>IFERROR(VLOOKUP($B1272,اسماء,5,0),0)</f>
        <v>0</v>
      </c>
      <c r="G1272" s="601"/>
      <c r="H1272" s="602">
        <f>IFERROR(VLOOKUP($B1272,اسماء,6,0),0)</f>
        <v>0</v>
      </c>
      <c r="I1272" s="622"/>
      <c r="J1272" s="600">
        <f>IFERROR(VLOOKUP($B1272,اسماء,7,0),0)</f>
        <v>0</v>
      </c>
      <c r="K1272" s="601"/>
      <c r="L1272" s="602">
        <f>IFERROR(VLOOKUP($B1272,اسماء,8,0),0)</f>
        <v>0</v>
      </c>
      <c r="M1272" s="603"/>
      <c r="N1272" s="602">
        <f>IFERROR(VLOOKUP($B1272,اسماء,9,0),0)</f>
        <v>0</v>
      </c>
      <c r="O1272" s="603"/>
      <c r="P1272" s="600">
        <f>IFERROR(VLOOKUP($B1272,اسماء,10,0),0)</f>
        <v>0</v>
      </c>
      <c r="Q1272" s="622"/>
      <c r="R1272" s="371">
        <f t="shared" ref="R1272" si="3452">SUM(F1272:Q1272)</f>
        <v>0</v>
      </c>
      <c r="S1272" s="213" t="str">
        <f>IFERROR(VLOOKUP($B1272,اسماء,12,0),"")</f>
        <v/>
      </c>
      <c r="T1272" s="214" t="str">
        <f>IFERROR(VLOOKUP($B1272,اسماء,13,0),"")</f>
        <v/>
      </c>
      <c r="U1272" s="364" t="str">
        <f>IFERROR(VLOOKUP($B1272,اسماء,14,0),"")</f>
        <v/>
      </c>
      <c r="V1272" s="604" t="str">
        <f t="shared" ref="V1272" si="3453">IF(Z1272="غائب","راسب",IF(R1275&gt;0,"ناجح","مرحل"))</f>
        <v>مرحل</v>
      </c>
      <c r="W1272" s="19" t="str">
        <f t="shared" ref="W1272:W1273" si="3454">LOOKUP(R1272,$AC$6:$AD$10)</f>
        <v>ضعيف</v>
      </c>
      <c r="X1272" s="639">
        <f t="shared" ref="X1272" si="3455">R1275/$AC$3</f>
        <v>0</v>
      </c>
      <c r="Y1272" s="68"/>
      <c r="Z1272" s="597" t="str">
        <f>IFERROR(VLOOKUP($B1272,اسماء,48,0),"")</f>
        <v/>
      </c>
      <c r="AK1272" s="667" t="str">
        <f t="shared" ref="AK1272" si="3456">IF(R1275=0,"",R1275/1+ROW()*0.00001)</f>
        <v/>
      </c>
      <c r="AL1272" s="694">
        <f>B1272</f>
        <v>0</v>
      </c>
      <c r="AM1272" s="696"/>
      <c r="AN1272" s="698">
        <v>276</v>
      </c>
      <c r="AO1272" s="699" t="str">
        <f>IFERROR(LARGE($AK$10:$AK$1420,AN1272),"")</f>
        <v/>
      </c>
      <c r="AP1272" s="700" t="str">
        <f>VLOOKUP(AO1272,$AK$10:$AL$1530,2,0)</f>
        <v>امجد عمر عبداللطيف سلطان</v>
      </c>
    </row>
    <row r="1273" spans="1:42" ht="14.85" customHeight="1" x14ac:dyDescent="0.25">
      <c r="A1273" s="611"/>
      <c r="B1273" s="614"/>
      <c r="C1273" s="617"/>
      <c r="D1273" s="620"/>
      <c r="E1273" s="130" t="s">
        <v>31</v>
      </c>
      <c r="F1273" s="592">
        <f>IFERROR(VLOOKUP($B1272,اسماء,15,0),0)</f>
        <v>0</v>
      </c>
      <c r="G1273" s="593"/>
      <c r="H1273" s="594">
        <f>IFERROR(VLOOKUP($B1272,اسماء,16,0),0)</f>
        <v>0</v>
      </c>
      <c r="I1273" s="595"/>
      <c r="J1273" s="592">
        <f>IFERROR(VLOOKUP($B1272,اسماء,17,0),0)</f>
        <v>0</v>
      </c>
      <c r="K1273" s="593"/>
      <c r="L1273" s="594">
        <f>IFERROR(VLOOKUP($B1272,اسماء,18,0),0)</f>
        <v>0</v>
      </c>
      <c r="M1273" s="596"/>
      <c r="N1273" s="594">
        <f>IFERROR(VLOOKUP($B1272,اسماء,19,0),0)</f>
        <v>0</v>
      </c>
      <c r="O1273" s="596"/>
      <c r="P1273" s="592">
        <f>IFERROR(VLOOKUP($B1272,اسماء,20,0),0)</f>
        <v>0</v>
      </c>
      <c r="Q1273" s="595"/>
      <c r="R1273" s="372">
        <f t="shared" si="3402"/>
        <v>0</v>
      </c>
      <c r="S1273" s="305" t="str">
        <f>IFERROR(VLOOKUP($B1272,اسماء,23,0),"")</f>
        <v/>
      </c>
      <c r="T1273" s="306" t="str">
        <f>IFERROR(VLOOKUP($B1272,اسماء,24,0),"")</f>
        <v/>
      </c>
      <c r="U1273" s="122" t="str">
        <f>IFERROR(VLOOKUP($B1272,اسماء,25,0),"")</f>
        <v/>
      </c>
      <c r="V1273" s="605"/>
      <c r="W1273" s="19" t="str">
        <f t="shared" si="3454"/>
        <v>ضعيف</v>
      </c>
      <c r="X1273" s="640"/>
      <c r="Y1273" s="68"/>
      <c r="Z1273" s="598"/>
      <c r="AK1273" s="667"/>
      <c r="AL1273" s="694"/>
      <c r="AM1273" s="696"/>
      <c r="AN1273" s="698"/>
      <c r="AO1273" s="699"/>
      <c r="AP1273" s="701"/>
    </row>
    <row r="1274" spans="1:42" ht="14.85" customHeight="1" x14ac:dyDescent="0.25">
      <c r="A1274" s="611"/>
      <c r="B1274" s="614"/>
      <c r="C1274" s="617"/>
      <c r="D1274" s="620"/>
      <c r="E1274" s="130" t="s">
        <v>32</v>
      </c>
      <c r="F1274" s="592">
        <f>IFERROR(VLOOKUP($B1272,اسماء,25,0),0)</f>
        <v>0</v>
      </c>
      <c r="G1274" s="593"/>
      <c r="H1274" s="594">
        <f>IFERROR(VLOOKUP($B1272,اسماء,26,0),0)</f>
        <v>0</v>
      </c>
      <c r="I1274" s="595"/>
      <c r="J1274" s="592">
        <f>IFERROR(VLOOKUP($B1272,اسماء,27,0),0)</f>
        <v>0</v>
      </c>
      <c r="K1274" s="593"/>
      <c r="L1274" s="594">
        <f>IFERROR(VLOOKUP($B1272,اسماء,28,0),0)</f>
        <v>0</v>
      </c>
      <c r="M1274" s="596"/>
      <c r="N1274" s="594">
        <f>IFERROR(VLOOKUP($B1272,اسماء,29,0),0)</f>
        <v>0</v>
      </c>
      <c r="O1274" s="596"/>
      <c r="P1274" s="592">
        <f>IFERROR(VLOOKUP($B1272,اسماء,30,0),0)</f>
        <v>0</v>
      </c>
      <c r="Q1274" s="595"/>
      <c r="R1274" s="372">
        <f t="shared" si="3402"/>
        <v>0</v>
      </c>
      <c r="S1274" s="305" t="str">
        <f>IFERROR(VLOOKUP($B1272,اسماء,34,0),"")</f>
        <v/>
      </c>
      <c r="T1274" s="306" t="str">
        <f>IFERROR(VLOOKUP($B1272,اسماء,35,0),"")</f>
        <v/>
      </c>
      <c r="U1274" s="122" t="str">
        <f>IFERROR(VLOOKUP($B1272,اسماء,36,0),"")</f>
        <v/>
      </c>
      <c r="V1274" s="605"/>
      <c r="W1274" s="20" t="str">
        <f t="shared" ref="W1274" si="3457">LOOKUP(R1274,$AF$6:$AG$10)</f>
        <v>ضعيف</v>
      </c>
      <c r="X1274" s="640"/>
      <c r="Y1274" s="8"/>
      <c r="Z1274" s="598"/>
      <c r="AK1274" s="667"/>
      <c r="AL1274" s="694"/>
      <c r="AM1274" s="696"/>
      <c r="AN1274" s="698"/>
      <c r="AO1274" s="699"/>
      <c r="AP1274" s="701"/>
    </row>
    <row r="1275" spans="1:42" ht="14.85" customHeight="1" thickBot="1" x14ac:dyDescent="0.3">
      <c r="A1275" s="612"/>
      <c r="B1275" s="615"/>
      <c r="C1275" s="618"/>
      <c r="D1275" s="621"/>
      <c r="E1275" s="124" t="s">
        <v>33</v>
      </c>
      <c r="F1275" s="623">
        <f t="shared" ref="F1275" si="3458">SUM(F1272:G1274)</f>
        <v>0</v>
      </c>
      <c r="G1275" s="624"/>
      <c r="H1275" s="625">
        <f t="shared" ref="H1275" si="3459">SUM(H1272:I1274)</f>
        <v>0</v>
      </c>
      <c r="I1275" s="626"/>
      <c r="J1275" s="623">
        <f t="shared" ref="J1275" si="3460">SUM(J1272:K1274)</f>
        <v>0</v>
      </c>
      <c r="K1275" s="624"/>
      <c r="L1275" s="625">
        <f t="shared" ref="L1275" si="3461">SUM(L1272:M1274)</f>
        <v>0</v>
      </c>
      <c r="M1275" s="642"/>
      <c r="N1275" s="625">
        <f t="shared" ref="N1275" si="3462">SUM(N1272:O1274)</f>
        <v>0</v>
      </c>
      <c r="O1275" s="642"/>
      <c r="P1275" s="623">
        <f t="shared" ref="P1275" si="3463">SUM(P1272:Q1274)</f>
        <v>0</v>
      </c>
      <c r="Q1275" s="626"/>
      <c r="R1275" s="88">
        <f t="shared" ref="R1275" si="3464">IF(AND(F1275&gt;=$G$8,H1275&gt;=$I$8,J1275&gt;=$K$8,L1275&gt;=$M$8,N1275&gt;=$O$8,P1275&gt;=$Q$8),SUM(F1275:Q1275),0)</f>
        <v>0</v>
      </c>
      <c r="S1275" s="251"/>
      <c r="T1275" s="97"/>
      <c r="U1275" s="94"/>
      <c r="V1275" s="606"/>
      <c r="W1275" s="88" t="str">
        <f t="shared" ref="W1275" si="3465">LOOKUP(R1275,$AI$6:$AJ$10)</f>
        <v>ضعيف</v>
      </c>
      <c r="X1275" s="641"/>
      <c r="Y1275" s="68"/>
      <c r="Z1275" s="599"/>
      <c r="AK1275" s="667"/>
      <c r="AL1275" s="694"/>
      <c r="AM1275" s="696"/>
      <c r="AN1275" s="698"/>
      <c r="AO1275" s="699"/>
      <c r="AP1275" s="702"/>
    </row>
    <row r="1276" spans="1:42" ht="14.85" customHeight="1" thickBot="1" x14ac:dyDescent="0.3">
      <c r="A1276" s="610">
        <v>277</v>
      </c>
      <c r="B1276" s="613">
        <f>VLOOKUP(A1276,مسلسل,2,0)</f>
        <v>0</v>
      </c>
      <c r="C1276" s="616" t="str">
        <f>IFERROR(VLOOKUP(B1276,اسماء,2,0),"")</f>
        <v/>
      </c>
      <c r="D1276" s="619" t="str">
        <f>IFERROR(VLOOKUP($B1276,اسماء,3,0),"")</f>
        <v/>
      </c>
      <c r="E1276" s="129" t="s">
        <v>30</v>
      </c>
      <c r="F1276" s="600">
        <f>IFERROR(VLOOKUP($B1276,اسماء,5,0),0)</f>
        <v>0</v>
      </c>
      <c r="G1276" s="601"/>
      <c r="H1276" s="602">
        <f>IFERROR(VLOOKUP($B1276,اسماء,6,0),0)</f>
        <v>0</v>
      </c>
      <c r="I1276" s="622"/>
      <c r="J1276" s="600">
        <f>IFERROR(VLOOKUP($B1276,اسماء,7,0),0)</f>
        <v>0</v>
      </c>
      <c r="K1276" s="601"/>
      <c r="L1276" s="602">
        <f>IFERROR(VLOOKUP($B1276,اسماء,8,0),0)</f>
        <v>0</v>
      </c>
      <c r="M1276" s="603"/>
      <c r="N1276" s="602">
        <f>IFERROR(VLOOKUP($B1276,اسماء,9,0),0)</f>
        <v>0</v>
      </c>
      <c r="O1276" s="603"/>
      <c r="P1276" s="600">
        <f>IFERROR(VLOOKUP($B1276,اسماء,10,0),0)</f>
        <v>0</v>
      </c>
      <c r="Q1276" s="622"/>
      <c r="R1276" s="371">
        <f t="shared" ref="R1276" si="3466">SUM(F1276:Q1276)</f>
        <v>0</v>
      </c>
      <c r="S1276" s="213" t="str">
        <f>IFERROR(VLOOKUP($B1276,اسماء,12,0),"")</f>
        <v/>
      </c>
      <c r="T1276" s="214" t="str">
        <f>IFERROR(VLOOKUP($B1276,اسماء,13,0),"")</f>
        <v/>
      </c>
      <c r="U1276" s="364" t="str">
        <f>IFERROR(VLOOKUP($B1276,اسماء,14,0),"")</f>
        <v/>
      </c>
      <c r="V1276" s="604" t="str">
        <f t="shared" ref="V1276" si="3467">IF(Z1276="غائب","راسب",IF(R1279&gt;0,"ناجح","مرحل"))</f>
        <v>مرحل</v>
      </c>
      <c r="W1276" s="19" t="str">
        <f t="shared" ref="W1276:W1277" si="3468">LOOKUP(R1276,$AC$6:$AD$10)</f>
        <v>ضعيف</v>
      </c>
      <c r="X1276" s="639">
        <f t="shared" ref="X1276" si="3469">R1279/$AC$3</f>
        <v>0</v>
      </c>
      <c r="Y1276" s="68"/>
      <c r="Z1276" s="597" t="str">
        <f>IFERROR(VLOOKUP($B1276,اسماء,48,0),"")</f>
        <v/>
      </c>
      <c r="AK1276" s="667" t="str">
        <f t="shared" ref="AK1276" si="3470">IF(R1279=0,"",R1279/1+ROW()*0.00001)</f>
        <v/>
      </c>
      <c r="AL1276" s="694">
        <f>B1276</f>
        <v>0</v>
      </c>
      <c r="AM1276" s="696"/>
      <c r="AN1276" s="698">
        <v>277</v>
      </c>
      <c r="AO1276" s="699" t="str">
        <f>IFERROR(LARGE($AK$10:$AK$1420,AN1276),"")</f>
        <v/>
      </c>
      <c r="AP1276" s="700" t="str">
        <f>VLOOKUP(AO1276,$AK$10:$AL$1530,2,0)</f>
        <v>امجد عمر عبداللطيف سلطان</v>
      </c>
    </row>
    <row r="1277" spans="1:42" ht="14.85" customHeight="1" x14ac:dyDescent="0.25">
      <c r="A1277" s="611"/>
      <c r="B1277" s="614"/>
      <c r="C1277" s="617"/>
      <c r="D1277" s="620"/>
      <c r="E1277" s="130" t="s">
        <v>31</v>
      </c>
      <c r="F1277" s="592">
        <f>IFERROR(VLOOKUP($B1276,اسماء,15,0),0)</f>
        <v>0</v>
      </c>
      <c r="G1277" s="593"/>
      <c r="H1277" s="594">
        <f>IFERROR(VLOOKUP($B1276,اسماء,16,0),0)</f>
        <v>0</v>
      </c>
      <c r="I1277" s="595"/>
      <c r="J1277" s="592">
        <f>IFERROR(VLOOKUP($B1276,اسماء,17,0),0)</f>
        <v>0</v>
      </c>
      <c r="K1277" s="593"/>
      <c r="L1277" s="594">
        <f>IFERROR(VLOOKUP($B1276,اسماء,18,0),0)</f>
        <v>0</v>
      </c>
      <c r="M1277" s="596"/>
      <c r="N1277" s="594">
        <f>IFERROR(VLOOKUP($B1276,اسماء,19,0),0)</f>
        <v>0</v>
      </c>
      <c r="O1277" s="596"/>
      <c r="P1277" s="592">
        <f>IFERROR(VLOOKUP($B1276,اسماء,20,0),0)</f>
        <v>0</v>
      </c>
      <c r="Q1277" s="595"/>
      <c r="R1277" s="372">
        <f t="shared" si="3402"/>
        <v>0</v>
      </c>
      <c r="S1277" s="305" t="str">
        <f>IFERROR(VLOOKUP($B1276,اسماء,23,0),"")</f>
        <v/>
      </c>
      <c r="T1277" s="306" t="str">
        <f>IFERROR(VLOOKUP($B1276,اسماء,24,0),"")</f>
        <v/>
      </c>
      <c r="U1277" s="122" t="str">
        <f>IFERROR(VLOOKUP($B1276,اسماء,25,0),"")</f>
        <v/>
      </c>
      <c r="V1277" s="605"/>
      <c r="W1277" s="19" t="str">
        <f t="shared" si="3468"/>
        <v>ضعيف</v>
      </c>
      <c r="X1277" s="640"/>
      <c r="Y1277" s="8"/>
      <c r="Z1277" s="598"/>
      <c r="AK1277" s="667"/>
      <c r="AL1277" s="694"/>
      <c r="AM1277" s="696"/>
      <c r="AN1277" s="698"/>
      <c r="AO1277" s="699"/>
      <c r="AP1277" s="701"/>
    </row>
    <row r="1278" spans="1:42" ht="14.85" customHeight="1" x14ac:dyDescent="0.25">
      <c r="A1278" s="611"/>
      <c r="B1278" s="614"/>
      <c r="C1278" s="617"/>
      <c r="D1278" s="620"/>
      <c r="E1278" s="130" t="s">
        <v>32</v>
      </c>
      <c r="F1278" s="592">
        <f>IFERROR(VLOOKUP($B1276,اسماء,25,0),0)</f>
        <v>0</v>
      </c>
      <c r="G1278" s="593"/>
      <c r="H1278" s="594">
        <f>IFERROR(VLOOKUP($B1276,اسماء,26,0),0)</f>
        <v>0</v>
      </c>
      <c r="I1278" s="595"/>
      <c r="J1278" s="592">
        <f>IFERROR(VLOOKUP($B1276,اسماء,27,0),0)</f>
        <v>0</v>
      </c>
      <c r="K1278" s="593"/>
      <c r="L1278" s="594">
        <f>IFERROR(VLOOKUP($B1276,اسماء,28,0),0)</f>
        <v>0</v>
      </c>
      <c r="M1278" s="596"/>
      <c r="N1278" s="594">
        <f>IFERROR(VLOOKUP($B1276,اسماء,29,0),0)</f>
        <v>0</v>
      </c>
      <c r="O1278" s="596"/>
      <c r="P1278" s="592">
        <f>IFERROR(VLOOKUP($B1276,اسماء,30,0),0)</f>
        <v>0</v>
      </c>
      <c r="Q1278" s="595"/>
      <c r="R1278" s="372">
        <f t="shared" si="3402"/>
        <v>0</v>
      </c>
      <c r="S1278" s="305" t="str">
        <f>IFERROR(VLOOKUP($B1276,اسماء,34,0),"")</f>
        <v/>
      </c>
      <c r="T1278" s="306" t="str">
        <f>IFERROR(VLOOKUP($B1276,اسماء,35,0),"")</f>
        <v/>
      </c>
      <c r="U1278" s="122" t="str">
        <f>IFERROR(VLOOKUP($B1276,اسماء,36,0),"")</f>
        <v/>
      </c>
      <c r="V1278" s="605"/>
      <c r="W1278" s="20" t="str">
        <f t="shared" ref="W1278" si="3471">LOOKUP(R1278,$AF$6:$AG$10)</f>
        <v>ضعيف</v>
      </c>
      <c r="X1278" s="640"/>
      <c r="Y1278" s="68"/>
      <c r="Z1278" s="598"/>
      <c r="AK1278" s="667"/>
      <c r="AL1278" s="694"/>
      <c r="AM1278" s="696"/>
      <c r="AN1278" s="698"/>
      <c r="AO1278" s="699"/>
      <c r="AP1278" s="701"/>
    </row>
    <row r="1279" spans="1:42" ht="14.85" customHeight="1" thickBot="1" x14ac:dyDescent="0.3">
      <c r="A1279" s="612"/>
      <c r="B1279" s="615"/>
      <c r="C1279" s="618"/>
      <c r="D1279" s="621"/>
      <c r="E1279" s="124" t="s">
        <v>33</v>
      </c>
      <c r="F1279" s="623">
        <f t="shared" ref="F1279" si="3472">SUM(F1276:G1278)</f>
        <v>0</v>
      </c>
      <c r="G1279" s="624"/>
      <c r="H1279" s="625">
        <f t="shared" ref="H1279" si="3473">SUM(H1276:I1278)</f>
        <v>0</v>
      </c>
      <c r="I1279" s="626"/>
      <c r="J1279" s="623">
        <f t="shared" ref="J1279" si="3474">SUM(J1276:K1278)</f>
        <v>0</v>
      </c>
      <c r="K1279" s="624"/>
      <c r="L1279" s="625">
        <f t="shared" ref="L1279" si="3475">SUM(L1276:M1278)</f>
        <v>0</v>
      </c>
      <c r="M1279" s="642"/>
      <c r="N1279" s="625">
        <f t="shared" ref="N1279" si="3476">SUM(N1276:O1278)</f>
        <v>0</v>
      </c>
      <c r="O1279" s="642"/>
      <c r="P1279" s="623">
        <f t="shared" ref="P1279" si="3477">SUM(P1276:Q1278)</f>
        <v>0</v>
      </c>
      <c r="Q1279" s="626"/>
      <c r="R1279" s="88">
        <f t="shared" ref="R1279" si="3478">IF(AND(F1279&gt;=$G$8,H1279&gt;=$I$8,J1279&gt;=$K$8,L1279&gt;=$M$8,N1279&gt;=$O$8,P1279&gt;=$Q$8),SUM(F1279:Q1279),0)</f>
        <v>0</v>
      </c>
      <c r="S1279" s="251"/>
      <c r="T1279" s="97"/>
      <c r="U1279" s="94"/>
      <c r="V1279" s="606"/>
      <c r="W1279" s="88" t="str">
        <f t="shared" ref="W1279" si="3479">LOOKUP(R1279,$AI$6:$AJ$10)</f>
        <v>ضعيف</v>
      </c>
      <c r="X1279" s="641"/>
      <c r="Y1279" s="68"/>
      <c r="Z1279" s="599"/>
      <c r="AK1279" s="667"/>
      <c r="AL1279" s="694"/>
      <c r="AM1279" s="696"/>
      <c r="AN1279" s="698"/>
      <c r="AO1279" s="699"/>
      <c r="AP1279" s="702"/>
    </row>
    <row r="1280" spans="1:42" ht="14.85" customHeight="1" thickBot="1" x14ac:dyDescent="0.3">
      <c r="A1280" s="610">
        <v>278</v>
      </c>
      <c r="B1280" s="613">
        <f>VLOOKUP(A1280,مسلسل,2,0)</f>
        <v>0</v>
      </c>
      <c r="C1280" s="616" t="str">
        <f>IFERROR(VLOOKUP(B1280,اسماء,2,0),"")</f>
        <v/>
      </c>
      <c r="D1280" s="619" t="str">
        <f>IFERROR(VLOOKUP($B1280,اسماء,3,0),"")</f>
        <v/>
      </c>
      <c r="E1280" s="129" t="s">
        <v>30</v>
      </c>
      <c r="F1280" s="600">
        <f>IFERROR(VLOOKUP($B1280,اسماء,5,0),0)</f>
        <v>0</v>
      </c>
      <c r="G1280" s="601"/>
      <c r="H1280" s="602">
        <f>IFERROR(VLOOKUP($B1280,اسماء,6,0),0)</f>
        <v>0</v>
      </c>
      <c r="I1280" s="622"/>
      <c r="J1280" s="600">
        <f>IFERROR(VLOOKUP($B1280,اسماء,7,0),0)</f>
        <v>0</v>
      </c>
      <c r="K1280" s="601"/>
      <c r="L1280" s="602">
        <f>IFERROR(VLOOKUP($B1280,اسماء,8,0),0)</f>
        <v>0</v>
      </c>
      <c r="M1280" s="603"/>
      <c r="N1280" s="602">
        <f>IFERROR(VLOOKUP($B1280,اسماء,9,0),0)</f>
        <v>0</v>
      </c>
      <c r="O1280" s="603"/>
      <c r="P1280" s="600">
        <f>IFERROR(VLOOKUP($B1280,اسماء,10,0),0)</f>
        <v>0</v>
      </c>
      <c r="Q1280" s="622"/>
      <c r="R1280" s="371">
        <f t="shared" ref="R1280" si="3480">SUM(F1280:Q1280)</f>
        <v>0</v>
      </c>
      <c r="S1280" s="213" t="str">
        <f>IFERROR(VLOOKUP($B1280,اسماء,12,0),"")</f>
        <v/>
      </c>
      <c r="T1280" s="214" t="str">
        <f>IFERROR(VLOOKUP($B1280,اسماء,13,0),"")</f>
        <v/>
      </c>
      <c r="U1280" s="364" t="str">
        <f>IFERROR(VLOOKUP($B1280,اسماء,14,0),"")</f>
        <v/>
      </c>
      <c r="V1280" s="604" t="str">
        <f t="shared" ref="V1280" si="3481">IF(Z1280="غائب","راسب",IF(R1283&gt;0,"ناجح","مرحل"))</f>
        <v>مرحل</v>
      </c>
      <c r="W1280" s="19" t="str">
        <f t="shared" ref="W1280:W1281" si="3482">LOOKUP(R1280,$AC$6:$AD$10)</f>
        <v>ضعيف</v>
      </c>
      <c r="X1280" s="639">
        <f t="shared" ref="X1280" si="3483">R1283/$AC$3</f>
        <v>0</v>
      </c>
      <c r="Y1280" s="8"/>
      <c r="Z1280" s="597" t="str">
        <f>IFERROR(VLOOKUP($B1280,اسماء,48,0),"")</f>
        <v/>
      </c>
      <c r="AK1280" s="667" t="str">
        <f t="shared" ref="AK1280" si="3484">IF(R1283=0,"",R1283/1+ROW()*0.00001)</f>
        <v/>
      </c>
      <c r="AL1280" s="694">
        <f>B1280</f>
        <v>0</v>
      </c>
      <c r="AM1280" s="696"/>
      <c r="AN1280" s="698">
        <v>278</v>
      </c>
      <c r="AO1280" s="699" t="str">
        <f>IFERROR(LARGE($AK$10:$AK$1420,AN1280),"")</f>
        <v/>
      </c>
      <c r="AP1280" s="700" t="str">
        <f>VLOOKUP(AO1280,$AK$10:$AL$1530,2,0)</f>
        <v>امجد عمر عبداللطيف سلطان</v>
      </c>
    </row>
    <row r="1281" spans="1:42" ht="14.85" customHeight="1" x14ac:dyDescent="0.25">
      <c r="A1281" s="611"/>
      <c r="B1281" s="614"/>
      <c r="C1281" s="617"/>
      <c r="D1281" s="620"/>
      <c r="E1281" s="130" t="s">
        <v>31</v>
      </c>
      <c r="F1281" s="592">
        <f>IFERROR(VLOOKUP($B1280,اسماء,15,0),0)</f>
        <v>0</v>
      </c>
      <c r="G1281" s="593"/>
      <c r="H1281" s="594">
        <f>IFERROR(VLOOKUP($B1280,اسماء,16,0),0)</f>
        <v>0</v>
      </c>
      <c r="I1281" s="595"/>
      <c r="J1281" s="592">
        <f>IFERROR(VLOOKUP($B1280,اسماء,17,0),0)</f>
        <v>0</v>
      </c>
      <c r="K1281" s="593"/>
      <c r="L1281" s="594">
        <f>IFERROR(VLOOKUP($B1280,اسماء,18,0),0)</f>
        <v>0</v>
      </c>
      <c r="M1281" s="596"/>
      <c r="N1281" s="594">
        <f>IFERROR(VLOOKUP($B1280,اسماء,19,0),0)</f>
        <v>0</v>
      </c>
      <c r="O1281" s="596"/>
      <c r="P1281" s="592">
        <f>IFERROR(VLOOKUP($B1280,اسماء,20,0),0)</f>
        <v>0</v>
      </c>
      <c r="Q1281" s="595"/>
      <c r="R1281" s="372">
        <f t="shared" si="3402"/>
        <v>0</v>
      </c>
      <c r="S1281" s="305" t="str">
        <f>IFERROR(VLOOKUP($B1280,اسماء,23,0),"")</f>
        <v/>
      </c>
      <c r="T1281" s="306" t="str">
        <f>IFERROR(VLOOKUP($B1280,اسماء,24,0),"")</f>
        <v/>
      </c>
      <c r="U1281" s="122" t="str">
        <f>IFERROR(VLOOKUP($B1280,اسماء,25,0),"")</f>
        <v/>
      </c>
      <c r="V1281" s="605"/>
      <c r="W1281" s="19" t="str">
        <f t="shared" si="3482"/>
        <v>ضعيف</v>
      </c>
      <c r="X1281" s="640"/>
      <c r="Y1281" s="68"/>
      <c r="Z1281" s="598"/>
      <c r="AK1281" s="667"/>
      <c r="AL1281" s="694"/>
      <c r="AM1281" s="696"/>
      <c r="AN1281" s="698"/>
      <c r="AO1281" s="699"/>
      <c r="AP1281" s="701"/>
    </row>
    <row r="1282" spans="1:42" ht="14.85" customHeight="1" x14ac:dyDescent="0.25">
      <c r="A1282" s="611"/>
      <c r="B1282" s="614"/>
      <c r="C1282" s="617"/>
      <c r="D1282" s="620"/>
      <c r="E1282" s="130" t="s">
        <v>32</v>
      </c>
      <c r="F1282" s="592">
        <f>IFERROR(VLOOKUP($B1280,اسماء,25,0),0)</f>
        <v>0</v>
      </c>
      <c r="G1282" s="593"/>
      <c r="H1282" s="594">
        <f>IFERROR(VLOOKUP($B1280,اسماء,26,0),0)</f>
        <v>0</v>
      </c>
      <c r="I1282" s="595"/>
      <c r="J1282" s="592">
        <f>IFERROR(VLOOKUP($B1280,اسماء,27,0),0)</f>
        <v>0</v>
      </c>
      <c r="K1282" s="593"/>
      <c r="L1282" s="594">
        <f>IFERROR(VLOOKUP($B1280,اسماء,28,0),0)</f>
        <v>0</v>
      </c>
      <c r="M1282" s="596"/>
      <c r="N1282" s="594">
        <f>IFERROR(VLOOKUP($B1280,اسماء,29,0),0)</f>
        <v>0</v>
      </c>
      <c r="O1282" s="596"/>
      <c r="P1282" s="592">
        <f>IFERROR(VLOOKUP($B1280,اسماء,30,0),0)</f>
        <v>0</v>
      </c>
      <c r="Q1282" s="595"/>
      <c r="R1282" s="372">
        <f t="shared" si="3402"/>
        <v>0</v>
      </c>
      <c r="S1282" s="305" t="str">
        <f>IFERROR(VLOOKUP($B1280,اسماء,34,0),"")</f>
        <v/>
      </c>
      <c r="T1282" s="306" t="str">
        <f>IFERROR(VLOOKUP($B1280,اسماء,35,0),"")</f>
        <v/>
      </c>
      <c r="U1282" s="122" t="str">
        <f>IFERROR(VLOOKUP($B1280,اسماء,36,0),"")</f>
        <v/>
      </c>
      <c r="V1282" s="605"/>
      <c r="W1282" s="20" t="str">
        <f t="shared" ref="W1282" si="3485">LOOKUP(R1282,$AF$6:$AG$10)</f>
        <v>ضعيف</v>
      </c>
      <c r="X1282" s="640"/>
      <c r="Y1282" s="68"/>
      <c r="Z1282" s="598"/>
      <c r="AK1282" s="667"/>
      <c r="AL1282" s="694"/>
      <c r="AM1282" s="696"/>
      <c r="AN1282" s="698"/>
      <c r="AO1282" s="699"/>
      <c r="AP1282" s="701"/>
    </row>
    <row r="1283" spans="1:42" ht="14.85" customHeight="1" thickBot="1" x14ac:dyDescent="0.3">
      <c r="A1283" s="612"/>
      <c r="B1283" s="615"/>
      <c r="C1283" s="618"/>
      <c r="D1283" s="621"/>
      <c r="E1283" s="124" t="s">
        <v>33</v>
      </c>
      <c r="F1283" s="623">
        <f t="shared" ref="F1283" si="3486">SUM(F1280:G1282)</f>
        <v>0</v>
      </c>
      <c r="G1283" s="624"/>
      <c r="H1283" s="625">
        <f t="shared" ref="H1283" si="3487">SUM(H1280:I1282)</f>
        <v>0</v>
      </c>
      <c r="I1283" s="626"/>
      <c r="J1283" s="623">
        <f t="shared" ref="J1283" si="3488">SUM(J1280:K1282)</f>
        <v>0</v>
      </c>
      <c r="K1283" s="624"/>
      <c r="L1283" s="625">
        <f t="shared" ref="L1283" si="3489">SUM(L1280:M1282)</f>
        <v>0</v>
      </c>
      <c r="M1283" s="642"/>
      <c r="N1283" s="625">
        <f t="shared" ref="N1283" si="3490">SUM(N1280:O1282)</f>
        <v>0</v>
      </c>
      <c r="O1283" s="642"/>
      <c r="P1283" s="623">
        <f t="shared" ref="P1283" si="3491">SUM(P1280:Q1282)</f>
        <v>0</v>
      </c>
      <c r="Q1283" s="626"/>
      <c r="R1283" s="88">
        <f t="shared" ref="R1283" si="3492">IF(AND(F1283&gt;=$G$8,H1283&gt;=$I$8,J1283&gt;=$K$8,L1283&gt;=$M$8,N1283&gt;=$O$8,P1283&gt;=$Q$8),SUM(F1283:Q1283),0)</f>
        <v>0</v>
      </c>
      <c r="S1283" s="251"/>
      <c r="T1283" s="97"/>
      <c r="U1283" s="94"/>
      <c r="V1283" s="606"/>
      <c r="W1283" s="88" t="str">
        <f t="shared" ref="W1283" si="3493">LOOKUP(R1283,$AI$6:$AJ$10)</f>
        <v>ضعيف</v>
      </c>
      <c r="X1283" s="641"/>
      <c r="Y1283" s="8"/>
      <c r="Z1283" s="599"/>
      <c r="AK1283" s="667"/>
      <c r="AL1283" s="694"/>
      <c r="AM1283" s="696"/>
      <c r="AN1283" s="698"/>
      <c r="AO1283" s="699"/>
      <c r="AP1283" s="702"/>
    </row>
    <row r="1284" spans="1:42" ht="14.85" customHeight="1" thickBot="1" x14ac:dyDescent="0.3">
      <c r="A1284" s="610">
        <v>279</v>
      </c>
      <c r="B1284" s="613">
        <f>VLOOKUP(A1284,مسلسل,2,0)</f>
        <v>0</v>
      </c>
      <c r="C1284" s="616" t="str">
        <f>IFERROR(VLOOKUP(B1284,اسماء,2,0),"")</f>
        <v/>
      </c>
      <c r="D1284" s="619" t="str">
        <f>IFERROR(VLOOKUP($B1284,اسماء,3,0),"")</f>
        <v/>
      </c>
      <c r="E1284" s="129" t="s">
        <v>30</v>
      </c>
      <c r="F1284" s="600">
        <f>IFERROR(VLOOKUP($B1284,اسماء,5,0),0)</f>
        <v>0</v>
      </c>
      <c r="G1284" s="601"/>
      <c r="H1284" s="602">
        <f>IFERROR(VLOOKUP($B1284,اسماء,6,0),0)</f>
        <v>0</v>
      </c>
      <c r="I1284" s="622"/>
      <c r="J1284" s="600">
        <f>IFERROR(VLOOKUP($B1284,اسماء,7,0),0)</f>
        <v>0</v>
      </c>
      <c r="K1284" s="601"/>
      <c r="L1284" s="602">
        <f>IFERROR(VLOOKUP($B1284,اسماء,8,0),0)</f>
        <v>0</v>
      </c>
      <c r="M1284" s="603"/>
      <c r="N1284" s="602">
        <f>IFERROR(VLOOKUP($B1284,اسماء,9,0),0)</f>
        <v>0</v>
      </c>
      <c r="O1284" s="603"/>
      <c r="P1284" s="600">
        <f>IFERROR(VLOOKUP($B1284,اسماء,10,0),0)</f>
        <v>0</v>
      </c>
      <c r="Q1284" s="622"/>
      <c r="R1284" s="371">
        <f t="shared" ref="R1284" si="3494">SUM(F1284:Q1284)</f>
        <v>0</v>
      </c>
      <c r="S1284" s="213" t="str">
        <f>IFERROR(VLOOKUP($B1284,اسماء,12,0),"")</f>
        <v/>
      </c>
      <c r="T1284" s="214" t="str">
        <f>IFERROR(VLOOKUP($B1284,اسماء,13,0),"")</f>
        <v/>
      </c>
      <c r="U1284" s="364" t="str">
        <f>IFERROR(VLOOKUP($B1284,اسماء,14,0),"")</f>
        <v/>
      </c>
      <c r="V1284" s="604" t="str">
        <f t="shared" ref="V1284" si="3495">IF(Z1284="غائب","راسب",IF(R1287&gt;0,"ناجح","مرحل"))</f>
        <v>مرحل</v>
      </c>
      <c r="W1284" s="19" t="str">
        <f t="shared" ref="W1284:W1285" si="3496">LOOKUP(R1284,$AC$6:$AD$10)</f>
        <v>ضعيف</v>
      </c>
      <c r="X1284" s="639">
        <f t="shared" ref="X1284" si="3497">R1287/$AC$3</f>
        <v>0</v>
      </c>
      <c r="Y1284" s="68"/>
      <c r="Z1284" s="597" t="str">
        <f>IFERROR(VLOOKUP($B1284,اسماء,48,0),"")</f>
        <v/>
      </c>
      <c r="AK1284" s="667" t="str">
        <f t="shared" ref="AK1284" si="3498">IF(R1287=0,"",R1287/1+ROW()*0.00001)</f>
        <v/>
      </c>
      <c r="AL1284" s="694">
        <f>B1284</f>
        <v>0</v>
      </c>
      <c r="AM1284" s="696"/>
      <c r="AN1284" s="698">
        <v>279</v>
      </c>
      <c r="AO1284" s="699" t="str">
        <f>IFERROR(LARGE($AK$10:$AK$1420,AN1284),"")</f>
        <v/>
      </c>
      <c r="AP1284" s="700" t="str">
        <f>VLOOKUP(AO1284,$AK$10:$AL$1530,2,0)</f>
        <v>امجد عمر عبداللطيف سلطان</v>
      </c>
    </row>
    <row r="1285" spans="1:42" ht="14.85" customHeight="1" x14ac:dyDescent="0.25">
      <c r="A1285" s="611"/>
      <c r="B1285" s="614"/>
      <c r="C1285" s="617"/>
      <c r="D1285" s="620"/>
      <c r="E1285" s="130" t="s">
        <v>31</v>
      </c>
      <c r="F1285" s="592">
        <f>IFERROR(VLOOKUP($B1284,اسماء,15,0),0)</f>
        <v>0</v>
      </c>
      <c r="G1285" s="593"/>
      <c r="H1285" s="594">
        <f>IFERROR(VLOOKUP($B1284,اسماء,16,0),0)</f>
        <v>0</v>
      </c>
      <c r="I1285" s="595"/>
      <c r="J1285" s="592">
        <f>IFERROR(VLOOKUP($B1284,اسماء,17,0),0)</f>
        <v>0</v>
      </c>
      <c r="K1285" s="593"/>
      <c r="L1285" s="594">
        <f>IFERROR(VLOOKUP($B1284,اسماء,18,0),0)</f>
        <v>0</v>
      </c>
      <c r="M1285" s="596"/>
      <c r="N1285" s="594">
        <f>IFERROR(VLOOKUP($B1284,اسماء,19,0),0)</f>
        <v>0</v>
      </c>
      <c r="O1285" s="596"/>
      <c r="P1285" s="592">
        <f>IFERROR(VLOOKUP($B1284,اسماء,20,0),0)</f>
        <v>0</v>
      </c>
      <c r="Q1285" s="595"/>
      <c r="R1285" s="372">
        <f t="shared" si="3402"/>
        <v>0</v>
      </c>
      <c r="S1285" s="305" t="str">
        <f>IFERROR(VLOOKUP($B1284,اسماء,23,0),"")</f>
        <v/>
      </c>
      <c r="T1285" s="306" t="str">
        <f>IFERROR(VLOOKUP($B1284,اسماء,24,0),"")</f>
        <v/>
      </c>
      <c r="U1285" s="122" t="str">
        <f>IFERROR(VLOOKUP($B1284,اسماء,25,0),"")</f>
        <v/>
      </c>
      <c r="V1285" s="605"/>
      <c r="W1285" s="19" t="str">
        <f t="shared" si="3496"/>
        <v>ضعيف</v>
      </c>
      <c r="X1285" s="640"/>
      <c r="Y1285" s="68"/>
      <c r="Z1285" s="598"/>
      <c r="AK1285" s="667"/>
      <c r="AL1285" s="694"/>
      <c r="AM1285" s="696"/>
      <c r="AN1285" s="698"/>
      <c r="AO1285" s="699"/>
      <c r="AP1285" s="701"/>
    </row>
    <row r="1286" spans="1:42" ht="14.85" customHeight="1" x14ac:dyDescent="0.25">
      <c r="A1286" s="611"/>
      <c r="B1286" s="614"/>
      <c r="C1286" s="617"/>
      <c r="D1286" s="620"/>
      <c r="E1286" s="130" t="s">
        <v>32</v>
      </c>
      <c r="F1286" s="592">
        <f>IFERROR(VLOOKUP($B1284,اسماء,25,0),0)</f>
        <v>0</v>
      </c>
      <c r="G1286" s="593"/>
      <c r="H1286" s="594">
        <f>IFERROR(VLOOKUP($B1284,اسماء,26,0),0)</f>
        <v>0</v>
      </c>
      <c r="I1286" s="595"/>
      <c r="J1286" s="592">
        <f>IFERROR(VLOOKUP($B1284,اسماء,27,0),0)</f>
        <v>0</v>
      </c>
      <c r="K1286" s="593"/>
      <c r="L1286" s="594">
        <f>IFERROR(VLOOKUP($B1284,اسماء,28,0),0)</f>
        <v>0</v>
      </c>
      <c r="M1286" s="596"/>
      <c r="N1286" s="594">
        <f>IFERROR(VLOOKUP($B1284,اسماء,29,0),0)</f>
        <v>0</v>
      </c>
      <c r="O1286" s="596"/>
      <c r="P1286" s="592">
        <f>IFERROR(VLOOKUP($B1284,اسماء,30,0),0)</f>
        <v>0</v>
      </c>
      <c r="Q1286" s="595"/>
      <c r="R1286" s="372">
        <f t="shared" si="3402"/>
        <v>0</v>
      </c>
      <c r="S1286" s="305" t="str">
        <f>IFERROR(VLOOKUP($B1284,اسماء,34,0),"")</f>
        <v/>
      </c>
      <c r="T1286" s="306" t="str">
        <f>IFERROR(VLOOKUP($B1284,اسماء,35,0),"")</f>
        <v/>
      </c>
      <c r="U1286" s="122" t="str">
        <f>IFERROR(VLOOKUP($B1284,اسماء,36,0),"")</f>
        <v/>
      </c>
      <c r="V1286" s="605"/>
      <c r="W1286" s="20" t="str">
        <f t="shared" ref="W1286" si="3499">LOOKUP(R1286,$AF$6:$AG$10)</f>
        <v>ضعيف</v>
      </c>
      <c r="X1286" s="640"/>
      <c r="Y1286" s="8"/>
      <c r="Z1286" s="598"/>
      <c r="AK1286" s="667"/>
      <c r="AL1286" s="694"/>
      <c r="AM1286" s="696"/>
      <c r="AN1286" s="698"/>
      <c r="AO1286" s="699"/>
      <c r="AP1286" s="701"/>
    </row>
    <row r="1287" spans="1:42" ht="14.85" customHeight="1" thickBot="1" x14ac:dyDescent="0.3">
      <c r="A1287" s="612"/>
      <c r="B1287" s="615"/>
      <c r="C1287" s="618"/>
      <c r="D1287" s="621"/>
      <c r="E1287" s="124" t="s">
        <v>33</v>
      </c>
      <c r="F1287" s="623">
        <f t="shared" ref="F1287" si="3500">SUM(F1284:G1286)</f>
        <v>0</v>
      </c>
      <c r="G1287" s="624"/>
      <c r="H1287" s="625">
        <f t="shared" ref="H1287" si="3501">SUM(H1284:I1286)</f>
        <v>0</v>
      </c>
      <c r="I1287" s="626"/>
      <c r="J1287" s="623">
        <f t="shared" ref="J1287" si="3502">SUM(J1284:K1286)</f>
        <v>0</v>
      </c>
      <c r="K1287" s="624"/>
      <c r="L1287" s="625">
        <f t="shared" ref="L1287" si="3503">SUM(L1284:M1286)</f>
        <v>0</v>
      </c>
      <c r="M1287" s="642"/>
      <c r="N1287" s="625">
        <f t="shared" ref="N1287" si="3504">SUM(N1284:O1286)</f>
        <v>0</v>
      </c>
      <c r="O1287" s="642"/>
      <c r="P1287" s="623">
        <f t="shared" ref="P1287" si="3505">SUM(P1284:Q1286)</f>
        <v>0</v>
      </c>
      <c r="Q1287" s="626"/>
      <c r="R1287" s="88">
        <f t="shared" ref="R1287" si="3506">IF(AND(F1287&gt;=$G$8,H1287&gt;=$I$8,J1287&gt;=$K$8,L1287&gt;=$M$8,N1287&gt;=$O$8,P1287&gt;=$Q$8),SUM(F1287:Q1287),0)</f>
        <v>0</v>
      </c>
      <c r="S1287" s="251"/>
      <c r="T1287" s="97"/>
      <c r="U1287" s="94"/>
      <c r="V1287" s="606"/>
      <c r="W1287" s="88" t="str">
        <f t="shared" ref="W1287" si="3507">LOOKUP(R1287,$AI$6:$AJ$10)</f>
        <v>ضعيف</v>
      </c>
      <c r="X1287" s="641"/>
      <c r="Y1287" s="68"/>
      <c r="Z1287" s="599"/>
      <c r="AK1287" s="667"/>
      <c r="AL1287" s="694"/>
      <c r="AM1287" s="696"/>
      <c r="AN1287" s="698"/>
      <c r="AO1287" s="699"/>
      <c r="AP1287" s="702"/>
    </row>
    <row r="1288" spans="1:42" ht="14.85" customHeight="1" thickBot="1" x14ac:dyDescent="0.3">
      <c r="A1288" s="610">
        <v>280</v>
      </c>
      <c r="B1288" s="613">
        <f>VLOOKUP(A1288,مسلسل,2,0)</f>
        <v>0</v>
      </c>
      <c r="C1288" s="616" t="str">
        <f>IFERROR(VLOOKUP(B1288,اسماء,2,0),"")</f>
        <v/>
      </c>
      <c r="D1288" s="619" t="str">
        <f>IFERROR(VLOOKUP($B1288,اسماء,3,0),"")</f>
        <v/>
      </c>
      <c r="E1288" s="129" t="s">
        <v>30</v>
      </c>
      <c r="F1288" s="600">
        <f>IFERROR(VLOOKUP($B1288,اسماء,5,0),0)</f>
        <v>0</v>
      </c>
      <c r="G1288" s="601"/>
      <c r="H1288" s="602">
        <f>IFERROR(VLOOKUP($B1288,اسماء,6,0),0)</f>
        <v>0</v>
      </c>
      <c r="I1288" s="622"/>
      <c r="J1288" s="600">
        <f>IFERROR(VLOOKUP($B1288,اسماء,7,0),0)</f>
        <v>0</v>
      </c>
      <c r="K1288" s="601"/>
      <c r="L1288" s="602">
        <f>IFERROR(VLOOKUP($B1288,اسماء,8,0),0)</f>
        <v>0</v>
      </c>
      <c r="M1288" s="603"/>
      <c r="N1288" s="602">
        <f>IFERROR(VLOOKUP($B1288,اسماء,9,0),0)</f>
        <v>0</v>
      </c>
      <c r="O1288" s="603"/>
      <c r="P1288" s="600">
        <f>IFERROR(VLOOKUP($B1288,اسماء,10,0),0)</f>
        <v>0</v>
      </c>
      <c r="Q1288" s="622"/>
      <c r="R1288" s="371">
        <f t="shared" ref="R1288" si="3508">SUM(F1288:Q1288)</f>
        <v>0</v>
      </c>
      <c r="S1288" s="213" t="str">
        <f>IFERROR(VLOOKUP($B1288,اسماء,12,0),"")</f>
        <v/>
      </c>
      <c r="T1288" s="214" t="str">
        <f>IFERROR(VLOOKUP($B1288,اسماء,13,0),"")</f>
        <v/>
      </c>
      <c r="U1288" s="364" t="str">
        <f>IFERROR(VLOOKUP($B1288,اسماء,14,0),"")</f>
        <v/>
      </c>
      <c r="V1288" s="604" t="str">
        <f t="shared" ref="V1288" si="3509">IF(Z1288="غائب","راسب",IF(R1291&gt;0,"ناجح","مرحل"))</f>
        <v>مرحل</v>
      </c>
      <c r="W1288" s="19" t="str">
        <f t="shared" ref="W1288:W1289" si="3510">LOOKUP(R1288,$AC$6:$AD$10)</f>
        <v>ضعيف</v>
      </c>
      <c r="X1288" s="639">
        <f t="shared" ref="X1288" si="3511">R1291/$AC$3</f>
        <v>0</v>
      </c>
      <c r="Y1288" s="68"/>
      <c r="Z1288" s="597" t="str">
        <f>IFERROR(VLOOKUP($B1288,اسماء,48,0),"")</f>
        <v/>
      </c>
      <c r="AK1288" s="667" t="str">
        <f t="shared" ref="AK1288" si="3512">IF(R1291=0,"",R1291/1+ROW()*0.00001)</f>
        <v/>
      </c>
      <c r="AL1288" s="694">
        <f>B1288</f>
        <v>0</v>
      </c>
      <c r="AM1288" s="696"/>
      <c r="AN1288" s="698">
        <v>280</v>
      </c>
      <c r="AO1288" s="699" t="str">
        <f>IFERROR(LARGE($AK$10:$AK$1420,AN1288),"")</f>
        <v/>
      </c>
      <c r="AP1288" s="700" t="str">
        <f>VLOOKUP(AO1288,$AK$10:$AL$1530,2,0)</f>
        <v>امجد عمر عبداللطيف سلطان</v>
      </c>
    </row>
    <row r="1289" spans="1:42" ht="14.85" customHeight="1" x14ac:dyDescent="0.25">
      <c r="A1289" s="611"/>
      <c r="B1289" s="614"/>
      <c r="C1289" s="617"/>
      <c r="D1289" s="620"/>
      <c r="E1289" s="130" t="s">
        <v>31</v>
      </c>
      <c r="F1289" s="592">
        <f>IFERROR(VLOOKUP($B1288,اسماء,15,0),0)</f>
        <v>0</v>
      </c>
      <c r="G1289" s="593"/>
      <c r="H1289" s="594">
        <f>IFERROR(VLOOKUP($B1288,اسماء,16,0),0)</f>
        <v>0</v>
      </c>
      <c r="I1289" s="595"/>
      <c r="J1289" s="592">
        <f>IFERROR(VLOOKUP($B1288,اسماء,17,0),0)</f>
        <v>0</v>
      </c>
      <c r="K1289" s="593"/>
      <c r="L1289" s="594">
        <f>IFERROR(VLOOKUP($B1288,اسماء,18,0),0)</f>
        <v>0</v>
      </c>
      <c r="M1289" s="596"/>
      <c r="N1289" s="594">
        <f>IFERROR(VLOOKUP($B1288,اسماء,19,0),0)</f>
        <v>0</v>
      </c>
      <c r="O1289" s="596"/>
      <c r="P1289" s="592">
        <f>IFERROR(VLOOKUP($B1288,اسماء,20,0),0)</f>
        <v>0</v>
      </c>
      <c r="Q1289" s="595"/>
      <c r="R1289" s="372">
        <f t="shared" si="3402"/>
        <v>0</v>
      </c>
      <c r="S1289" s="305" t="str">
        <f>IFERROR(VLOOKUP($B1288,اسماء,23,0),"")</f>
        <v/>
      </c>
      <c r="T1289" s="306" t="str">
        <f>IFERROR(VLOOKUP($B1288,اسماء,24,0),"")</f>
        <v/>
      </c>
      <c r="U1289" s="122" t="str">
        <f>IFERROR(VLOOKUP($B1288,اسماء,25,0),"")</f>
        <v/>
      </c>
      <c r="V1289" s="605"/>
      <c r="W1289" s="19" t="str">
        <f t="shared" si="3510"/>
        <v>ضعيف</v>
      </c>
      <c r="X1289" s="640"/>
      <c r="Y1289" s="8"/>
      <c r="Z1289" s="598"/>
      <c r="AK1289" s="667"/>
      <c r="AL1289" s="694"/>
      <c r="AM1289" s="696"/>
      <c r="AN1289" s="698"/>
      <c r="AO1289" s="699"/>
      <c r="AP1289" s="701"/>
    </row>
    <row r="1290" spans="1:42" ht="14.85" customHeight="1" x14ac:dyDescent="0.25">
      <c r="A1290" s="611"/>
      <c r="B1290" s="614"/>
      <c r="C1290" s="617"/>
      <c r="D1290" s="620"/>
      <c r="E1290" s="130" t="s">
        <v>32</v>
      </c>
      <c r="F1290" s="592">
        <f>IFERROR(VLOOKUP($B1288,اسماء,25,0),0)</f>
        <v>0</v>
      </c>
      <c r="G1290" s="593"/>
      <c r="H1290" s="594">
        <f>IFERROR(VLOOKUP($B1288,اسماء,26,0),0)</f>
        <v>0</v>
      </c>
      <c r="I1290" s="595"/>
      <c r="J1290" s="592">
        <f>IFERROR(VLOOKUP($B1288,اسماء,27,0),0)</f>
        <v>0</v>
      </c>
      <c r="K1290" s="593"/>
      <c r="L1290" s="594">
        <f>IFERROR(VLOOKUP($B1288,اسماء,28,0),0)</f>
        <v>0</v>
      </c>
      <c r="M1290" s="596"/>
      <c r="N1290" s="594">
        <f>IFERROR(VLOOKUP($B1288,اسماء,29,0),0)</f>
        <v>0</v>
      </c>
      <c r="O1290" s="596"/>
      <c r="P1290" s="592">
        <f>IFERROR(VLOOKUP($B1288,اسماء,30,0),0)</f>
        <v>0</v>
      </c>
      <c r="Q1290" s="595"/>
      <c r="R1290" s="372">
        <f t="shared" si="3402"/>
        <v>0</v>
      </c>
      <c r="S1290" s="305" t="str">
        <f>IFERROR(VLOOKUP($B1288,اسماء,34,0),"")</f>
        <v/>
      </c>
      <c r="T1290" s="306" t="str">
        <f>IFERROR(VLOOKUP($B1288,اسماء,35,0),"")</f>
        <v/>
      </c>
      <c r="U1290" s="122" t="str">
        <f>IFERROR(VLOOKUP($B1288,اسماء,36,0),"")</f>
        <v/>
      </c>
      <c r="V1290" s="605"/>
      <c r="W1290" s="20" t="str">
        <f t="shared" ref="W1290" si="3513">LOOKUP(R1290,$AF$6:$AG$10)</f>
        <v>ضعيف</v>
      </c>
      <c r="X1290" s="640"/>
      <c r="Y1290" s="68"/>
      <c r="Z1290" s="598"/>
      <c r="AK1290" s="667"/>
      <c r="AL1290" s="694"/>
      <c r="AM1290" s="696"/>
      <c r="AN1290" s="698"/>
      <c r="AO1290" s="699"/>
      <c r="AP1290" s="701"/>
    </row>
    <row r="1291" spans="1:42" ht="14.85" customHeight="1" thickBot="1" x14ac:dyDescent="0.3">
      <c r="A1291" s="612"/>
      <c r="B1291" s="615"/>
      <c r="C1291" s="618"/>
      <c r="D1291" s="621"/>
      <c r="E1291" s="124" t="s">
        <v>33</v>
      </c>
      <c r="F1291" s="623">
        <f t="shared" ref="F1291" si="3514">SUM(F1288:G1290)</f>
        <v>0</v>
      </c>
      <c r="G1291" s="624"/>
      <c r="H1291" s="625">
        <f t="shared" ref="H1291" si="3515">SUM(H1288:I1290)</f>
        <v>0</v>
      </c>
      <c r="I1291" s="626"/>
      <c r="J1291" s="623">
        <f t="shared" ref="J1291" si="3516">SUM(J1288:K1290)</f>
        <v>0</v>
      </c>
      <c r="K1291" s="624"/>
      <c r="L1291" s="625">
        <f t="shared" ref="L1291" si="3517">SUM(L1288:M1290)</f>
        <v>0</v>
      </c>
      <c r="M1291" s="642"/>
      <c r="N1291" s="625">
        <f t="shared" ref="N1291" si="3518">SUM(N1288:O1290)</f>
        <v>0</v>
      </c>
      <c r="O1291" s="642"/>
      <c r="P1291" s="623">
        <f t="shared" ref="P1291" si="3519">SUM(P1288:Q1290)</f>
        <v>0</v>
      </c>
      <c r="Q1291" s="626"/>
      <c r="R1291" s="88">
        <f t="shared" ref="R1291" si="3520">IF(AND(F1291&gt;=$G$8,H1291&gt;=$I$8,J1291&gt;=$K$8,L1291&gt;=$M$8,N1291&gt;=$O$8,P1291&gt;=$Q$8),SUM(F1291:Q1291),0)</f>
        <v>0</v>
      </c>
      <c r="S1291" s="251"/>
      <c r="T1291" s="97"/>
      <c r="U1291" s="94"/>
      <c r="V1291" s="606"/>
      <c r="W1291" s="88" t="str">
        <f t="shared" ref="W1291" si="3521">LOOKUP(R1291,$AI$6:$AJ$10)</f>
        <v>ضعيف</v>
      </c>
      <c r="X1291" s="641"/>
      <c r="Y1291" s="68"/>
      <c r="Z1291" s="599"/>
      <c r="AK1291" s="667"/>
      <c r="AL1291" s="694"/>
      <c r="AM1291" s="696"/>
      <c r="AN1291" s="698"/>
      <c r="AO1291" s="699"/>
      <c r="AP1291" s="702"/>
    </row>
    <row r="1292" spans="1:42" ht="14.85" customHeight="1" thickBot="1" x14ac:dyDescent="0.3">
      <c r="F1292" s="71"/>
      <c r="G1292" s="72"/>
      <c r="H1292" s="71"/>
      <c r="I1292" s="72"/>
      <c r="J1292" s="71"/>
      <c r="K1292" s="72"/>
      <c r="L1292" s="71"/>
      <c r="M1292" s="72"/>
      <c r="N1292" s="71"/>
      <c r="O1292" s="72"/>
      <c r="P1292" s="71"/>
      <c r="Q1292" s="72"/>
      <c r="R1292" s="70"/>
      <c r="S1292" s="73"/>
      <c r="T1292" s="70"/>
      <c r="U1292" s="70"/>
      <c r="V1292" s="70"/>
      <c r="W1292" s="70"/>
      <c r="X1292" s="254"/>
      <c r="Y1292" s="68"/>
      <c r="AH1292" s="74"/>
    </row>
    <row r="1293" spans="1:42" customFormat="1" ht="14.85" customHeight="1" x14ac:dyDescent="0.3">
      <c r="A1293" s="668" t="s">
        <v>9</v>
      </c>
      <c r="B1293" s="669"/>
      <c r="C1293" s="670"/>
      <c r="D1293" s="277" t="s">
        <v>11</v>
      </c>
      <c r="E1293" s="674" t="s">
        <v>96</v>
      </c>
      <c r="F1293" s="663"/>
      <c r="G1293" s="663"/>
      <c r="H1293" s="663"/>
      <c r="I1293" s="663"/>
      <c r="J1293" s="7"/>
      <c r="K1293" s="7"/>
      <c r="L1293" s="7"/>
      <c r="M1293" s="7"/>
      <c r="N1293" s="7"/>
      <c r="O1293" s="7"/>
      <c r="P1293" s="7"/>
      <c r="Q1293" s="663" t="s">
        <v>156</v>
      </c>
      <c r="R1293" s="663"/>
      <c r="S1293" s="663"/>
      <c r="T1293" s="663"/>
      <c r="U1293" s="663"/>
      <c r="V1293" s="663"/>
      <c r="W1293" s="1"/>
      <c r="X1293" s="255"/>
      <c r="Z1293" s="75"/>
      <c r="AA1293" s="76"/>
      <c r="AB1293" s="76"/>
      <c r="AC1293" s="76"/>
      <c r="AD1293" s="76"/>
    </row>
    <row r="1294" spans="1:42" customFormat="1" ht="14.85" customHeight="1" x14ac:dyDescent="0.25">
      <c r="A1294" s="77" t="s">
        <v>8</v>
      </c>
      <c r="B1294" s="671">
        <f>ادخال1!$BJ$3</f>
        <v>0</v>
      </c>
      <c r="C1294" s="672"/>
      <c r="D1294" s="278"/>
      <c r="E1294" s="7" t="s">
        <v>9</v>
      </c>
      <c r="F1294" s="673" t="str">
        <f>ادخال1!$BJ$5</f>
        <v>د. عبدالرحمن خليفة العريبي</v>
      </c>
      <c r="G1294" s="673"/>
      <c r="H1294" s="673"/>
      <c r="I1294" s="673"/>
      <c r="J1294" s="673"/>
      <c r="K1294" s="673"/>
      <c r="L1294" s="673"/>
      <c r="M1294" s="673"/>
      <c r="N1294" s="673"/>
      <c r="O1294" s="673"/>
      <c r="P1294" s="7"/>
      <c r="Q1294" s="673" t="str">
        <f>ادخال1!$BJ$6</f>
        <v>تاجوراء</v>
      </c>
      <c r="R1294" s="673"/>
      <c r="S1294" s="673"/>
      <c r="T1294" s="673"/>
      <c r="U1294" s="673"/>
      <c r="V1294" s="673"/>
      <c r="W1294" s="673"/>
      <c r="X1294" s="63"/>
      <c r="Y1294" s="63"/>
      <c r="Z1294" s="75"/>
      <c r="AA1294" s="75"/>
      <c r="AB1294" s="75"/>
      <c r="AC1294" s="75"/>
    </row>
    <row r="1295" spans="1:42" customFormat="1" ht="14.85" customHeight="1" thickBot="1" x14ac:dyDescent="0.3">
      <c r="A1295" s="78" t="s">
        <v>97</v>
      </c>
      <c r="B1295" s="665">
        <f>ادخال1!$BJ$4</f>
        <v>0</v>
      </c>
      <c r="C1295" s="666"/>
      <c r="D1295" s="279"/>
      <c r="E1295" s="7" t="s">
        <v>11</v>
      </c>
      <c r="F1295" s="667"/>
      <c r="G1295" s="667"/>
      <c r="H1295" s="667"/>
      <c r="I1295" s="667"/>
      <c r="J1295" s="667"/>
      <c r="K1295" s="667"/>
      <c r="L1295" s="667"/>
      <c r="M1295" s="667"/>
      <c r="N1295" s="667"/>
      <c r="O1295" s="667"/>
      <c r="P1295" s="7"/>
      <c r="Q1295" s="7" t="s">
        <v>11</v>
      </c>
      <c r="R1295" s="1"/>
      <c r="S1295" s="1"/>
      <c r="T1295" s="1"/>
      <c r="U1295" s="1"/>
      <c r="V1295" s="1"/>
      <c r="W1295" s="1"/>
      <c r="X1295" s="255"/>
      <c r="Z1295" s="75"/>
      <c r="AA1295" s="75"/>
      <c r="AB1295" s="75"/>
      <c r="AC1295" s="75"/>
    </row>
    <row r="1296" spans="1:42" customFormat="1" ht="14.85" customHeight="1" x14ac:dyDescent="0.25">
      <c r="A1296" s="663" t="s">
        <v>98</v>
      </c>
      <c r="B1296" s="663"/>
      <c r="C1296" s="663"/>
      <c r="D1296" s="663"/>
      <c r="E1296" s="663" t="s">
        <v>99</v>
      </c>
      <c r="F1296" s="663"/>
      <c r="G1296" s="663"/>
      <c r="H1296" s="663"/>
      <c r="I1296" s="663"/>
      <c r="J1296" s="663"/>
      <c r="K1296" s="663"/>
      <c r="L1296" s="663"/>
      <c r="M1296" s="663"/>
      <c r="N1296" s="663"/>
      <c r="O1296" s="663"/>
      <c r="P1296" s="663"/>
      <c r="Q1296" s="663"/>
      <c r="R1296" s="7"/>
      <c r="S1296" s="664">
        <f ca="1">TODAY()</f>
        <v>46009</v>
      </c>
      <c r="T1296" s="664"/>
      <c r="U1296" s="664"/>
      <c r="V1296" s="664"/>
      <c r="W1296" s="664"/>
      <c r="X1296" s="255"/>
    </row>
    <row r="1297" spans="1:42" customFormat="1" ht="14.85" customHeight="1" thickBot="1" x14ac:dyDescent="0.3">
      <c r="A1297" s="7"/>
      <c r="B1297" s="663" t="s">
        <v>100</v>
      </c>
      <c r="C1297" s="663"/>
      <c r="D1297" s="663"/>
      <c r="E1297" s="663" t="s">
        <v>101</v>
      </c>
      <c r="F1297" s="663"/>
      <c r="G1297" s="663"/>
      <c r="H1297" s="663"/>
      <c r="I1297" s="663"/>
      <c r="J1297" s="663"/>
      <c r="K1297" s="663"/>
      <c r="L1297" s="663"/>
      <c r="M1297" s="663"/>
      <c r="N1297" s="663"/>
      <c r="O1297" s="663"/>
      <c r="P1297" s="663"/>
      <c r="Q1297" s="663"/>
      <c r="R1297" s="1"/>
      <c r="S1297" s="1"/>
      <c r="T1297" s="1"/>
      <c r="U1297" s="1"/>
      <c r="V1297" s="1"/>
      <c r="W1297" s="1"/>
      <c r="X1297" s="255"/>
    </row>
    <row r="1298" spans="1:42" ht="14.85" customHeight="1" thickBot="1" x14ac:dyDescent="0.3">
      <c r="A1298" s="610">
        <v>281</v>
      </c>
      <c r="B1298" s="613">
        <f>VLOOKUP(A1298,مسلسل,2,0)</f>
        <v>0</v>
      </c>
      <c r="C1298" s="616" t="str">
        <f>IFERROR(VLOOKUP(B1298,اسماء,2,0),"")</f>
        <v/>
      </c>
      <c r="D1298" s="619" t="str">
        <f>IFERROR(VLOOKUP($B1298,اسماء,3,0),"")</f>
        <v/>
      </c>
      <c r="E1298" s="129" t="s">
        <v>30</v>
      </c>
      <c r="F1298" s="600">
        <f>IFERROR(VLOOKUP($B1298,اسماء,5,0),0)</f>
        <v>0</v>
      </c>
      <c r="G1298" s="601"/>
      <c r="H1298" s="602">
        <f>IFERROR(VLOOKUP($B1298,اسماء,6,0),0)</f>
        <v>0</v>
      </c>
      <c r="I1298" s="622"/>
      <c r="J1298" s="600">
        <f>IFERROR(VLOOKUP($B1298,اسماء,7,0),0)</f>
        <v>0</v>
      </c>
      <c r="K1298" s="601"/>
      <c r="L1298" s="602">
        <f>IFERROR(VLOOKUP($B1298,اسماء,8,0),0)</f>
        <v>0</v>
      </c>
      <c r="M1298" s="603"/>
      <c r="N1298" s="602">
        <f>IFERROR(VLOOKUP($B1298,اسماء,9,0),0)</f>
        <v>0</v>
      </c>
      <c r="O1298" s="603"/>
      <c r="P1298" s="600">
        <f>IFERROR(VLOOKUP($B1298,اسماء,10,0),0)</f>
        <v>0</v>
      </c>
      <c r="Q1298" s="622"/>
      <c r="R1298" s="371">
        <f>SUM(F1298:Q1298)</f>
        <v>0</v>
      </c>
      <c r="S1298" s="325" t="str">
        <f>IFERROR(VLOOKUP($B1298,اسماء,12,0),"")</f>
        <v/>
      </c>
      <c r="T1298" s="326" t="str">
        <f>IFERROR(VLOOKUP($B1298,اسماء,13,0),"")</f>
        <v/>
      </c>
      <c r="U1298" s="92" t="str">
        <f>IFERROR(VLOOKUP($B1298,اسماء,14,0),"")</f>
        <v/>
      </c>
      <c r="V1298" s="604" t="str">
        <f t="shared" ref="V1298" si="3522">IF(Z1298="غائب","راسب",IF(R1301&gt;0,"ناجح","مرحل"))</f>
        <v>مرحل</v>
      </c>
      <c r="W1298" s="19" t="str">
        <f t="shared" ref="W1298:W1299" si="3523">LOOKUP(R1298,$AC$6:$AD$10)</f>
        <v>ضعيف</v>
      </c>
      <c r="X1298" s="639">
        <f t="shared" ref="X1298" si="3524">R1301/$AC$3</f>
        <v>0</v>
      </c>
      <c r="Y1298" s="8"/>
      <c r="Z1298" s="597" t="str">
        <f>IFERROR(VLOOKUP($B1298,اسماء,48,0),"")</f>
        <v/>
      </c>
      <c r="AK1298" s="695" t="str">
        <f>IF(R1301=0,"",R1301/1+ROW()*0.00001)</f>
        <v/>
      </c>
      <c r="AL1298" s="695">
        <f>B1298</f>
        <v>0</v>
      </c>
      <c r="AM1298" s="696"/>
      <c r="AN1298" s="698">
        <v>281</v>
      </c>
      <c r="AO1298" s="699" t="str">
        <f>IFERROR(LARGE($AK$10:$AK$1420,AN1298),"")</f>
        <v/>
      </c>
      <c r="AP1298" s="700" t="str">
        <f>VLOOKUP(AO1298,$AK$10:$AL$1530,2,0)</f>
        <v>امجد عمر عبداللطيف سلطان</v>
      </c>
    </row>
    <row r="1299" spans="1:42" ht="14.85" customHeight="1" x14ac:dyDescent="0.25">
      <c r="A1299" s="611"/>
      <c r="B1299" s="614"/>
      <c r="C1299" s="617"/>
      <c r="D1299" s="620"/>
      <c r="E1299" s="130" t="s">
        <v>31</v>
      </c>
      <c r="F1299" s="592">
        <f>IFERROR(VLOOKUP($B1298,اسماء,16,0),0)</f>
        <v>0</v>
      </c>
      <c r="G1299" s="593"/>
      <c r="H1299" s="594">
        <f>IFERROR(VLOOKUP($B1298,اسماء,17,0),0)</f>
        <v>0</v>
      </c>
      <c r="I1299" s="595"/>
      <c r="J1299" s="592">
        <f>IFERROR(VLOOKUP($B1298,اسماء,18,0),0)</f>
        <v>0</v>
      </c>
      <c r="K1299" s="593"/>
      <c r="L1299" s="594">
        <f>IFERROR(VLOOKUP($B1298,اسماء,19,0),0)</f>
        <v>0</v>
      </c>
      <c r="M1299" s="596"/>
      <c r="N1299" s="594">
        <f>IFERROR(VLOOKUP($B1298,اسماء,20,0),0)</f>
        <v>0</v>
      </c>
      <c r="O1299" s="596"/>
      <c r="P1299" s="592">
        <f>IFERROR(VLOOKUP($B1298,اسماء,21,0),0)</f>
        <v>0</v>
      </c>
      <c r="Q1299" s="595"/>
      <c r="R1299" s="372">
        <f t="shared" ref="R1299:R1300" si="3525">SUM(F1299:Q1299)</f>
        <v>0</v>
      </c>
      <c r="S1299" s="305" t="str">
        <f>IFERROR(VLOOKUP($B1298,اسماء,23,0),"")</f>
        <v/>
      </c>
      <c r="T1299" s="306" t="str">
        <f>IFERROR(VLOOKUP($B1298,اسماء,24,0),"")</f>
        <v/>
      </c>
      <c r="U1299" s="122" t="str">
        <f>IFERROR(VLOOKUP($B1298,اسماء,25,0),"")</f>
        <v/>
      </c>
      <c r="V1299" s="605"/>
      <c r="W1299" s="19" t="str">
        <f t="shared" si="3523"/>
        <v>ضعيف</v>
      </c>
      <c r="X1299" s="640"/>
      <c r="Y1299" s="68"/>
      <c r="Z1299" s="598"/>
      <c r="AK1299" s="696"/>
      <c r="AL1299" s="696"/>
      <c r="AM1299" s="696"/>
      <c r="AN1299" s="698"/>
      <c r="AO1299" s="699"/>
      <c r="AP1299" s="701"/>
    </row>
    <row r="1300" spans="1:42" ht="14.85" customHeight="1" x14ac:dyDescent="0.25">
      <c r="A1300" s="611"/>
      <c r="B1300" s="614"/>
      <c r="C1300" s="617"/>
      <c r="D1300" s="620"/>
      <c r="E1300" s="130" t="s">
        <v>32</v>
      </c>
      <c r="F1300" s="592">
        <f>IFERROR(VLOOKUP($B1298,اسماء,27,0),0)</f>
        <v>0</v>
      </c>
      <c r="G1300" s="593"/>
      <c r="H1300" s="594">
        <f>IFERROR(VLOOKUP($B1298,اسماء,28,0),0)</f>
        <v>0</v>
      </c>
      <c r="I1300" s="595"/>
      <c r="J1300" s="592">
        <f>IFERROR(VLOOKUP($B1298,اسماء,29,0),0)</f>
        <v>0</v>
      </c>
      <c r="K1300" s="593"/>
      <c r="L1300" s="594">
        <f>IFERROR(VLOOKUP($B1298,اسماء,30,0),0)</f>
        <v>0</v>
      </c>
      <c r="M1300" s="596"/>
      <c r="N1300" s="594">
        <f>IFERROR(VLOOKUP($B1298,اسماء,31,0),0)</f>
        <v>0</v>
      </c>
      <c r="O1300" s="596"/>
      <c r="P1300" s="592">
        <f>IFERROR(VLOOKUP($B1298,اسماء,32,0),0)</f>
        <v>0</v>
      </c>
      <c r="Q1300" s="595"/>
      <c r="R1300" s="372">
        <f t="shared" si="3525"/>
        <v>0</v>
      </c>
      <c r="S1300" s="305" t="str">
        <f>IFERROR(VLOOKUP($B1298,اسماء,34,0),"")</f>
        <v/>
      </c>
      <c r="T1300" s="306" t="str">
        <f>IFERROR(VLOOKUP($B1298,اسماء,35,0),"")</f>
        <v/>
      </c>
      <c r="U1300" s="122" t="str">
        <f>IFERROR(VLOOKUP($B1298,اسماء,36,0),"")</f>
        <v/>
      </c>
      <c r="V1300" s="605"/>
      <c r="W1300" s="20" t="str">
        <f t="shared" ref="W1300" si="3526">LOOKUP(R1300,$AF$6:$AG$10)</f>
        <v>ضعيف</v>
      </c>
      <c r="X1300" s="640"/>
      <c r="Y1300" s="68"/>
      <c r="Z1300" s="598"/>
      <c r="AK1300" s="696"/>
      <c r="AL1300" s="696"/>
      <c r="AM1300" s="696"/>
      <c r="AN1300" s="698"/>
      <c r="AO1300" s="699"/>
      <c r="AP1300" s="701"/>
    </row>
    <row r="1301" spans="1:42" ht="14.85" customHeight="1" thickBot="1" x14ac:dyDescent="0.3">
      <c r="A1301" s="612"/>
      <c r="B1301" s="615"/>
      <c r="C1301" s="618"/>
      <c r="D1301" s="621"/>
      <c r="E1301" s="124" t="s">
        <v>33</v>
      </c>
      <c r="F1301" s="623">
        <f>SUM(F1298:G1300)</f>
        <v>0</v>
      </c>
      <c r="G1301" s="624"/>
      <c r="H1301" s="625">
        <f>SUM(H1298:I1300)</f>
        <v>0</v>
      </c>
      <c r="I1301" s="626"/>
      <c r="J1301" s="623">
        <f>SUM(J1298:K1300)</f>
        <v>0</v>
      </c>
      <c r="K1301" s="624"/>
      <c r="L1301" s="625">
        <f>SUM(L1298:M1300)</f>
        <v>0</v>
      </c>
      <c r="M1301" s="642"/>
      <c r="N1301" s="625">
        <f>SUM(N1298:O1300)</f>
        <v>0</v>
      </c>
      <c r="O1301" s="642"/>
      <c r="P1301" s="623">
        <f>SUM(P1298:Q1300)</f>
        <v>0</v>
      </c>
      <c r="Q1301" s="626"/>
      <c r="R1301" s="88">
        <f>IF(AND(F1301&gt;=$G$8,H1301&gt;=$I$8,J1301&gt;=$K$8,L1301&gt;=$M$8,N1301&gt;=$O$8,P1301&gt;=$Q$8),SUM(F1301:Q1301),0)</f>
        <v>0</v>
      </c>
      <c r="S1301" s="251"/>
      <c r="T1301" s="97"/>
      <c r="U1301" s="94"/>
      <c r="V1301" s="606"/>
      <c r="W1301" s="88" t="str">
        <f t="shared" ref="W1301" si="3527">LOOKUP(R1301,$AI$6:$AJ$10)</f>
        <v>ضعيف</v>
      </c>
      <c r="X1301" s="641"/>
      <c r="Y1301" s="8"/>
      <c r="Z1301" s="599"/>
      <c r="AK1301" s="697"/>
      <c r="AL1301" s="697"/>
      <c r="AM1301" s="696"/>
      <c r="AN1301" s="698"/>
      <c r="AO1301" s="699"/>
      <c r="AP1301" s="702"/>
    </row>
    <row r="1302" spans="1:42" ht="14.85" customHeight="1" thickBot="1" x14ac:dyDescent="0.3">
      <c r="A1302" s="610">
        <v>282</v>
      </c>
      <c r="B1302" s="613">
        <f>VLOOKUP(A1302,مسلسل,2,0)</f>
        <v>0</v>
      </c>
      <c r="C1302" s="616" t="str">
        <f>IFERROR(VLOOKUP(B1302,اسماء,2,0),"")</f>
        <v/>
      </c>
      <c r="D1302" s="619" t="str">
        <f>IFERROR(VLOOKUP($B1302,اسماء,3,0),"")</f>
        <v/>
      </c>
      <c r="E1302" s="129" t="s">
        <v>30</v>
      </c>
      <c r="F1302" s="600">
        <f>IFERROR(VLOOKUP($B1302,اسماء,5,0),0)</f>
        <v>0</v>
      </c>
      <c r="G1302" s="601"/>
      <c r="H1302" s="602">
        <f>IFERROR(VLOOKUP($B1302,اسماء,6,0),0)</f>
        <v>0</v>
      </c>
      <c r="I1302" s="622"/>
      <c r="J1302" s="600">
        <f>IFERROR(VLOOKUP($B1302,اسماء,7,0),0)</f>
        <v>0</v>
      </c>
      <c r="K1302" s="601"/>
      <c r="L1302" s="602">
        <f>IFERROR(VLOOKUP($B1302,اسماء,8,0),0)</f>
        <v>0</v>
      </c>
      <c r="M1302" s="603"/>
      <c r="N1302" s="602">
        <f>IFERROR(VLOOKUP($B1302,اسماء,9,0),0)</f>
        <v>0</v>
      </c>
      <c r="O1302" s="603"/>
      <c r="P1302" s="600">
        <f>IFERROR(VLOOKUP($B1302,اسماء,10,0),0)</f>
        <v>0</v>
      </c>
      <c r="Q1302" s="622"/>
      <c r="R1302" s="371">
        <f t="shared" ref="R1302:R1336" si="3528">SUM(F1302:Q1302)</f>
        <v>0</v>
      </c>
      <c r="S1302" s="213" t="str">
        <f>IFERROR(VLOOKUP($B1302,اسماء,12,0),"")</f>
        <v/>
      </c>
      <c r="T1302" s="214" t="str">
        <f>IFERROR(VLOOKUP($B1302,اسماء,13,0),"")</f>
        <v/>
      </c>
      <c r="U1302" s="364" t="str">
        <f>IFERROR(VLOOKUP($B1302,اسماء,14,0),"")</f>
        <v/>
      </c>
      <c r="V1302" s="604" t="str">
        <f t="shared" ref="V1302" si="3529">IF(Z1302="غائب","راسب",IF(R1305&gt;0,"ناجح","مرحل"))</f>
        <v>مرحل</v>
      </c>
      <c r="W1302" s="19" t="str">
        <f t="shared" ref="W1302:W1303" si="3530">LOOKUP(R1302,$AC$6:$AD$10)</f>
        <v>ضعيف</v>
      </c>
      <c r="X1302" s="639">
        <f t="shared" ref="X1302" si="3531">R1305/$AC$3</f>
        <v>0</v>
      </c>
      <c r="Y1302" s="68"/>
      <c r="Z1302" s="597" t="str">
        <f>IFERROR(VLOOKUP($B1302,اسماء,48,0),"")</f>
        <v/>
      </c>
      <c r="AK1302" s="705" t="str">
        <f t="shared" ref="AK1302" si="3532">IF(R1305=0,"",R1305/1+ROW()*0.00001)</f>
        <v/>
      </c>
      <c r="AL1302" s="703">
        <f>B1302</f>
        <v>0</v>
      </c>
      <c r="AM1302" s="696"/>
      <c r="AN1302" s="698">
        <v>282</v>
      </c>
      <c r="AO1302" s="699" t="str">
        <f>IFERROR(LARGE($AK$10:$AK$1420,AN1302),"")</f>
        <v/>
      </c>
      <c r="AP1302" s="700" t="str">
        <f>VLOOKUP(AO1302,$AK$10:$AL$1530,2,0)</f>
        <v>امجد عمر عبداللطيف سلطان</v>
      </c>
    </row>
    <row r="1303" spans="1:42" ht="14.85" customHeight="1" x14ac:dyDescent="0.25">
      <c r="A1303" s="611"/>
      <c r="B1303" s="614"/>
      <c r="C1303" s="617"/>
      <c r="D1303" s="620"/>
      <c r="E1303" s="130" t="s">
        <v>31</v>
      </c>
      <c r="F1303" s="592">
        <f>IFERROR(VLOOKUP($B1302,اسماء,15,0),0)</f>
        <v>0</v>
      </c>
      <c r="G1303" s="593"/>
      <c r="H1303" s="594">
        <f>IFERROR(VLOOKUP($B1302,اسماء,16,0),0)</f>
        <v>0</v>
      </c>
      <c r="I1303" s="595"/>
      <c r="J1303" s="592">
        <f>IFERROR(VLOOKUP($B1302,اسماء,17,0),0)</f>
        <v>0</v>
      </c>
      <c r="K1303" s="593"/>
      <c r="L1303" s="594">
        <f>IFERROR(VLOOKUP($B1302,اسماء,18,0),0)</f>
        <v>0</v>
      </c>
      <c r="M1303" s="596"/>
      <c r="N1303" s="594">
        <f>IFERROR(VLOOKUP($B1302,اسماء,19,0),0)</f>
        <v>0</v>
      </c>
      <c r="O1303" s="596"/>
      <c r="P1303" s="592">
        <f>IFERROR(VLOOKUP($B1302,اسماء,20,0),0)</f>
        <v>0</v>
      </c>
      <c r="Q1303" s="595"/>
      <c r="R1303" s="372">
        <f t="shared" si="3528"/>
        <v>0</v>
      </c>
      <c r="S1303" s="305" t="str">
        <f>IFERROR(VLOOKUP($B1302,اسماء,23,0),"")</f>
        <v/>
      </c>
      <c r="T1303" s="306" t="str">
        <f>IFERROR(VLOOKUP($B1302,اسماء,24,0),"")</f>
        <v/>
      </c>
      <c r="U1303" s="122" t="str">
        <f>IFERROR(VLOOKUP($B1302,اسماء,25,0),"")</f>
        <v/>
      </c>
      <c r="V1303" s="605"/>
      <c r="W1303" s="19" t="str">
        <f t="shared" si="3530"/>
        <v>ضعيف</v>
      </c>
      <c r="X1303" s="640"/>
      <c r="Y1303" s="68"/>
      <c r="Z1303" s="598"/>
      <c r="AK1303" s="667"/>
      <c r="AL1303" s="694"/>
      <c r="AM1303" s="696"/>
      <c r="AN1303" s="698"/>
      <c r="AO1303" s="699"/>
      <c r="AP1303" s="701"/>
    </row>
    <row r="1304" spans="1:42" ht="14.85" customHeight="1" x14ac:dyDescent="0.25">
      <c r="A1304" s="611"/>
      <c r="B1304" s="614"/>
      <c r="C1304" s="617"/>
      <c r="D1304" s="620"/>
      <c r="E1304" s="130" t="s">
        <v>32</v>
      </c>
      <c r="F1304" s="592">
        <f>IFERROR(VLOOKUP($B1302,اسماء,25,0),0)</f>
        <v>0</v>
      </c>
      <c r="G1304" s="593"/>
      <c r="H1304" s="594">
        <f>IFERROR(VLOOKUP($B1302,اسماء,26,0),0)</f>
        <v>0</v>
      </c>
      <c r="I1304" s="595"/>
      <c r="J1304" s="592">
        <f>IFERROR(VLOOKUP($B1302,اسماء,27,0),0)</f>
        <v>0</v>
      </c>
      <c r="K1304" s="593"/>
      <c r="L1304" s="594">
        <f>IFERROR(VLOOKUP($B1302,اسماء,28,0),0)</f>
        <v>0</v>
      </c>
      <c r="M1304" s="596"/>
      <c r="N1304" s="594">
        <f>IFERROR(VLOOKUP($B1302,اسماء,29,0),0)</f>
        <v>0</v>
      </c>
      <c r="O1304" s="596"/>
      <c r="P1304" s="592">
        <f>IFERROR(VLOOKUP($B1302,اسماء,30,0),0)</f>
        <v>0</v>
      </c>
      <c r="Q1304" s="595"/>
      <c r="R1304" s="372">
        <f t="shared" si="3528"/>
        <v>0</v>
      </c>
      <c r="S1304" s="305" t="str">
        <f>IFERROR(VLOOKUP($B1302,اسماء,34,0),"")</f>
        <v/>
      </c>
      <c r="T1304" s="306" t="str">
        <f>IFERROR(VLOOKUP($B1302,اسماء,35,0),"")</f>
        <v/>
      </c>
      <c r="U1304" s="122" t="str">
        <f>IFERROR(VLOOKUP($B1302,اسماء,36,0),"")</f>
        <v/>
      </c>
      <c r="V1304" s="605"/>
      <c r="W1304" s="20" t="str">
        <f t="shared" ref="W1304" si="3533">LOOKUP(R1304,$AF$6:$AG$10)</f>
        <v>ضعيف</v>
      </c>
      <c r="X1304" s="640"/>
      <c r="Y1304" s="8"/>
      <c r="Z1304" s="598"/>
      <c r="AK1304" s="667"/>
      <c r="AL1304" s="694"/>
      <c r="AM1304" s="696"/>
      <c r="AN1304" s="698"/>
      <c r="AO1304" s="699"/>
      <c r="AP1304" s="701"/>
    </row>
    <row r="1305" spans="1:42" ht="14.85" customHeight="1" thickBot="1" x14ac:dyDescent="0.3">
      <c r="A1305" s="612"/>
      <c r="B1305" s="615"/>
      <c r="C1305" s="618"/>
      <c r="D1305" s="621"/>
      <c r="E1305" s="124" t="s">
        <v>33</v>
      </c>
      <c r="F1305" s="623">
        <f>SUM(F1302:G1304)</f>
        <v>0</v>
      </c>
      <c r="G1305" s="624"/>
      <c r="H1305" s="625">
        <f>SUM(H1302:I1304)</f>
        <v>0</v>
      </c>
      <c r="I1305" s="626"/>
      <c r="J1305" s="623">
        <f>SUM(J1302:K1304)</f>
        <v>0</v>
      </c>
      <c r="K1305" s="624"/>
      <c r="L1305" s="625">
        <f>SUM(L1302:M1304)</f>
        <v>0</v>
      </c>
      <c r="M1305" s="642"/>
      <c r="N1305" s="625">
        <f>SUM(N1302:O1304)</f>
        <v>0</v>
      </c>
      <c r="O1305" s="642"/>
      <c r="P1305" s="623">
        <f>SUM(P1302:Q1304)</f>
        <v>0</v>
      </c>
      <c r="Q1305" s="626"/>
      <c r="R1305" s="88">
        <f t="shared" ref="R1305" si="3534">IF(AND(F1305&gt;=$G$8,H1305&gt;=$I$8,J1305&gt;=$K$8,L1305&gt;=$M$8,N1305&gt;=$O$8,P1305&gt;=$Q$8),SUM(F1305:Q1305),0)</f>
        <v>0</v>
      </c>
      <c r="S1305" s="251"/>
      <c r="T1305" s="97"/>
      <c r="U1305" s="94"/>
      <c r="V1305" s="606"/>
      <c r="W1305" s="88" t="str">
        <f t="shared" ref="W1305" si="3535">LOOKUP(R1305,$AI$6:$AJ$10)</f>
        <v>ضعيف</v>
      </c>
      <c r="X1305" s="641"/>
      <c r="Y1305" s="68"/>
      <c r="Z1305" s="599"/>
      <c r="AK1305" s="667"/>
      <c r="AL1305" s="694"/>
      <c r="AM1305" s="696"/>
      <c r="AN1305" s="698"/>
      <c r="AO1305" s="699"/>
      <c r="AP1305" s="702"/>
    </row>
    <row r="1306" spans="1:42" ht="14.85" customHeight="1" thickBot="1" x14ac:dyDescent="0.3">
      <c r="A1306" s="610">
        <v>283</v>
      </c>
      <c r="B1306" s="613">
        <f>VLOOKUP(A1306,مسلسل,2,0)</f>
        <v>0</v>
      </c>
      <c r="C1306" s="616" t="str">
        <f>IFERROR(VLOOKUP(B1306,اسماء,2,0),"")</f>
        <v/>
      </c>
      <c r="D1306" s="619" t="str">
        <f>IFERROR(VLOOKUP($B1306,اسماء,3,0),"")</f>
        <v/>
      </c>
      <c r="E1306" s="129" t="s">
        <v>30</v>
      </c>
      <c r="F1306" s="600">
        <f>IFERROR(VLOOKUP($B1306,اسماء,5,0),0)</f>
        <v>0</v>
      </c>
      <c r="G1306" s="601"/>
      <c r="H1306" s="602">
        <f>IFERROR(VLOOKUP($B1306,اسماء,6,0),0)</f>
        <v>0</v>
      </c>
      <c r="I1306" s="622"/>
      <c r="J1306" s="600">
        <f>IFERROR(VLOOKUP($B1306,اسماء,7,0),0)</f>
        <v>0</v>
      </c>
      <c r="K1306" s="601"/>
      <c r="L1306" s="602">
        <f>IFERROR(VLOOKUP($B1306,اسماء,8,0),0)</f>
        <v>0</v>
      </c>
      <c r="M1306" s="603"/>
      <c r="N1306" s="602">
        <f>IFERROR(VLOOKUP($B1306,اسماء,9,0),0)</f>
        <v>0</v>
      </c>
      <c r="O1306" s="603"/>
      <c r="P1306" s="600">
        <f>IFERROR(VLOOKUP($B1306,اسماء,10,0),0)</f>
        <v>0</v>
      </c>
      <c r="Q1306" s="622"/>
      <c r="R1306" s="371">
        <f t="shared" ref="R1306" si="3536">SUM(F1306:Q1306)</f>
        <v>0</v>
      </c>
      <c r="S1306" s="213" t="str">
        <f>IFERROR(VLOOKUP($B1306,اسماء,12,0),"")</f>
        <v/>
      </c>
      <c r="T1306" s="214" t="str">
        <f>IFERROR(VLOOKUP($B1306,اسماء,13,0),"")</f>
        <v/>
      </c>
      <c r="U1306" s="364" t="str">
        <f>IFERROR(VLOOKUP($B1306,اسماء,14,0),"")</f>
        <v/>
      </c>
      <c r="V1306" s="604" t="str">
        <f t="shared" ref="V1306" si="3537">IF(Z1306="غائب","راسب",IF(R1309&gt;0,"ناجح","مرحل"))</f>
        <v>مرحل</v>
      </c>
      <c r="W1306" s="19" t="str">
        <f t="shared" ref="W1306:W1307" si="3538">LOOKUP(R1306,$AC$6:$AD$10)</f>
        <v>ضعيف</v>
      </c>
      <c r="X1306" s="639">
        <f t="shared" ref="X1306" si="3539">R1309/$AC$3</f>
        <v>0</v>
      </c>
      <c r="Y1306" s="68"/>
      <c r="Z1306" s="597" t="str">
        <f>IFERROR(VLOOKUP($B1306,اسماء,48,0),"")</f>
        <v/>
      </c>
      <c r="AK1306" s="667" t="str">
        <f t="shared" ref="AK1306" si="3540">IF(R1309=0,"",R1309/1+ROW()*0.00001)</f>
        <v/>
      </c>
      <c r="AL1306" s="694">
        <f>B1306</f>
        <v>0</v>
      </c>
      <c r="AM1306" s="696"/>
      <c r="AN1306" s="698">
        <v>283</v>
      </c>
      <c r="AO1306" s="699" t="str">
        <f>IFERROR(LARGE($AK$10:$AK$1420,AN1306),"")</f>
        <v/>
      </c>
      <c r="AP1306" s="700" t="str">
        <f>VLOOKUP(AO1306,$AK$10:$AL$1530,2,0)</f>
        <v>امجد عمر عبداللطيف سلطان</v>
      </c>
    </row>
    <row r="1307" spans="1:42" ht="14.85" customHeight="1" x14ac:dyDescent="0.25">
      <c r="A1307" s="611"/>
      <c r="B1307" s="614"/>
      <c r="C1307" s="617"/>
      <c r="D1307" s="620"/>
      <c r="E1307" s="130" t="s">
        <v>31</v>
      </c>
      <c r="F1307" s="592">
        <f>IFERROR(VLOOKUP($B1306,اسماء,15,0),0)</f>
        <v>0</v>
      </c>
      <c r="G1307" s="593"/>
      <c r="H1307" s="594">
        <f>IFERROR(VLOOKUP($B1306,اسماء,16,0),0)</f>
        <v>0</v>
      </c>
      <c r="I1307" s="595"/>
      <c r="J1307" s="592">
        <f>IFERROR(VLOOKUP($B1306,اسماء,17,0),0)</f>
        <v>0</v>
      </c>
      <c r="K1307" s="593"/>
      <c r="L1307" s="594">
        <f>IFERROR(VLOOKUP($B1306,اسماء,18,0),0)</f>
        <v>0</v>
      </c>
      <c r="M1307" s="596"/>
      <c r="N1307" s="594">
        <f>IFERROR(VLOOKUP($B1306,اسماء,19,0),0)</f>
        <v>0</v>
      </c>
      <c r="O1307" s="596"/>
      <c r="P1307" s="592">
        <f>IFERROR(VLOOKUP($B1306,اسماء,20,0),0)</f>
        <v>0</v>
      </c>
      <c r="Q1307" s="595"/>
      <c r="R1307" s="372">
        <f t="shared" si="3528"/>
        <v>0</v>
      </c>
      <c r="S1307" s="305" t="str">
        <f>IFERROR(VLOOKUP($B1306,اسماء,23,0),"")</f>
        <v/>
      </c>
      <c r="T1307" s="306" t="str">
        <f>IFERROR(VLOOKUP($B1306,اسماء,24,0),"")</f>
        <v/>
      </c>
      <c r="U1307" s="122" t="str">
        <f>IFERROR(VLOOKUP($B1306,اسماء,25,0),"")</f>
        <v/>
      </c>
      <c r="V1307" s="605"/>
      <c r="W1307" s="19" t="str">
        <f t="shared" si="3538"/>
        <v>ضعيف</v>
      </c>
      <c r="X1307" s="640"/>
      <c r="Y1307" s="8"/>
      <c r="Z1307" s="598"/>
      <c r="AK1307" s="667"/>
      <c r="AL1307" s="694"/>
      <c r="AM1307" s="696"/>
      <c r="AN1307" s="698"/>
      <c r="AO1307" s="699"/>
      <c r="AP1307" s="701"/>
    </row>
    <row r="1308" spans="1:42" ht="14.85" customHeight="1" x14ac:dyDescent="0.25">
      <c r="A1308" s="611"/>
      <c r="B1308" s="614"/>
      <c r="C1308" s="617"/>
      <c r="D1308" s="620"/>
      <c r="E1308" s="130" t="s">
        <v>32</v>
      </c>
      <c r="F1308" s="592">
        <f>IFERROR(VLOOKUP($B1306,اسماء,25,0),0)</f>
        <v>0</v>
      </c>
      <c r="G1308" s="593"/>
      <c r="H1308" s="594">
        <f>IFERROR(VLOOKUP($B1306,اسماء,26,0),0)</f>
        <v>0</v>
      </c>
      <c r="I1308" s="595"/>
      <c r="J1308" s="592">
        <f>IFERROR(VLOOKUP($B1306,اسماء,27,0),0)</f>
        <v>0</v>
      </c>
      <c r="K1308" s="593"/>
      <c r="L1308" s="594">
        <f>IFERROR(VLOOKUP($B1306,اسماء,28,0),0)</f>
        <v>0</v>
      </c>
      <c r="M1308" s="596"/>
      <c r="N1308" s="594">
        <f>IFERROR(VLOOKUP($B1306,اسماء,29,0),0)</f>
        <v>0</v>
      </c>
      <c r="O1308" s="596"/>
      <c r="P1308" s="592">
        <f>IFERROR(VLOOKUP($B1306,اسماء,30,0),0)</f>
        <v>0</v>
      </c>
      <c r="Q1308" s="595"/>
      <c r="R1308" s="372">
        <f t="shared" si="3528"/>
        <v>0</v>
      </c>
      <c r="S1308" s="305" t="str">
        <f>IFERROR(VLOOKUP($B1306,اسماء,34,0),"")</f>
        <v/>
      </c>
      <c r="T1308" s="306" t="str">
        <f>IFERROR(VLOOKUP($B1306,اسماء,35,0),"")</f>
        <v/>
      </c>
      <c r="U1308" s="122" t="str">
        <f>IFERROR(VLOOKUP($B1306,اسماء,36,0),"")</f>
        <v/>
      </c>
      <c r="V1308" s="605"/>
      <c r="W1308" s="20" t="str">
        <f t="shared" ref="W1308" si="3541">LOOKUP(R1308,$AF$6:$AG$10)</f>
        <v>ضعيف</v>
      </c>
      <c r="X1308" s="640"/>
      <c r="Y1308" s="68"/>
      <c r="Z1308" s="598"/>
      <c r="AK1308" s="667"/>
      <c r="AL1308" s="694"/>
      <c r="AM1308" s="696"/>
      <c r="AN1308" s="698"/>
      <c r="AO1308" s="699"/>
      <c r="AP1308" s="701"/>
    </row>
    <row r="1309" spans="1:42" ht="14.85" customHeight="1" thickBot="1" x14ac:dyDescent="0.3">
      <c r="A1309" s="612"/>
      <c r="B1309" s="615"/>
      <c r="C1309" s="618"/>
      <c r="D1309" s="621"/>
      <c r="E1309" s="124" t="s">
        <v>33</v>
      </c>
      <c r="F1309" s="623">
        <f t="shared" ref="F1309" si="3542">SUM(F1306:G1308)</f>
        <v>0</v>
      </c>
      <c r="G1309" s="624"/>
      <c r="H1309" s="625">
        <f t="shared" ref="H1309" si="3543">SUM(H1306:I1308)</f>
        <v>0</v>
      </c>
      <c r="I1309" s="626"/>
      <c r="J1309" s="623">
        <f t="shared" ref="J1309" si="3544">SUM(J1306:K1308)</f>
        <v>0</v>
      </c>
      <c r="K1309" s="624"/>
      <c r="L1309" s="625">
        <f t="shared" ref="L1309" si="3545">SUM(L1306:M1308)</f>
        <v>0</v>
      </c>
      <c r="M1309" s="642"/>
      <c r="N1309" s="625">
        <f t="shared" ref="N1309" si="3546">SUM(N1306:O1308)</f>
        <v>0</v>
      </c>
      <c r="O1309" s="642"/>
      <c r="P1309" s="623">
        <f t="shared" ref="P1309" si="3547">SUM(P1306:Q1308)</f>
        <v>0</v>
      </c>
      <c r="Q1309" s="626"/>
      <c r="R1309" s="88">
        <f t="shared" ref="R1309" si="3548">IF(AND(F1309&gt;=$G$8,H1309&gt;=$I$8,J1309&gt;=$K$8,L1309&gt;=$M$8,N1309&gt;=$O$8,P1309&gt;=$Q$8),SUM(F1309:Q1309),0)</f>
        <v>0</v>
      </c>
      <c r="S1309" s="251"/>
      <c r="T1309" s="97"/>
      <c r="U1309" s="94"/>
      <c r="V1309" s="606"/>
      <c r="W1309" s="88" t="str">
        <f t="shared" ref="W1309" si="3549">LOOKUP(R1309,$AI$6:$AJ$10)</f>
        <v>ضعيف</v>
      </c>
      <c r="X1309" s="641"/>
      <c r="Y1309" s="68"/>
      <c r="Z1309" s="599"/>
      <c r="AK1309" s="667"/>
      <c r="AL1309" s="694"/>
      <c r="AM1309" s="696"/>
      <c r="AN1309" s="698"/>
      <c r="AO1309" s="699"/>
      <c r="AP1309" s="702"/>
    </row>
    <row r="1310" spans="1:42" ht="14.85" customHeight="1" thickBot="1" x14ac:dyDescent="0.3">
      <c r="A1310" s="610">
        <v>284</v>
      </c>
      <c r="B1310" s="613">
        <f>VLOOKUP(A1310,مسلسل,2,0)</f>
        <v>0</v>
      </c>
      <c r="C1310" s="616" t="str">
        <f>IFERROR(VLOOKUP(B1310,اسماء,2,0),"")</f>
        <v/>
      </c>
      <c r="D1310" s="619" t="str">
        <f>IFERROR(VLOOKUP($B1310,اسماء,3,0),"")</f>
        <v/>
      </c>
      <c r="E1310" s="129" t="s">
        <v>30</v>
      </c>
      <c r="F1310" s="600">
        <f>IFERROR(VLOOKUP($B1310,اسماء,5,0),0)</f>
        <v>0</v>
      </c>
      <c r="G1310" s="601"/>
      <c r="H1310" s="602">
        <f>IFERROR(VLOOKUP($B1310,اسماء,6,0),0)</f>
        <v>0</v>
      </c>
      <c r="I1310" s="622"/>
      <c r="J1310" s="600">
        <f>IFERROR(VLOOKUP($B1310,اسماء,7,0),0)</f>
        <v>0</v>
      </c>
      <c r="K1310" s="601"/>
      <c r="L1310" s="602">
        <f>IFERROR(VLOOKUP($B1310,اسماء,8,0),0)</f>
        <v>0</v>
      </c>
      <c r="M1310" s="603"/>
      <c r="N1310" s="602">
        <f>IFERROR(VLOOKUP($B1310,اسماء,9,0),0)</f>
        <v>0</v>
      </c>
      <c r="O1310" s="603"/>
      <c r="P1310" s="600">
        <f>IFERROR(VLOOKUP($B1310,اسماء,10,0),0)</f>
        <v>0</v>
      </c>
      <c r="Q1310" s="622"/>
      <c r="R1310" s="371">
        <f t="shared" ref="R1310" si="3550">SUM(F1310:Q1310)</f>
        <v>0</v>
      </c>
      <c r="S1310" s="213" t="str">
        <f>IFERROR(VLOOKUP($B1310,اسماء,12,0),"")</f>
        <v/>
      </c>
      <c r="T1310" s="214" t="str">
        <f>IFERROR(VLOOKUP($B1310,اسماء,13,0),"")</f>
        <v/>
      </c>
      <c r="U1310" s="364" t="str">
        <f>IFERROR(VLOOKUP($B1310,اسماء,14,0),"")</f>
        <v/>
      </c>
      <c r="V1310" s="604" t="str">
        <f t="shared" ref="V1310" si="3551">IF(Z1310="غائب","راسب",IF(R1313&gt;0,"ناجح","مرحل"))</f>
        <v>مرحل</v>
      </c>
      <c r="W1310" s="19" t="str">
        <f t="shared" ref="W1310:W1311" si="3552">LOOKUP(R1310,$AC$6:$AD$10)</f>
        <v>ضعيف</v>
      </c>
      <c r="X1310" s="639">
        <f t="shared" ref="X1310" si="3553">R1313/$AC$3</f>
        <v>0</v>
      </c>
      <c r="Y1310" s="8"/>
      <c r="Z1310" s="597" t="str">
        <f>IFERROR(VLOOKUP($B1310,اسماء,48,0),"")</f>
        <v/>
      </c>
      <c r="AK1310" s="667" t="str">
        <f t="shared" ref="AK1310" si="3554">IF(R1313=0,"",R1313/1+ROW()*0.00001)</f>
        <v/>
      </c>
      <c r="AL1310" s="694">
        <f>B1310</f>
        <v>0</v>
      </c>
      <c r="AM1310" s="696"/>
      <c r="AN1310" s="698">
        <v>284</v>
      </c>
      <c r="AO1310" s="699" t="str">
        <f>IFERROR(LARGE($AK$10:$AK$1420,AN1310),"")</f>
        <v/>
      </c>
      <c r="AP1310" s="700" t="str">
        <f>VLOOKUP(AO1310,$AK$10:$AL$1530,2,0)</f>
        <v>امجد عمر عبداللطيف سلطان</v>
      </c>
    </row>
    <row r="1311" spans="1:42" ht="14.85" customHeight="1" x14ac:dyDescent="0.25">
      <c r="A1311" s="611"/>
      <c r="B1311" s="614"/>
      <c r="C1311" s="617"/>
      <c r="D1311" s="620"/>
      <c r="E1311" s="130" t="s">
        <v>31</v>
      </c>
      <c r="F1311" s="592">
        <f>IFERROR(VLOOKUP($B1310,اسماء,15,0),0)</f>
        <v>0</v>
      </c>
      <c r="G1311" s="593"/>
      <c r="H1311" s="594">
        <f>IFERROR(VLOOKUP($B1310,اسماء,16,0),0)</f>
        <v>0</v>
      </c>
      <c r="I1311" s="595"/>
      <c r="J1311" s="592">
        <f>IFERROR(VLOOKUP($B1310,اسماء,17,0),0)</f>
        <v>0</v>
      </c>
      <c r="K1311" s="593"/>
      <c r="L1311" s="594">
        <f>IFERROR(VLOOKUP($B1310,اسماء,18,0),0)</f>
        <v>0</v>
      </c>
      <c r="M1311" s="596"/>
      <c r="N1311" s="594">
        <f>IFERROR(VLOOKUP($B1310,اسماء,19,0),0)</f>
        <v>0</v>
      </c>
      <c r="O1311" s="596"/>
      <c r="P1311" s="592">
        <f>IFERROR(VLOOKUP($B1310,اسماء,20,0),0)</f>
        <v>0</v>
      </c>
      <c r="Q1311" s="595"/>
      <c r="R1311" s="372">
        <f t="shared" si="3528"/>
        <v>0</v>
      </c>
      <c r="S1311" s="305" t="str">
        <f>IFERROR(VLOOKUP($B1310,اسماء,23,0),"")</f>
        <v/>
      </c>
      <c r="T1311" s="306" t="str">
        <f>IFERROR(VLOOKUP($B1310,اسماء,24,0),"")</f>
        <v/>
      </c>
      <c r="U1311" s="122" t="str">
        <f>IFERROR(VLOOKUP($B1310,اسماء,25,0),"")</f>
        <v/>
      </c>
      <c r="V1311" s="605"/>
      <c r="W1311" s="19" t="str">
        <f t="shared" si="3552"/>
        <v>ضعيف</v>
      </c>
      <c r="X1311" s="640"/>
      <c r="Y1311" s="68"/>
      <c r="Z1311" s="598"/>
      <c r="AK1311" s="667"/>
      <c r="AL1311" s="694"/>
      <c r="AM1311" s="696"/>
      <c r="AN1311" s="698"/>
      <c r="AO1311" s="699"/>
      <c r="AP1311" s="701"/>
    </row>
    <row r="1312" spans="1:42" ht="14.85" customHeight="1" x14ac:dyDescent="0.25">
      <c r="A1312" s="611"/>
      <c r="B1312" s="614"/>
      <c r="C1312" s="617"/>
      <c r="D1312" s="620"/>
      <c r="E1312" s="130" t="s">
        <v>32</v>
      </c>
      <c r="F1312" s="592">
        <f>IFERROR(VLOOKUP($B1310,اسماء,25,0),0)</f>
        <v>0</v>
      </c>
      <c r="G1312" s="593"/>
      <c r="H1312" s="594">
        <f>IFERROR(VLOOKUP($B1310,اسماء,26,0),0)</f>
        <v>0</v>
      </c>
      <c r="I1312" s="595"/>
      <c r="J1312" s="592">
        <f>IFERROR(VLOOKUP($B1310,اسماء,27,0),0)</f>
        <v>0</v>
      </c>
      <c r="K1312" s="593"/>
      <c r="L1312" s="594">
        <f>IFERROR(VLOOKUP($B1310,اسماء,28,0),0)</f>
        <v>0</v>
      </c>
      <c r="M1312" s="596"/>
      <c r="N1312" s="594">
        <f>IFERROR(VLOOKUP($B1310,اسماء,29,0),0)</f>
        <v>0</v>
      </c>
      <c r="O1312" s="596"/>
      <c r="P1312" s="592">
        <f>IFERROR(VLOOKUP($B1310,اسماء,30,0),0)</f>
        <v>0</v>
      </c>
      <c r="Q1312" s="595"/>
      <c r="R1312" s="372">
        <f t="shared" si="3528"/>
        <v>0</v>
      </c>
      <c r="S1312" s="305" t="str">
        <f>IFERROR(VLOOKUP($B1310,اسماء,34,0),"")</f>
        <v/>
      </c>
      <c r="T1312" s="306" t="str">
        <f>IFERROR(VLOOKUP($B1310,اسماء,35,0),"")</f>
        <v/>
      </c>
      <c r="U1312" s="122" t="str">
        <f>IFERROR(VLOOKUP($B1310,اسماء,36,0),"")</f>
        <v/>
      </c>
      <c r="V1312" s="605"/>
      <c r="W1312" s="20" t="str">
        <f t="shared" ref="W1312" si="3555">LOOKUP(R1312,$AF$6:$AG$10)</f>
        <v>ضعيف</v>
      </c>
      <c r="X1312" s="640"/>
      <c r="Y1312" s="68"/>
      <c r="Z1312" s="598"/>
      <c r="AK1312" s="667"/>
      <c r="AL1312" s="694"/>
      <c r="AM1312" s="696"/>
      <c r="AN1312" s="698"/>
      <c r="AO1312" s="699"/>
      <c r="AP1312" s="701"/>
    </row>
    <row r="1313" spans="1:42" ht="14.85" customHeight="1" thickBot="1" x14ac:dyDescent="0.3">
      <c r="A1313" s="612"/>
      <c r="B1313" s="615"/>
      <c r="C1313" s="618"/>
      <c r="D1313" s="621"/>
      <c r="E1313" s="124" t="s">
        <v>33</v>
      </c>
      <c r="F1313" s="623">
        <f t="shared" ref="F1313" si="3556">SUM(F1310:G1312)</f>
        <v>0</v>
      </c>
      <c r="G1313" s="624"/>
      <c r="H1313" s="625">
        <f t="shared" ref="H1313" si="3557">SUM(H1310:I1312)</f>
        <v>0</v>
      </c>
      <c r="I1313" s="626"/>
      <c r="J1313" s="623">
        <f t="shared" ref="J1313" si="3558">SUM(J1310:K1312)</f>
        <v>0</v>
      </c>
      <c r="K1313" s="624"/>
      <c r="L1313" s="625">
        <f t="shared" ref="L1313" si="3559">SUM(L1310:M1312)</f>
        <v>0</v>
      </c>
      <c r="M1313" s="642"/>
      <c r="N1313" s="625">
        <f t="shared" ref="N1313" si="3560">SUM(N1310:O1312)</f>
        <v>0</v>
      </c>
      <c r="O1313" s="642"/>
      <c r="P1313" s="623">
        <f t="shared" ref="P1313" si="3561">SUM(P1310:Q1312)</f>
        <v>0</v>
      </c>
      <c r="Q1313" s="626"/>
      <c r="R1313" s="88">
        <f t="shared" ref="R1313" si="3562">IF(AND(F1313&gt;=$G$8,H1313&gt;=$I$8,J1313&gt;=$K$8,L1313&gt;=$M$8,N1313&gt;=$O$8,P1313&gt;=$Q$8),SUM(F1313:Q1313),0)</f>
        <v>0</v>
      </c>
      <c r="S1313" s="251"/>
      <c r="T1313" s="97"/>
      <c r="U1313" s="94"/>
      <c r="V1313" s="606"/>
      <c r="W1313" s="88" t="str">
        <f t="shared" ref="W1313" si="3563">LOOKUP(R1313,$AI$6:$AJ$10)</f>
        <v>ضعيف</v>
      </c>
      <c r="X1313" s="641"/>
      <c r="Y1313" s="8"/>
      <c r="Z1313" s="599"/>
      <c r="AK1313" s="667"/>
      <c r="AL1313" s="694"/>
      <c r="AM1313" s="696"/>
      <c r="AN1313" s="698"/>
      <c r="AO1313" s="699"/>
      <c r="AP1313" s="702"/>
    </row>
    <row r="1314" spans="1:42" ht="14.85" customHeight="1" thickBot="1" x14ac:dyDescent="0.3">
      <c r="A1314" s="610">
        <v>285</v>
      </c>
      <c r="B1314" s="613">
        <f>VLOOKUP(A1314,مسلسل,2,0)</f>
        <v>0</v>
      </c>
      <c r="C1314" s="616" t="str">
        <f>IFERROR(VLOOKUP(B1314,اسماء,2,0),"")</f>
        <v/>
      </c>
      <c r="D1314" s="619" t="str">
        <f>IFERROR(VLOOKUP($B1314,اسماء,3,0),"")</f>
        <v/>
      </c>
      <c r="E1314" s="129" t="s">
        <v>30</v>
      </c>
      <c r="F1314" s="600">
        <f>IFERROR(VLOOKUP($B1314,اسماء,5,0),0)</f>
        <v>0</v>
      </c>
      <c r="G1314" s="601"/>
      <c r="H1314" s="602">
        <f>IFERROR(VLOOKUP($B1314,اسماء,6,0),0)</f>
        <v>0</v>
      </c>
      <c r="I1314" s="622"/>
      <c r="J1314" s="600">
        <f>IFERROR(VLOOKUP($B1314,اسماء,7,0),0)</f>
        <v>0</v>
      </c>
      <c r="K1314" s="601"/>
      <c r="L1314" s="602">
        <f>IFERROR(VLOOKUP($B1314,اسماء,8,0),0)</f>
        <v>0</v>
      </c>
      <c r="M1314" s="603"/>
      <c r="N1314" s="602">
        <f>IFERROR(VLOOKUP($B1314,اسماء,9,0),0)</f>
        <v>0</v>
      </c>
      <c r="O1314" s="603"/>
      <c r="P1314" s="600">
        <f>IFERROR(VLOOKUP($B1314,اسماء,10,0),0)</f>
        <v>0</v>
      </c>
      <c r="Q1314" s="622"/>
      <c r="R1314" s="371">
        <f t="shared" ref="R1314" si="3564">SUM(F1314:Q1314)</f>
        <v>0</v>
      </c>
      <c r="S1314" s="213" t="str">
        <f>IFERROR(VLOOKUP($B1314,اسماء,12,0),"")</f>
        <v/>
      </c>
      <c r="T1314" s="214" t="str">
        <f>IFERROR(VLOOKUP($B1314,اسماء,13,0),"")</f>
        <v/>
      </c>
      <c r="U1314" s="364" t="str">
        <f>IFERROR(VLOOKUP($B1314,اسماء,14,0),"")</f>
        <v/>
      </c>
      <c r="V1314" s="604" t="str">
        <f t="shared" ref="V1314" si="3565">IF(Z1314="غائب","راسب",IF(R1317&gt;0,"ناجح","مرحل"))</f>
        <v>مرحل</v>
      </c>
      <c r="W1314" s="19" t="str">
        <f t="shared" ref="W1314:W1315" si="3566">LOOKUP(R1314,$AC$6:$AD$10)</f>
        <v>ضعيف</v>
      </c>
      <c r="X1314" s="639">
        <f t="shared" ref="X1314" si="3567">R1317/$AC$3</f>
        <v>0</v>
      </c>
      <c r="Y1314" s="68"/>
      <c r="Z1314" s="597" t="str">
        <f>IFERROR(VLOOKUP($B1314,اسماء,48,0),"")</f>
        <v/>
      </c>
      <c r="AK1314" s="667" t="str">
        <f t="shared" ref="AK1314" si="3568">IF(R1317=0,"",R1317/1+ROW()*0.00001)</f>
        <v/>
      </c>
      <c r="AL1314" s="694">
        <f>B1314</f>
        <v>0</v>
      </c>
      <c r="AM1314" s="696"/>
      <c r="AN1314" s="698">
        <v>285</v>
      </c>
      <c r="AO1314" s="699" t="str">
        <f>IFERROR(LARGE($AK$10:$AK$1420,AN1314),"")</f>
        <v/>
      </c>
      <c r="AP1314" s="700" t="str">
        <f>VLOOKUP(AO1314,$AK$10:$AL$1530,2,0)</f>
        <v>امجد عمر عبداللطيف سلطان</v>
      </c>
    </row>
    <row r="1315" spans="1:42" ht="14.85" customHeight="1" x14ac:dyDescent="0.25">
      <c r="A1315" s="611"/>
      <c r="B1315" s="614"/>
      <c r="C1315" s="617"/>
      <c r="D1315" s="620"/>
      <c r="E1315" s="130" t="s">
        <v>31</v>
      </c>
      <c r="F1315" s="592">
        <f>IFERROR(VLOOKUP($B1314,اسماء,15,0),0)</f>
        <v>0</v>
      </c>
      <c r="G1315" s="593"/>
      <c r="H1315" s="594">
        <f>IFERROR(VLOOKUP($B1314,اسماء,16,0),0)</f>
        <v>0</v>
      </c>
      <c r="I1315" s="595"/>
      <c r="J1315" s="592">
        <f>IFERROR(VLOOKUP($B1314,اسماء,17,0),0)</f>
        <v>0</v>
      </c>
      <c r="K1315" s="593"/>
      <c r="L1315" s="594">
        <f>IFERROR(VLOOKUP($B1314,اسماء,18,0),0)</f>
        <v>0</v>
      </c>
      <c r="M1315" s="596"/>
      <c r="N1315" s="594">
        <f>IFERROR(VLOOKUP($B1314,اسماء,19,0),0)</f>
        <v>0</v>
      </c>
      <c r="O1315" s="596"/>
      <c r="P1315" s="592">
        <f>IFERROR(VLOOKUP($B1314,اسماء,20,0),0)</f>
        <v>0</v>
      </c>
      <c r="Q1315" s="595"/>
      <c r="R1315" s="372">
        <f t="shared" si="3528"/>
        <v>0</v>
      </c>
      <c r="S1315" s="305" t="str">
        <f>IFERROR(VLOOKUP($B1314,اسماء,23,0),"")</f>
        <v/>
      </c>
      <c r="T1315" s="306" t="str">
        <f>IFERROR(VLOOKUP($B1314,اسماء,24,0),"")</f>
        <v/>
      </c>
      <c r="U1315" s="122" t="str">
        <f>IFERROR(VLOOKUP($B1314,اسماء,25,0),"")</f>
        <v/>
      </c>
      <c r="V1315" s="605"/>
      <c r="W1315" s="19" t="str">
        <f t="shared" si="3566"/>
        <v>ضعيف</v>
      </c>
      <c r="X1315" s="640"/>
      <c r="Y1315" s="68"/>
      <c r="Z1315" s="598"/>
      <c r="AK1315" s="667"/>
      <c r="AL1315" s="694"/>
      <c r="AM1315" s="696"/>
      <c r="AN1315" s="698"/>
      <c r="AO1315" s="699"/>
      <c r="AP1315" s="701"/>
    </row>
    <row r="1316" spans="1:42" ht="14.85" customHeight="1" x14ac:dyDescent="0.25">
      <c r="A1316" s="611"/>
      <c r="B1316" s="614"/>
      <c r="C1316" s="617"/>
      <c r="D1316" s="620"/>
      <c r="E1316" s="130" t="s">
        <v>32</v>
      </c>
      <c r="F1316" s="592">
        <f>IFERROR(VLOOKUP($B1314,اسماء,25,0),0)</f>
        <v>0</v>
      </c>
      <c r="G1316" s="593"/>
      <c r="H1316" s="594">
        <f>IFERROR(VLOOKUP($B1314,اسماء,26,0),0)</f>
        <v>0</v>
      </c>
      <c r="I1316" s="595"/>
      <c r="J1316" s="592">
        <f>IFERROR(VLOOKUP($B1314,اسماء,27,0),0)</f>
        <v>0</v>
      </c>
      <c r="K1316" s="593"/>
      <c r="L1316" s="594">
        <f>IFERROR(VLOOKUP($B1314,اسماء,28,0),0)</f>
        <v>0</v>
      </c>
      <c r="M1316" s="596"/>
      <c r="N1316" s="594">
        <f>IFERROR(VLOOKUP($B1314,اسماء,29,0),0)</f>
        <v>0</v>
      </c>
      <c r="O1316" s="596"/>
      <c r="P1316" s="592">
        <f>IFERROR(VLOOKUP($B1314,اسماء,30,0),0)</f>
        <v>0</v>
      </c>
      <c r="Q1316" s="595"/>
      <c r="R1316" s="372">
        <f t="shared" si="3528"/>
        <v>0</v>
      </c>
      <c r="S1316" s="305" t="str">
        <f>IFERROR(VLOOKUP($B1314,اسماء,34,0),"")</f>
        <v/>
      </c>
      <c r="T1316" s="306" t="str">
        <f>IFERROR(VLOOKUP($B1314,اسماء,35,0),"")</f>
        <v/>
      </c>
      <c r="U1316" s="122" t="str">
        <f>IFERROR(VLOOKUP($B1314,اسماء,36,0),"")</f>
        <v/>
      </c>
      <c r="V1316" s="605"/>
      <c r="W1316" s="20" t="str">
        <f t="shared" ref="W1316" si="3569">LOOKUP(R1316,$AF$6:$AG$10)</f>
        <v>ضعيف</v>
      </c>
      <c r="X1316" s="640"/>
      <c r="Y1316" s="8"/>
      <c r="Z1316" s="598"/>
      <c r="AK1316" s="667"/>
      <c r="AL1316" s="694"/>
      <c r="AM1316" s="696"/>
      <c r="AN1316" s="698"/>
      <c r="AO1316" s="699"/>
      <c r="AP1316" s="701"/>
    </row>
    <row r="1317" spans="1:42" ht="14.85" customHeight="1" thickBot="1" x14ac:dyDescent="0.3">
      <c r="A1317" s="612"/>
      <c r="B1317" s="615"/>
      <c r="C1317" s="618"/>
      <c r="D1317" s="621"/>
      <c r="E1317" s="124" t="s">
        <v>33</v>
      </c>
      <c r="F1317" s="623">
        <f t="shared" ref="F1317" si="3570">SUM(F1314:G1316)</f>
        <v>0</v>
      </c>
      <c r="G1317" s="624"/>
      <c r="H1317" s="625">
        <f t="shared" ref="H1317" si="3571">SUM(H1314:I1316)</f>
        <v>0</v>
      </c>
      <c r="I1317" s="626"/>
      <c r="J1317" s="623">
        <f t="shared" ref="J1317" si="3572">SUM(J1314:K1316)</f>
        <v>0</v>
      </c>
      <c r="K1317" s="624"/>
      <c r="L1317" s="625">
        <f t="shared" ref="L1317" si="3573">SUM(L1314:M1316)</f>
        <v>0</v>
      </c>
      <c r="M1317" s="642"/>
      <c r="N1317" s="625">
        <f t="shared" ref="N1317" si="3574">SUM(N1314:O1316)</f>
        <v>0</v>
      </c>
      <c r="O1317" s="642"/>
      <c r="P1317" s="623">
        <f t="shared" ref="P1317" si="3575">SUM(P1314:Q1316)</f>
        <v>0</v>
      </c>
      <c r="Q1317" s="626"/>
      <c r="R1317" s="88">
        <f t="shared" ref="R1317" si="3576">IF(AND(F1317&gt;=$G$8,H1317&gt;=$I$8,J1317&gt;=$K$8,L1317&gt;=$M$8,N1317&gt;=$O$8,P1317&gt;=$Q$8),SUM(F1317:Q1317),0)</f>
        <v>0</v>
      </c>
      <c r="S1317" s="251"/>
      <c r="T1317" s="97"/>
      <c r="U1317" s="94"/>
      <c r="V1317" s="606"/>
      <c r="W1317" s="88" t="str">
        <f t="shared" ref="W1317" si="3577">LOOKUP(R1317,$AI$6:$AJ$10)</f>
        <v>ضعيف</v>
      </c>
      <c r="X1317" s="641"/>
      <c r="Y1317" s="68"/>
      <c r="Z1317" s="599"/>
      <c r="AK1317" s="667"/>
      <c r="AL1317" s="694"/>
      <c r="AM1317" s="696"/>
      <c r="AN1317" s="698"/>
      <c r="AO1317" s="699"/>
      <c r="AP1317" s="702"/>
    </row>
    <row r="1318" spans="1:42" ht="14.85" customHeight="1" thickBot="1" x14ac:dyDescent="0.3">
      <c r="A1318" s="610">
        <v>286</v>
      </c>
      <c r="B1318" s="613">
        <f>VLOOKUP(A1318,مسلسل,2,0)</f>
        <v>0</v>
      </c>
      <c r="C1318" s="616" t="str">
        <f>IFERROR(VLOOKUP(B1318,اسماء,2,0),"")</f>
        <v/>
      </c>
      <c r="D1318" s="619" t="str">
        <f>IFERROR(VLOOKUP($B1318,اسماء,3,0),"")</f>
        <v/>
      </c>
      <c r="E1318" s="129" t="s">
        <v>30</v>
      </c>
      <c r="F1318" s="600">
        <f>IFERROR(VLOOKUP($B1318,اسماء,5,0),0)</f>
        <v>0</v>
      </c>
      <c r="G1318" s="601"/>
      <c r="H1318" s="602">
        <f>IFERROR(VLOOKUP($B1318,اسماء,6,0),0)</f>
        <v>0</v>
      </c>
      <c r="I1318" s="622"/>
      <c r="J1318" s="600">
        <f>IFERROR(VLOOKUP($B1318,اسماء,7,0),0)</f>
        <v>0</v>
      </c>
      <c r="K1318" s="601"/>
      <c r="L1318" s="602">
        <f>IFERROR(VLOOKUP($B1318,اسماء,8,0),0)</f>
        <v>0</v>
      </c>
      <c r="M1318" s="603"/>
      <c r="N1318" s="602">
        <f>IFERROR(VLOOKUP($B1318,اسماء,9,0),0)</f>
        <v>0</v>
      </c>
      <c r="O1318" s="603"/>
      <c r="P1318" s="600">
        <f>IFERROR(VLOOKUP($B1318,اسماء,10,0),0)</f>
        <v>0</v>
      </c>
      <c r="Q1318" s="622"/>
      <c r="R1318" s="371">
        <f t="shared" ref="R1318" si="3578">SUM(F1318:Q1318)</f>
        <v>0</v>
      </c>
      <c r="S1318" s="213" t="str">
        <f>IFERROR(VLOOKUP($B1318,اسماء,12,0),"")</f>
        <v/>
      </c>
      <c r="T1318" s="214" t="str">
        <f>IFERROR(VLOOKUP($B1318,اسماء,13,0),"")</f>
        <v/>
      </c>
      <c r="U1318" s="364" t="str">
        <f>IFERROR(VLOOKUP($B1318,اسماء,14,0),"")</f>
        <v/>
      </c>
      <c r="V1318" s="604" t="str">
        <f t="shared" ref="V1318" si="3579">IF(Z1318="غائب","راسب",IF(R1321&gt;0,"ناجح","مرحل"))</f>
        <v>مرحل</v>
      </c>
      <c r="W1318" s="19" t="str">
        <f t="shared" ref="W1318:W1319" si="3580">LOOKUP(R1318,$AC$6:$AD$10)</f>
        <v>ضعيف</v>
      </c>
      <c r="X1318" s="639">
        <f t="shared" ref="X1318" si="3581">R1321/$AC$3</f>
        <v>0</v>
      </c>
      <c r="Y1318" s="68"/>
      <c r="Z1318" s="597" t="str">
        <f>IFERROR(VLOOKUP($B1318,اسماء,48,0),"")</f>
        <v/>
      </c>
      <c r="AK1318" s="667" t="str">
        <f t="shared" ref="AK1318" si="3582">IF(R1321=0,"",R1321/1+ROW()*0.00001)</f>
        <v/>
      </c>
      <c r="AL1318" s="694">
        <f>B1318</f>
        <v>0</v>
      </c>
      <c r="AM1318" s="696"/>
      <c r="AN1318" s="698">
        <v>286</v>
      </c>
      <c r="AO1318" s="699" t="str">
        <f>IFERROR(LARGE($AK$10:$AK$1420,AN1318),"")</f>
        <v/>
      </c>
      <c r="AP1318" s="700" t="str">
        <f>VLOOKUP(AO1318,$AK$10:$AL$1530,2,0)</f>
        <v>امجد عمر عبداللطيف سلطان</v>
      </c>
    </row>
    <row r="1319" spans="1:42" ht="14.85" customHeight="1" x14ac:dyDescent="0.25">
      <c r="A1319" s="611"/>
      <c r="B1319" s="614"/>
      <c r="C1319" s="617"/>
      <c r="D1319" s="620"/>
      <c r="E1319" s="130" t="s">
        <v>31</v>
      </c>
      <c r="F1319" s="592">
        <f>IFERROR(VLOOKUP($B1318,اسماء,15,0),0)</f>
        <v>0</v>
      </c>
      <c r="G1319" s="593"/>
      <c r="H1319" s="594">
        <f>IFERROR(VLOOKUP($B1318,اسماء,16,0),0)</f>
        <v>0</v>
      </c>
      <c r="I1319" s="595"/>
      <c r="J1319" s="592">
        <f>IFERROR(VLOOKUP($B1318,اسماء,17,0),0)</f>
        <v>0</v>
      </c>
      <c r="K1319" s="593"/>
      <c r="L1319" s="594">
        <f>IFERROR(VLOOKUP($B1318,اسماء,18,0),0)</f>
        <v>0</v>
      </c>
      <c r="M1319" s="596"/>
      <c r="N1319" s="594">
        <f>IFERROR(VLOOKUP($B1318,اسماء,19,0),0)</f>
        <v>0</v>
      </c>
      <c r="O1319" s="596"/>
      <c r="P1319" s="592">
        <f>IFERROR(VLOOKUP($B1318,اسماء,20,0),0)</f>
        <v>0</v>
      </c>
      <c r="Q1319" s="595"/>
      <c r="R1319" s="372">
        <f t="shared" si="3528"/>
        <v>0</v>
      </c>
      <c r="S1319" s="305" t="str">
        <f>IFERROR(VLOOKUP($B1318,اسماء,23,0),"")</f>
        <v/>
      </c>
      <c r="T1319" s="306" t="str">
        <f>IFERROR(VLOOKUP($B1318,اسماء,24,0),"")</f>
        <v/>
      </c>
      <c r="U1319" s="122" t="str">
        <f>IFERROR(VLOOKUP($B1318,اسماء,25,0),"")</f>
        <v/>
      </c>
      <c r="V1319" s="605"/>
      <c r="W1319" s="19" t="str">
        <f t="shared" si="3580"/>
        <v>ضعيف</v>
      </c>
      <c r="X1319" s="640"/>
      <c r="Y1319" s="8"/>
      <c r="Z1319" s="598"/>
      <c r="AK1319" s="667"/>
      <c r="AL1319" s="694"/>
      <c r="AM1319" s="696"/>
      <c r="AN1319" s="698"/>
      <c r="AO1319" s="699"/>
      <c r="AP1319" s="701"/>
    </row>
    <row r="1320" spans="1:42" ht="14.85" customHeight="1" x14ac:dyDescent="0.25">
      <c r="A1320" s="611"/>
      <c r="B1320" s="614"/>
      <c r="C1320" s="617"/>
      <c r="D1320" s="620"/>
      <c r="E1320" s="130" t="s">
        <v>32</v>
      </c>
      <c r="F1320" s="592">
        <f>IFERROR(VLOOKUP($B1318,اسماء,25,0),0)</f>
        <v>0</v>
      </c>
      <c r="G1320" s="593"/>
      <c r="H1320" s="594">
        <f>IFERROR(VLOOKUP($B1318,اسماء,26,0),0)</f>
        <v>0</v>
      </c>
      <c r="I1320" s="595"/>
      <c r="J1320" s="592">
        <f>IFERROR(VLOOKUP($B1318,اسماء,27,0),0)</f>
        <v>0</v>
      </c>
      <c r="K1320" s="593"/>
      <c r="L1320" s="594">
        <f>IFERROR(VLOOKUP($B1318,اسماء,28,0),0)</f>
        <v>0</v>
      </c>
      <c r="M1320" s="596"/>
      <c r="N1320" s="594">
        <f>IFERROR(VLOOKUP($B1318,اسماء,29,0),0)</f>
        <v>0</v>
      </c>
      <c r="O1320" s="596"/>
      <c r="P1320" s="592">
        <f>IFERROR(VLOOKUP($B1318,اسماء,30,0),0)</f>
        <v>0</v>
      </c>
      <c r="Q1320" s="595"/>
      <c r="R1320" s="372">
        <f t="shared" si="3528"/>
        <v>0</v>
      </c>
      <c r="S1320" s="305" t="str">
        <f>IFERROR(VLOOKUP($B1318,اسماء,34,0),"")</f>
        <v/>
      </c>
      <c r="T1320" s="306" t="str">
        <f>IFERROR(VLOOKUP($B1318,اسماء,35,0),"")</f>
        <v/>
      </c>
      <c r="U1320" s="122" t="str">
        <f>IFERROR(VLOOKUP($B1318,اسماء,36,0),"")</f>
        <v/>
      </c>
      <c r="V1320" s="605"/>
      <c r="W1320" s="20" t="str">
        <f t="shared" ref="W1320" si="3583">LOOKUP(R1320,$AF$6:$AG$10)</f>
        <v>ضعيف</v>
      </c>
      <c r="X1320" s="640"/>
      <c r="Y1320" s="68"/>
      <c r="Z1320" s="598"/>
      <c r="AK1320" s="667"/>
      <c r="AL1320" s="694"/>
      <c r="AM1320" s="696"/>
      <c r="AN1320" s="698"/>
      <c r="AO1320" s="699"/>
      <c r="AP1320" s="701"/>
    </row>
    <row r="1321" spans="1:42" ht="14.85" customHeight="1" thickBot="1" x14ac:dyDescent="0.3">
      <c r="A1321" s="612"/>
      <c r="B1321" s="615"/>
      <c r="C1321" s="618"/>
      <c r="D1321" s="621"/>
      <c r="E1321" s="124" t="s">
        <v>33</v>
      </c>
      <c r="F1321" s="623">
        <f t="shared" ref="F1321" si="3584">SUM(F1318:G1320)</f>
        <v>0</v>
      </c>
      <c r="G1321" s="624"/>
      <c r="H1321" s="625">
        <f t="shared" ref="H1321" si="3585">SUM(H1318:I1320)</f>
        <v>0</v>
      </c>
      <c r="I1321" s="626"/>
      <c r="J1321" s="623">
        <f t="shared" ref="J1321" si="3586">SUM(J1318:K1320)</f>
        <v>0</v>
      </c>
      <c r="K1321" s="624"/>
      <c r="L1321" s="625">
        <f t="shared" ref="L1321" si="3587">SUM(L1318:M1320)</f>
        <v>0</v>
      </c>
      <c r="M1321" s="642"/>
      <c r="N1321" s="625">
        <f t="shared" ref="N1321" si="3588">SUM(N1318:O1320)</f>
        <v>0</v>
      </c>
      <c r="O1321" s="642"/>
      <c r="P1321" s="623">
        <f t="shared" ref="P1321" si="3589">SUM(P1318:Q1320)</f>
        <v>0</v>
      </c>
      <c r="Q1321" s="626"/>
      <c r="R1321" s="88">
        <f t="shared" ref="R1321" si="3590">IF(AND(F1321&gt;=$G$8,H1321&gt;=$I$8,J1321&gt;=$K$8,L1321&gt;=$M$8,N1321&gt;=$O$8,P1321&gt;=$Q$8),SUM(F1321:Q1321),0)</f>
        <v>0</v>
      </c>
      <c r="S1321" s="251"/>
      <c r="T1321" s="97"/>
      <c r="U1321" s="94"/>
      <c r="V1321" s="606"/>
      <c r="W1321" s="88" t="str">
        <f t="shared" ref="W1321" si="3591">LOOKUP(R1321,$AI$6:$AJ$10)</f>
        <v>ضعيف</v>
      </c>
      <c r="X1321" s="641"/>
      <c r="Y1321" s="68"/>
      <c r="Z1321" s="599"/>
      <c r="AK1321" s="667"/>
      <c r="AL1321" s="694"/>
      <c r="AM1321" s="696"/>
      <c r="AN1321" s="698"/>
      <c r="AO1321" s="699"/>
      <c r="AP1321" s="702"/>
    </row>
    <row r="1322" spans="1:42" ht="14.85" customHeight="1" thickBot="1" x14ac:dyDescent="0.3">
      <c r="A1322" s="610">
        <v>287</v>
      </c>
      <c r="B1322" s="613">
        <f>VLOOKUP(A1322,مسلسل,2,0)</f>
        <v>0</v>
      </c>
      <c r="C1322" s="616" t="str">
        <f>IFERROR(VLOOKUP(B1322,اسماء,2,0),"")</f>
        <v/>
      </c>
      <c r="D1322" s="619" t="str">
        <f>IFERROR(VLOOKUP($B1322,اسماء,3,0),"")</f>
        <v/>
      </c>
      <c r="E1322" s="129" t="s">
        <v>30</v>
      </c>
      <c r="F1322" s="600">
        <f>IFERROR(VLOOKUP($B1322,اسماء,5,0),0)</f>
        <v>0</v>
      </c>
      <c r="G1322" s="601"/>
      <c r="H1322" s="602">
        <f>IFERROR(VLOOKUP($B1322,اسماء,6,0),0)</f>
        <v>0</v>
      </c>
      <c r="I1322" s="622"/>
      <c r="J1322" s="600">
        <f>IFERROR(VLOOKUP($B1322,اسماء,7,0),0)</f>
        <v>0</v>
      </c>
      <c r="K1322" s="601"/>
      <c r="L1322" s="602">
        <f>IFERROR(VLOOKUP($B1322,اسماء,8,0),0)</f>
        <v>0</v>
      </c>
      <c r="M1322" s="603"/>
      <c r="N1322" s="602">
        <f>IFERROR(VLOOKUP($B1322,اسماء,9,0),0)</f>
        <v>0</v>
      </c>
      <c r="O1322" s="603"/>
      <c r="P1322" s="600">
        <f>IFERROR(VLOOKUP($B1322,اسماء,10,0),0)</f>
        <v>0</v>
      </c>
      <c r="Q1322" s="622"/>
      <c r="R1322" s="371">
        <f t="shared" ref="R1322" si="3592">SUM(F1322:Q1322)</f>
        <v>0</v>
      </c>
      <c r="S1322" s="213" t="str">
        <f>IFERROR(VLOOKUP($B1322,اسماء,12,0),"")</f>
        <v/>
      </c>
      <c r="T1322" s="214" t="str">
        <f>IFERROR(VLOOKUP($B1322,اسماء,13,0),"")</f>
        <v/>
      </c>
      <c r="U1322" s="364" t="str">
        <f>IFERROR(VLOOKUP($B1322,اسماء,14,0),"")</f>
        <v/>
      </c>
      <c r="V1322" s="604" t="str">
        <f t="shared" ref="V1322" si="3593">IF(Z1322="غائب","راسب",IF(R1325&gt;0,"ناجح","مرحل"))</f>
        <v>مرحل</v>
      </c>
      <c r="W1322" s="19" t="str">
        <f t="shared" ref="W1322:W1323" si="3594">LOOKUP(R1322,$AC$6:$AD$10)</f>
        <v>ضعيف</v>
      </c>
      <c r="X1322" s="639">
        <f t="shared" ref="X1322" si="3595">R1325/$AC$3</f>
        <v>0</v>
      </c>
      <c r="Y1322" s="8"/>
      <c r="Z1322" s="597" t="str">
        <f>IFERROR(VLOOKUP($B1322,اسماء,48,0),"")</f>
        <v/>
      </c>
      <c r="AK1322" s="667" t="str">
        <f t="shared" ref="AK1322" si="3596">IF(R1325=0,"",R1325/1+ROW()*0.00001)</f>
        <v/>
      </c>
      <c r="AL1322" s="694">
        <f>B1322</f>
        <v>0</v>
      </c>
      <c r="AM1322" s="696"/>
      <c r="AN1322" s="698">
        <v>287</v>
      </c>
      <c r="AO1322" s="699" t="str">
        <f>IFERROR(LARGE($AK$10:$AK$1420,AN1322),"")</f>
        <v/>
      </c>
      <c r="AP1322" s="700" t="str">
        <f>VLOOKUP(AO1322,$AK$10:$AL$1530,2,0)</f>
        <v>امجد عمر عبداللطيف سلطان</v>
      </c>
    </row>
    <row r="1323" spans="1:42" ht="14.85" customHeight="1" x14ac:dyDescent="0.25">
      <c r="A1323" s="611"/>
      <c r="B1323" s="614"/>
      <c r="C1323" s="617"/>
      <c r="D1323" s="620"/>
      <c r="E1323" s="130" t="s">
        <v>31</v>
      </c>
      <c r="F1323" s="592">
        <f>IFERROR(VLOOKUP($B1322,اسماء,15,0),0)</f>
        <v>0</v>
      </c>
      <c r="G1323" s="593"/>
      <c r="H1323" s="594">
        <f>IFERROR(VLOOKUP($B1322,اسماء,16,0),0)</f>
        <v>0</v>
      </c>
      <c r="I1323" s="595"/>
      <c r="J1323" s="592">
        <f>IFERROR(VLOOKUP($B1322,اسماء,17,0),0)</f>
        <v>0</v>
      </c>
      <c r="K1323" s="593"/>
      <c r="L1323" s="594">
        <f>IFERROR(VLOOKUP($B1322,اسماء,18,0),0)</f>
        <v>0</v>
      </c>
      <c r="M1323" s="596"/>
      <c r="N1323" s="594">
        <f>IFERROR(VLOOKUP($B1322,اسماء,19,0),0)</f>
        <v>0</v>
      </c>
      <c r="O1323" s="596"/>
      <c r="P1323" s="592">
        <f>IFERROR(VLOOKUP($B1322,اسماء,20,0),0)</f>
        <v>0</v>
      </c>
      <c r="Q1323" s="595"/>
      <c r="R1323" s="372">
        <f t="shared" si="3528"/>
        <v>0</v>
      </c>
      <c r="S1323" s="305" t="str">
        <f>IFERROR(VLOOKUP($B1322,اسماء,23,0),"")</f>
        <v/>
      </c>
      <c r="T1323" s="306" t="str">
        <f>IFERROR(VLOOKUP($B1322,اسماء,24,0),"")</f>
        <v/>
      </c>
      <c r="U1323" s="122" t="str">
        <f>IFERROR(VLOOKUP($B1322,اسماء,25,0),"")</f>
        <v/>
      </c>
      <c r="V1323" s="605"/>
      <c r="W1323" s="19" t="str">
        <f t="shared" si="3594"/>
        <v>ضعيف</v>
      </c>
      <c r="X1323" s="640"/>
      <c r="Y1323" s="68"/>
      <c r="Z1323" s="598"/>
      <c r="AK1323" s="667"/>
      <c r="AL1323" s="694"/>
      <c r="AM1323" s="696"/>
      <c r="AN1323" s="698"/>
      <c r="AO1323" s="699"/>
      <c r="AP1323" s="701"/>
    </row>
    <row r="1324" spans="1:42" ht="14.85" customHeight="1" x14ac:dyDescent="0.25">
      <c r="A1324" s="611"/>
      <c r="B1324" s="614"/>
      <c r="C1324" s="617"/>
      <c r="D1324" s="620"/>
      <c r="E1324" s="130" t="s">
        <v>32</v>
      </c>
      <c r="F1324" s="592">
        <f>IFERROR(VLOOKUP($B1322,اسماء,25,0),0)</f>
        <v>0</v>
      </c>
      <c r="G1324" s="593"/>
      <c r="H1324" s="594">
        <f>IFERROR(VLOOKUP($B1322,اسماء,26,0),0)</f>
        <v>0</v>
      </c>
      <c r="I1324" s="595"/>
      <c r="J1324" s="592">
        <f>IFERROR(VLOOKUP($B1322,اسماء,27,0),0)</f>
        <v>0</v>
      </c>
      <c r="K1324" s="593"/>
      <c r="L1324" s="594">
        <f>IFERROR(VLOOKUP($B1322,اسماء,28,0),0)</f>
        <v>0</v>
      </c>
      <c r="M1324" s="596"/>
      <c r="N1324" s="594">
        <f>IFERROR(VLOOKUP($B1322,اسماء,29,0),0)</f>
        <v>0</v>
      </c>
      <c r="O1324" s="596"/>
      <c r="P1324" s="592">
        <f>IFERROR(VLOOKUP($B1322,اسماء,30,0),0)</f>
        <v>0</v>
      </c>
      <c r="Q1324" s="595"/>
      <c r="R1324" s="372">
        <f t="shared" si="3528"/>
        <v>0</v>
      </c>
      <c r="S1324" s="305" t="str">
        <f>IFERROR(VLOOKUP($B1322,اسماء,34,0),"")</f>
        <v/>
      </c>
      <c r="T1324" s="306" t="str">
        <f>IFERROR(VLOOKUP($B1322,اسماء,35,0),"")</f>
        <v/>
      </c>
      <c r="U1324" s="122" t="str">
        <f>IFERROR(VLOOKUP($B1322,اسماء,36,0),"")</f>
        <v/>
      </c>
      <c r="V1324" s="605"/>
      <c r="W1324" s="20" t="str">
        <f t="shared" ref="W1324" si="3597">LOOKUP(R1324,$AF$6:$AG$10)</f>
        <v>ضعيف</v>
      </c>
      <c r="X1324" s="640"/>
      <c r="Y1324" s="68"/>
      <c r="Z1324" s="598"/>
      <c r="AK1324" s="667"/>
      <c r="AL1324" s="694"/>
      <c r="AM1324" s="696"/>
      <c r="AN1324" s="698"/>
      <c r="AO1324" s="699"/>
      <c r="AP1324" s="701"/>
    </row>
    <row r="1325" spans="1:42" ht="14.85" customHeight="1" thickBot="1" x14ac:dyDescent="0.3">
      <c r="A1325" s="612"/>
      <c r="B1325" s="615"/>
      <c r="C1325" s="618"/>
      <c r="D1325" s="621"/>
      <c r="E1325" s="124" t="s">
        <v>33</v>
      </c>
      <c r="F1325" s="623">
        <f t="shared" ref="F1325" si="3598">SUM(F1322:G1324)</f>
        <v>0</v>
      </c>
      <c r="G1325" s="624"/>
      <c r="H1325" s="625">
        <f t="shared" ref="H1325" si="3599">SUM(H1322:I1324)</f>
        <v>0</v>
      </c>
      <c r="I1325" s="626"/>
      <c r="J1325" s="623">
        <f t="shared" ref="J1325" si="3600">SUM(J1322:K1324)</f>
        <v>0</v>
      </c>
      <c r="K1325" s="624"/>
      <c r="L1325" s="625">
        <f t="shared" ref="L1325" si="3601">SUM(L1322:M1324)</f>
        <v>0</v>
      </c>
      <c r="M1325" s="642"/>
      <c r="N1325" s="625">
        <f t="shared" ref="N1325" si="3602">SUM(N1322:O1324)</f>
        <v>0</v>
      </c>
      <c r="O1325" s="642"/>
      <c r="P1325" s="623">
        <f t="shared" ref="P1325" si="3603">SUM(P1322:Q1324)</f>
        <v>0</v>
      </c>
      <c r="Q1325" s="626"/>
      <c r="R1325" s="88">
        <f t="shared" ref="R1325" si="3604">IF(AND(F1325&gt;=$G$8,H1325&gt;=$I$8,J1325&gt;=$K$8,L1325&gt;=$M$8,N1325&gt;=$O$8,P1325&gt;=$Q$8),SUM(F1325:Q1325),0)</f>
        <v>0</v>
      </c>
      <c r="S1325" s="251"/>
      <c r="T1325" s="97"/>
      <c r="U1325" s="94"/>
      <c r="V1325" s="606"/>
      <c r="W1325" s="88" t="str">
        <f t="shared" ref="W1325" si="3605">LOOKUP(R1325,$AI$6:$AJ$10)</f>
        <v>ضعيف</v>
      </c>
      <c r="X1325" s="641"/>
      <c r="Y1325" s="8"/>
      <c r="Z1325" s="599"/>
      <c r="AK1325" s="667"/>
      <c r="AL1325" s="694"/>
      <c r="AM1325" s="696"/>
      <c r="AN1325" s="698"/>
      <c r="AO1325" s="699"/>
      <c r="AP1325" s="702"/>
    </row>
    <row r="1326" spans="1:42" ht="14.85" customHeight="1" thickBot="1" x14ac:dyDescent="0.3">
      <c r="A1326" s="610">
        <v>288</v>
      </c>
      <c r="B1326" s="613">
        <f>VLOOKUP(A1326,مسلسل,2,0)</f>
        <v>0</v>
      </c>
      <c r="C1326" s="616" t="str">
        <f>IFERROR(VLOOKUP(B1326,اسماء,2,0),"")</f>
        <v/>
      </c>
      <c r="D1326" s="619" t="str">
        <f>IFERROR(VLOOKUP($B1326,اسماء,3,0),"")</f>
        <v/>
      </c>
      <c r="E1326" s="129" t="s">
        <v>30</v>
      </c>
      <c r="F1326" s="600">
        <f>IFERROR(VLOOKUP($B1326,اسماء,5,0),0)</f>
        <v>0</v>
      </c>
      <c r="G1326" s="601"/>
      <c r="H1326" s="602">
        <f>IFERROR(VLOOKUP($B1326,اسماء,6,0),0)</f>
        <v>0</v>
      </c>
      <c r="I1326" s="622"/>
      <c r="J1326" s="600">
        <f>IFERROR(VLOOKUP($B1326,اسماء,7,0),0)</f>
        <v>0</v>
      </c>
      <c r="K1326" s="601"/>
      <c r="L1326" s="602">
        <f>IFERROR(VLOOKUP($B1326,اسماء,8,0),0)</f>
        <v>0</v>
      </c>
      <c r="M1326" s="603"/>
      <c r="N1326" s="602">
        <f>IFERROR(VLOOKUP($B1326,اسماء,9,0),0)</f>
        <v>0</v>
      </c>
      <c r="O1326" s="603"/>
      <c r="P1326" s="600">
        <f>IFERROR(VLOOKUP($B1326,اسماء,10,0),0)</f>
        <v>0</v>
      </c>
      <c r="Q1326" s="622"/>
      <c r="R1326" s="371">
        <f t="shared" ref="R1326" si="3606">SUM(F1326:Q1326)</f>
        <v>0</v>
      </c>
      <c r="S1326" s="213" t="str">
        <f>IFERROR(VLOOKUP($B1326,اسماء,12,0),"")</f>
        <v/>
      </c>
      <c r="T1326" s="214" t="str">
        <f>IFERROR(VLOOKUP($B1326,اسماء,13,0),"")</f>
        <v/>
      </c>
      <c r="U1326" s="364" t="str">
        <f>IFERROR(VLOOKUP($B1326,اسماء,14,0),"")</f>
        <v/>
      </c>
      <c r="V1326" s="604" t="str">
        <f t="shared" ref="V1326" si="3607">IF(Z1326="غائب","راسب",IF(R1329&gt;0,"ناجح","مرحل"))</f>
        <v>مرحل</v>
      </c>
      <c r="W1326" s="19" t="str">
        <f t="shared" ref="W1326:W1327" si="3608">LOOKUP(R1326,$AC$6:$AD$10)</f>
        <v>ضعيف</v>
      </c>
      <c r="X1326" s="639">
        <f t="shared" ref="X1326" si="3609">R1329/$AC$3</f>
        <v>0</v>
      </c>
      <c r="Y1326" s="68"/>
      <c r="Z1326" s="597" t="str">
        <f>IFERROR(VLOOKUP($B1326,اسماء,48,0),"")</f>
        <v/>
      </c>
      <c r="AK1326" s="667" t="str">
        <f t="shared" ref="AK1326" si="3610">IF(R1329=0,"",R1329/1+ROW()*0.00001)</f>
        <v/>
      </c>
      <c r="AL1326" s="694">
        <f>B1326</f>
        <v>0</v>
      </c>
      <c r="AM1326" s="696"/>
      <c r="AN1326" s="698">
        <v>288</v>
      </c>
      <c r="AO1326" s="699" t="str">
        <f>IFERROR(LARGE($AK$10:$AK$1420,AN1326),"")</f>
        <v/>
      </c>
      <c r="AP1326" s="700" t="str">
        <f>VLOOKUP(AO1326,$AK$10:$AL$1530,2,0)</f>
        <v>امجد عمر عبداللطيف سلطان</v>
      </c>
    </row>
    <row r="1327" spans="1:42" ht="14.85" customHeight="1" x14ac:dyDescent="0.25">
      <c r="A1327" s="611"/>
      <c r="B1327" s="614"/>
      <c r="C1327" s="617"/>
      <c r="D1327" s="620"/>
      <c r="E1327" s="130" t="s">
        <v>31</v>
      </c>
      <c r="F1327" s="592">
        <f>IFERROR(VLOOKUP($B1326,اسماء,15,0),0)</f>
        <v>0</v>
      </c>
      <c r="G1327" s="593"/>
      <c r="H1327" s="594">
        <f>IFERROR(VLOOKUP($B1326,اسماء,16,0),0)</f>
        <v>0</v>
      </c>
      <c r="I1327" s="595"/>
      <c r="J1327" s="592">
        <f>IFERROR(VLOOKUP($B1326,اسماء,17,0),0)</f>
        <v>0</v>
      </c>
      <c r="K1327" s="593"/>
      <c r="L1327" s="594">
        <f>IFERROR(VLOOKUP($B1326,اسماء,18,0),0)</f>
        <v>0</v>
      </c>
      <c r="M1327" s="596"/>
      <c r="N1327" s="594">
        <f>IFERROR(VLOOKUP($B1326,اسماء,19,0),0)</f>
        <v>0</v>
      </c>
      <c r="O1327" s="596"/>
      <c r="P1327" s="592">
        <f>IFERROR(VLOOKUP($B1326,اسماء,20,0),0)</f>
        <v>0</v>
      </c>
      <c r="Q1327" s="595"/>
      <c r="R1327" s="372">
        <f t="shared" si="3528"/>
        <v>0</v>
      </c>
      <c r="S1327" s="305" t="str">
        <f>IFERROR(VLOOKUP($B1326,اسماء,23,0),"")</f>
        <v/>
      </c>
      <c r="T1327" s="306" t="str">
        <f>IFERROR(VLOOKUP($B1326,اسماء,24,0),"")</f>
        <v/>
      </c>
      <c r="U1327" s="122" t="str">
        <f>IFERROR(VLOOKUP($B1326,اسماء,25,0),"")</f>
        <v/>
      </c>
      <c r="V1327" s="605"/>
      <c r="W1327" s="19" t="str">
        <f t="shared" si="3608"/>
        <v>ضعيف</v>
      </c>
      <c r="X1327" s="640"/>
      <c r="Y1327" s="68"/>
      <c r="Z1327" s="598"/>
      <c r="AK1327" s="667"/>
      <c r="AL1327" s="694"/>
      <c r="AM1327" s="696"/>
      <c r="AN1327" s="698"/>
      <c r="AO1327" s="699"/>
      <c r="AP1327" s="701"/>
    </row>
    <row r="1328" spans="1:42" ht="14.85" customHeight="1" x14ac:dyDescent="0.25">
      <c r="A1328" s="611"/>
      <c r="B1328" s="614"/>
      <c r="C1328" s="617"/>
      <c r="D1328" s="620"/>
      <c r="E1328" s="130" t="s">
        <v>32</v>
      </c>
      <c r="F1328" s="592">
        <f>IFERROR(VLOOKUP($B1326,اسماء,25,0),0)</f>
        <v>0</v>
      </c>
      <c r="G1328" s="593"/>
      <c r="H1328" s="594">
        <f>IFERROR(VLOOKUP($B1326,اسماء,26,0),0)</f>
        <v>0</v>
      </c>
      <c r="I1328" s="595"/>
      <c r="J1328" s="592">
        <f>IFERROR(VLOOKUP($B1326,اسماء,27,0),0)</f>
        <v>0</v>
      </c>
      <c r="K1328" s="593"/>
      <c r="L1328" s="594">
        <f>IFERROR(VLOOKUP($B1326,اسماء,28,0),0)</f>
        <v>0</v>
      </c>
      <c r="M1328" s="596"/>
      <c r="N1328" s="594">
        <f>IFERROR(VLOOKUP($B1326,اسماء,29,0),0)</f>
        <v>0</v>
      </c>
      <c r="O1328" s="596"/>
      <c r="P1328" s="592">
        <f>IFERROR(VLOOKUP($B1326,اسماء,30,0),0)</f>
        <v>0</v>
      </c>
      <c r="Q1328" s="595"/>
      <c r="R1328" s="372">
        <f t="shared" si="3528"/>
        <v>0</v>
      </c>
      <c r="S1328" s="305" t="str">
        <f>IFERROR(VLOOKUP($B1326,اسماء,34,0),"")</f>
        <v/>
      </c>
      <c r="T1328" s="306" t="str">
        <f>IFERROR(VLOOKUP($B1326,اسماء,35,0),"")</f>
        <v/>
      </c>
      <c r="U1328" s="122" t="str">
        <f>IFERROR(VLOOKUP($B1326,اسماء,36,0),"")</f>
        <v/>
      </c>
      <c r="V1328" s="605"/>
      <c r="W1328" s="20" t="str">
        <f t="shared" ref="W1328" si="3611">LOOKUP(R1328,$AF$6:$AG$10)</f>
        <v>ضعيف</v>
      </c>
      <c r="X1328" s="640"/>
      <c r="Y1328" s="8"/>
      <c r="Z1328" s="598"/>
      <c r="AK1328" s="667"/>
      <c r="AL1328" s="694"/>
      <c r="AM1328" s="696"/>
      <c r="AN1328" s="698"/>
      <c r="AO1328" s="699"/>
      <c r="AP1328" s="701"/>
    </row>
    <row r="1329" spans="1:42" ht="14.85" customHeight="1" thickBot="1" x14ac:dyDescent="0.3">
      <c r="A1329" s="612"/>
      <c r="B1329" s="615"/>
      <c r="C1329" s="618"/>
      <c r="D1329" s="621"/>
      <c r="E1329" s="124" t="s">
        <v>33</v>
      </c>
      <c r="F1329" s="623">
        <f t="shared" ref="F1329" si="3612">SUM(F1326:G1328)</f>
        <v>0</v>
      </c>
      <c r="G1329" s="624"/>
      <c r="H1329" s="625">
        <f t="shared" ref="H1329" si="3613">SUM(H1326:I1328)</f>
        <v>0</v>
      </c>
      <c r="I1329" s="626"/>
      <c r="J1329" s="623">
        <f t="shared" ref="J1329" si="3614">SUM(J1326:K1328)</f>
        <v>0</v>
      </c>
      <c r="K1329" s="624"/>
      <c r="L1329" s="625">
        <f t="shared" ref="L1329" si="3615">SUM(L1326:M1328)</f>
        <v>0</v>
      </c>
      <c r="M1329" s="642"/>
      <c r="N1329" s="625">
        <f t="shared" ref="N1329" si="3616">SUM(N1326:O1328)</f>
        <v>0</v>
      </c>
      <c r="O1329" s="642"/>
      <c r="P1329" s="623">
        <f t="shared" ref="P1329" si="3617">SUM(P1326:Q1328)</f>
        <v>0</v>
      </c>
      <c r="Q1329" s="626"/>
      <c r="R1329" s="88">
        <f t="shared" ref="R1329" si="3618">IF(AND(F1329&gt;=$G$8,H1329&gt;=$I$8,J1329&gt;=$K$8,L1329&gt;=$M$8,N1329&gt;=$O$8,P1329&gt;=$Q$8),SUM(F1329:Q1329),0)</f>
        <v>0</v>
      </c>
      <c r="S1329" s="251"/>
      <c r="T1329" s="97"/>
      <c r="U1329" s="94"/>
      <c r="V1329" s="606"/>
      <c r="W1329" s="88" t="str">
        <f t="shared" ref="W1329" si="3619">LOOKUP(R1329,$AI$6:$AJ$10)</f>
        <v>ضعيف</v>
      </c>
      <c r="X1329" s="641"/>
      <c r="Y1329" s="68"/>
      <c r="Z1329" s="599"/>
      <c r="AK1329" s="667"/>
      <c r="AL1329" s="694"/>
      <c r="AM1329" s="696"/>
      <c r="AN1329" s="698"/>
      <c r="AO1329" s="699"/>
      <c r="AP1329" s="702"/>
    </row>
    <row r="1330" spans="1:42" ht="14.85" customHeight="1" thickBot="1" x14ac:dyDescent="0.3">
      <c r="A1330" s="610">
        <v>289</v>
      </c>
      <c r="B1330" s="613">
        <f>VLOOKUP(A1330,مسلسل,2,0)</f>
        <v>0</v>
      </c>
      <c r="C1330" s="616" t="str">
        <f>IFERROR(VLOOKUP(B1330,اسماء,2,0),"")</f>
        <v/>
      </c>
      <c r="D1330" s="619" t="str">
        <f>IFERROR(VLOOKUP($B1330,اسماء,3,0),"")</f>
        <v/>
      </c>
      <c r="E1330" s="129" t="s">
        <v>30</v>
      </c>
      <c r="F1330" s="600">
        <f>IFERROR(VLOOKUP($B1330,اسماء,5,0),0)</f>
        <v>0</v>
      </c>
      <c r="G1330" s="601"/>
      <c r="H1330" s="602">
        <f>IFERROR(VLOOKUP($B1330,اسماء,6,0),0)</f>
        <v>0</v>
      </c>
      <c r="I1330" s="622"/>
      <c r="J1330" s="600">
        <f>IFERROR(VLOOKUP($B1330,اسماء,7,0),0)</f>
        <v>0</v>
      </c>
      <c r="K1330" s="601"/>
      <c r="L1330" s="602">
        <f>IFERROR(VLOOKUP($B1330,اسماء,8,0),0)</f>
        <v>0</v>
      </c>
      <c r="M1330" s="603"/>
      <c r="N1330" s="602">
        <f>IFERROR(VLOOKUP($B1330,اسماء,9,0),0)</f>
        <v>0</v>
      </c>
      <c r="O1330" s="603"/>
      <c r="P1330" s="600">
        <f>IFERROR(VLOOKUP($B1330,اسماء,10,0),0)</f>
        <v>0</v>
      </c>
      <c r="Q1330" s="622"/>
      <c r="R1330" s="371">
        <f t="shared" ref="R1330" si="3620">SUM(F1330:Q1330)</f>
        <v>0</v>
      </c>
      <c r="S1330" s="213" t="str">
        <f>IFERROR(VLOOKUP($B1330,اسماء,12,0),"")</f>
        <v/>
      </c>
      <c r="T1330" s="214" t="str">
        <f>IFERROR(VLOOKUP($B1330,اسماء,13,0),"")</f>
        <v/>
      </c>
      <c r="U1330" s="364" t="str">
        <f>IFERROR(VLOOKUP($B1330,اسماء,14,0),"")</f>
        <v/>
      </c>
      <c r="V1330" s="604" t="str">
        <f t="shared" ref="V1330" si="3621">IF(Z1330="غائب","راسب",IF(R1333&gt;0,"ناجح","مرحل"))</f>
        <v>مرحل</v>
      </c>
      <c r="W1330" s="19" t="str">
        <f t="shared" ref="W1330:W1331" si="3622">LOOKUP(R1330,$AC$6:$AD$10)</f>
        <v>ضعيف</v>
      </c>
      <c r="X1330" s="639">
        <f t="shared" ref="X1330" si="3623">R1333/$AC$3</f>
        <v>0</v>
      </c>
      <c r="Y1330" s="68"/>
      <c r="Z1330" s="597" t="str">
        <f>IFERROR(VLOOKUP($B1330,اسماء,48,0),"")</f>
        <v/>
      </c>
      <c r="AK1330" s="667" t="str">
        <f t="shared" ref="AK1330" si="3624">IF(R1333=0,"",R1333/1+ROW()*0.00001)</f>
        <v/>
      </c>
      <c r="AL1330" s="694">
        <f>B1330</f>
        <v>0</v>
      </c>
      <c r="AM1330" s="696"/>
      <c r="AN1330" s="698">
        <v>289</v>
      </c>
      <c r="AO1330" s="699" t="str">
        <f>IFERROR(LARGE($AK$10:$AK$1420,AN1330),"")</f>
        <v/>
      </c>
      <c r="AP1330" s="700" t="str">
        <f>VLOOKUP(AO1330,$AK$10:$AL$1530,2,0)</f>
        <v>امجد عمر عبداللطيف سلطان</v>
      </c>
    </row>
    <row r="1331" spans="1:42" ht="14.85" customHeight="1" x14ac:dyDescent="0.25">
      <c r="A1331" s="611"/>
      <c r="B1331" s="614"/>
      <c r="C1331" s="617"/>
      <c r="D1331" s="620"/>
      <c r="E1331" s="130" t="s">
        <v>31</v>
      </c>
      <c r="F1331" s="592">
        <f>IFERROR(VLOOKUP($B1330,اسماء,15,0),0)</f>
        <v>0</v>
      </c>
      <c r="G1331" s="593"/>
      <c r="H1331" s="594">
        <f>IFERROR(VLOOKUP($B1330,اسماء,16,0),0)</f>
        <v>0</v>
      </c>
      <c r="I1331" s="595"/>
      <c r="J1331" s="592">
        <f>IFERROR(VLOOKUP($B1330,اسماء,17,0),0)</f>
        <v>0</v>
      </c>
      <c r="K1331" s="593"/>
      <c r="L1331" s="594">
        <f>IFERROR(VLOOKUP($B1330,اسماء,18,0),0)</f>
        <v>0</v>
      </c>
      <c r="M1331" s="596"/>
      <c r="N1331" s="594">
        <f>IFERROR(VLOOKUP($B1330,اسماء,19,0),0)</f>
        <v>0</v>
      </c>
      <c r="O1331" s="596"/>
      <c r="P1331" s="592">
        <f>IFERROR(VLOOKUP($B1330,اسماء,20,0),0)</f>
        <v>0</v>
      </c>
      <c r="Q1331" s="595"/>
      <c r="R1331" s="372">
        <f t="shared" si="3528"/>
        <v>0</v>
      </c>
      <c r="S1331" s="305" t="str">
        <f>IFERROR(VLOOKUP($B1330,اسماء,23,0),"")</f>
        <v/>
      </c>
      <c r="T1331" s="306" t="str">
        <f>IFERROR(VLOOKUP($B1330,اسماء,24,0),"")</f>
        <v/>
      </c>
      <c r="U1331" s="122" t="str">
        <f>IFERROR(VLOOKUP($B1330,اسماء,25,0),"")</f>
        <v/>
      </c>
      <c r="V1331" s="605"/>
      <c r="W1331" s="19" t="str">
        <f t="shared" si="3622"/>
        <v>ضعيف</v>
      </c>
      <c r="X1331" s="640"/>
      <c r="Y1331" s="8"/>
      <c r="Z1331" s="598"/>
      <c r="AK1331" s="667"/>
      <c r="AL1331" s="694"/>
      <c r="AM1331" s="696"/>
      <c r="AN1331" s="698"/>
      <c r="AO1331" s="699"/>
      <c r="AP1331" s="701"/>
    </row>
    <row r="1332" spans="1:42" ht="14.85" customHeight="1" x14ac:dyDescent="0.25">
      <c r="A1332" s="611"/>
      <c r="B1332" s="614"/>
      <c r="C1332" s="617"/>
      <c r="D1332" s="620"/>
      <c r="E1332" s="130" t="s">
        <v>32</v>
      </c>
      <c r="F1332" s="592">
        <f>IFERROR(VLOOKUP($B1330,اسماء,25,0),0)</f>
        <v>0</v>
      </c>
      <c r="G1332" s="593"/>
      <c r="H1332" s="594">
        <f>IFERROR(VLOOKUP($B1330,اسماء,26,0),0)</f>
        <v>0</v>
      </c>
      <c r="I1332" s="595"/>
      <c r="J1332" s="592">
        <f>IFERROR(VLOOKUP($B1330,اسماء,27,0),0)</f>
        <v>0</v>
      </c>
      <c r="K1332" s="593"/>
      <c r="L1332" s="594">
        <f>IFERROR(VLOOKUP($B1330,اسماء,28,0),0)</f>
        <v>0</v>
      </c>
      <c r="M1332" s="596"/>
      <c r="N1332" s="594">
        <f>IFERROR(VLOOKUP($B1330,اسماء,29,0),0)</f>
        <v>0</v>
      </c>
      <c r="O1332" s="596"/>
      <c r="P1332" s="592">
        <f>IFERROR(VLOOKUP($B1330,اسماء,30,0),0)</f>
        <v>0</v>
      </c>
      <c r="Q1332" s="595"/>
      <c r="R1332" s="372">
        <f t="shared" si="3528"/>
        <v>0</v>
      </c>
      <c r="S1332" s="305" t="str">
        <f>IFERROR(VLOOKUP($B1330,اسماء,34,0),"")</f>
        <v/>
      </c>
      <c r="T1332" s="306" t="str">
        <f>IFERROR(VLOOKUP($B1330,اسماء,35,0),"")</f>
        <v/>
      </c>
      <c r="U1332" s="122" t="str">
        <f>IFERROR(VLOOKUP($B1330,اسماء,36,0),"")</f>
        <v/>
      </c>
      <c r="V1332" s="605"/>
      <c r="W1332" s="20" t="str">
        <f t="shared" ref="W1332" si="3625">LOOKUP(R1332,$AF$6:$AG$10)</f>
        <v>ضعيف</v>
      </c>
      <c r="X1332" s="640"/>
      <c r="Y1332" s="68"/>
      <c r="Z1332" s="598"/>
      <c r="AK1332" s="667"/>
      <c r="AL1332" s="694"/>
      <c r="AM1332" s="696"/>
      <c r="AN1332" s="698"/>
      <c r="AO1332" s="699"/>
      <c r="AP1332" s="701"/>
    </row>
    <row r="1333" spans="1:42" ht="14.85" customHeight="1" thickBot="1" x14ac:dyDescent="0.3">
      <c r="A1333" s="612"/>
      <c r="B1333" s="615"/>
      <c r="C1333" s="618"/>
      <c r="D1333" s="621"/>
      <c r="E1333" s="124" t="s">
        <v>33</v>
      </c>
      <c r="F1333" s="623">
        <f t="shared" ref="F1333" si="3626">SUM(F1330:G1332)</f>
        <v>0</v>
      </c>
      <c r="G1333" s="624"/>
      <c r="H1333" s="625">
        <f t="shared" ref="H1333" si="3627">SUM(H1330:I1332)</f>
        <v>0</v>
      </c>
      <c r="I1333" s="626"/>
      <c r="J1333" s="623">
        <f t="shared" ref="J1333" si="3628">SUM(J1330:K1332)</f>
        <v>0</v>
      </c>
      <c r="K1333" s="624"/>
      <c r="L1333" s="625">
        <f t="shared" ref="L1333" si="3629">SUM(L1330:M1332)</f>
        <v>0</v>
      </c>
      <c r="M1333" s="642"/>
      <c r="N1333" s="625">
        <f t="shared" ref="N1333" si="3630">SUM(N1330:O1332)</f>
        <v>0</v>
      </c>
      <c r="O1333" s="642"/>
      <c r="P1333" s="623">
        <f t="shared" ref="P1333" si="3631">SUM(P1330:Q1332)</f>
        <v>0</v>
      </c>
      <c r="Q1333" s="626"/>
      <c r="R1333" s="88">
        <f t="shared" ref="R1333" si="3632">IF(AND(F1333&gt;=$G$8,H1333&gt;=$I$8,J1333&gt;=$K$8,L1333&gt;=$M$8,N1333&gt;=$O$8,P1333&gt;=$Q$8),SUM(F1333:Q1333),0)</f>
        <v>0</v>
      </c>
      <c r="S1333" s="251"/>
      <c r="T1333" s="97"/>
      <c r="U1333" s="94"/>
      <c r="V1333" s="606"/>
      <c r="W1333" s="88" t="str">
        <f t="shared" ref="W1333" si="3633">LOOKUP(R1333,$AI$6:$AJ$10)</f>
        <v>ضعيف</v>
      </c>
      <c r="X1333" s="641"/>
      <c r="Y1333" s="68"/>
      <c r="Z1333" s="599"/>
      <c r="AK1333" s="667"/>
      <c r="AL1333" s="694"/>
      <c r="AM1333" s="696"/>
      <c r="AN1333" s="698"/>
      <c r="AO1333" s="699"/>
      <c r="AP1333" s="702"/>
    </row>
    <row r="1334" spans="1:42" ht="14.85" customHeight="1" thickBot="1" x14ac:dyDescent="0.3">
      <c r="A1334" s="610">
        <v>290</v>
      </c>
      <c r="B1334" s="613">
        <f>VLOOKUP(A1334,مسلسل,2,0)</f>
        <v>0</v>
      </c>
      <c r="C1334" s="616" t="str">
        <f>IFERROR(VLOOKUP(B1334,اسماء,2,0),"")</f>
        <v/>
      </c>
      <c r="D1334" s="619" t="str">
        <f>IFERROR(VLOOKUP($B1334,اسماء,3,0),"")</f>
        <v/>
      </c>
      <c r="E1334" s="129" t="s">
        <v>30</v>
      </c>
      <c r="F1334" s="600">
        <f>IFERROR(VLOOKUP($B1334,اسماء,5,0),0)</f>
        <v>0</v>
      </c>
      <c r="G1334" s="601"/>
      <c r="H1334" s="602">
        <f>IFERROR(VLOOKUP($B1334,اسماء,6,0),0)</f>
        <v>0</v>
      </c>
      <c r="I1334" s="622"/>
      <c r="J1334" s="600">
        <f>IFERROR(VLOOKUP($B1334,اسماء,7,0),0)</f>
        <v>0</v>
      </c>
      <c r="K1334" s="601"/>
      <c r="L1334" s="602">
        <f>IFERROR(VLOOKUP($B1334,اسماء,8,0),0)</f>
        <v>0</v>
      </c>
      <c r="M1334" s="603"/>
      <c r="N1334" s="602">
        <f>IFERROR(VLOOKUP($B1334,اسماء,9,0),0)</f>
        <v>0</v>
      </c>
      <c r="O1334" s="603"/>
      <c r="P1334" s="600">
        <f>IFERROR(VLOOKUP($B1334,اسماء,10,0),0)</f>
        <v>0</v>
      </c>
      <c r="Q1334" s="622"/>
      <c r="R1334" s="371">
        <f t="shared" ref="R1334" si="3634">SUM(F1334:Q1334)</f>
        <v>0</v>
      </c>
      <c r="S1334" s="213" t="str">
        <f>IFERROR(VLOOKUP($B1334,اسماء,12,0),"")</f>
        <v/>
      </c>
      <c r="T1334" s="214" t="str">
        <f>IFERROR(VLOOKUP($B1334,اسماء,13,0),"")</f>
        <v/>
      </c>
      <c r="U1334" s="364" t="str">
        <f>IFERROR(VLOOKUP($B1334,اسماء,14,0),"")</f>
        <v/>
      </c>
      <c r="V1334" s="604" t="str">
        <f t="shared" ref="V1334" si="3635">IF(Z1334="غائب","راسب",IF(R1337&gt;0,"ناجح","مرحل"))</f>
        <v>مرحل</v>
      </c>
      <c r="W1334" s="19" t="str">
        <f t="shared" ref="W1334:W1335" si="3636">LOOKUP(R1334,$AC$6:$AD$10)</f>
        <v>ضعيف</v>
      </c>
      <c r="X1334" s="639">
        <f t="shared" ref="X1334" si="3637">R1337/$AC$3</f>
        <v>0</v>
      </c>
      <c r="Y1334" s="8"/>
      <c r="Z1334" s="597" t="str">
        <f>IFERROR(VLOOKUP($B1334,اسماء,48,0),"")</f>
        <v/>
      </c>
      <c r="AK1334" s="667" t="str">
        <f t="shared" ref="AK1334" si="3638">IF(R1337=0,"",R1337/1+ROW()*0.00001)</f>
        <v/>
      </c>
      <c r="AL1334" s="694">
        <f>B1334</f>
        <v>0</v>
      </c>
      <c r="AM1334" s="696"/>
      <c r="AN1334" s="698">
        <v>290</v>
      </c>
      <c r="AO1334" s="699" t="str">
        <f>IFERROR(LARGE($AK$10:$AK$1420,AN1334),"")</f>
        <v/>
      </c>
      <c r="AP1334" s="700" t="str">
        <f>VLOOKUP(AO1334,$AK$10:$AL$1530,2,0)</f>
        <v>امجد عمر عبداللطيف سلطان</v>
      </c>
    </row>
    <row r="1335" spans="1:42" ht="14.85" customHeight="1" x14ac:dyDescent="0.25">
      <c r="A1335" s="611"/>
      <c r="B1335" s="614"/>
      <c r="C1335" s="617"/>
      <c r="D1335" s="620"/>
      <c r="E1335" s="130" t="s">
        <v>31</v>
      </c>
      <c r="F1335" s="592">
        <f>IFERROR(VLOOKUP($B1334,اسماء,15,0),0)</f>
        <v>0</v>
      </c>
      <c r="G1335" s="593"/>
      <c r="H1335" s="594">
        <f>IFERROR(VLOOKUP($B1334,اسماء,16,0),0)</f>
        <v>0</v>
      </c>
      <c r="I1335" s="595"/>
      <c r="J1335" s="592">
        <f>IFERROR(VLOOKUP($B1334,اسماء,17,0),0)</f>
        <v>0</v>
      </c>
      <c r="K1335" s="593"/>
      <c r="L1335" s="594">
        <f>IFERROR(VLOOKUP($B1334,اسماء,18,0),0)</f>
        <v>0</v>
      </c>
      <c r="M1335" s="596"/>
      <c r="N1335" s="594">
        <f>IFERROR(VLOOKUP($B1334,اسماء,19,0),0)</f>
        <v>0</v>
      </c>
      <c r="O1335" s="596"/>
      <c r="P1335" s="592">
        <f>IFERROR(VLOOKUP($B1334,اسماء,20,0),0)</f>
        <v>0</v>
      </c>
      <c r="Q1335" s="595"/>
      <c r="R1335" s="372">
        <f t="shared" si="3528"/>
        <v>0</v>
      </c>
      <c r="S1335" s="305" t="str">
        <f>IFERROR(VLOOKUP($B1334,اسماء,23,0),"")</f>
        <v/>
      </c>
      <c r="T1335" s="306" t="str">
        <f>IFERROR(VLOOKUP($B1334,اسماء,24,0),"")</f>
        <v/>
      </c>
      <c r="U1335" s="122" t="str">
        <f>IFERROR(VLOOKUP($B1334,اسماء,25,0),"")</f>
        <v/>
      </c>
      <c r="V1335" s="605"/>
      <c r="W1335" s="19" t="str">
        <f t="shared" si="3636"/>
        <v>ضعيف</v>
      </c>
      <c r="X1335" s="640"/>
      <c r="Y1335" s="68"/>
      <c r="Z1335" s="598"/>
      <c r="AK1335" s="667"/>
      <c r="AL1335" s="694"/>
      <c r="AM1335" s="696"/>
      <c r="AN1335" s="698"/>
      <c r="AO1335" s="699"/>
      <c r="AP1335" s="701"/>
    </row>
    <row r="1336" spans="1:42" ht="14.85" customHeight="1" x14ac:dyDescent="0.25">
      <c r="A1336" s="611"/>
      <c r="B1336" s="614"/>
      <c r="C1336" s="617"/>
      <c r="D1336" s="620"/>
      <c r="E1336" s="130" t="s">
        <v>32</v>
      </c>
      <c r="F1336" s="592">
        <f>IFERROR(VLOOKUP($B1334,اسماء,25,0),0)</f>
        <v>0</v>
      </c>
      <c r="G1336" s="593"/>
      <c r="H1336" s="594">
        <f>IFERROR(VLOOKUP($B1334,اسماء,26,0),0)</f>
        <v>0</v>
      </c>
      <c r="I1336" s="595"/>
      <c r="J1336" s="592">
        <f>IFERROR(VLOOKUP($B1334,اسماء,27,0),0)</f>
        <v>0</v>
      </c>
      <c r="K1336" s="593"/>
      <c r="L1336" s="594">
        <f>IFERROR(VLOOKUP($B1334,اسماء,28,0),0)</f>
        <v>0</v>
      </c>
      <c r="M1336" s="596"/>
      <c r="N1336" s="594">
        <f>IFERROR(VLOOKUP($B1334,اسماء,29,0),0)</f>
        <v>0</v>
      </c>
      <c r="O1336" s="596"/>
      <c r="P1336" s="592">
        <f>IFERROR(VLOOKUP($B1334,اسماء,30,0),0)</f>
        <v>0</v>
      </c>
      <c r="Q1336" s="595"/>
      <c r="R1336" s="372">
        <f t="shared" si="3528"/>
        <v>0</v>
      </c>
      <c r="S1336" s="305" t="str">
        <f>IFERROR(VLOOKUP($B1334,اسماء,34,0),"")</f>
        <v/>
      </c>
      <c r="T1336" s="306" t="str">
        <f>IFERROR(VLOOKUP($B1334,اسماء,35,0),"")</f>
        <v/>
      </c>
      <c r="U1336" s="122" t="str">
        <f>IFERROR(VLOOKUP($B1334,اسماء,36,0),"")</f>
        <v/>
      </c>
      <c r="V1336" s="605"/>
      <c r="W1336" s="20" t="str">
        <f t="shared" ref="W1336" si="3639">LOOKUP(R1336,$AF$6:$AG$10)</f>
        <v>ضعيف</v>
      </c>
      <c r="X1336" s="640"/>
      <c r="Y1336" s="68"/>
      <c r="Z1336" s="598"/>
      <c r="AK1336" s="667"/>
      <c r="AL1336" s="694"/>
      <c r="AM1336" s="696"/>
      <c r="AN1336" s="698"/>
      <c r="AO1336" s="699"/>
      <c r="AP1336" s="701"/>
    </row>
    <row r="1337" spans="1:42" ht="14.85" customHeight="1" thickBot="1" x14ac:dyDescent="0.3">
      <c r="A1337" s="612"/>
      <c r="B1337" s="615"/>
      <c r="C1337" s="618"/>
      <c r="D1337" s="621"/>
      <c r="E1337" s="124" t="s">
        <v>33</v>
      </c>
      <c r="F1337" s="623">
        <f t="shared" ref="F1337" si="3640">SUM(F1334:G1336)</f>
        <v>0</v>
      </c>
      <c r="G1337" s="624"/>
      <c r="H1337" s="625">
        <f t="shared" ref="H1337" si="3641">SUM(H1334:I1336)</f>
        <v>0</v>
      </c>
      <c r="I1337" s="626"/>
      <c r="J1337" s="623">
        <f t="shared" ref="J1337" si="3642">SUM(J1334:K1336)</f>
        <v>0</v>
      </c>
      <c r="K1337" s="624"/>
      <c r="L1337" s="625">
        <f t="shared" ref="L1337" si="3643">SUM(L1334:M1336)</f>
        <v>0</v>
      </c>
      <c r="M1337" s="642"/>
      <c r="N1337" s="625">
        <f t="shared" ref="N1337" si="3644">SUM(N1334:O1336)</f>
        <v>0</v>
      </c>
      <c r="O1337" s="642"/>
      <c r="P1337" s="623">
        <f t="shared" ref="P1337" si="3645">SUM(P1334:Q1336)</f>
        <v>0</v>
      </c>
      <c r="Q1337" s="626"/>
      <c r="R1337" s="88">
        <f t="shared" ref="R1337" si="3646">IF(AND(F1337&gt;=$G$8,H1337&gt;=$I$8,J1337&gt;=$K$8,L1337&gt;=$M$8,N1337&gt;=$O$8,P1337&gt;=$Q$8),SUM(F1337:Q1337),0)</f>
        <v>0</v>
      </c>
      <c r="S1337" s="251"/>
      <c r="T1337" s="97"/>
      <c r="U1337" s="94"/>
      <c r="V1337" s="606"/>
      <c r="W1337" s="88" t="str">
        <f t="shared" ref="W1337" si="3647">LOOKUP(R1337,$AI$6:$AJ$10)</f>
        <v>ضعيف</v>
      </c>
      <c r="X1337" s="641"/>
      <c r="Y1337" s="8"/>
      <c r="Z1337" s="599"/>
      <c r="AK1337" s="667"/>
      <c r="AL1337" s="694"/>
      <c r="AM1337" s="696"/>
      <c r="AN1337" s="698"/>
      <c r="AO1337" s="699"/>
      <c r="AP1337" s="702"/>
    </row>
    <row r="1338" spans="1:42" ht="14.85" customHeight="1" thickBot="1" x14ac:dyDescent="0.3">
      <c r="F1338" s="71"/>
      <c r="G1338" s="72"/>
      <c r="H1338" s="71"/>
      <c r="I1338" s="72"/>
      <c r="J1338" s="71"/>
      <c r="K1338" s="72"/>
      <c r="L1338" s="71"/>
      <c r="M1338" s="72"/>
      <c r="N1338" s="71"/>
      <c r="O1338" s="72"/>
      <c r="P1338" s="71"/>
      <c r="Q1338" s="72"/>
      <c r="R1338" s="70"/>
      <c r="S1338" s="73"/>
      <c r="T1338" s="70"/>
      <c r="U1338" s="70"/>
      <c r="V1338" s="70"/>
      <c r="W1338" s="70"/>
      <c r="X1338" s="254"/>
      <c r="Y1338" s="68"/>
      <c r="AH1338" s="74"/>
    </row>
    <row r="1339" spans="1:42" customFormat="1" ht="14.85" customHeight="1" x14ac:dyDescent="0.3">
      <c r="A1339" s="668" t="s">
        <v>9</v>
      </c>
      <c r="B1339" s="669"/>
      <c r="C1339" s="670"/>
      <c r="D1339" s="277" t="s">
        <v>11</v>
      </c>
      <c r="E1339" s="674" t="s">
        <v>96</v>
      </c>
      <c r="F1339" s="663"/>
      <c r="G1339" s="663"/>
      <c r="H1339" s="663"/>
      <c r="I1339" s="663"/>
      <c r="J1339" s="7"/>
      <c r="K1339" s="7"/>
      <c r="L1339" s="7"/>
      <c r="M1339" s="7"/>
      <c r="N1339" s="7"/>
      <c r="O1339" s="7"/>
      <c r="P1339" s="7"/>
      <c r="Q1339" s="663" t="s">
        <v>156</v>
      </c>
      <c r="R1339" s="663"/>
      <c r="S1339" s="663"/>
      <c r="T1339" s="663"/>
      <c r="U1339" s="663"/>
      <c r="V1339" s="663"/>
      <c r="W1339" s="1"/>
      <c r="X1339" s="255"/>
      <c r="Z1339" s="75"/>
      <c r="AA1339" s="76"/>
      <c r="AB1339" s="76"/>
      <c r="AC1339" s="76"/>
      <c r="AD1339" s="76"/>
    </row>
    <row r="1340" spans="1:42" customFormat="1" ht="14.85" customHeight="1" x14ac:dyDescent="0.25">
      <c r="A1340" s="77" t="s">
        <v>8</v>
      </c>
      <c r="B1340" s="671">
        <f>ادخال1!$BJ$3</f>
        <v>0</v>
      </c>
      <c r="C1340" s="672"/>
      <c r="D1340" s="278"/>
      <c r="E1340" s="7" t="s">
        <v>9</v>
      </c>
      <c r="F1340" s="673" t="str">
        <f>ادخال1!$BJ$5</f>
        <v>د. عبدالرحمن خليفة العريبي</v>
      </c>
      <c r="G1340" s="673"/>
      <c r="H1340" s="673"/>
      <c r="I1340" s="673"/>
      <c r="J1340" s="673"/>
      <c r="K1340" s="673"/>
      <c r="L1340" s="673"/>
      <c r="M1340" s="673"/>
      <c r="N1340" s="673"/>
      <c r="O1340" s="673"/>
      <c r="P1340" s="7"/>
      <c r="Q1340" s="673" t="str">
        <f>ادخال1!$BJ$6</f>
        <v>تاجوراء</v>
      </c>
      <c r="R1340" s="673"/>
      <c r="S1340" s="673"/>
      <c r="T1340" s="673"/>
      <c r="U1340" s="673"/>
      <c r="V1340" s="673"/>
      <c r="W1340" s="673"/>
      <c r="X1340" s="63"/>
      <c r="Y1340" s="63"/>
      <c r="Z1340" s="75"/>
      <c r="AA1340" s="75"/>
      <c r="AB1340" s="75"/>
      <c r="AC1340" s="75"/>
    </row>
    <row r="1341" spans="1:42" customFormat="1" ht="14.85" customHeight="1" thickBot="1" x14ac:dyDescent="0.3">
      <c r="A1341" s="78" t="s">
        <v>97</v>
      </c>
      <c r="B1341" s="665">
        <f>ادخال1!$BJ$4</f>
        <v>0</v>
      </c>
      <c r="C1341" s="666"/>
      <c r="D1341" s="279"/>
      <c r="E1341" s="7" t="s">
        <v>11</v>
      </c>
      <c r="F1341" s="667"/>
      <c r="G1341" s="667"/>
      <c r="H1341" s="667"/>
      <c r="I1341" s="667"/>
      <c r="J1341" s="667"/>
      <c r="K1341" s="667"/>
      <c r="L1341" s="667"/>
      <c r="M1341" s="667"/>
      <c r="N1341" s="667"/>
      <c r="O1341" s="667"/>
      <c r="P1341" s="7"/>
      <c r="Q1341" s="7" t="s">
        <v>11</v>
      </c>
      <c r="R1341" s="1"/>
      <c r="S1341" s="1"/>
      <c r="T1341" s="1"/>
      <c r="U1341" s="1"/>
      <c r="V1341" s="1"/>
      <c r="W1341" s="1"/>
      <c r="X1341" s="255"/>
      <c r="Z1341" s="75"/>
      <c r="AA1341" s="75"/>
      <c r="AB1341" s="75"/>
      <c r="AC1341" s="75"/>
    </row>
    <row r="1342" spans="1:42" customFormat="1" ht="14.85" customHeight="1" x14ac:dyDescent="0.25">
      <c r="A1342" s="663" t="s">
        <v>98</v>
      </c>
      <c r="B1342" s="663"/>
      <c r="C1342" s="663"/>
      <c r="D1342" s="663"/>
      <c r="E1342" s="663" t="s">
        <v>99</v>
      </c>
      <c r="F1342" s="663"/>
      <c r="G1342" s="663"/>
      <c r="H1342" s="663"/>
      <c r="I1342" s="663"/>
      <c r="J1342" s="663"/>
      <c r="K1342" s="663"/>
      <c r="L1342" s="663"/>
      <c r="M1342" s="663"/>
      <c r="N1342" s="663"/>
      <c r="O1342" s="663"/>
      <c r="P1342" s="663"/>
      <c r="Q1342" s="663"/>
      <c r="R1342" s="7"/>
      <c r="S1342" s="664">
        <f ca="1">TODAY()</f>
        <v>46009</v>
      </c>
      <c r="T1342" s="664"/>
      <c r="U1342" s="664"/>
      <c r="V1342" s="664"/>
      <c r="W1342" s="664"/>
      <c r="X1342" s="255"/>
    </row>
    <row r="1343" spans="1:42" customFormat="1" ht="14.85" customHeight="1" thickBot="1" x14ac:dyDescent="0.3">
      <c r="A1343" s="7"/>
      <c r="B1343" s="663" t="s">
        <v>100</v>
      </c>
      <c r="C1343" s="663"/>
      <c r="D1343" s="663"/>
      <c r="E1343" s="663" t="s">
        <v>101</v>
      </c>
      <c r="F1343" s="663"/>
      <c r="G1343" s="663"/>
      <c r="H1343" s="663"/>
      <c r="I1343" s="663"/>
      <c r="J1343" s="663"/>
      <c r="K1343" s="663"/>
      <c r="L1343" s="663"/>
      <c r="M1343" s="663"/>
      <c r="N1343" s="663"/>
      <c r="O1343" s="663"/>
      <c r="P1343" s="663"/>
      <c r="Q1343" s="663"/>
      <c r="R1343" s="1"/>
      <c r="S1343" s="1"/>
      <c r="T1343" s="1"/>
      <c r="U1343" s="1"/>
      <c r="V1343" s="1"/>
      <c r="W1343" s="1"/>
      <c r="X1343" s="255"/>
    </row>
    <row r="1344" spans="1:42" ht="14.85" customHeight="1" thickBot="1" x14ac:dyDescent="0.3">
      <c r="A1344" s="610">
        <v>291</v>
      </c>
      <c r="B1344" s="613">
        <f>VLOOKUP(A1344,مسلسل,2,0)</f>
        <v>0</v>
      </c>
      <c r="C1344" s="616" t="str">
        <f>IFERROR(VLOOKUP(B1344,اسماء,2,0),"")</f>
        <v/>
      </c>
      <c r="D1344" s="619" t="str">
        <f>IFERROR(VLOOKUP($B1344,اسماء,3,0),"")</f>
        <v/>
      </c>
      <c r="E1344" s="129" t="s">
        <v>30</v>
      </c>
      <c r="F1344" s="600">
        <f>IFERROR(VLOOKUP($B1344,اسماء,5,0),0)</f>
        <v>0</v>
      </c>
      <c r="G1344" s="601"/>
      <c r="H1344" s="602">
        <f>IFERROR(VLOOKUP($B1344,اسماء,6,0),0)</f>
        <v>0</v>
      </c>
      <c r="I1344" s="622"/>
      <c r="J1344" s="600">
        <f>IFERROR(VLOOKUP($B1344,اسماء,7,0),0)</f>
        <v>0</v>
      </c>
      <c r="K1344" s="601"/>
      <c r="L1344" s="602">
        <f>IFERROR(VLOOKUP($B1344,اسماء,8,0),0)</f>
        <v>0</v>
      </c>
      <c r="M1344" s="603"/>
      <c r="N1344" s="602">
        <f>IFERROR(VLOOKUP($B1344,اسماء,9,0),0)</f>
        <v>0</v>
      </c>
      <c r="O1344" s="603"/>
      <c r="P1344" s="600">
        <f>IFERROR(VLOOKUP($B1344,اسماء,10,0),0)</f>
        <v>0</v>
      </c>
      <c r="Q1344" s="622"/>
      <c r="R1344" s="371">
        <f>SUM(F1344:Q1344)</f>
        <v>0</v>
      </c>
      <c r="S1344" s="325" t="str">
        <f>IFERROR(VLOOKUP($B1344,اسماء,12,0),"")</f>
        <v/>
      </c>
      <c r="T1344" s="326" t="str">
        <f>IFERROR(VLOOKUP($B1344,اسماء,13,0),"")</f>
        <v/>
      </c>
      <c r="U1344" s="92" t="str">
        <f>IFERROR(VLOOKUP($B1344,اسماء,14,0),"")</f>
        <v/>
      </c>
      <c r="V1344" s="604" t="str">
        <f t="shared" ref="V1344" si="3648">IF(Z1344="غائب","راسب",IF(R1347&gt;0,"ناجح","مرحل"))</f>
        <v>مرحل</v>
      </c>
      <c r="W1344" s="19" t="str">
        <f t="shared" ref="W1344:W1345" si="3649">LOOKUP(R1344,$AC$6:$AD$10)</f>
        <v>ضعيف</v>
      </c>
      <c r="X1344" s="639">
        <f t="shared" ref="X1344" si="3650">R1347/$AC$3</f>
        <v>0</v>
      </c>
      <c r="Y1344" s="68"/>
      <c r="Z1344" s="597" t="str">
        <f>IFERROR(VLOOKUP($B1344,اسماء,48,0),"")</f>
        <v/>
      </c>
      <c r="AK1344" s="695" t="str">
        <f>IF(R1347=0,"",R1347/1+ROW()*0.00001)</f>
        <v/>
      </c>
      <c r="AL1344" s="695">
        <f>B1344</f>
        <v>0</v>
      </c>
      <c r="AM1344" s="696"/>
      <c r="AN1344" s="698">
        <v>291</v>
      </c>
      <c r="AO1344" s="699" t="str">
        <f>IFERROR(LARGE($AK$10:$AK$1420,AN1344),"")</f>
        <v/>
      </c>
      <c r="AP1344" s="700" t="str">
        <f>VLOOKUP(AO1344,$AK$10:$AL$1530,2,0)</f>
        <v>امجد عمر عبداللطيف سلطان</v>
      </c>
    </row>
    <row r="1345" spans="1:42" ht="14.85" customHeight="1" x14ac:dyDescent="0.25">
      <c r="A1345" s="611"/>
      <c r="B1345" s="614"/>
      <c r="C1345" s="617"/>
      <c r="D1345" s="620"/>
      <c r="E1345" s="130" t="s">
        <v>31</v>
      </c>
      <c r="F1345" s="592">
        <f>IFERROR(VLOOKUP($B1344,اسماء,16,0),0)</f>
        <v>0</v>
      </c>
      <c r="G1345" s="593"/>
      <c r="H1345" s="594">
        <f>IFERROR(VLOOKUP($B1344,اسماء,17,0),0)</f>
        <v>0</v>
      </c>
      <c r="I1345" s="595"/>
      <c r="J1345" s="592">
        <f>IFERROR(VLOOKUP($B1344,اسماء,18,0),0)</f>
        <v>0</v>
      </c>
      <c r="K1345" s="593"/>
      <c r="L1345" s="594">
        <f>IFERROR(VLOOKUP($B1344,اسماء,19,0),0)</f>
        <v>0</v>
      </c>
      <c r="M1345" s="596"/>
      <c r="N1345" s="594">
        <f>IFERROR(VLOOKUP($B1344,اسماء,20,0),0)</f>
        <v>0</v>
      </c>
      <c r="O1345" s="596"/>
      <c r="P1345" s="592">
        <f>IFERROR(VLOOKUP($B1344,اسماء,21,0),0)</f>
        <v>0</v>
      </c>
      <c r="Q1345" s="595"/>
      <c r="R1345" s="372">
        <f t="shared" ref="R1345:R1346" si="3651">SUM(F1345:Q1345)</f>
        <v>0</v>
      </c>
      <c r="S1345" s="305" t="str">
        <f>IFERROR(VLOOKUP($B1344,اسماء,23,0),"")</f>
        <v/>
      </c>
      <c r="T1345" s="306" t="str">
        <f>IFERROR(VLOOKUP($B1344,اسماء,24,0),"")</f>
        <v/>
      </c>
      <c r="U1345" s="122" t="str">
        <f>IFERROR(VLOOKUP($B1344,اسماء,25,0),"")</f>
        <v/>
      </c>
      <c r="V1345" s="605"/>
      <c r="W1345" s="19" t="str">
        <f t="shared" si="3649"/>
        <v>ضعيف</v>
      </c>
      <c r="X1345" s="640"/>
      <c r="Y1345" s="68"/>
      <c r="Z1345" s="598"/>
      <c r="AK1345" s="696"/>
      <c r="AL1345" s="696"/>
      <c r="AM1345" s="696"/>
      <c r="AN1345" s="698"/>
      <c r="AO1345" s="699"/>
      <c r="AP1345" s="701"/>
    </row>
    <row r="1346" spans="1:42" ht="14.85" customHeight="1" x14ac:dyDescent="0.25">
      <c r="A1346" s="611"/>
      <c r="B1346" s="614"/>
      <c r="C1346" s="617"/>
      <c r="D1346" s="620"/>
      <c r="E1346" s="130" t="s">
        <v>32</v>
      </c>
      <c r="F1346" s="592">
        <f>IFERROR(VLOOKUP($B1344,اسماء,27,0),0)</f>
        <v>0</v>
      </c>
      <c r="G1346" s="593"/>
      <c r="H1346" s="594">
        <f>IFERROR(VLOOKUP($B1344,اسماء,28,0),0)</f>
        <v>0</v>
      </c>
      <c r="I1346" s="595"/>
      <c r="J1346" s="592">
        <f>IFERROR(VLOOKUP($B1344,اسماء,29,0),0)</f>
        <v>0</v>
      </c>
      <c r="K1346" s="593"/>
      <c r="L1346" s="594">
        <f>IFERROR(VLOOKUP($B1344,اسماء,30,0),0)</f>
        <v>0</v>
      </c>
      <c r="M1346" s="596"/>
      <c r="N1346" s="594">
        <f>IFERROR(VLOOKUP($B1344,اسماء,31,0),0)</f>
        <v>0</v>
      </c>
      <c r="O1346" s="596"/>
      <c r="P1346" s="592">
        <f>IFERROR(VLOOKUP($B1344,اسماء,32,0),0)</f>
        <v>0</v>
      </c>
      <c r="Q1346" s="595"/>
      <c r="R1346" s="372">
        <f t="shared" si="3651"/>
        <v>0</v>
      </c>
      <c r="S1346" s="305" t="str">
        <f>IFERROR(VLOOKUP($B1344,اسماء,34,0),"")</f>
        <v/>
      </c>
      <c r="T1346" s="306" t="str">
        <f>IFERROR(VLOOKUP($B1344,اسماء,35,0),"")</f>
        <v/>
      </c>
      <c r="U1346" s="122" t="str">
        <f>IFERROR(VLOOKUP($B1344,اسماء,36,0),"")</f>
        <v/>
      </c>
      <c r="V1346" s="605"/>
      <c r="W1346" s="20" t="str">
        <f t="shared" ref="W1346" si="3652">LOOKUP(R1346,$AF$6:$AG$10)</f>
        <v>ضعيف</v>
      </c>
      <c r="X1346" s="640"/>
      <c r="Y1346" s="8"/>
      <c r="Z1346" s="598"/>
      <c r="AK1346" s="696"/>
      <c r="AL1346" s="696"/>
      <c r="AM1346" s="696"/>
      <c r="AN1346" s="698"/>
      <c r="AO1346" s="699"/>
      <c r="AP1346" s="701"/>
    </row>
    <row r="1347" spans="1:42" ht="14.85" customHeight="1" thickBot="1" x14ac:dyDescent="0.3">
      <c r="A1347" s="612"/>
      <c r="B1347" s="615"/>
      <c r="C1347" s="618"/>
      <c r="D1347" s="621"/>
      <c r="E1347" s="124" t="s">
        <v>33</v>
      </c>
      <c r="F1347" s="623">
        <f>SUM(F1344:G1346)</f>
        <v>0</v>
      </c>
      <c r="G1347" s="624"/>
      <c r="H1347" s="625">
        <f>SUM(H1344:I1346)</f>
        <v>0</v>
      </c>
      <c r="I1347" s="626"/>
      <c r="J1347" s="623">
        <f>SUM(J1344:K1346)</f>
        <v>0</v>
      </c>
      <c r="K1347" s="624"/>
      <c r="L1347" s="625">
        <f>SUM(L1344:M1346)</f>
        <v>0</v>
      </c>
      <c r="M1347" s="642"/>
      <c r="N1347" s="625">
        <f>SUM(N1344:O1346)</f>
        <v>0</v>
      </c>
      <c r="O1347" s="642"/>
      <c r="P1347" s="623">
        <f>SUM(P1344:Q1346)</f>
        <v>0</v>
      </c>
      <c r="Q1347" s="626"/>
      <c r="R1347" s="88">
        <f>IF(AND(F1347&gt;=$G$8,H1347&gt;=$I$8,J1347&gt;=$K$8,L1347&gt;=$M$8,N1347&gt;=$O$8,P1347&gt;=$Q$8),SUM(F1347:Q1347),0)</f>
        <v>0</v>
      </c>
      <c r="S1347" s="251"/>
      <c r="T1347" s="97"/>
      <c r="U1347" s="94"/>
      <c r="V1347" s="606"/>
      <c r="W1347" s="88" t="str">
        <f t="shared" ref="W1347" si="3653">LOOKUP(R1347,$AI$6:$AJ$10)</f>
        <v>ضعيف</v>
      </c>
      <c r="X1347" s="641"/>
      <c r="Y1347" s="68"/>
      <c r="Z1347" s="599"/>
      <c r="AK1347" s="697"/>
      <c r="AL1347" s="697"/>
      <c r="AM1347" s="696"/>
      <c r="AN1347" s="698"/>
      <c r="AO1347" s="699"/>
      <c r="AP1347" s="702"/>
    </row>
    <row r="1348" spans="1:42" ht="14.85" customHeight="1" thickBot="1" x14ac:dyDescent="0.3">
      <c r="A1348" s="610">
        <v>292</v>
      </c>
      <c r="B1348" s="613">
        <f>VLOOKUP(A1348,مسلسل,2,0)</f>
        <v>0</v>
      </c>
      <c r="C1348" s="616" t="str">
        <f>IFERROR(VLOOKUP(B1348,اسماء,2,0),"")</f>
        <v/>
      </c>
      <c r="D1348" s="619" t="str">
        <f>IFERROR(VLOOKUP($B1348,اسماء,3,0),"")</f>
        <v/>
      </c>
      <c r="E1348" s="129" t="s">
        <v>30</v>
      </c>
      <c r="F1348" s="600">
        <f>IFERROR(VLOOKUP($B1348,اسماء,5,0),0)</f>
        <v>0</v>
      </c>
      <c r="G1348" s="601"/>
      <c r="H1348" s="602">
        <f>IFERROR(VLOOKUP($B1348,اسماء,6,0),0)</f>
        <v>0</v>
      </c>
      <c r="I1348" s="622"/>
      <c r="J1348" s="600">
        <f>IFERROR(VLOOKUP($B1348,اسماء,7,0),0)</f>
        <v>0</v>
      </c>
      <c r="K1348" s="601"/>
      <c r="L1348" s="602">
        <f>IFERROR(VLOOKUP($B1348,اسماء,8,0),0)</f>
        <v>0</v>
      </c>
      <c r="M1348" s="603"/>
      <c r="N1348" s="602">
        <f>IFERROR(VLOOKUP($B1348,اسماء,9,0),0)</f>
        <v>0</v>
      </c>
      <c r="O1348" s="603"/>
      <c r="P1348" s="600">
        <f>IFERROR(VLOOKUP($B1348,اسماء,10,0),0)</f>
        <v>0</v>
      </c>
      <c r="Q1348" s="622"/>
      <c r="R1348" s="371">
        <f t="shared" ref="R1348:R1382" si="3654">SUM(F1348:Q1348)</f>
        <v>0</v>
      </c>
      <c r="S1348" s="213" t="str">
        <f>IFERROR(VLOOKUP($B1348,اسماء,12,0),"")</f>
        <v/>
      </c>
      <c r="T1348" s="214" t="str">
        <f>IFERROR(VLOOKUP($B1348,اسماء,13,0),"")</f>
        <v/>
      </c>
      <c r="U1348" s="364" t="str">
        <f>IFERROR(VLOOKUP($B1348,اسماء,14,0),"")</f>
        <v/>
      </c>
      <c r="V1348" s="604" t="str">
        <f t="shared" ref="V1348" si="3655">IF(Z1348="غائب","راسب",IF(R1351&gt;0,"ناجح","مرحل"))</f>
        <v>مرحل</v>
      </c>
      <c r="W1348" s="19" t="str">
        <f t="shared" ref="W1348:W1349" si="3656">LOOKUP(R1348,$AC$6:$AD$10)</f>
        <v>ضعيف</v>
      </c>
      <c r="X1348" s="639">
        <f t="shared" ref="X1348" si="3657">R1351/$AC$3</f>
        <v>0</v>
      </c>
      <c r="Y1348" s="68"/>
      <c r="Z1348" s="597" t="str">
        <f>IFERROR(VLOOKUP($B1348,اسماء,48,0),"")</f>
        <v/>
      </c>
      <c r="AK1348" s="705" t="str">
        <f t="shared" ref="AK1348" si="3658">IF(R1351=0,"",R1351/1+ROW()*0.00001)</f>
        <v/>
      </c>
      <c r="AL1348" s="703">
        <f>B1348</f>
        <v>0</v>
      </c>
      <c r="AM1348" s="696"/>
      <c r="AN1348" s="698">
        <v>292</v>
      </c>
      <c r="AO1348" s="699" t="str">
        <f>IFERROR(LARGE($AK$10:$AK$1420,AN1348),"")</f>
        <v/>
      </c>
      <c r="AP1348" s="700" t="str">
        <f>VLOOKUP(AO1348,$AK$10:$AL$1530,2,0)</f>
        <v>امجد عمر عبداللطيف سلطان</v>
      </c>
    </row>
    <row r="1349" spans="1:42" ht="14.85" customHeight="1" x14ac:dyDescent="0.25">
      <c r="A1349" s="611"/>
      <c r="B1349" s="614"/>
      <c r="C1349" s="617"/>
      <c r="D1349" s="620"/>
      <c r="E1349" s="130" t="s">
        <v>31</v>
      </c>
      <c r="F1349" s="592">
        <f>IFERROR(VLOOKUP($B1348,اسماء,15,0),0)</f>
        <v>0</v>
      </c>
      <c r="G1349" s="593"/>
      <c r="H1349" s="594">
        <f>IFERROR(VLOOKUP($B1348,اسماء,16,0),0)</f>
        <v>0</v>
      </c>
      <c r="I1349" s="595"/>
      <c r="J1349" s="592">
        <f>IFERROR(VLOOKUP($B1348,اسماء,17,0),0)</f>
        <v>0</v>
      </c>
      <c r="K1349" s="593"/>
      <c r="L1349" s="594">
        <f>IFERROR(VLOOKUP($B1348,اسماء,18,0),0)</f>
        <v>0</v>
      </c>
      <c r="M1349" s="596"/>
      <c r="N1349" s="594">
        <f>IFERROR(VLOOKUP($B1348,اسماء,19,0),0)</f>
        <v>0</v>
      </c>
      <c r="O1349" s="596"/>
      <c r="P1349" s="592">
        <f>IFERROR(VLOOKUP($B1348,اسماء,20,0),0)</f>
        <v>0</v>
      </c>
      <c r="Q1349" s="595"/>
      <c r="R1349" s="372">
        <f t="shared" si="3654"/>
        <v>0</v>
      </c>
      <c r="S1349" s="305" t="str">
        <f>IFERROR(VLOOKUP($B1348,اسماء,23,0),"")</f>
        <v/>
      </c>
      <c r="T1349" s="306" t="str">
        <f>IFERROR(VLOOKUP($B1348,اسماء,24,0),"")</f>
        <v/>
      </c>
      <c r="U1349" s="122" t="str">
        <f>IFERROR(VLOOKUP($B1348,اسماء,25,0),"")</f>
        <v/>
      </c>
      <c r="V1349" s="605"/>
      <c r="W1349" s="19" t="str">
        <f t="shared" si="3656"/>
        <v>ضعيف</v>
      </c>
      <c r="X1349" s="640"/>
      <c r="Y1349" s="8"/>
      <c r="Z1349" s="598"/>
      <c r="AK1349" s="667"/>
      <c r="AL1349" s="694"/>
      <c r="AM1349" s="696"/>
      <c r="AN1349" s="698"/>
      <c r="AO1349" s="699"/>
      <c r="AP1349" s="701"/>
    </row>
    <row r="1350" spans="1:42" ht="14.85" customHeight="1" x14ac:dyDescent="0.25">
      <c r="A1350" s="611"/>
      <c r="B1350" s="614"/>
      <c r="C1350" s="617"/>
      <c r="D1350" s="620"/>
      <c r="E1350" s="130" t="s">
        <v>32</v>
      </c>
      <c r="F1350" s="592">
        <f>IFERROR(VLOOKUP($B1348,اسماء,25,0),0)</f>
        <v>0</v>
      </c>
      <c r="G1350" s="593"/>
      <c r="H1350" s="594">
        <f>IFERROR(VLOOKUP($B1348,اسماء,26,0),0)</f>
        <v>0</v>
      </c>
      <c r="I1350" s="595"/>
      <c r="J1350" s="592">
        <f>IFERROR(VLOOKUP($B1348,اسماء,27,0),0)</f>
        <v>0</v>
      </c>
      <c r="K1350" s="593"/>
      <c r="L1350" s="594">
        <f>IFERROR(VLOOKUP($B1348,اسماء,28,0),0)</f>
        <v>0</v>
      </c>
      <c r="M1350" s="596"/>
      <c r="N1350" s="594">
        <f>IFERROR(VLOOKUP($B1348,اسماء,29,0),0)</f>
        <v>0</v>
      </c>
      <c r="O1350" s="596"/>
      <c r="P1350" s="592">
        <f>IFERROR(VLOOKUP($B1348,اسماء,30,0),0)</f>
        <v>0</v>
      </c>
      <c r="Q1350" s="595"/>
      <c r="R1350" s="372">
        <f t="shared" si="3654"/>
        <v>0</v>
      </c>
      <c r="S1350" s="305" t="str">
        <f>IFERROR(VLOOKUP($B1348,اسماء,34,0),"")</f>
        <v/>
      </c>
      <c r="T1350" s="306" t="str">
        <f>IFERROR(VLOOKUP($B1348,اسماء,35,0),"")</f>
        <v/>
      </c>
      <c r="U1350" s="122" t="str">
        <f>IFERROR(VLOOKUP($B1348,اسماء,36,0),"")</f>
        <v/>
      </c>
      <c r="V1350" s="605"/>
      <c r="W1350" s="20" t="str">
        <f t="shared" ref="W1350" si="3659">LOOKUP(R1350,$AF$6:$AG$10)</f>
        <v>ضعيف</v>
      </c>
      <c r="X1350" s="640"/>
      <c r="Y1350" s="68"/>
      <c r="Z1350" s="598"/>
      <c r="AK1350" s="667"/>
      <c r="AL1350" s="694"/>
      <c r="AM1350" s="696"/>
      <c r="AN1350" s="698"/>
      <c r="AO1350" s="699"/>
      <c r="AP1350" s="701"/>
    </row>
    <row r="1351" spans="1:42" ht="14.85" customHeight="1" thickBot="1" x14ac:dyDescent="0.3">
      <c r="A1351" s="612"/>
      <c r="B1351" s="615"/>
      <c r="C1351" s="618"/>
      <c r="D1351" s="621"/>
      <c r="E1351" s="124" t="s">
        <v>33</v>
      </c>
      <c r="F1351" s="623">
        <f>SUM(F1348:G1350)</f>
        <v>0</v>
      </c>
      <c r="G1351" s="624"/>
      <c r="H1351" s="625">
        <f>SUM(H1348:I1350)</f>
        <v>0</v>
      </c>
      <c r="I1351" s="626"/>
      <c r="J1351" s="623">
        <f>SUM(J1348:K1350)</f>
        <v>0</v>
      </c>
      <c r="K1351" s="624"/>
      <c r="L1351" s="625">
        <f>SUM(L1348:M1350)</f>
        <v>0</v>
      </c>
      <c r="M1351" s="642"/>
      <c r="N1351" s="625">
        <f>SUM(N1348:O1350)</f>
        <v>0</v>
      </c>
      <c r="O1351" s="642"/>
      <c r="P1351" s="623">
        <f>SUM(P1348:Q1350)</f>
        <v>0</v>
      </c>
      <c r="Q1351" s="626"/>
      <c r="R1351" s="88">
        <f t="shared" ref="R1351" si="3660">IF(AND(F1351&gt;=$G$8,H1351&gt;=$I$8,J1351&gt;=$K$8,L1351&gt;=$M$8,N1351&gt;=$O$8,P1351&gt;=$Q$8),SUM(F1351:Q1351),0)</f>
        <v>0</v>
      </c>
      <c r="S1351" s="251"/>
      <c r="T1351" s="97"/>
      <c r="U1351" s="94"/>
      <c r="V1351" s="606"/>
      <c r="W1351" s="88" t="str">
        <f t="shared" ref="W1351" si="3661">LOOKUP(R1351,$AI$6:$AJ$10)</f>
        <v>ضعيف</v>
      </c>
      <c r="X1351" s="641"/>
      <c r="Y1351" s="68"/>
      <c r="Z1351" s="599"/>
      <c r="AK1351" s="667"/>
      <c r="AL1351" s="694"/>
      <c r="AM1351" s="696"/>
      <c r="AN1351" s="698"/>
      <c r="AO1351" s="699"/>
      <c r="AP1351" s="702"/>
    </row>
    <row r="1352" spans="1:42" ht="14.85" customHeight="1" thickBot="1" x14ac:dyDescent="0.3">
      <c r="A1352" s="610">
        <v>293</v>
      </c>
      <c r="B1352" s="613">
        <f>VLOOKUP(A1352,مسلسل,2,0)</f>
        <v>0</v>
      </c>
      <c r="C1352" s="616" t="str">
        <f>IFERROR(VLOOKUP(B1352,اسماء,2,0),"")</f>
        <v/>
      </c>
      <c r="D1352" s="619" t="str">
        <f>IFERROR(VLOOKUP($B1352,اسماء,3,0),"")</f>
        <v/>
      </c>
      <c r="E1352" s="129" t="s">
        <v>30</v>
      </c>
      <c r="F1352" s="600">
        <f>IFERROR(VLOOKUP($B1352,اسماء,5,0),0)</f>
        <v>0</v>
      </c>
      <c r="G1352" s="601"/>
      <c r="H1352" s="602">
        <f>IFERROR(VLOOKUP($B1352,اسماء,6,0),0)</f>
        <v>0</v>
      </c>
      <c r="I1352" s="622"/>
      <c r="J1352" s="600">
        <f>IFERROR(VLOOKUP($B1352,اسماء,7,0),0)</f>
        <v>0</v>
      </c>
      <c r="K1352" s="601"/>
      <c r="L1352" s="602">
        <f>IFERROR(VLOOKUP($B1352,اسماء,8,0),0)</f>
        <v>0</v>
      </c>
      <c r="M1352" s="603"/>
      <c r="N1352" s="602">
        <f>IFERROR(VLOOKUP($B1352,اسماء,9,0),0)</f>
        <v>0</v>
      </c>
      <c r="O1352" s="603"/>
      <c r="P1352" s="600">
        <f>IFERROR(VLOOKUP($B1352,اسماء,10,0),0)</f>
        <v>0</v>
      </c>
      <c r="Q1352" s="622"/>
      <c r="R1352" s="371">
        <f t="shared" ref="R1352" si="3662">SUM(F1352:Q1352)</f>
        <v>0</v>
      </c>
      <c r="S1352" s="213" t="str">
        <f>IFERROR(VLOOKUP($B1352,اسماء,12,0),"")</f>
        <v/>
      </c>
      <c r="T1352" s="214" t="str">
        <f>IFERROR(VLOOKUP($B1352,اسماء,13,0),"")</f>
        <v/>
      </c>
      <c r="U1352" s="364" t="str">
        <f>IFERROR(VLOOKUP($B1352,اسماء,14,0),"")</f>
        <v/>
      </c>
      <c r="V1352" s="604" t="str">
        <f t="shared" ref="V1352" si="3663">IF(Z1352="غائب","راسب",IF(R1355&gt;0,"ناجح","مرحل"))</f>
        <v>مرحل</v>
      </c>
      <c r="W1352" s="19" t="str">
        <f t="shared" ref="W1352:W1353" si="3664">LOOKUP(R1352,$AC$6:$AD$10)</f>
        <v>ضعيف</v>
      </c>
      <c r="X1352" s="639">
        <f t="shared" ref="X1352" si="3665">R1355/$AC$3</f>
        <v>0</v>
      </c>
      <c r="Y1352" s="8"/>
      <c r="Z1352" s="597" t="str">
        <f>IFERROR(VLOOKUP($B1352,اسماء,48,0),"")</f>
        <v/>
      </c>
      <c r="AK1352" s="667" t="str">
        <f t="shared" ref="AK1352" si="3666">IF(R1355=0,"",R1355/1+ROW()*0.00001)</f>
        <v/>
      </c>
      <c r="AL1352" s="694">
        <f>B1352</f>
        <v>0</v>
      </c>
      <c r="AM1352" s="696"/>
      <c r="AN1352" s="698">
        <v>293</v>
      </c>
      <c r="AO1352" s="699" t="str">
        <f>IFERROR(LARGE($AK$10:$AK$1420,AN1352),"")</f>
        <v/>
      </c>
      <c r="AP1352" s="700" t="str">
        <f>VLOOKUP(AO1352,$AK$10:$AL$1530,2,0)</f>
        <v>امجد عمر عبداللطيف سلطان</v>
      </c>
    </row>
    <row r="1353" spans="1:42" ht="14.85" customHeight="1" x14ac:dyDescent="0.25">
      <c r="A1353" s="611"/>
      <c r="B1353" s="614"/>
      <c r="C1353" s="617"/>
      <c r="D1353" s="620"/>
      <c r="E1353" s="130" t="s">
        <v>31</v>
      </c>
      <c r="F1353" s="592">
        <f>IFERROR(VLOOKUP($B1352,اسماء,15,0),0)</f>
        <v>0</v>
      </c>
      <c r="G1353" s="593"/>
      <c r="H1353" s="594">
        <f>IFERROR(VLOOKUP($B1352,اسماء,16,0),0)</f>
        <v>0</v>
      </c>
      <c r="I1353" s="595"/>
      <c r="J1353" s="592">
        <f>IFERROR(VLOOKUP($B1352,اسماء,17,0),0)</f>
        <v>0</v>
      </c>
      <c r="K1353" s="593"/>
      <c r="L1353" s="594">
        <f>IFERROR(VLOOKUP($B1352,اسماء,18,0),0)</f>
        <v>0</v>
      </c>
      <c r="M1353" s="596"/>
      <c r="N1353" s="594">
        <f>IFERROR(VLOOKUP($B1352,اسماء,19,0),0)</f>
        <v>0</v>
      </c>
      <c r="O1353" s="596"/>
      <c r="P1353" s="592">
        <f>IFERROR(VLOOKUP($B1352,اسماء,20,0),0)</f>
        <v>0</v>
      </c>
      <c r="Q1353" s="595"/>
      <c r="R1353" s="372">
        <f t="shared" si="3654"/>
        <v>0</v>
      </c>
      <c r="S1353" s="305" t="str">
        <f>IFERROR(VLOOKUP($B1352,اسماء,23,0),"")</f>
        <v/>
      </c>
      <c r="T1353" s="306" t="str">
        <f>IFERROR(VLOOKUP($B1352,اسماء,24,0),"")</f>
        <v/>
      </c>
      <c r="U1353" s="122" t="str">
        <f>IFERROR(VLOOKUP($B1352,اسماء,25,0),"")</f>
        <v/>
      </c>
      <c r="V1353" s="605"/>
      <c r="W1353" s="19" t="str">
        <f t="shared" si="3664"/>
        <v>ضعيف</v>
      </c>
      <c r="X1353" s="640"/>
      <c r="Y1353" s="68"/>
      <c r="Z1353" s="598"/>
      <c r="AK1353" s="667"/>
      <c r="AL1353" s="694"/>
      <c r="AM1353" s="696"/>
      <c r="AN1353" s="698"/>
      <c r="AO1353" s="699"/>
      <c r="AP1353" s="701"/>
    </row>
    <row r="1354" spans="1:42" ht="14.85" customHeight="1" x14ac:dyDescent="0.25">
      <c r="A1354" s="611"/>
      <c r="B1354" s="614"/>
      <c r="C1354" s="617"/>
      <c r="D1354" s="620"/>
      <c r="E1354" s="130" t="s">
        <v>32</v>
      </c>
      <c r="F1354" s="592">
        <f>IFERROR(VLOOKUP($B1352,اسماء,25,0),0)</f>
        <v>0</v>
      </c>
      <c r="G1354" s="593"/>
      <c r="H1354" s="594">
        <f>IFERROR(VLOOKUP($B1352,اسماء,26,0),0)</f>
        <v>0</v>
      </c>
      <c r="I1354" s="595"/>
      <c r="J1354" s="592">
        <f>IFERROR(VLOOKUP($B1352,اسماء,27,0),0)</f>
        <v>0</v>
      </c>
      <c r="K1354" s="593"/>
      <c r="L1354" s="594">
        <f>IFERROR(VLOOKUP($B1352,اسماء,28,0),0)</f>
        <v>0</v>
      </c>
      <c r="M1354" s="596"/>
      <c r="N1354" s="594">
        <f>IFERROR(VLOOKUP($B1352,اسماء,29,0),0)</f>
        <v>0</v>
      </c>
      <c r="O1354" s="596"/>
      <c r="P1354" s="592">
        <f>IFERROR(VLOOKUP($B1352,اسماء,30,0),0)</f>
        <v>0</v>
      </c>
      <c r="Q1354" s="595"/>
      <c r="R1354" s="372">
        <f t="shared" si="3654"/>
        <v>0</v>
      </c>
      <c r="S1354" s="305" t="str">
        <f>IFERROR(VLOOKUP($B1352,اسماء,34,0),"")</f>
        <v/>
      </c>
      <c r="T1354" s="306" t="str">
        <f>IFERROR(VLOOKUP($B1352,اسماء,35,0),"")</f>
        <v/>
      </c>
      <c r="U1354" s="122" t="str">
        <f>IFERROR(VLOOKUP($B1352,اسماء,36,0),"")</f>
        <v/>
      </c>
      <c r="V1354" s="605"/>
      <c r="W1354" s="20" t="str">
        <f t="shared" ref="W1354" si="3667">LOOKUP(R1354,$AF$6:$AG$10)</f>
        <v>ضعيف</v>
      </c>
      <c r="X1354" s="640"/>
      <c r="Y1354" s="68"/>
      <c r="Z1354" s="598"/>
      <c r="AK1354" s="667"/>
      <c r="AL1354" s="694"/>
      <c r="AM1354" s="696"/>
      <c r="AN1354" s="698"/>
      <c r="AO1354" s="699"/>
      <c r="AP1354" s="701"/>
    </row>
    <row r="1355" spans="1:42" ht="14.85" customHeight="1" thickBot="1" x14ac:dyDescent="0.3">
      <c r="A1355" s="612"/>
      <c r="B1355" s="615"/>
      <c r="C1355" s="618"/>
      <c r="D1355" s="621"/>
      <c r="E1355" s="124" t="s">
        <v>33</v>
      </c>
      <c r="F1355" s="623">
        <f t="shared" ref="F1355" si="3668">SUM(F1352:G1354)</f>
        <v>0</v>
      </c>
      <c r="G1355" s="624"/>
      <c r="H1355" s="625">
        <f t="shared" ref="H1355" si="3669">SUM(H1352:I1354)</f>
        <v>0</v>
      </c>
      <c r="I1355" s="626"/>
      <c r="J1355" s="623">
        <f t="shared" ref="J1355" si="3670">SUM(J1352:K1354)</f>
        <v>0</v>
      </c>
      <c r="K1355" s="624"/>
      <c r="L1355" s="625">
        <f t="shared" ref="L1355" si="3671">SUM(L1352:M1354)</f>
        <v>0</v>
      </c>
      <c r="M1355" s="642"/>
      <c r="N1355" s="625">
        <f t="shared" ref="N1355" si="3672">SUM(N1352:O1354)</f>
        <v>0</v>
      </c>
      <c r="O1355" s="642"/>
      <c r="P1355" s="623">
        <f t="shared" ref="P1355" si="3673">SUM(P1352:Q1354)</f>
        <v>0</v>
      </c>
      <c r="Q1355" s="626"/>
      <c r="R1355" s="88">
        <f t="shared" ref="R1355" si="3674">IF(AND(F1355&gt;=$G$8,H1355&gt;=$I$8,J1355&gt;=$K$8,L1355&gt;=$M$8,N1355&gt;=$O$8,P1355&gt;=$Q$8),SUM(F1355:Q1355),0)</f>
        <v>0</v>
      </c>
      <c r="S1355" s="251"/>
      <c r="T1355" s="97"/>
      <c r="U1355" s="94"/>
      <c r="V1355" s="606"/>
      <c r="W1355" s="88" t="str">
        <f t="shared" ref="W1355" si="3675">LOOKUP(R1355,$AI$6:$AJ$10)</f>
        <v>ضعيف</v>
      </c>
      <c r="X1355" s="641"/>
      <c r="Y1355" s="8"/>
      <c r="Z1355" s="599"/>
      <c r="AK1355" s="667"/>
      <c r="AL1355" s="694"/>
      <c r="AM1355" s="696"/>
      <c r="AN1355" s="698"/>
      <c r="AO1355" s="699"/>
      <c r="AP1355" s="702"/>
    </row>
    <row r="1356" spans="1:42" ht="14.85" customHeight="1" thickBot="1" x14ac:dyDescent="0.3">
      <c r="A1356" s="610">
        <v>294</v>
      </c>
      <c r="B1356" s="613">
        <f>VLOOKUP(A1356,مسلسل,2,0)</f>
        <v>0</v>
      </c>
      <c r="C1356" s="616" t="str">
        <f>IFERROR(VLOOKUP(B1356,اسماء,2,0),"")</f>
        <v/>
      </c>
      <c r="D1356" s="619" t="str">
        <f>IFERROR(VLOOKUP($B1356,اسماء,3,0),"")</f>
        <v/>
      </c>
      <c r="E1356" s="129" t="s">
        <v>30</v>
      </c>
      <c r="F1356" s="600">
        <f>IFERROR(VLOOKUP($B1356,اسماء,5,0),0)</f>
        <v>0</v>
      </c>
      <c r="G1356" s="601"/>
      <c r="H1356" s="602">
        <f>IFERROR(VLOOKUP($B1356,اسماء,6,0),0)</f>
        <v>0</v>
      </c>
      <c r="I1356" s="622"/>
      <c r="J1356" s="600">
        <f>IFERROR(VLOOKUP($B1356,اسماء,7,0),0)</f>
        <v>0</v>
      </c>
      <c r="K1356" s="601"/>
      <c r="L1356" s="602">
        <f>IFERROR(VLOOKUP($B1356,اسماء,8,0),0)</f>
        <v>0</v>
      </c>
      <c r="M1356" s="603"/>
      <c r="N1356" s="602">
        <f>IFERROR(VLOOKUP($B1356,اسماء,9,0),0)</f>
        <v>0</v>
      </c>
      <c r="O1356" s="603"/>
      <c r="P1356" s="600">
        <f>IFERROR(VLOOKUP($B1356,اسماء,10,0),0)</f>
        <v>0</v>
      </c>
      <c r="Q1356" s="622"/>
      <c r="R1356" s="371">
        <f t="shared" ref="R1356" si="3676">SUM(F1356:Q1356)</f>
        <v>0</v>
      </c>
      <c r="S1356" s="213" t="str">
        <f>IFERROR(VLOOKUP($B1356,اسماء,12,0),"")</f>
        <v/>
      </c>
      <c r="T1356" s="214" t="str">
        <f>IFERROR(VLOOKUP($B1356,اسماء,13,0),"")</f>
        <v/>
      </c>
      <c r="U1356" s="364" t="str">
        <f>IFERROR(VLOOKUP($B1356,اسماء,14,0),"")</f>
        <v/>
      </c>
      <c r="V1356" s="604" t="str">
        <f t="shared" ref="V1356" si="3677">IF(Z1356="غائب","راسب",IF(R1359&gt;0,"ناجح","مرحل"))</f>
        <v>مرحل</v>
      </c>
      <c r="W1356" s="19" t="str">
        <f t="shared" ref="W1356:W1357" si="3678">LOOKUP(R1356,$AC$6:$AD$10)</f>
        <v>ضعيف</v>
      </c>
      <c r="X1356" s="639">
        <f t="shared" ref="X1356" si="3679">R1359/$AC$3</f>
        <v>0</v>
      </c>
      <c r="Y1356" s="68"/>
      <c r="Z1356" s="597" t="str">
        <f>IFERROR(VLOOKUP($B1356,اسماء,48,0),"")</f>
        <v/>
      </c>
      <c r="AK1356" s="667" t="str">
        <f t="shared" ref="AK1356" si="3680">IF(R1359=0,"",R1359/1+ROW()*0.00001)</f>
        <v/>
      </c>
      <c r="AL1356" s="694">
        <f>B1356</f>
        <v>0</v>
      </c>
      <c r="AM1356" s="696"/>
      <c r="AN1356" s="698">
        <v>294</v>
      </c>
      <c r="AO1356" s="699" t="str">
        <f>IFERROR(LARGE($AK$10:$AK$1420,AN1356),"")</f>
        <v/>
      </c>
      <c r="AP1356" s="700" t="str">
        <f>VLOOKUP(AO1356,$AK$10:$AL$1530,2,0)</f>
        <v>امجد عمر عبداللطيف سلطان</v>
      </c>
    </row>
    <row r="1357" spans="1:42" ht="14.85" customHeight="1" x14ac:dyDescent="0.25">
      <c r="A1357" s="611"/>
      <c r="B1357" s="614"/>
      <c r="C1357" s="617"/>
      <c r="D1357" s="620"/>
      <c r="E1357" s="130" t="s">
        <v>31</v>
      </c>
      <c r="F1357" s="592">
        <f>IFERROR(VLOOKUP($B1356,اسماء,15,0),0)</f>
        <v>0</v>
      </c>
      <c r="G1357" s="593"/>
      <c r="H1357" s="594">
        <f>IFERROR(VLOOKUP($B1356,اسماء,16,0),0)</f>
        <v>0</v>
      </c>
      <c r="I1357" s="595"/>
      <c r="J1357" s="592">
        <f>IFERROR(VLOOKUP($B1356,اسماء,17,0),0)</f>
        <v>0</v>
      </c>
      <c r="K1357" s="593"/>
      <c r="L1357" s="594">
        <f>IFERROR(VLOOKUP($B1356,اسماء,18,0),0)</f>
        <v>0</v>
      </c>
      <c r="M1357" s="596"/>
      <c r="N1357" s="594">
        <f>IFERROR(VLOOKUP($B1356,اسماء,19,0),0)</f>
        <v>0</v>
      </c>
      <c r="O1357" s="596"/>
      <c r="P1357" s="592">
        <f>IFERROR(VLOOKUP($B1356,اسماء,20,0),0)</f>
        <v>0</v>
      </c>
      <c r="Q1357" s="595"/>
      <c r="R1357" s="372">
        <f t="shared" si="3654"/>
        <v>0</v>
      </c>
      <c r="S1357" s="305" t="str">
        <f>IFERROR(VLOOKUP($B1356,اسماء,23,0),"")</f>
        <v/>
      </c>
      <c r="T1357" s="306" t="str">
        <f>IFERROR(VLOOKUP($B1356,اسماء,24,0),"")</f>
        <v/>
      </c>
      <c r="U1357" s="122" t="str">
        <f>IFERROR(VLOOKUP($B1356,اسماء,25,0),"")</f>
        <v/>
      </c>
      <c r="V1357" s="605"/>
      <c r="W1357" s="19" t="str">
        <f t="shared" si="3678"/>
        <v>ضعيف</v>
      </c>
      <c r="X1357" s="640"/>
      <c r="Y1357" s="68"/>
      <c r="Z1357" s="598"/>
      <c r="AK1357" s="667"/>
      <c r="AL1357" s="694"/>
      <c r="AM1357" s="696"/>
      <c r="AN1357" s="698"/>
      <c r="AO1357" s="699"/>
      <c r="AP1357" s="701"/>
    </row>
    <row r="1358" spans="1:42" ht="14.85" customHeight="1" x14ac:dyDescent="0.25">
      <c r="A1358" s="611"/>
      <c r="B1358" s="614"/>
      <c r="C1358" s="617"/>
      <c r="D1358" s="620"/>
      <c r="E1358" s="130" t="s">
        <v>32</v>
      </c>
      <c r="F1358" s="592">
        <f>IFERROR(VLOOKUP($B1356,اسماء,25,0),0)</f>
        <v>0</v>
      </c>
      <c r="G1358" s="593"/>
      <c r="H1358" s="594">
        <f>IFERROR(VLOOKUP($B1356,اسماء,26,0),0)</f>
        <v>0</v>
      </c>
      <c r="I1358" s="595"/>
      <c r="J1358" s="592">
        <f>IFERROR(VLOOKUP($B1356,اسماء,27,0),0)</f>
        <v>0</v>
      </c>
      <c r="K1358" s="593"/>
      <c r="L1358" s="594">
        <f>IFERROR(VLOOKUP($B1356,اسماء,28,0),0)</f>
        <v>0</v>
      </c>
      <c r="M1358" s="596"/>
      <c r="N1358" s="594">
        <f>IFERROR(VLOOKUP($B1356,اسماء,29,0),0)</f>
        <v>0</v>
      </c>
      <c r="O1358" s="596"/>
      <c r="P1358" s="592">
        <f>IFERROR(VLOOKUP($B1356,اسماء,30,0),0)</f>
        <v>0</v>
      </c>
      <c r="Q1358" s="595"/>
      <c r="R1358" s="372">
        <f t="shared" si="3654"/>
        <v>0</v>
      </c>
      <c r="S1358" s="305" t="str">
        <f>IFERROR(VLOOKUP($B1356,اسماء,34,0),"")</f>
        <v/>
      </c>
      <c r="T1358" s="306" t="str">
        <f>IFERROR(VLOOKUP($B1356,اسماء,35,0),"")</f>
        <v/>
      </c>
      <c r="U1358" s="122" t="str">
        <f>IFERROR(VLOOKUP($B1356,اسماء,36,0),"")</f>
        <v/>
      </c>
      <c r="V1358" s="605"/>
      <c r="W1358" s="20" t="str">
        <f t="shared" ref="W1358" si="3681">LOOKUP(R1358,$AF$6:$AG$10)</f>
        <v>ضعيف</v>
      </c>
      <c r="X1358" s="640"/>
      <c r="Y1358" s="8"/>
      <c r="Z1358" s="598"/>
      <c r="AK1358" s="667"/>
      <c r="AL1358" s="694"/>
      <c r="AM1358" s="696"/>
      <c r="AN1358" s="698"/>
      <c r="AO1358" s="699"/>
      <c r="AP1358" s="701"/>
    </row>
    <row r="1359" spans="1:42" ht="14.85" customHeight="1" thickBot="1" x14ac:dyDescent="0.3">
      <c r="A1359" s="612"/>
      <c r="B1359" s="615"/>
      <c r="C1359" s="618"/>
      <c r="D1359" s="621"/>
      <c r="E1359" s="124" t="s">
        <v>33</v>
      </c>
      <c r="F1359" s="623">
        <f t="shared" ref="F1359" si="3682">SUM(F1356:G1358)</f>
        <v>0</v>
      </c>
      <c r="G1359" s="624"/>
      <c r="H1359" s="625">
        <f t="shared" ref="H1359" si="3683">SUM(H1356:I1358)</f>
        <v>0</v>
      </c>
      <c r="I1359" s="626"/>
      <c r="J1359" s="623">
        <f t="shared" ref="J1359" si="3684">SUM(J1356:K1358)</f>
        <v>0</v>
      </c>
      <c r="K1359" s="624"/>
      <c r="L1359" s="625">
        <f t="shared" ref="L1359" si="3685">SUM(L1356:M1358)</f>
        <v>0</v>
      </c>
      <c r="M1359" s="642"/>
      <c r="N1359" s="625">
        <f t="shared" ref="N1359" si="3686">SUM(N1356:O1358)</f>
        <v>0</v>
      </c>
      <c r="O1359" s="642"/>
      <c r="P1359" s="623">
        <f t="shared" ref="P1359" si="3687">SUM(P1356:Q1358)</f>
        <v>0</v>
      </c>
      <c r="Q1359" s="626"/>
      <c r="R1359" s="88">
        <f t="shared" ref="R1359" si="3688">IF(AND(F1359&gt;=$G$8,H1359&gt;=$I$8,J1359&gt;=$K$8,L1359&gt;=$M$8,N1359&gt;=$O$8,P1359&gt;=$Q$8),SUM(F1359:Q1359),0)</f>
        <v>0</v>
      </c>
      <c r="S1359" s="251"/>
      <c r="T1359" s="97"/>
      <c r="U1359" s="94"/>
      <c r="V1359" s="606"/>
      <c r="W1359" s="88" t="str">
        <f t="shared" ref="W1359" si="3689">LOOKUP(R1359,$AI$6:$AJ$10)</f>
        <v>ضعيف</v>
      </c>
      <c r="X1359" s="641"/>
      <c r="Y1359" s="68"/>
      <c r="Z1359" s="599"/>
      <c r="AK1359" s="667"/>
      <c r="AL1359" s="694"/>
      <c r="AM1359" s="696"/>
      <c r="AN1359" s="698"/>
      <c r="AO1359" s="699"/>
      <c r="AP1359" s="702"/>
    </row>
    <row r="1360" spans="1:42" ht="14.85" customHeight="1" thickBot="1" x14ac:dyDescent="0.3">
      <c r="A1360" s="610">
        <v>295</v>
      </c>
      <c r="B1360" s="613">
        <f>VLOOKUP(A1360,مسلسل,2,0)</f>
        <v>0</v>
      </c>
      <c r="C1360" s="616" t="str">
        <f>IFERROR(VLOOKUP(B1360,اسماء,2,0),"")</f>
        <v/>
      </c>
      <c r="D1360" s="619" t="str">
        <f>IFERROR(VLOOKUP($B1360,اسماء,3,0),"")</f>
        <v/>
      </c>
      <c r="E1360" s="129" t="s">
        <v>30</v>
      </c>
      <c r="F1360" s="600">
        <f>IFERROR(VLOOKUP($B1360,اسماء,5,0),0)</f>
        <v>0</v>
      </c>
      <c r="G1360" s="601"/>
      <c r="H1360" s="602">
        <f>IFERROR(VLOOKUP($B1360,اسماء,6,0),0)</f>
        <v>0</v>
      </c>
      <c r="I1360" s="622"/>
      <c r="J1360" s="600">
        <f>IFERROR(VLOOKUP($B1360,اسماء,7,0),0)</f>
        <v>0</v>
      </c>
      <c r="K1360" s="601"/>
      <c r="L1360" s="602">
        <f>IFERROR(VLOOKUP($B1360,اسماء,8,0),0)</f>
        <v>0</v>
      </c>
      <c r="M1360" s="603"/>
      <c r="N1360" s="602">
        <f>IFERROR(VLOOKUP($B1360,اسماء,9,0),0)</f>
        <v>0</v>
      </c>
      <c r="O1360" s="603"/>
      <c r="P1360" s="600">
        <f>IFERROR(VLOOKUP($B1360,اسماء,10,0),0)</f>
        <v>0</v>
      </c>
      <c r="Q1360" s="622"/>
      <c r="R1360" s="371">
        <f t="shared" ref="R1360" si="3690">SUM(F1360:Q1360)</f>
        <v>0</v>
      </c>
      <c r="S1360" s="213" t="str">
        <f>IFERROR(VLOOKUP($B1360,اسماء,12,0),"")</f>
        <v/>
      </c>
      <c r="T1360" s="214" t="str">
        <f>IFERROR(VLOOKUP($B1360,اسماء,13,0),"")</f>
        <v/>
      </c>
      <c r="U1360" s="364" t="str">
        <f>IFERROR(VLOOKUP($B1360,اسماء,14,0),"")</f>
        <v/>
      </c>
      <c r="V1360" s="604" t="str">
        <f t="shared" ref="V1360" si="3691">IF(Z1360="غائب","راسب",IF(R1363&gt;0,"ناجح","مرحل"))</f>
        <v>مرحل</v>
      </c>
      <c r="W1360" s="19" t="str">
        <f t="shared" ref="W1360:W1361" si="3692">LOOKUP(R1360,$AC$6:$AD$10)</f>
        <v>ضعيف</v>
      </c>
      <c r="X1360" s="639">
        <f t="shared" ref="X1360" si="3693">R1363/$AC$3</f>
        <v>0</v>
      </c>
      <c r="Y1360" s="68"/>
      <c r="Z1360" s="597" t="str">
        <f>IFERROR(VLOOKUP($B1360,اسماء,48,0),"")</f>
        <v/>
      </c>
      <c r="AK1360" s="667" t="str">
        <f t="shared" ref="AK1360" si="3694">IF(R1363=0,"",R1363/1+ROW()*0.00001)</f>
        <v/>
      </c>
      <c r="AL1360" s="694">
        <f>B1360</f>
        <v>0</v>
      </c>
      <c r="AM1360" s="696"/>
      <c r="AN1360" s="698">
        <v>295</v>
      </c>
      <c r="AO1360" s="699" t="str">
        <f>IFERROR(LARGE($AK$10:$AK$1420,AN1360),"")</f>
        <v/>
      </c>
      <c r="AP1360" s="700" t="str">
        <f>VLOOKUP(AO1360,$AK$10:$AL$1530,2,0)</f>
        <v>امجد عمر عبداللطيف سلطان</v>
      </c>
    </row>
    <row r="1361" spans="1:42" ht="14.85" customHeight="1" x14ac:dyDescent="0.25">
      <c r="A1361" s="611"/>
      <c r="B1361" s="614"/>
      <c r="C1361" s="617"/>
      <c r="D1361" s="620"/>
      <c r="E1361" s="130" t="s">
        <v>31</v>
      </c>
      <c r="F1361" s="592">
        <f>IFERROR(VLOOKUP($B1360,اسماء,15,0),0)</f>
        <v>0</v>
      </c>
      <c r="G1361" s="593"/>
      <c r="H1361" s="594">
        <f>IFERROR(VLOOKUP($B1360,اسماء,16,0),0)</f>
        <v>0</v>
      </c>
      <c r="I1361" s="595"/>
      <c r="J1361" s="592">
        <f>IFERROR(VLOOKUP($B1360,اسماء,17,0),0)</f>
        <v>0</v>
      </c>
      <c r="K1361" s="593"/>
      <c r="L1361" s="594">
        <f>IFERROR(VLOOKUP($B1360,اسماء,18,0),0)</f>
        <v>0</v>
      </c>
      <c r="M1361" s="596"/>
      <c r="N1361" s="594">
        <f>IFERROR(VLOOKUP($B1360,اسماء,19,0),0)</f>
        <v>0</v>
      </c>
      <c r="O1361" s="596"/>
      <c r="P1361" s="592">
        <f>IFERROR(VLOOKUP($B1360,اسماء,20,0),0)</f>
        <v>0</v>
      </c>
      <c r="Q1361" s="595"/>
      <c r="R1361" s="372">
        <f t="shared" si="3654"/>
        <v>0</v>
      </c>
      <c r="S1361" s="305" t="str">
        <f>IFERROR(VLOOKUP($B1360,اسماء,23,0),"")</f>
        <v/>
      </c>
      <c r="T1361" s="306" t="str">
        <f>IFERROR(VLOOKUP($B1360,اسماء,24,0),"")</f>
        <v/>
      </c>
      <c r="U1361" s="122" t="str">
        <f>IFERROR(VLOOKUP($B1360,اسماء,25,0),"")</f>
        <v/>
      </c>
      <c r="V1361" s="605"/>
      <c r="W1361" s="19" t="str">
        <f t="shared" si="3692"/>
        <v>ضعيف</v>
      </c>
      <c r="X1361" s="640"/>
      <c r="Y1361" s="8"/>
      <c r="Z1361" s="598"/>
      <c r="AK1361" s="667"/>
      <c r="AL1361" s="694"/>
      <c r="AM1361" s="696"/>
      <c r="AN1361" s="698"/>
      <c r="AO1361" s="699"/>
      <c r="AP1361" s="701"/>
    </row>
    <row r="1362" spans="1:42" ht="14.85" customHeight="1" x14ac:dyDescent="0.25">
      <c r="A1362" s="611"/>
      <c r="B1362" s="614"/>
      <c r="C1362" s="617"/>
      <c r="D1362" s="620"/>
      <c r="E1362" s="130" t="s">
        <v>32</v>
      </c>
      <c r="F1362" s="592">
        <f>IFERROR(VLOOKUP($B1360,اسماء,25,0),0)</f>
        <v>0</v>
      </c>
      <c r="G1362" s="593"/>
      <c r="H1362" s="594">
        <f>IFERROR(VLOOKUP($B1360,اسماء,26,0),0)</f>
        <v>0</v>
      </c>
      <c r="I1362" s="595"/>
      <c r="J1362" s="592">
        <f>IFERROR(VLOOKUP($B1360,اسماء,27,0),0)</f>
        <v>0</v>
      </c>
      <c r="K1362" s="593"/>
      <c r="L1362" s="594">
        <f>IFERROR(VLOOKUP($B1360,اسماء,28,0),0)</f>
        <v>0</v>
      </c>
      <c r="M1362" s="596"/>
      <c r="N1362" s="594">
        <f>IFERROR(VLOOKUP($B1360,اسماء,29,0),0)</f>
        <v>0</v>
      </c>
      <c r="O1362" s="596"/>
      <c r="P1362" s="592">
        <f>IFERROR(VLOOKUP($B1360,اسماء,30,0),0)</f>
        <v>0</v>
      </c>
      <c r="Q1362" s="595"/>
      <c r="R1362" s="372">
        <f t="shared" si="3654"/>
        <v>0</v>
      </c>
      <c r="S1362" s="305" t="str">
        <f>IFERROR(VLOOKUP($B1360,اسماء,34,0),"")</f>
        <v/>
      </c>
      <c r="T1362" s="306" t="str">
        <f>IFERROR(VLOOKUP($B1360,اسماء,35,0),"")</f>
        <v/>
      </c>
      <c r="U1362" s="122" t="str">
        <f>IFERROR(VLOOKUP($B1360,اسماء,36,0),"")</f>
        <v/>
      </c>
      <c r="V1362" s="605"/>
      <c r="W1362" s="20" t="str">
        <f t="shared" ref="W1362" si="3695">LOOKUP(R1362,$AF$6:$AG$10)</f>
        <v>ضعيف</v>
      </c>
      <c r="X1362" s="640"/>
      <c r="Y1362" s="68"/>
      <c r="Z1362" s="598"/>
      <c r="AK1362" s="667"/>
      <c r="AL1362" s="694"/>
      <c r="AM1362" s="696"/>
      <c r="AN1362" s="698"/>
      <c r="AO1362" s="699"/>
      <c r="AP1362" s="701"/>
    </row>
    <row r="1363" spans="1:42" ht="14.85" customHeight="1" thickBot="1" x14ac:dyDescent="0.3">
      <c r="A1363" s="612"/>
      <c r="B1363" s="615"/>
      <c r="C1363" s="618"/>
      <c r="D1363" s="621"/>
      <c r="E1363" s="124" t="s">
        <v>33</v>
      </c>
      <c r="F1363" s="623">
        <f t="shared" ref="F1363" si="3696">SUM(F1360:G1362)</f>
        <v>0</v>
      </c>
      <c r="G1363" s="624"/>
      <c r="H1363" s="625">
        <f t="shared" ref="H1363" si="3697">SUM(H1360:I1362)</f>
        <v>0</v>
      </c>
      <c r="I1363" s="626"/>
      <c r="J1363" s="623">
        <f t="shared" ref="J1363" si="3698">SUM(J1360:K1362)</f>
        <v>0</v>
      </c>
      <c r="K1363" s="624"/>
      <c r="L1363" s="625">
        <f t="shared" ref="L1363" si="3699">SUM(L1360:M1362)</f>
        <v>0</v>
      </c>
      <c r="M1363" s="642"/>
      <c r="N1363" s="625">
        <f t="shared" ref="N1363" si="3700">SUM(N1360:O1362)</f>
        <v>0</v>
      </c>
      <c r="O1363" s="642"/>
      <c r="P1363" s="623">
        <f t="shared" ref="P1363" si="3701">SUM(P1360:Q1362)</f>
        <v>0</v>
      </c>
      <c r="Q1363" s="626"/>
      <c r="R1363" s="88">
        <f t="shared" ref="R1363" si="3702">IF(AND(F1363&gt;=$G$8,H1363&gt;=$I$8,J1363&gt;=$K$8,L1363&gt;=$M$8,N1363&gt;=$O$8,P1363&gt;=$Q$8),SUM(F1363:Q1363),0)</f>
        <v>0</v>
      </c>
      <c r="S1363" s="251"/>
      <c r="T1363" s="97"/>
      <c r="U1363" s="94"/>
      <c r="V1363" s="606"/>
      <c r="W1363" s="88" t="str">
        <f t="shared" ref="W1363" si="3703">LOOKUP(R1363,$AI$6:$AJ$10)</f>
        <v>ضعيف</v>
      </c>
      <c r="X1363" s="641"/>
      <c r="Y1363" s="68"/>
      <c r="Z1363" s="599"/>
      <c r="AK1363" s="667"/>
      <c r="AL1363" s="694"/>
      <c r="AM1363" s="696"/>
      <c r="AN1363" s="698"/>
      <c r="AO1363" s="699"/>
      <c r="AP1363" s="702"/>
    </row>
    <row r="1364" spans="1:42" ht="14.85" customHeight="1" thickBot="1" x14ac:dyDescent="0.3">
      <c r="A1364" s="610">
        <v>296</v>
      </c>
      <c r="B1364" s="613">
        <f>VLOOKUP(A1364,مسلسل,2,0)</f>
        <v>0</v>
      </c>
      <c r="C1364" s="616" t="str">
        <f>IFERROR(VLOOKUP(B1364,اسماء,2,0),"")</f>
        <v/>
      </c>
      <c r="D1364" s="619" t="str">
        <f>IFERROR(VLOOKUP($B1364,اسماء,3,0),"")</f>
        <v/>
      </c>
      <c r="E1364" s="129" t="s">
        <v>30</v>
      </c>
      <c r="F1364" s="600">
        <f>IFERROR(VLOOKUP($B1364,اسماء,5,0),0)</f>
        <v>0</v>
      </c>
      <c r="G1364" s="601"/>
      <c r="H1364" s="602">
        <f>IFERROR(VLOOKUP($B1364,اسماء,6,0),0)</f>
        <v>0</v>
      </c>
      <c r="I1364" s="622"/>
      <c r="J1364" s="600">
        <f>IFERROR(VLOOKUP($B1364,اسماء,7,0),0)</f>
        <v>0</v>
      </c>
      <c r="K1364" s="601"/>
      <c r="L1364" s="602">
        <f>IFERROR(VLOOKUP($B1364,اسماء,8,0),0)</f>
        <v>0</v>
      </c>
      <c r="M1364" s="603"/>
      <c r="N1364" s="602">
        <f>IFERROR(VLOOKUP($B1364,اسماء,9,0),0)</f>
        <v>0</v>
      </c>
      <c r="O1364" s="603"/>
      <c r="P1364" s="600">
        <f>IFERROR(VLOOKUP($B1364,اسماء,10,0),0)</f>
        <v>0</v>
      </c>
      <c r="Q1364" s="622"/>
      <c r="R1364" s="371">
        <f t="shared" ref="R1364" si="3704">SUM(F1364:Q1364)</f>
        <v>0</v>
      </c>
      <c r="S1364" s="213" t="str">
        <f>IFERROR(VLOOKUP($B1364,اسماء,12,0),"")</f>
        <v/>
      </c>
      <c r="T1364" s="214" t="str">
        <f>IFERROR(VLOOKUP($B1364,اسماء,13,0),"")</f>
        <v/>
      </c>
      <c r="U1364" s="364" t="str">
        <f>IFERROR(VLOOKUP($B1364,اسماء,14,0),"")</f>
        <v/>
      </c>
      <c r="V1364" s="604" t="str">
        <f t="shared" ref="V1364" si="3705">IF(Z1364="غائب","راسب",IF(R1367&gt;0,"ناجح","مرحل"))</f>
        <v>مرحل</v>
      </c>
      <c r="W1364" s="19" t="str">
        <f t="shared" ref="W1364:W1365" si="3706">LOOKUP(R1364,$AC$6:$AD$10)</f>
        <v>ضعيف</v>
      </c>
      <c r="X1364" s="639">
        <f t="shared" ref="X1364" si="3707">R1367/$AC$3</f>
        <v>0</v>
      </c>
      <c r="Y1364" s="8"/>
      <c r="Z1364" s="597" t="str">
        <f>IFERROR(VLOOKUP($B1364,اسماء,48,0),"")</f>
        <v/>
      </c>
      <c r="AK1364" s="667" t="str">
        <f t="shared" ref="AK1364" si="3708">IF(R1367=0,"",R1367/1+ROW()*0.00001)</f>
        <v/>
      </c>
      <c r="AL1364" s="694">
        <f>B1364</f>
        <v>0</v>
      </c>
      <c r="AM1364" s="696"/>
      <c r="AN1364" s="698">
        <v>296</v>
      </c>
      <c r="AO1364" s="699" t="str">
        <f>IFERROR(LARGE($AK$10:$AK$1420,AN1364),"")</f>
        <v/>
      </c>
      <c r="AP1364" s="700" t="str">
        <f>VLOOKUP(AO1364,$AK$10:$AL$1530,2,0)</f>
        <v>امجد عمر عبداللطيف سلطان</v>
      </c>
    </row>
    <row r="1365" spans="1:42" ht="14.85" customHeight="1" x14ac:dyDescent="0.25">
      <c r="A1365" s="611"/>
      <c r="B1365" s="614"/>
      <c r="C1365" s="617"/>
      <c r="D1365" s="620"/>
      <c r="E1365" s="130" t="s">
        <v>31</v>
      </c>
      <c r="F1365" s="592">
        <f>IFERROR(VLOOKUP($B1364,اسماء,15,0),0)</f>
        <v>0</v>
      </c>
      <c r="G1365" s="593"/>
      <c r="H1365" s="594">
        <f>IFERROR(VLOOKUP($B1364,اسماء,16,0),0)</f>
        <v>0</v>
      </c>
      <c r="I1365" s="595"/>
      <c r="J1365" s="592">
        <f>IFERROR(VLOOKUP($B1364,اسماء,17,0),0)</f>
        <v>0</v>
      </c>
      <c r="K1365" s="593"/>
      <c r="L1365" s="594">
        <f>IFERROR(VLOOKUP($B1364,اسماء,18,0),0)</f>
        <v>0</v>
      </c>
      <c r="M1365" s="596"/>
      <c r="N1365" s="594">
        <f>IFERROR(VLOOKUP($B1364,اسماء,19,0),0)</f>
        <v>0</v>
      </c>
      <c r="O1365" s="596"/>
      <c r="P1365" s="592">
        <f>IFERROR(VLOOKUP($B1364,اسماء,20,0),0)</f>
        <v>0</v>
      </c>
      <c r="Q1365" s="595"/>
      <c r="R1365" s="372">
        <f t="shared" si="3654"/>
        <v>0</v>
      </c>
      <c r="S1365" s="305" t="str">
        <f>IFERROR(VLOOKUP($B1364,اسماء,23,0),"")</f>
        <v/>
      </c>
      <c r="T1365" s="306" t="str">
        <f>IFERROR(VLOOKUP($B1364,اسماء,24,0),"")</f>
        <v/>
      </c>
      <c r="U1365" s="122" t="str">
        <f>IFERROR(VLOOKUP($B1364,اسماء,25,0),"")</f>
        <v/>
      </c>
      <c r="V1365" s="605"/>
      <c r="W1365" s="19" t="str">
        <f t="shared" si="3706"/>
        <v>ضعيف</v>
      </c>
      <c r="X1365" s="640"/>
      <c r="Y1365" s="68"/>
      <c r="Z1365" s="598"/>
      <c r="AK1365" s="667"/>
      <c r="AL1365" s="694"/>
      <c r="AM1365" s="696"/>
      <c r="AN1365" s="698"/>
      <c r="AO1365" s="699"/>
      <c r="AP1365" s="701"/>
    </row>
    <row r="1366" spans="1:42" ht="14.85" customHeight="1" x14ac:dyDescent="0.25">
      <c r="A1366" s="611"/>
      <c r="B1366" s="614"/>
      <c r="C1366" s="617"/>
      <c r="D1366" s="620"/>
      <c r="E1366" s="130" t="s">
        <v>32</v>
      </c>
      <c r="F1366" s="592">
        <f>IFERROR(VLOOKUP($B1364,اسماء,25,0),0)</f>
        <v>0</v>
      </c>
      <c r="G1366" s="593"/>
      <c r="H1366" s="594">
        <f>IFERROR(VLOOKUP($B1364,اسماء,26,0),0)</f>
        <v>0</v>
      </c>
      <c r="I1366" s="595"/>
      <c r="J1366" s="592">
        <f>IFERROR(VLOOKUP($B1364,اسماء,27,0),0)</f>
        <v>0</v>
      </c>
      <c r="K1366" s="593"/>
      <c r="L1366" s="594">
        <f>IFERROR(VLOOKUP($B1364,اسماء,28,0),0)</f>
        <v>0</v>
      </c>
      <c r="M1366" s="596"/>
      <c r="N1366" s="594">
        <f>IFERROR(VLOOKUP($B1364,اسماء,29,0),0)</f>
        <v>0</v>
      </c>
      <c r="O1366" s="596"/>
      <c r="P1366" s="592">
        <f>IFERROR(VLOOKUP($B1364,اسماء,30,0),0)</f>
        <v>0</v>
      </c>
      <c r="Q1366" s="595"/>
      <c r="R1366" s="372">
        <f t="shared" si="3654"/>
        <v>0</v>
      </c>
      <c r="S1366" s="305" t="str">
        <f>IFERROR(VLOOKUP($B1364,اسماء,34,0),"")</f>
        <v/>
      </c>
      <c r="T1366" s="306" t="str">
        <f>IFERROR(VLOOKUP($B1364,اسماء,35,0),"")</f>
        <v/>
      </c>
      <c r="U1366" s="122" t="str">
        <f>IFERROR(VLOOKUP($B1364,اسماء,36,0),"")</f>
        <v/>
      </c>
      <c r="V1366" s="605"/>
      <c r="W1366" s="20" t="str">
        <f t="shared" ref="W1366" si="3709">LOOKUP(R1366,$AF$6:$AG$10)</f>
        <v>ضعيف</v>
      </c>
      <c r="X1366" s="640"/>
      <c r="Y1366" s="68"/>
      <c r="Z1366" s="598"/>
      <c r="AK1366" s="667"/>
      <c r="AL1366" s="694"/>
      <c r="AM1366" s="696"/>
      <c r="AN1366" s="698"/>
      <c r="AO1366" s="699"/>
      <c r="AP1366" s="701"/>
    </row>
    <row r="1367" spans="1:42" ht="14.85" customHeight="1" thickBot="1" x14ac:dyDescent="0.3">
      <c r="A1367" s="612"/>
      <c r="B1367" s="615"/>
      <c r="C1367" s="618"/>
      <c r="D1367" s="621"/>
      <c r="E1367" s="124" t="s">
        <v>33</v>
      </c>
      <c r="F1367" s="623">
        <f t="shared" ref="F1367" si="3710">SUM(F1364:G1366)</f>
        <v>0</v>
      </c>
      <c r="G1367" s="624"/>
      <c r="H1367" s="625">
        <f t="shared" ref="H1367" si="3711">SUM(H1364:I1366)</f>
        <v>0</v>
      </c>
      <c r="I1367" s="626"/>
      <c r="J1367" s="623">
        <f t="shared" ref="J1367" si="3712">SUM(J1364:K1366)</f>
        <v>0</v>
      </c>
      <c r="K1367" s="624"/>
      <c r="L1367" s="625">
        <f t="shared" ref="L1367" si="3713">SUM(L1364:M1366)</f>
        <v>0</v>
      </c>
      <c r="M1367" s="642"/>
      <c r="N1367" s="625">
        <f t="shared" ref="N1367" si="3714">SUM(N1364:O1366)</f>
        <v>0</v>
      </c>
      <c r="O1367" s="642"/>
      <c r="P1367" s="623">
        <f t="shared" ref="P1367" si="3715">SUM(P1364:Q1366)</f>
        <v>0</v>
      </c>
      <c r="Q1367" s="626"/>
      <c r="R1367" s="88">
        <f t="shared" ref="R1367" si="3716">IF(AND(F1367&gt;=$G$8,H1367&gt;=$I$8,J1367&gt;=$K$8,L1367&gt;=$M$8,N1367&gt;=$O$8,P1367&gt;=$Q$8),SUM(F1367:Q1367),0)</f>
        <v>0</v>
      </c>
      <c r="S1367" s="251"/>
      <c r="T1367" s="97"/>
      <c r="U1367" s="94"/>
      <c r="V1367" s="606"/>
      <c r="W1367" s="88" t="str">
        <f t="shared" ref="W1367" si="3717">LOOKUP(R1367,$AI$6:$AJ$10)</f>
        <v>ضعيف</v>
      </c>
      <c r="X1367" s="641"/>
      <c r="Y1367" s="8"/>
      <c r="Z1367" s="599"/>
      <c r="AK1367" s="667"/>
      <c r="AL1367" s="694"/>
      <c r="AM1367" s="696"/>
      <c r="AN1367" s="698"/>
      <c r="AO1367" s="699"/>
      <c r="AP1367" s="702"/>
    </row>
    <row r="1368" spans="1:42" ht="14.85" customHeight="1" thickBot="1" x14ac:dyDescent="0.3">
      <c r="A1368" s="610">
        <v>297</v>
      </c>
      <c r="B1368" s="613">
        <f>VLOOKUP(A1368,مسلسل,2,0)</f>
        <v>0</v>
      </c>
      <c r="C1368" s="616" t="str">
        <f>IFERROR(VLOOKUP(B1368,اسماء,2,0),"")</f>
        <v/>
      </c>
      <c r="D1368" s="619" t="str">
        <f>IFERROR(VLOOKUP($B1368,اسماء,3,0),"")</f>
        <v/>
      </c>
      <c r="E1368" s="129" t="s">
        <v>30</v>
      </c>
      <c r="F1368" s="600">
        <f>IFERROR(VLOOKUP($B1368,اسماء,5,0),0)</f>
        <v>0</v>
      </c>
      <c r="G1368" s="601"/>
      <c r="H1368" s="602">
        <f>IFERROR(VLOOKUP($B1368,اسماء,6,0),0)</f>
        <v>0</v>
      </c>
      <c r="I1368" s="622"/>
      <c r="J1368" s="600">
        <f>IFERROR(VLOOKUP($B1368,اسماء,7,0),0)</f>
        <v>0</v>
      </c>
      <c r="K1368" s="601"/>
      <c r="L1368" s="602">
        <f>IFERROR(VLOOKUP($B1368,اسماء,8,0),0)</f>
        <v>0</v>
      </c>
      <c r="M1368" s="603"/>
      <c r="N1368" s="602">
        <f>IFERROR(VLOOKUP($B1368,اسماء,9,0),0)</f>
        <v>0</v>
      </c>
      <c r="O1368" s="603"/>
      <c r="P1368" s="600">
        <f>IFERROR(VLOOKUP($B1368,اسماء,10,0),0)</f>
        <v>0</v>
      </c>
      <c r="Q1368" s="622"/>
      <c r="R1368" s="371">
        <f t="shared" ref="R1368" si="3718">SUM(F1368:Q1368)</f>
        <v>0</v>
      </c>
      <c r="S1368" s="213" t="str">
        <f>IFERROR(VLOOKUP($B1368,اسماء,12,0),"")</f>
        <v/>
      </c>
      <c r="T1368" s="214" t="str">
        <f>IFERROR(VLOOKUP($B1368,اسماء,13,0),"")</f>
        <v/>
      </c>
      <c r="U1368" s="364" t="str">
        <f>IFERROR(VLOOKUP($B1368,اسماء,14,0),"")</f>
        <v/>
      </c>
      <c r="V1368" s="604" t="str">
        <f t="shared" ref="V1368" si="3719">IF(Z1368="غائب","راسب",IF(R1371&gt;0,"ناجح","مرحل"))</f>
        <v>مرحل</v>
      </c>
      <c r="W1368" s="19" t="str">
        <f t="shared" ref="W1368:W1369" si="3720">LOOKUP(R1368,$AC$6:$AD$10)</f>
        <v>ضعيف</v>
      </c>
      <c r="X1368" s="639">
        <f t="shared" ref="X1368" si="3721">R1371/$AC$3</f>
        <v>0</v>
      </c>
      <c r="Y1368" s="68"/>
      <c r="Z1368" s="597" t="str">
        <f>IFERROR(VLOOKUP($B1368,اسماء,48,0),"")</f>
        <v/>
      </c>
      <c r="AK1368" s="667" t="str">
        <f t="shared" ref="AK1368" si="3722">IF(R1371=0,"",R1371/1+ROW()*0.00001)</f>
        <v/>
      </c>
      <c r="AL1368" s="694">
        <f>B1368</f>
        <v>0</v>
      </c>
      <c r="AM1368" s="696"/>
      <c r="AN1368" s="698">
        <v>297</v>
      </c>
      <c r="AO1368" s="699" t="str">
        <f>IFERROR(LARGE($AK$10:$AK$1420,AN1368),"")</f>
        <v/>
      </c>
      <c r="AP1368" s="700" t="str">
        <f>VLOOKUP(AO1368,$AK$10:$AL$1530,2,0)</f>
        <v>امجد عمر عبداللطيف سلطان</v>
      </c>
    </row>
    <row r="1369" spans="1:42" ht="14.85" customHeight="1" x14ac:dyDescent="0.25">
      <c r="A1369" s="611"/>
      <c r="B1369" s="614"/>
      <c r="C1369" s="617"/>
      <c r="D1369" s="620"/>
      <c r="E1369" s="130" t="s">
        <v>31</v>
      </c>
      <c r="F1369" s="592">
        <f>IFERROR(VLOOKUP($B1368,اسماء,15,0),0)</f>
        <v>0</v>
      </c>
      <c r="G1369" s="593"/>
      <c r="H1369" s="594">
        <f>IFERROR(VLOOKUP($B1368,اسماء,16,0),0)</f>
        <v>0</v>
      </c>
      <c r="I1369" s="595"/>
      <c r="J1369" s="592">
        <f>IFERROR(VLOOKUP($B1368,اسماء,17,0),0)</f>
        <v>0</v>
      </c>
      <c r="K1369" s="593"/>
      <c r="L1369" s="594">
        <f>IFERROR(VLOOKUP($B1368,اسماء,18,0),0)</f>
        <v>0</v>
      </c>
      <c r="M1369" s="596"/>
      <c r="N1369" s="594">
        <f>IFERROR(VLOOKUP($B1368,اسماء,19,0),0)</f>
        <v>0</v>
      </c>
      <c r="O1369" s="596"/>
      <c r="P1369" s="592">
        <f>IFERROR(VLOOKUP($B1368,اسماء,20,0),0)</f>
        <v>0</v>
      </c>
      <c r="Q1369" s="595"/>
      <c r="R1369" s="372">
        <f t="shared" si="3654"/>
        <v>0</v>
      </c>
      <c r="S1369" s="305" t="str">
        <f>IFERROR(VLOOKUP($B1368,اسماء,23,0),"")</f>
        <v/>
      </c>
      <c r="T1369" s="306" t="str">
        <f>IFERROR(VLOOKUP($B1368,اسماء,24,0),"")</f>
        <v/>
      </c>
      <c r="U1369" s="122" t="str">
        <f>IFERROR(VLOOKUP($B1368,اسماء,25,0),"")</f>
        <v/>
      </c>
      <c r="V1369" s="605"/>
      <c r="W1369" s="19" t="str">
        <f t="shared" si="3720"/>
        <v>ضعيف</v>
      </c>
      <c r="X1369" s="640"/>
      <c r="Y1369" s="68"/>
      <c r="Z1369" s="598"/>
      <c r="AK1369" s="667"/>
      <c r="AL1369" s="694"/>
      <c r="AM1369" s="696"/>
      <c r="AN1369" s="698"/>
      <c r="AO1369" s="699"/>
      <c r="AP1369" s="701"/>
    </row>
    <row r="1370" spans="1:42" ht="14.85" customHeight="1" x14ac:dyDescent="0.25">
      <c r="A1370" s="611"/>
      <c r="B1370" s="614"/>
      <c r="C1370" s="617"/>
      <c r="D1370" s="620"/>
      <c r="E1370" s="130" t="s">
        <v>32</v>
      </c>
      <c r="F1370" s="592">
        <f>IFERROR(VLOOKUP($B1368,اسماء,25,0),0)</f>
        <v>0</v>
      </c>
      <c r="G1370" s="593"/>
      <c r="H1370" s="594">
        <f>IFERROR(VLOOKUP($B1368,اسماء,26,0),0)</f>
        <v>0</v>
      </c>
      <c r="I1370" s="595"/>
      <c r="J1370" s="592">
        <f>IFERROR(VLOOKUP($B1368,اسماء,27,0),0)</f>
        <v>0</v>
      </c>
      <c r="K1370" s="593"/>
      <c r="L1370" s="594">
        <f>IFERROR(VLOOKUP($B1368,اسماء,28,0),0)</f>
        <v>0</v>
      </c>
      <c r="M1370" s="596"/>
      <c r="N1370" s="594">
        <f>IFERROR(VLOOKUP($B1368,اسماء,29,0),0)</f>
        <v>0</v>
      </c>
      <c r="O1370" s="596"/>
      <c r="P1370" s="592">
        <f>IFERROR(VLOOKUP($B1368,اسماء,30,0),0)</f>
        <v>0</v>
      </c>
      <c r="Q1370" s="595"/>
      <c r="R1370" s="372">
        <f t="shared" si="3654"/>
        <v>0</v>
      </c>
      <c r="S1370" s="305" t="str">
        <f>IFERROR(VLOOKUP($B1368,اسماء,34,0),"")</f>
        <v/>
      </c>
      <c r="T1370" s="306" t="str">
        <f>IFERROR(VLOOKUP($B1368,اسماء,35,0),"")</f>
        <v/>
      </c>
      <c r="U1370" s="122" t="str">
        <f>IFERROR(VLOOKUP($B1368,اسماء,36,0),"")</f>
        <v/>
      </c>
      <c r="V1370" s="605"/>
      <c r="W1370" s="20" t="str">
        <f t="shared" ref="W1370" si="3723">LOOKUP(R1370,$AF$6:$AG$10)</f>
        <v>ضعيف</v>
      </c>
      <c r="X1370" s="640"/>
      <c r="Y1370" s="8"/>
      <c r="Z1370" s="598"/>
      <c r="AK1370" s="667"/>
      <c r="AL1370" s="694"/>
      <c r="AM1370" s="696"/>
      <c r="AN1370" s="698"/>
      <c r="AO1370" s="699"/>
      <c r="AP1370" s="701"/>
    </row>
    <row r="1371" spans="1:42" ht="14.85" customHeight="1" thickBot="1" x14ac:dyDescent="0.3">
      <c r="A1371" s="612"/>
      <c r="B1371" s="615"/>
      <c r="C1371" s="618"/>
      <c r="D1371" s="621"/>
      <c r="E1371" s="124" t="s">
        <v>33</v>
      </c>
      <c r="F1371" s="623">
        <f t="shared" ref="F1371" si="3724">SUM(F1368:G1370)</f>
        <v>0</v>
      </c>
      <c r="G1371" s="624"/>
      <c r="H1371" s="625">
        <f t="shared" ref="H1371" si="3725">SUM(H1368:I1370)</f>
        <v>0</v>
      </c>
      <c r="I1371" s="626"/>
      <c r="J1371" s="623">
        <f t="shared" ref="J1371" si="3726">SUM(J1368:K1370)</f>
        <v>0</v>
      </c>
      <c r="K1371" s="624"/>
      <c r="L1371" s="625">
        <f t="shared" ref="L1371" si="3727">SUM(L1368:M1370)</f>
        <v>0</v>
      </c>
      <c r="M1371" s="642"/>
      <c r="N1371" s="625">
        <f t="shared" ref="N1371" si="3728">SUM(N1368:O1370)</f>
        <v>0</v>
      </c>
      <c r="O1371" s="642"/>
      <c r="P1371" s="623">
        <f t="shared" ref="P1371" si="3729">SUM(P1368:Q1370)</f>
        <v>0</v>
      </c>
      <c r="Q1371" s="626"/>
      <c r="R1371" s="88">
        <f t="shared" ref="R1371" si="3730">IF(AND(F1371&gt;=$G$8,H1371&gt;=$I$8,J1371&gt;=$K$8,L1371&gt;=$M$8,N1371&gt;=$O$8,P1371&gt;=$Q$8),SUM(F1371:Q1371),0)</f>
        <v>0</v>
      </c>
      <c r="S1371" s="251"/>
      <c r="T1371" s="97"/>
      <c r="U1371" s="94"/>
      <c r="V1371" s="606"/>
      <c r="W1371" s="88" t="str">
        <f t="shared" ref="W1371" si="3731">LOOKUP(R1371,$AI$6:$AJ$10)</f>
        <v>ضعيف</v>
      </c>
      <c r="X1371" s="641"/>
      <c r="Y1371" s="68"/>
      <c r="Z1371" s="599"/>
      <c r="AK1371" s="667"/>
      <c r="AL1371" s="694"/>
      <c r="AM1371" s="696"/>
      <c r="AN1371" s="698"/>
      <c r="AO1371" s="699"/>
      <c r="AP1371" s="702"/>
    </row>
    <row r="1372" spans="1:42" ht="14.85" customHeight="1" thickBot="1" x14ac:dyDescent="0.3">
      <c r="A1372" s="610">
        <v>298</v>
      </c>
      <c r="B1372" s="613">
        <f>VLOOKUP(A1372,مسلسل,2,0)</f>
        <v>0</v>
      </c>
      <c r="C1372" s="616" t="str">
        <f>IFERROR(VLOOKUP(B1372,اسماء,2,0),"")</f>
        <v/>
      </c>
      <c r="D1372" s="619" t="str">
        <f>IFERROR(VLOOKUP($B1372,اسماء,3,0),"")</f>
        <v/>
      </c>
      <c r="E1372" s="129" t="s">
        <v>30</v>
      </c>
      <c r="F1372" s="600">
        <f>IFERROR(VLOOKUP($B1372,اسماء,5,0),0)</f>
        <v>0</v>
      </c>
      <c r="G1372" s="601"/>
      <c r="H1372" s="602">
        <f>IFERROR(VLOOKUP($B1372,اسماء,6,0),0)</f>
        <v>0</v>
      </c>
      <c r="I1372" s="622"/>
      <c r="J1372" s="600">
        <f>IFERROR(VLOOKUP($B1372,اسماء,7,0),0)</f>
        <v>0</v>
      </c>
      <c r="K1372" s="601"/>
      <c r="L1372" s="602">
        <f>IFERROR(VLOOKUP($B1372,اسماء,8,0),0)</f>
        <v>0</v>
      </c>
      <c r="M1372" s="603"/>
      <c r="N1372" s="602">
        <f>IFERROR(VLOOKUP($B1372,اسماء,9,0),0)</f>
        <v>0</v>
      </c>
      <c r="O1372" s="603"/>
      <c r="P1372" s="600">
        <f>IFERROR(VLOOKUP($B1372,اسماء,10,0),0)</f>
        <v>0</v>
      </c>
      <c r="Q1372" s="622"/>
      <c r="R1372" s="371">
        <f t="shared" ref="R1372" si="3732">SUM(F1372:Q1372)</f>
        <v>0</v>
      </c>
      <c r="S1372" s="213" t="str">
        <f>IFERROR(VLOOKUP($B1372,اسماء,12,0),"")</f>
        <v/>
      </c>
      <c r="T1372" s="214" t="str">
        <f>IFERROR(VLOOKUP($B1372,اسماء,13,0),"")</f>
        <v/>
      </c>
      <c r="U1372" s="364" t="str">
        <f>IFERROR(VLOOKUP($B1372,اسماء,14,0),"")</f>
        <v/>
      </c>
      <c r="V1372" s="604" t="str">
        <f t="shared" ref="V1372" si="3733">IF(Z1372="غائب","راسب",IF(R1375&gt;0,"ناجح","مرحل"))</f>
        <v>مرحل</v>
      </c>
      <c r="W1372" s="19" t="str">
        <f t="shared" ref="W1372:W1373" si="3734">LOOKUP(R1372,$AC$6:$AD$10)</f>
        <v>ضعيف</v>
      </c>
      <c r="X1372" s="639">
        <f t="shared" ref="X1372" si="3735">R1375/$AC$3</f>
        <v>0</v>
      </c>
      <c r="Y1372" s="68"/>
      <c r="Z1372" s="597" t="str">
        <f>IFERROR(VLOOKUP($B1372,اسماء,48,0),"")</f>
        <v/>
      </c>
      <c r="AK1372" s="667" t="str">
        <f t="shared" ref="AK1372" si="3736">IF(R1375=0,"",R1375/1+ROW()*0.00001)</f>
        <v/>
      </c>
      <c r="AL1372" s="694">
        <f>B1372</f>
        <v>0</v>
      </c>
      <c r="AM1372" s="696"/>
      <c r="AN1372" s="698">
        <v>298</v>
      </c>
      <c r="AO1372" s="699" t="str">
        <f>IFERROR(LARGE($AK$10:$AK$1420,AN1372),"")</f>
        <v/>
      </c>
      <c r="AP1372" s="700" t="str">
        <f>VLOOKUP(AO1372,$AK$10:$AL$1530,2,0)</f>
        <v>امجد عمر عبداللطيف سلطان</v>
      </c>
    </row>
    <row r="1373" spans="1:42" ht="14.85" customHeight="1" x14ac:dyDescent="0.25">
      <c r="A1373" s="611"/>
      <c r="B1373" s="614"/>
      <c r="C1373" s="617"/>
      <c r="D1373" s="620"/>
      <c r="E1373" s="130" t="s">
        <v>31</v>
      </c>
      <c r="F1373" s="592">
        <f>IFERROR(VLOOKUP($B1372,اسماء,15,0),0)</f>
        <v>0</v>
      </c>
      <c r="G1373" s="593"/>
      <c r="H1373" s="594">
        <f>IFERROR(VLOOKUP($B1372,اسماء,16,0),0)</f>
        <v>0</v>
      </c>
      <c r="I1373" s="595"/>
      <c r="J1373" s="592">
        <f>IFERROR(VLOOKUP($B1372,اسماء,17,0),0)</f>
        <v>0</v>
      </c>
      <c r="K1373" s="593"/>
      <c r="L1373" s="594">
        <f>IFERROR(VLOOKUP($B1372,اسماء,18,0),0)</f>
        <v>0</v>
      </c>
      <c r="M1373" s="596"/>
      <c r="N1373" s="594">
        <f>IFERROR(VLOOKUP($B1372,اسماء,19,0),0)</f>
        <v>0</v>
      </c>
      <c r="O1373" s="596"/>
      <c r="P1373" s="592">
        <f>IFERROR(VLOOKUP($B1372,اسماء,20,0),0)</f>
        <v>0</v>
      </c>
      <c r="Q1373" s="595"/>
      <c r="R1373" s="372">
        <f t="shared" si="3654"/>
        <v>0</v>
      </c>
      <c r="S1373" s="305" t="str">
        <f>IFERROR(VLOOKUP($B1372,اسماء,23,0),"")</f>
        <v/>
      </c>
      <c r="T1373" s="306" t="str">
        <f>IFERROR(VLOOKUP($B1372,اسماء,24,0),"")</f>
        <v/>
      </c>
      <c r="U1373" s="122" t="str">
        <f>IFERROR(VLOOKUP($B1372,اسماء,25,0),"")</f>
        <v/>
      </c>
      <c r="V1373" s="605"/>
      <c r="W1373" s="19" t="str">
        <f t="shared" si="3734"/>
        <v>ضعيف</v>
      </c>
      <c r="X1373" s="640"/>
      <c r="Y1373" s="8"/>
      <c r="Z1373" s="598"/>
      <c r="AK1373" s="667"/>
      <c r="AL1373" s="694"/>
      <c r="AM1373" s="696"/>
      <c r="AN1373" s="698"/>
      <c r="AO1373" s="699"/>
      <c r="AP1373" s="701"/>
    </row>
    <row r="1374" spans="1:42" ht="14.85" customHeight="1" x14ac:dyDescent="0.25">
      <c r="A1374" s="611"/>
      <c r="B1374" s="614"/>
      <c r="C1374" s="617"/>
      <c r="D1374" s="620"/>
      <c r="E1374" s="130" t="s">
        <v>32</v>
      </c>
      <c r="F1374" s="592">
        <f>IFERROR(VLOOKUP($B1372,اسماء,25,0),0)</f>
        <v>0</v>
      </c>
      <c r="G1374" s="593"/>
      <c r="H1374" s="594">
        <f>IFERROR(VLOOKUP($B1372,اسماء,26,0),0)</f>
        <v>0</v>
      </c>
      <c r="I1374" s="595"/>
      <c r="J1374" s="592">
        <f>IFERROR(VLOOKUP($B1372,اسماء,27,0),0)</f>
        <v>0</v>
      </c>
      <c r="K1374" s="593"/>
      <c r="L1374" s="594">
        <f>IFERROR(VLOOKUP($B1372,اسماء,28,0),0)</f>
        <v>0</v>
      </c>
      <c r="M1374" s="596"/>
      <c r="N1374" s="594">
        <f>IFERROR(VLOOKUP($B1372,اسماء,29,0),0)</f>
        <v>0</v>
      </c>
      <c r="O1374" s="596"/>
      <c r="P1374" s="592">
        <f>IFERROR(VLOOKUP($B1372,اسماء,30,0),0)</f>
        <v>0</v>
      </c>
      <c r="Q1374" s="595"/>
      <c r="R1374" s="372">
        <f t="shared" si="3654"/>
        <v>0</v>
      </c>
      <c r="S1374" s="305" t="str">
        <f>IFERROR(VLOOKUP($B1372,اسماء,34,0),"")</f>
        <v/>
      </c>
      <c r="T1374" s="306" t="str">
        <f>IFERROR(VLOOKUP($B1372,اسماء,35,0),"")</f>
        <v/>
      </c>
      <c r="U1374" s="122" t="str">
        <f>IFERROR(VLOOKUP($B1372,اسماء,36,0),"")</f>
        <v/>
      </c>
      <c r="V1374" s="605"/>
      <c r="W1374" s="20" t="str">
        <f t="shared" ref="W1374" si="3737">LOOKUP(R1374,$AF$6:$AG$10)</f>
        <v>ضعيف</v>
      </c>
      <c r="X1374" s="640"/>
      <c r="Y1374" s="68"/>
      <c r="Z1374" s="598"/>
      <c r="AK1374" s="667"/>
      <c r="AL1374" s="694"/>
      <c r="AM1374" s="696"/>
      <c r="AN1374" s="698"/>
      <c r="AO1374" s="699"/>
      <c r="AP1374" s="701"/>
    </row>
    <row r="1375" spans="1:42" ht="14.85" customHeight="1" thickBot="1" x14ac:dyDescent="0.3">
      <c r="A1375" s="612"/>
      <c r="B1375" s="615"/>
      <c r="C1375" s="618"/>
      <c r="D1375" s="621"/>
      <c r="E1375" s="124" t="s">
        <v>33</v>
      </c>
      <c r="F1375" s="623">
        <f t="shared" ref="F1375" si="3738">SUM(F1372:G1374)</f>
        <v>0</v>
      </c>
      <c r="G1375" s="624"/>
      <c r="H1375" s="625">
        <f t="shared" ref="H1375" si="3739">SUM(H1372:I1374)</f>
        <v>0</v>
      </c>
      <c r="I1375" s="626"/>
      <c r="J1375" s="623">
        <f t="shared" ref="J1375" si="3740">SUM(J1372:K1374)</f>
        <v>0</v>
      </c>
      <c r="K1375" s="624"/>
      <c r="L1375" s="625">
        <f t="shared" ref="L1375" si="3741">SUM(L1372:M1374)</f>
        <v>0</v>
      </c>
      <c r="M1375" s="642"/>
      <c r="N1375" s="625">
        <f t="shared" ref="N1375" si="3742">SUM(N1372:O1374)</f>
        <v>0</v>
      </c>
      <c r="O1375" s="642"/>
      <c r="P1375" s="623">
        <f t="shared" ref="P1375" si="3743">SUM(P1372:Q1374)</f>
        <v>0</v>
      </c>
      <c r="Q1375" s="626"/>
      <c r="R1375" s="88">
        <f t="shared" ref="R1375" si="3744">IF(AND(F1375&gt;=$G$8,H1375&gt;=$I$8,J1375&gt;=$K$8,L1375&gt;=$M$8,N1375&gt;=$O$8,P1375&gt;=$Q$8),SUM(F1375:Q1375),0)</f>
        <v>0</v>
      </c>
      <c r="S1375" s="251"/>
      <c r="T1375" s="97"/>
      <c r="U1375" s="94"/>
      <c r="V1375" s="606"/>
      <c r="W1375" s="88" t="str">
        <f t="shared" ref="W1375" si="3745">LOOKUP(R1375,$AI$6:$AJ$10)</f>
        <v>ضعيف</v>
      </c>
      <c r="X1375" s="641"/>
      <c r="Y1375" s="68"/>
      <c r="Z1375" s="599"/>
      <c r="AK1375" s="667"/>
      <c r="AL1375" s="694"/>
      <c r="AM1375" s="696"/>
      <c r="AN1375" s="698"/>
      <c r="AO1375" s="699"/>
      <c r="AP1375" s="702"/>
    </row>
    <row r="1376" spans="1:42" ht="14.85" customHeight="1" thickBot="1" x14ac:dyDescent="0.3">
      <c r="A1376" s="610">
        <v>299</v>
      </c>
      <c r="B1376" s="613">
        <f>VLOOKUP(A1376,مسلسل,2,0)</f>
        <v>0</v>
      </c>
      <c r="C1376" s="616" t="str">
        <f>IFERROR(VLOOKUP(B1376,اسماء,2,0),"")</f>
        <v/>
      </c>
      <c r="D1376" s="619" t="str">
        <f>IFERROR(VLOOKUP($B1376,اسماء,3,0),"")</f>
        <v/>
      </c>
      <c r="E1376" s="129" t="s">
        <v>30</v>
      </c>
      <c r="F1376" s="600">
        <f>IFERROR(VLOOKUP($B1376,اسماء,5,0),0)</f>
        <v>0</v>
      </c>
      <c r="G1376" s="601"/>
      <c r="H1376" s="602">
        <f>IFERROR(VLOOKUP($B1376,اسماء,6,0),0)</f>
        <v>0</v>
      </c>
      <c r="I1376" s="622"/>
      <c r="J1376" s="600">
        <f>IFERROR(VLOOKUP($B1376,اسماء,7,0),0)</f>
        <v>0</v>
      </c>
      <c r="K1376" s="601"/>
      <c r="L1376" s="602">
        <f>IFERROR(VLOOKUP($B1376,اسماء,8,0),0)</f>
        <v>0</v>
      </c>
      <c r="M1376" s="603"/>
      <c r="N1376" s="602">
        <f>IFERROR(VLOOKUP($B1376,اسماء,9,0),0)</f>
        <v>0</v>
      </c>
      <c r="O1376" s="603"/>
      <c r="P1376" s="600">
        <f>IFERROR(VLOOKUP($B1376,اسماء,10,0),0)</f>
        <v>0</v>
      </c>
      <c r="Q1376" s="622"/>
      <c r="R1376" s="371">
        <f t="shared" ref="R1376" si="3746">SUM(F1376:Q1376)</f>
        <v>0</v>
      </c>
      <c r="S1376" s="213" t="str">
        <f>IFERROR(VLOOKUP($B1376,اسماء,12,0),"")</f>
        <v/>
      </c>
      <c r="T1376" s="214" t="str">
        <f>IFERROR(VLOOKUP($B1376,اسماء,13,0),"")</f>
        <v/>
      </c>
      <c r="U1376" s="364" t="str">
        <f>IFERROR(VLOOKUP($B1376,اسماء,14,0),"")</f>
        <v/>
      </c>
      <c r="V1376" s="604" t="str">
        <f t="shared" ref="V1376" si="3747">IF(Z1376="غائب","راسب",IF(R1379&gt;0,"ناجح","مرحل"))</f>
        <v>مرحل</v>
      </c>
      <c r="W1376" s="19" t="str">
        <f t="shared" ref="W1376:W1377" si="3748">LOOKUP(R1376,$AC$6:$AD$10)</f>
        <v>ضعيف</v>
      </c>
      <c r="X1376" s="639">
        <f t="shared" ref="X1376" si="3749">R1379/$AC$3</f>
        <v>0</v>
      </c>
      <c r="Y1376" s="8"/>
      <c r="Z1376" s="597" t="str">
        <f>IFERROR(VLOOKUP($B1376,اسماء,48,0),"")</f>
        <v/>
      </c>
      <c r="AK1376" s="667" t="str">
        <f t="shared" ref="AK1376" si="3750">IF(R1379=0,"",R1379/1+ROW()*0.00001)</f>
        <v/>
      </c>
      <c r="AL1376" s="694">
        <f>B1376</f>
        <v>0</v>
      </c>
      <c r="AM1376" s="696"/>
      <c r="AN1376" s="698">
        <v>299</v>
      </c>
      <c r="AO1376" s="699" t="str">
        <f>IFERROR(LARGE($AK$10:$AK$1420,AN1376),"")</f>
        <v/>
      </c>
      <c r="AP1376" s="700" t="str">
        <f>VLOOKUP(AO1376,$AK$10:$AL$1530,2,0)</f>
        <v>امجد عمر عبداللطيف سلطان</v>
      </c>
    </row>
    <row r="1377" spans="1:42" ht="14.85" customHeight="1" x14ac:dyDescent="0.25">
      <c r="A1377" s="611"/>
      <c r="B1377" s="614"/>
      <c r="C1377" s="617"/>
      <c r="D1377" s="620"/>
      <c r="E1377" s="130" t="s">
        <v>31</v>
      </c>
      <c r="F1377" s="592">
        <f>IFERROR(VLOOKUP($B1376,اسماء,15,0),0)</f>
        <v>0</v>
      </c>
      <c r="G1377" s="593"/>
      <c r="H1377" s="594">
        <f>IFERROR(VLOOKUP($B1376,اسماء,16,0),0)</f>
        <v>0</v>
      </c>
      <c r="I1377" s="595"/>
      <c r="J1377" s="592">
        <f>IFERROR(VLOOKUP($B1376,اسماء,17,0),0)</f>
        <v>0</v>
      </c>
      <c r="K1377" s="593"/>
      <c r="L1377" s="594">
        <f>IFERROR(VLOOKUP($B1376,اسماء,18,0),0)</f>
        <v>0</v>
      </c>
      <c r="M1377" s="596"/>
      <c r="N1377" s="594">
        <f>IFERROR(VLOOKUP($B1376,اسماء,19,0),0)</f>
        <v>0</v>
      </c>
      <c r="O1377" s="596"/>
      <c r="P1377" s="592">
        <f>IFERROR(VLOOKUP($B1376,اسماء,20,0),0)</f>
        <v>0</v>
      </c>
      <c r="Q1377" s="595"/>
      <c r="R1377" s="372">
        <f t="shared" si="3654"/>
        <v>0</v>
      </c>
      <c r="S1377" s="305" t="str">
        <f>IFERROR(VLOOKUP($B1376,اسماء,23,0),"")</f>
        <v/>
      </c>
      <c r="T1377" s="306" t="str">
        <f>IFERROR(VLOOKUP($B1376,اسماء,24,0),"")</f>
        <v/>
      </c>
      <c r="U1377" s="122" t="str">
        <f>IFERROR(VLOOKUP($B1376,اسماء,25,0),"")</f>
        <v/>
      </c>
      <c r="V1377" s="605"/>
      <c r="W1377" s="19" t="str">
        <f t="shared" si="3748"/>
        <v>ضعيف</v>
      </c>
      <c r="X1377" s="640"/>
      <c r="Y1377" s="68"/>
      <c r="Z1377" s="598"/>
      <c r="AK1377" s="667"/>
      <c r="AL1377" s="694"/>
      <c r="AM1377" s="696"/>
      <c r="AN1377" s="698"/>
      <c r="AO1377" s="699"/>
      <c r="AP1377" s="701"/>
    </row>
    <row r="1378" spans="1:42" ht="14.85" customHeight="1" x14ac:dyDescent="0.25">
      <c r="A1378" s="611"/>
      <c r="B1378" s="614"/>
      <c r="C1378" s="617"/>
      <c r="D1378" s="620"/>
      <c r="E1378" s="130" t="s">
        <v>32</v>
      </c>
      <c r="F1378" s="592">
        <f>IFERROR(VLOOKUP($B1376,اسماء,25,0),0)</f>
        <v>0</v>
      </c>
      <c r="G1378" s="593"/>
      <c r="H1378" s="594">
        <f>IFERROR(VLOOKUP($B1376,اسماء,26,0),0)</f>
        <v>0</v>
      </c>
      <c r="I1378" s="595"/>
      <c r="J1378" s="592">
        <f>IFERROR(VLOOKUP($B1376,اسماء,27,0),0)</f>
        <v>0</v>
      </c>
      <c r="K1378" s="593"/>
      <c r="L1378" s="594">
        <f>IFERROR(VLOOKUP($B1376,اسماء,28,0),0)</f>
        <v>0</v>
      </c>
      <c r="M1378" s="596"/>
      <c r="N1378" s="594">
        <f>IFERROR(VLOOKUP($B1376,اسماء,29,0),0)</f>
        <v>0</v>
      </c>
      <c r="O1378" s="596"/>
      <c r="P1378" s="592">
        <f>IFERROR(VLOOKUP($B1376,اسماء,30,0),0)</f>
        <v>0</v>
      </c>
      <c r="Q1378" s="595"/>
      <c r="R1378" s="372">
        <f t="shared" si="3654"/>
        <v>0</v>
      </c>
      <c r="S1378" s="305" t="str">
        <f>IFERROR(VLOOKUP($B1376,اسماء,34,0),"")</f>
        <v/>
      </c>
      <c r="T1378" s="306" t="str">
        <f>IFERROR(VLOOKUP($B1376,اسماء,35,0),"")</f>
        <v/>
      </c>
      <c r="U1378" s="122" t="str">
        <f>IFERROR(VLOOKUP($B1376,اسماء,36,0),"")</f>
        <v/>
      </c>
      <c r="V1378" s="605"/>
      <c r="W1378" s="20" t="str">
        <f t="shared" ref="W1378" si="3751">LOOKUP(R1378,$AF$6:$AG$10)</f>
        <v>ضعيف</v>
      </c>
      <c r="X1378" s="640"/>
      <c r="Y1378" s="68"/>
      <c r="Z1378" s="598"/>
      <c r="AK1378" s="667"/>
      <c r="AL1378" s="694"/>
      <c r="AM1378" s="696"/>
      <c r="AN1378" s="698"/>
      <c r="AO1378" s="699"/>
      <c r="AP1378" s="701"/>
    </row>
    <row r="1379" spans="1:42" ht="14.85" customHeight="1" thickBot="1" x14ac:dyDescent="0.3">
      <c r="A1379" s="612"/>
      <c r="B1379" s="615"/>
      <c r="C1379" s="618"/>
      <c r="D1379" s="621"/>
      <c r="E1379" s="124" t="s">
        <v>33</v>
      </c>
      <c r="F1379" s="623">
        <f t="shared" ref="F1379" si="3752">SUM(F1376:G1378)</f>
        <v>0</v>
      </c>
      <c r="G1379" s="624"/>
      <c r="H1379" s="625">
        <f t="shared" ref="H1379" si="3753">SUM(H1376:I1378)</f>
        <v>0</v>
      </c>
      <c r="I1379" s="626"/>
      <c r="J1379" s="623">
        <f t="shared" ref="J1379" si="3754">SUM(J1376:K1378)</f>
        <v>0</v>
      </c>
      <c r="K1379" s="624"/>
      <c r="L1379" s="625">
        <f t="shared" ref="L1379" si="3755">SUM(L1376:M1378)</f>
        <v>0</v>
      </c>
      <c r="M1379" s="642"/>
      <c r="N1379" s="625">
        <f t="shared" ref="N1379" si="3756">SUM(N1376:O1378)</f>
        <v>0</v>
      </c>
      <c r="O1379" s="642"/>
      <c r="P1379" s="623">
        <f t="shared" ref="P1379" si="3757">SUM(P1376:Q1378)</f>
        <v>0</v>
      </c>
      <c r="Q1379" s="626"/>
      <c r="R1379" s="88">
        <f t="shared" ref="R1379" si="3758">IF(AND(F1379&gt;=$G$8,H1379&gt;=$I$8,J1379&gt;=$K$8,L1379&gt;=$M$8,N1379&gt;=$O$8,P1379&gt;=$Q$8),SUM(F1379:Q1379),0)</f>
        <v>0</v>
      </c>
      <c r="S1379" s="251"/>
      <c r="T1379" s="97"/>
      <c r="U1379" s="94"/>
      <c r="V1379" s="606"/>
      <c r="W1379" s="88" t="str">
        <f t="shared" ref="W1379" si="3759">LOOKUP(R1379,$AI$6:$AJ$10)</f>
        <v>ضعيف</v>
      </c>
      <c r="X1379" s="641"/>
      <c r="Y1379" s="8"/>
      <c r="Z1379" s="599"/>
      <c r="AK1379" s="667"/>
      <c r="AL1379" s="694"/>
      <c r="AM1379" s="696"/>
      <c r="AN1379" s="698"/>
      <c r="AO1379" s="699"/>
      <c r="AP1379" s="702"/>
    </row>
    <row r="1380" spans="1:42" ht="14.85" customHeight="1" thickBot="1" x14ac:dyDescent="0.3">
      <c r="A1380" s="610">
        <v>300</v>
      </c>
      <c r="B1380" s="613">
        <f>VLOOKUP(A1380,مسلسل,2,0)</f>
        <v>0</v>
      </c>
      <c r="C1380" s="616" t="str">
        <f>IFERROR(VLOOKUP(B1380,اسماء,2,0),"")</f>
        <v/>
      </c>
      <c r="D1380" s="619" t="str">
        <f>IFERROR(VLOOKUP($B1380,اسماء,3,0),"")</f>
        <v/>
      </c>
      <c r="E1380" s="129" t="s">
        <v>30</v>
      </c>
      <c r="F1380" s="600">
        <f>IFERROR(VLOOKUP($B1380,اسماء,5,0),0)</f>
        <v>0</v>
      </c>
      <c r="G1380" s="601"/>
      <c r="H1380" s="602">
        <f>IFERROR(VLOOKUP($B1380,اسماء,6,0),0)</f>
        <v>0</v>
      </c>
      <c r="I1380" s="622"/>
      <c r="J1380" s="600">
        <f>IFERROR(VLOOKUP($B1380,اسماء,7,0),0)</f>
        <v>0</v>
      </c>
      <c r="K1380" s="601"/>
      <c r="L1380" s="602">
        <f>IFERROR(VLOOKUP($B1380,اسماء,8,0),0)</f>
        <v>0</v>
      </c>
      <c r="M1380" s="603"/>
      <c r="N1380" s="602">
        <f>IFERROR(VLOOKUP($B1380,اسماء,9,0),0)</f>
        <v>0</v>
      </c>
      <c r="O1380" s="603"/>
      <c r="P1380" s="600">
        <f>IFERROR(VLOOKUP($B1380,اسماء,10,0),0)</f>
        <v>0</v>
      </c>
      <c r="Q1380" s="622"/>
      <c r="R1380" s="371">
        <f t="shared" ref="R1380" si="3760">SUM(F1380:Q1380)</f>
        <v>0</v>
      </c>
      <c r="S1380" s="213" t="str">
        <f>IFERROR(VLOOKUP($B1380,اسماء,12,0),"")</f>
        <v/>
      </c>
      <c r="T1380" s="214" t="str">
        <f>IFERROR(VLOOKUP($B1380,اسماء,13,0),"")</f>
        <v/>
      </c>
      <c r="U1380" s="364" t="str">
        <f>IFERROR(VLOOKUP($B1380,اسماء,14,0),"")</f>
        <v/>
      </c>
      <c r="V1380" s="604" t="str">
        <f t="shared" ref="V1380" si="3761">IF(Z1380="غائب","راسب",IF(R1383&gt;0,"ناجح","مرحل"))</f>
        <v>مرحل</v>
      </c>
      <c r="W1380" s="19" t="str">
        <f t="shared" ref="W1380:W1381" si="3762">LOOKUP(R1380,$AC$6:$AD$10)</f>
        <v>ضعيف</v>
      </c>
      <c r="X1380" s="639">
        <f t="shared" ref="X1380" si="3763">R1383/$AC$3</f>
        <v>0</v>
      </c>
      <c r="Y1380" s="68"/>
      <c r="Z1380" s="597" t="str">
        <f>IFERROR(VLOOKUP($B1380,اسماء,48,0),"")</f>
        <v/>
      </c>
      <c r="AK1380" s="667" t="str">
        <f t="shared" ref="AK1380" si="3764">IF(R1383=0,"",R1383/1+ROW()*0.00001)</f>
        <v/>
      </c>
      <c r="AL1380" s="694">
        <f>B1380</f>
        <v>0</v>
      </c>
      <c r="AM1380" s="696"/>
      <c r="AN1380" s="698">
        <v>300</v>
      </c>
      <c r="AO1380" s="699" t="str">
        <f>IFERROR(LARGE($AK$10:$AK$1420,AN1380),"")</f>
        <v/>
      </c>
      <c r="AP1380" s="700" t="str">
        <f>VLOOKUP(AO1380,$AK$10:$AL$1530,2,0)</f>
        <v>امجد عمر عبداللطيف سلطان</v>
      </c>
    </row>
    <row r="1381" spans="1:42" ht="14.85" customHeight="1" x14ac:dyDescent="0.25">
      <c r="A1381" s="611"/>
      <c r="B1381" s="614"/>
      <c r="C1381" s="617"/>
      <c r="D1381" s="620"/>
      <c r="E1381" s="130" t="s">
        <v>31</v>
      </c>
      <c r="F1381" s="592">
        <f>IFERROR(VLOOKUP($B1380,اسماء,15,0),0)</f>
        <v>0</v>
      </c>
      <c r="G1381" s="593"/>
      <c r="H1381" s="594">
        <f>IFERROR(VLOOKUP($B1380,اسماء,16,0),0)</f>
        <v>0</v>
      </c>
      <c r="I1381" s="595"/>
      <c r="J1381" s="592">
        <f>IFERROR(VLOOKUP($B1380,اسماء,17,0),0)</f>
        <v>0</v>
      </c>
      <c r="K1381" s="593"/>
      <c r="L1381" s="594">
        <f>IFERROR(VLOOKUP($B1380,اسماء,18,0),0)</f>
        <v>0</v>
      </c>
      <c r="M1381" s="596"/>
      <c r="N1381" s="594">
        <f>IFERROR(VLOOKUP($B1380,اسماء,19,0),0)</f>
        <v>0</v>
      </c>
      <c r="O1381" s="596"/>
      <c r="P1381" s="592">
        <f>IFERROR(VLOOKUP($B1380,اسماء,20,0),0)</f>
        <v>0</v>
      </c>
      <c r="Q1381" s="595"/>
      <c r="R1381" s="372">
        <f t="shared" si="3654"/>
        <v>0</v>
      </c>
      <c r="S1381" s="305" t="str">
        <f>IFERROR(VLOOKUP($B1380,اسماء,23,0),"")</f>
        <v/>
      </c>
      <c r="T1381" s="306" t="str">
        <f>IFERROR(VLOOKUP($B1380,اسماء,24,0),"")</f>
        <v/>
      </c>
      <c r="U1381" s="122" t="str">
        <f>IFERROR(VLOOKUP($B1380,اسماء,25,0),"")</f>
        <v/>
      </c>
      <c r="V1381" s="605"/>
      <c r="W1381" s="19" t="str">
        <f t="shared" si="3762"/>
        <v>ضعيف</v>
      </c>
      <c r="X1381" s="640"/>
      <c r="Y1381" s="68"/>
      <c r="Z1381" s="598"/>
      <c r="AK1381" s="667"/>
      <c r="AL1381" s="694"/>
      <c r="AM1381" s="696"/>
      <c r="AN1381" s="698"/>
      <c r="AO1381" s="699"/>
      <c r="AP1381" s="701"/>
    </row>
    <row r="1382" spans="1:42" ht="14.85" customHeight="1" x14ac:dyDescent="0.25">
      <c r="A1382" s="611"/>
      <c r="B1382" s="614"/>
      <c r="C1382" s="617"/>
      <c r="D1382" s="620"/>
      <c r="E1382" s="130" t="s">
        <v>32</v>
      </c>
      <c r="F1382" s="592">
        <f>IFERROR(VLOOKUP($B1380,اسماء,25,0),0)</f>
        <v>0</v>
      </c>
      <c r="G1382" s="593"/>
      <c r="H1382" s="594">
        <f>IFERROR(VLOOKUP($B1380,اسماء,26,0),0)</f>
        <v>0</v>
      </c>
      <c r="I1382" s="595"/>
      <c r="J1382" s="592">
        <f>IFERROR(VLOOKUP($B1380,اسماء,27,0),0)</f>
        <v>0</v>
      </c>
      <c r="K1382" s="593"/>
      <c r="L1382" s="594">
        <f>IFERROR(VLOOKUP($B1380,اسماء,28,0),0)</f>
        <v>0</v>
      </c>
      <c r="M1382" s="596"/>
      <c r="N1382" s="594">
        <f>IFERROR(VLOOKUP($B1380,اسماء,29,0),0)</f>
        <v>0</v>
      </c>
      <c r="O1382" s="596"/>
      <c r="P1382" s="592">
        <f>IFERROR(VLOOKUP($B1380,اسماء,30,0),0)</f>
        <v>0</v>
      </c>
      <c r="Q1382" s="595"/>
      <c r="R1382" s="372">
        <f t="shared" si="3654"/>
        <v>0</v>
      </c>
      <c r="S1382" s="305" t="str">
        <f>IFERROR(VLOOKUP($B1380,اسماء,34,0),"")</f>
        <v/>
      </c>
      <c r="T1382" s="306" t="str">
        <f>IFERROR(VLOOKUP($B1380,اسماء,35,0),"")</f>
        <v/>
      </c>
      <c r="U1382" s="122" t="str">
        <f>IFERROR(VLOOKUP($B1380,اسماء,36,0),"")</f>
        <v/>
      </c>
      <c r="V1382" s="605"/>
      <c r="W1382" s="20" t="str">
        <f t="shared" ref="W1382" si="3765">LOOKUP(R1382,$AF$6:$AG$10)</f>
        <v>ضعيف</v>
      </c>
      <c r="X1382" s="640"/>
      <c r="Y1382" s="8"/>
      <c r="Z1382" s="598"/>
      <c r="AK1382" s="667"/>
      <c r="AL1382" s="694"/>
      <c r="AM1382" s="696"/>
      <c r="AN1382" s="698"/>
      <c r="AO1382" s="699"/>
      <c r="AP1382" s="701"/>
    </row>
    <row r="1383" spans="1:42" ht="14.85" customHeight="1" thickBot="1" x14ac:dyDescent="0.3">
      <c r="A1383" s="612"/>
      <c r="B1383" s="615"/>
      <c r="C1383" s="618"/>
      <c r="D1383" s="621"/>
      <c r="E1383" s="124" t="s">
        <v>33</v>
      </c>
      <c r="F1383" s="623">
        <f t="shared" ref="F1383" si="3766">SUM(F1380:G1382)</f>
        <v>0</v>
      </c>
      <c r="G1383" s="624"/>
      <c r="H1383" s="625">
        <f t="shared" ref="H1383" si="3767">SUM(H1380:I1382)</f>
        <v>0</v>
      </c>
      <c r="I1383" s="626"/>
      <c r="J1383" s="623">
        <f t="shared" ref="J1383" si="3768">SUM(J1380:K1382)</f>
        <v>0</v>
      </c>
      <c r="K1383" s="624"/>
      <c r="L1383" s="625">
        <f t="shared" ref="L1383" si="3769">SUM(L1380:M1382)</f>
        <v>0</v>
      </c>
      <c r="M1383" s="642"/>
      <c r="N1383" s="625">
        <f t="shared" ref="N1383" si="3770">SUM(N1380:O1382)</f>
        <v>0</v>
      </c>
      <c r="O1383" s="642"/>
      <c r="P1383" s="623">
        <f t="shared" ref="P1383" si="3771">SUM(P1380:Q1382)</f>
        <v>0</v>
      </c>
      <c r="Q1383" s="626"/>
      <c r="R1383" s="88">
        <f t="shared" ref="R1383" si="3772">IF(AND(F1383&gt;=$G$8,H1383&gt;=$I$8,J1383&gt;=$K$8,L1383&gt;=$M$8,N1383&gt;=$O$8,P1383&gt;=$Q$8),SUM(F1383:Q1383),0)</f>
        <v>0</v>
      </c>
      <c r="S1383" s="251"/>
      <c r="T1383" s="97"/>
      <c r="U1383" s="94"/>
      <c r="V1383" s="606"/>
      <c r="W1383" s="88" t="str">
        <f t="shared" ref="W1383" si="3773">LOOKUP(R1383,$AI$6:$AJ$10)</f>
        <v>ضعيف</v>
      </c>
      <c r="X1383" s="641"/>
      <c r="Y1383" s="68"/>
      <c r="Z1383" s="599"/>
      <c r="AK1383" s="667"/>
      <c r="AL1383" s="694"/>
      <c r="AM1383" s="696"/>
      <c r="AN1383" s="698"/>
      <c r="AO1383" s="699"/>
      <c r="AP1383" s="702"/>
    </row>
    <row r="1384" spans="1:42" ht="14.85" customHeight="1" thickBot="1" x14ac:dyDescent="0.3">
      <c r="F1384" s="71"/>
      <c r="G1384" s="72"/>
      <c r="H1384" s="71"/>
      <c r="I1384" s="72"/>
      <c r="J1384" s="71"/>
      <c r="K1384" s="72"/>
      <c r="L1384" s="71"/>
      <c r="M1384" s="72"/>
      <c r="N1384" s="71"/>
      <c r="O1384" s="72"/>
      <c r="P1384" s="71"/>
      <c r="Q1384" s="72"/>
      <c r="R1384" s="70"/>
      <c r="S1384" s="73"/>
      <c r="T1384" s="70"/>
      <c r="U1384" s="70"/>
      <c r="V1384" s="70"/>
      <c r="W1384" s="70"/>
      <c r="X1384" s="254"/>
      <c r="Y1384" s="68"/>
      <c r="AH1384" s="74"/>
    </row>
    <row r="1385" spans="1:42" customFormat="1" ht="14.85" customHeight="1" x14ac:dyDescent="0.3">
      <c r="A1385" s="668" t="s">
        <v>9</v>
      </c>
      <c r="B1385" s="669"/>
      <c r="C1385" s="670"/>
      <c r="D1385" s="277" t="s">
        <v>11</v>
      </c>
      <c r="E1385" s="674" t="s">
        <v>96</v>
      </c>
      <c r="F1385" s="663"/>
      <c r="G1385" s="663"/>
      <c r="H1385" s="663"/>
      <c r="I1385" s="663"/>
      <c r="J1385" s="7"/>
      <c r="K1385" s="7"/>
      <c r="L1385" s="7"/>
      <c r="M1385" s="7"/>
      <c r="N1385" s="7"/>
      <c r="O1385" s="7"/>
      <c r="P1385" s="7"/>
      <c r="Q1385" s="663" t="s">
        <v>156</v>
      </c>
      <c r="R1385" s="663"/>
      <c r="S1385" s="663"/>
      <c r="T1385" s="663"/>
      <c r="U1385" s="663"/>
      <c r="V1385" s="663"/>
      <c r="W1385" s="1"/>
      <c r="X1385" s="255"/>
      <c r="Z1385" s="75"/>
      <c r="AA1385" s="76"/>
      <c r="AB1385" s="76"/>
      <c r="AC1385" s="76"/>
      <c r="AD1385" s="76"/>
    </row>
    <row r="1386" spans="1:42" customFormat="1" ht="14.85" customHeight="1" x14ac:dyDescent="0.25">
      <c r="A1386" s="77" t="s">
        <v>8</v>
      </c>
      <c r="B1386" s="671">
        <f>ادخال1!$BJ$3</f>
        <v>0</v>
      </c>
      <c r="C1386" s="672"/>
      <c r="D1386" s="278"/>
      <c r="E1386" s="7" t="s">
        <v>9</v>
      </c>
      <c r="F1386" s="673" t="str">
        <f>ادخال1!$BJ$5</f>
        <v>د. عبدالرحمن خليفة العريبي</v>
      </c>
      <c r="G1386" s="673"/>
      <c r="H1386" s="673"/>
      <c r="I1386" s="673"/>
      <c r="J1386" s="673"/>
      <c r="K1386" s="673"/>
      <c r="L1386" s="673"/>
      <c r="M1386" s="673"/>
      <c r="N1386" s="673"/>
      <c r="O1386" s="673"/>
      <c r="P1386" s="7"/>
      <c r="Q1386" s="673" t="str">
        <f>ادخال1!$BJ$6</f>
        <v>تاجوراء</v>
      </c>
      <c r="R1386" s="673"/>
      <c r="S1386" s="673"/>
      <c r="T1386" s="673"/>
      <c r="U1386" s="673"/>
      <c r="V1386" s="673"/>
      <c r="W1386" s="673"/>
      <c r="X1386" s="63"/>
      <c r="Y1386" s="63"/>
      <c r="Z1386" s="75"/>
      <c r="AA1386" s="75"/>
      <c r="AB1386" s="75"/>
      <c r="AC1386" s="75"/>
    </row>
    <row r="1387" spans="1:42" customFormat="1" ht="14.85" customHeight="1" thickBot="1" x14ac:dyDescent="0.3">
      <c r="A1387" s="78" t="s">
        <v>97</v>
      </c>
      <c r="B1387" s="665">
        <f>ادخال1!$BJ$4</f>
        <v>0</v>
      </c>
      <c r="C1387" s="666"/>
      <c r="D1387" s="279"/>
      <c r="E1387" s="7" t="s">
        <v>11</v>
      </c>
      <c r="F1387" s="667"/>
      <c r="G1387" s="667"/>
      <c r="H1387" s="667"/>
      <c r="I1387" s="667"/>
      <c r="J1387" s="667"/>
      <c r="K1387" s="667"/>
      <c r="L1387" s="667"/>
      <c r="M1387" s="667"/>
      <c r="N1387" s="667"/>
      <c r="O1387" s="667"/>
      <c r="P1387" s="7"/>
      <c r="Q1387" s="7" t="s">
        <v>11</v>
      </c>
      <c r="R1387" s="1"/>
      <c r="S1387" s="1"/>
      <c r="T1387" s="1"/>
      <c r="U1387" s="1"/>
      <c r="V1387" s="1"/>
      <c r="W1387" s="1"/>
      <c r="X1387" s="255"/>
      <c r="Z1387" s="75"/>
      <c r="AA1387" s="75"/>
      <c r="AB1387" s="75"/>
      <c r="AC1387" s="75"/>
    </row>
    <row r="1388" spans="1:42" customFormat="1" ht="14.85" customHeight="1" x14ac:dyDescent="0.25">
      <c r="A1388" s="663" t="s">
        <v>98</v>
      </c>
      <c r="B1388" s="663"/>
      <c r="C1388" s="663"/>
      <c r="D1388" s="663"/>
      <c r="E1388" s="663" t="s">
        <v>99</v>
      </c>
      <c r="F1388" s="663"/>
      <c r="G1388" s="663"/>
      <c r="H1388" s="663"/>
      <c r="I1388" s="663"/>
      <c r="J1388" s="663"/>
      <c r="K1388" s="663"/>
      <c r="L1388" s="663"/>
      <c r="M1388" s="663"/>
      <c r="N1388" s="663"/>
      <c r="O1388" s="663"/>
      <c r="P1388" s="663"/>
      <c r="Q1388" s="663"/>
      <c r="R1388" s="7"/>
      <c r="S1388" s="664">
        <f ca="1">TODAY()</f>
        <v>46009</v>
      </c>
      <c r="T1388" s="664"/>
      <c r="U1388" s="664"/>
      <c r="V1388" s="664"/>
      <c r="W1388" s="664"/>
      <c r="X1388" s="255"/>
    </row>
    <row r="1389" spans="1:42" customFormat="1" ht="14.85" customHeight="1" x14ac:dyDescent="0.25">
      <c r="A1389" s="7"/>
      <c r="B1389" s="663" t="s">
        <v>100</v>
      </c>
      <c r="C1389" s="663"/>
      <c r="D1389" s="663"/>
      <c r="E1389" s="663" t="s">
        <v>101</v>
      </c>
      <c r="F1389" s="663"/>
      <c r="G1389" s="663"/>
      <c r="H1389" s="663"/>
      <c r="I1389" s="663"/>
      <c r="J1389" s="663"/>
      <c r="K1389" s="663"/>
      <c r="L1389" s="663"/>
      <c r="M1389" s="663"/>
      <c r="N1389" s="663"/>
      <c r="O1389" s="663"/>
      <c r="P1389" s="663"/>
      <c r="Q1389" s="663"/>
      <c r="R1389" s="1"/>
      <c r="S1389" s="1"/>
      <c r="T1389" s="1"/>
      <c r="U1389" s="1"/>
      <c r="V1389" s="1"/>
      <c r="W1389" s="1"/>
      <c r="X1389" s="255"/>
    </row>
    <row r="1390" spans="1:42" ht="14.4" thickBot="1" x14ac:dyDescent="0.3"/>
    <row r="1391" spans="1:42" ht="34.5" customHeight="1" x14ac:dyDescent="0.25">
      <c r="A1391" s="21"/>
      <c r="B1391" s="199" t="s">
        <v>34</v>
      </c>
      <c r="C1391" s="680" t="s">
        <v>35</v>
      </c>
      <c r="D1391" s="680"/>
      <c r="E1391" s="681" t="s">
        <v>38</v>
      </c>
      <c r="F1391" s="681"/>
      <c r="G1391" s="681"/>
      <c r="H1391" s="680" t="s">
        <v>36</v>
      </c>
      <c r="I1391" s="680"/>
      <c r="J1391" s="680"/>
      <c r="K1391" s="680"/>
      <c r="L1391" s="271"/>
      <c r="M1391" s="271"/>
      <c r="N1391" s="680" t="s">
        <v>37</v>
      </c>
      <c r="O1391" s="680"/>
      <c r="P1391" s="680"/>
      <c r="Q1391" s="680"/>
      <c r="R1391" s="271"/>
      <c r="S1391" s="680" t="s">
        <v>26</v>
      </c>
      <c r="T1391" s="680"/>
      <c r="U1391" s="682"/>
      <c r="V1391" s="683"/>
    </row>
    <row r="1392" spans="1:42" ht="34.5" customHeight="1" thickBot="1" x14ac:dyDescent="0.3">
      <c r="A1392" s="21"/>
      <c r="B1392" s="200">
        <f>B1393</f>
        <v>16</v>
      </c>
      <c r="C1392" s="688">
        <f>C1393</f>
        <v>16</v>
      </c>
      <c r="D1392" s="689"/>
      <c r="E1392" s="685" t="str">
        <f>IF(E1393=0,"لايوجد",E1393)</f>
        <v>لايوجد</v>
      </c>
      <c r="F1392" s="686"/>
      <c r="G1392" s="687"/>
      <c r="H1392" s="688" t="str">
        <f>IF(H1393=0,"لايوجد",H1393)</f>
        <v>لايوجد</v>
      </c>
      <c r="I1392" s="693"/>
      <c r="J1392" s="693"/>
      <c r="K1392" s="689"/>
      <c r="L1392" s="330"/>
      <c r="M1392" s="330"/>
      <c r="N1392" s="688">
        <f>IF(N1393=0,"لايوجد",N1393)</f>
        <v>300</v>
      </c>
      <c r="O1392" s="693"/>
      <c r="P1392" s="693"/>
      <c r="Q1392" s="689"/>
      <c r="R1392" s="269"/>
      <c r="S1392" s="690">
        <f>S1393</f>
        <v>18.75</v>
      </c>
      <c r="T1392" s="691"/>
      <c r="U1392" s="691"/>
      <c r="V1392" s="692"/>
    </row>
    <row r="1393" spans="1:22" ht="39.75" hidden="1" customHeight="1" thickBot="1" x14ac:dyDescent="0.3">
      <c r="A1393" s="21"/>
      <c r="B1393" s="200">
        <f>COUNTA(عمود2)</f>
        <v>16</v>
      </c>
      <c r="C1393" s="684">
        <f>B1393-E1393</f>
        <v>16</v>
      </c>
      <c r="D1393" s="684"/>
      <c r="E1393" s="675">
        <f>COUNTIF(V10:V1389,"غائب")</f>
        <v>0</v>
      </c>
      <c r="F1393" s="675"/>
      <c r="G1393" s="675"/>
      <c r="H1393" s="676">
        <f>COUNTIF($V$10:$V$1389,"ناجح")</f>
        <v>0</v>
      </c>
      <c r="I1393" s="676"/>
      <c r="J1393" s="676"/>
      <c r="K1393" s="676"/>
      <c r="L1393" s="270"/>
      <c r="M1393" s="270"/>
      <c r="N1393" s="676">
        <f>COUNTIF($V$10:$V$1389,"مرحل")</f>
        <v>300</v>
      </c>
      <c r="O1393" s="676"/>
      <c r="P1393" s="676"/>
      <c r="Q1393" s="676"/>
      <c r="R1393" s="270"/>
      <c r="S1393" s="677">
        <f>(H1393+N1393)/B1393</f>
        <v>18.75</v>
      </c>
      <c r="T1393" s="678"/>
      <c r="U1393" s="678"/>
      <c r="V1393" s="679"/>
    </row>
    <row r="1394" spans="1:22" x14ac:dyDescent="0.25">
      <c r="A1394" s="21"/>
      <c r="B1394" s="6"/>
    </row>
  </sheetData>
  <sheetProtection selectLockedCells="1"/>
  <mergeCells count="11536">
    <mergeCell ref="L1322:M1322"/>
    <mergeCell ref="L1323:M1323"/>
    <mergeCell ref="L1324:M1324"/>
    <mergeCell ref="L1325:M1325"/>
    <mergeCell ref="L1326:M1326"/>
    <mergeCell ref="L1327:M1327"/>
    <mergeCell ref="L1328:M1328"/>
    <mergeCell ref="L1329:M1329"/>
    <mergeCell ref="L1330:M1330"/>
    <mergeCell ref="L1331:M1331"/>
    <mergeCell ref="L1332:M1332"/>
    <mergeCell ref="L1333:M1333"/>
    <mergeCell ref="L1334:M1334"/>
    <mergeCell ref="L1335:M1335"/>
    <mergeCell ref="L1336:M1336"/>
    <mergeCell ref="L1337:M1337"/>
    <mergeCell ref="L1344:M1344"/>
    <mergeCell ref="L1345:M1345"/>
    <mergeCell ref="L1346:M1346"/>
    <mergeCell ref="L1347:M1347"/>
    <mergeCell ref="L1348:M1348"/>
    <mergeCell ref="L1349:M1349"/>
    <mergeCell ref="L1350:M1350"/>
    <mergeCell ref="L1351:M1351"/>
    <mergeCell ref="L1352:M1352"/>
    <mergeCell ref="L1353:M1353"/>
    <mergeCell ref="L1354:M1354"/>
    <mergeCell ref="L1355:M1355"/>
    <mergeCell ref="L1356:M1356"/>
    <mergeCell ref="L1357:M1357"/>
    <mergeCell ref="L1358:M1358"/>
    <mergeCell ref="L1359:M1359"/>
    <mergeCell ref="L1360:M1360"/>
    <mergeCell ref="L1275:M1275"/>
    <mergeCell ref="L1276:M1276"/>
    <mergeCell ref="L1277:M1277"/>
    <mergeCell ref="L1278:M1278"/>
    <mergeCell ref="L1279:M1279"/>
    <mergeCell ref="L1280:M1280"/>
    <mergeCell ref="L1281:M1281"/>
    <mergeCell ref="L1282:M1282"/>
    <mergeCell ref="L1283:M1283"/>
    <mergeCell ref="L1284:M1284"/>
    <mergeCell ref="L1285:M1285"/>
    <mergeCell ref="L1286:M1286"/>
    <mergeCell ref="L1287:M1287"/>
    <mergeCell ref="L1288:M1288"/>
    <mergeCell ref="L1289:M1289"/>
    <mergeCell ref="L1290:M1290"/>
    <mergeCell ref="L1291:M1291"/>
    <mergeCell ref="L1298:M1298"/>
    <mergeCell ref="L1299:M1299"/>
    <mergeCell ref="L1300:M1300"/>
    <mergeCell ref="L1301:M1301"/>
    <mergeCell ref="L1302:M1302"/>
    <mergeCell ref="L1303:M1303"/>
    <mergeCell ref="L1304:M1304"/>
    <mergeCell ref="L1305:M1305"/>
    <mergeCell ref="L1306:M1306"/>
    <mergeCell ref="L1307:M1307"/>
    <mergeCell ref="L1308:M1308"/>
    <mergeCell ref="L1309:M1309"/>
    <mergeCell ref="L1310:M1310"/>
    <mergeCell ref="L1311:M1311"/>
    <mergeCell ref="L1312:M1312"/>
    <mergeCell ref="L1313:M1313"/>
    <mergeCell ref="F1295:O1295"/>
    <mergeCell ref="H1312:I1312"/>
    <mergeCell ref="J1312:K1312"/>
    <mergeCell ref="N1312:O1312"/>
    <mergeCell ref="H1304:I1304"/>
    <mergeCell ref="J1304:K1304"/>
    <mergeCell ref="N1304:O1304"/>
    <mergeCell ref="F1276:G1276"/>
    <mergeCell ref="H1276:I1276"/>
    <mergeCell ref="H1278:I1278"/>
    <mergeCell ref="F1279:G1279"/>
    <mergeCell ref="H1279:I1279"/>
    <mergeCell ref="E1293:I1293"/>
    <mergeCell ref="L1236:M1236"/>
    <mergeCell ref="L1237:M1237"/>
    <mergeCell ref="L1238:M1238"/>
    <mergeCell ref="L1239:M1239"/>
    <mergeCell ref="L1240:M1240"/>
    <mergeCell ref="L1241:M1241"/>
    <mergeCell ref="L1242:M1242"/>
    <mergeCell ref="L1243:M1243"/>
    <mergeCell ref="L1244:M1244"/>
    <mergeCell ref="L1245:M1245"/>
    <mergeCell ref="L1252:M1252"/>
    <mergeCell ref="L1253:M1253"/>
    <mergeCell ref="L1254:M1254"/>
    <mergeCell ref="L1255:M1255"/>
    <mergeCell ref="L1256:M1256"/>
    <mergeCell ref="L1257:M1257"/>
    <mergeCell ref="L1258:M1258"/>
    <mergeCell ref="L1259:M1259"/>
    <mergeCell ref="L1260:M1260"/>
    <mergeCell ref="L1261:M1261"/>
    <mergeCell ref="L1262:M1262"/>
    <mergeCell ref="L1263:M1263"/>
    <mergeCell ref="L1264:M1264"/>
    <mergeCell ref="L1265:M1265"/>
    <mergeCell ref="L1266:M1266"/>
    <mergeCell ref="L1267:M1267"/>
    <mergeCell ref="L1268:M1268"/>
    <mergeCell ref="L1269:M1269"/>
    <mergeCell ref="L1270:M1270"/>
    <mergeCell ref="L1271:M1271"/>
    <mergeCell ref="L1272:M1272"/>
    <mergeCell ref="L1273:M1273"/>
    <mergeCell ref="L1274:M1274"/>
    <mergeCell ref="L1197:M1197"/>
    <mergeCell ref="L1198:M1198"/>
    <mergeCell ref="L1199:M1199"/>
    <mergeCell ref="L1206:M1206"/>
    <mergeCell ref="L1207:M1207"/>
    <mergeCell ref="L1208:M1208"/>
    <mergeCell ref="L1209:M1209"/>
    <mergeCell ref="L1210:M1210"/>
    <mergeCell ref="L1211:M1211"/>
    <mergeCell ref="L1212:M1212"/>
    <mergeCell ref="L1213:M1213"/>
    <mergeCell ref="L1214:M1214"/>
    <mergeCell ref="L1215:M1215"/>
    <mergeCell ref="L1216:M1216"/>
    <mergeCell ref="L1217:M1217"/>
    <mergeCell ref="L1218:M1218"/>
    <mergeCell ref="L1219:M1219"/>
    <mergeCell ref="L1220:M1220"/>
    <mergeCell ref="L1221:M1221"/>
    <mergeCell ref="L1222:M1222"/>
    <mergeCell ref="L1223:M1223"/>
    <mergeCell ref="L1224:M1224"/>
    <mergeCell ref="L1225:M1225"/>
    <mergeCell ref="L1226:M1226"/>
    <mergeCell ref="L1227:M1227"/>
    <mergeCell ref="L1228:M1228"/>
    <mergeCell ref="L1229:M1229"/>
    <mergeCell ref="L1230:M1230"/>
    <mergeCell ref="L1231:M1231"/>
    <mergeCell ref="L1232:M1232"/>
    <mergeCell ref="L1233:M1233"/>
    <mergeCell ref="L1234:M1234"/>
    <mergeCell ref="L1235:M1235"/>
    <mergeCell ref="L1164:M1164"/>
    <mergeCell ref="L1165:M1165"/>
    <mergeCell ref="L1166:M1166"/>
    <mergeCell ref="L1167:M1167"/>
    <mergeCell ref="L1168:M1168"/>
    <mergeCell ref="L1169:M1169"/>
    <mergeCell ref="L1170:M1170"/>
    <mergeCell ref="L1171:M1171"/>
    <mergeCell ref="L1172:M1172"/>
    <mergeCell ref="L1173:M1173"/>
    <mergeCell ref="L1174:M1174"/>
    <mergeCell ref="L1175:M1175"/>
    <mergeCell ref="L1176:M1176"/>
    <mergeCell ref="L1177:M1177"/>
    <mergeCell ref="L1178:M1178"/>
    <mergeCell ref="L1179:M1179"/>
    <mergeCell ref="L1180:M1180"/>
    <mergeCell ref="L1181:M1181"/>
    <mergeCell ref="L1182:M1182"/>
    <mergeCell ref="L1183:M1183"/>
    <mergeCell ref="L1184:M1184"/>
    <mergeCell ref="L1185:M1185"/>
    <mergeCell ref="L1186:M1186"/>
    <mergeCell ref="L1187:M1187"/>
    <mergeCell ref="L1188:M1188"/>
    <mergeCell ref="L1189:M1189"/>
    <mergeCell ref="L1190:M1190"/>
    <mergeCell ref="L1191:M1191"/>
    <mergeCell ref="L1192:M1192"/>
    <mergeCell ref="L1193:M1193"/>
    <mergeCell ref="L1194:M1194"/>
    <mergeCell ref="L1195:M1195"/>
    <mergeCell ref="L1196:M1196"/>
    <mergeCell ref="L1061:M1061"/>
    <mergeCell ref="L1068:M1068"/>
    <mergeCell ref="L1069:M1069"/>
    <mergeCell ref="L1070:M1070"/>
    <mergeCell ref="L1071:M1071"/>
    <mergeCell ref="L1072:M1072"/>
    <mergeCell ref="L1073:M1073"/>
    <mergeCell ref="L1074:M1074"/>
    <mergeCell ref="L1075:M1075"/>
    <mergeCell ref="L1076:M1076"/>
    <mergeCell ref="L1077:M1077"/>
    <mergeCell ref="L1078:M1078"/>
    <mergeCell ref="L1079:M1079"/>
    <mergeCell ref="L1080:M1080"/>
    <mergeCell ref="L1081:M1081"/>
    <mergeCell ref="L1082:M1082"/>
    <mergeCell ref="L1083:M1083"/>
    <mergeCell ref="L1114:M1114"/>
    <mergeCell ref="L1115:M1115"/>
    <mergeCell ref="L1116:M1116"/>
    <mergeCell ref="L1117:M1117"/>
    <mergeCell ref="L1118:M1118"/>
    <mergeCell ref="L1119:M1119"/>
    <mergeCell ref="L1120:M1120"/>
    <mergeCell ref="L1121:M1121"/>
    <mergeCell ref="L1122:M1122"/>
    <mergeCell ref="L1123:M1123"/>
    <mergeCell ref="L1124:M1124"/>
    <mergeCell ref="L1125:M1125"/>
    <mergeCell ref="L1126:M1126"/>
    <mergeCell ref="L1127:M1127"/>
    <mergeCell ref="L1128:M1128"/>
    <mergeCell ref="L1129:M1129"/>
    <mergeCell ref="L1007:M1007"/>
    <mergeCell ref="L1008:M1008"/>
    <mergeCell ref="L1009:M1009"/>
    <mergeCell ref="L1010:M1010"/>
    <mergeCell ref="L1011:M1011"/>
    <mergeCell ref="L1012:M1012"/>
    <mergeCell ref="L1013:M1013"/>
    <mergeCell ref="L1014:M1014"/>
    <mergeCell ref="L1015:M1015"/>
    <mergeCell ref="L1022:M1022"/>
    <mergeCell ref="L1023:M1023"/>
    <mergeCell ref="L1024:M1024"/>
    <mergeCell ref="L1025:M1025"/>
    <mergeCell ref="L1026:M1026"/>
    <mergeCell ref="L1027:M1027"/>
    <mergeCell ref="L1028:M1028"/>
    <mergeCell ref="L1029:M1029"/>
    <mergeCell ref="L1030:M1030"/>
    <mergeCell ref="L1031:M1031"/>
    <mergeCell ref="L1032:M1032"/>
    <mergeCell ref="L1033:M1033"/>
    <mergeCell ref="L1034:M1034"/>
    <mergeCell ref="L1035:M1035"/>
    <mergeCell ref="L1036:M1036"/>
    <mergeCell ref="L1037:M1037"/>
    <mergeCell ref="L1038:M1038"/>
    <mergeCell ref="L1039:M1039"/>
    <mergeCell ref="L1040:M1040"/>
    <mergeCell ref="L1041:M1041"/>
    <mergeCell ref="L1042:M1042"/>
    <mergeCell ref="L1043:M1043"/>
    <mergeCell ref="L1044:M1044"/>
    <mergeCell ref="L1045:M1045"/>
    <mergeCell ref="L968:M968"/>
    <mergeCell ref="L969:M969"/>
    <mergeCell ref="L976:M976"/>
    <mergeCell ref="L977:M977"/>
    <mergeCell ref="L978:M978"/>
    <mergeCell ref="L979:M979"/>
    <mergeCell ref="L980:M980"/>
    <mergeCell ref="L981:M981"/>
    <mergeCell ref="L982:M982"/>
    <mergeCell ref="L983:M983"/>
    <mergeCell ref="L984:M984"/>
    <mergeCell ref="L985:M985"/>
    <mergeCell ref="L986:M986"/>
    <mergeCell ref="L987:M987"/>
    <mergeCell ref="L988:M988"/>
    <mergeCell ref="L989:M989"/>
    <mergeCell ref="L990:M990"/>
    <mergeCell ref="L991:M991"/>
    <mergeCell ref="L992:M992"/>
    <mergeCell ref="L993:M993"/>
    <mergeCell ref="L994:M994"/>
    <mergeCell ref="L995:M995"/>
    <mergeCell ref="L996:M996"/>
    <mergeCell ref="L997:M997"/>
    <mergeCell ref="L998:M998"/>
    <mergeCell ref="L999:M999"/>
    <mergeCell ref="L1000:M1000"/>
    <mergeCell ref="L1001:M1001"/>
    <mergeCell ref="L1002:M1002"/>
    <mergeCell ref="L1003:M1003"/>
    <mergeCell ref="L1004:M1004"/>
    <mergeCell ref="L1005:M1005"/>
    <mergeCell ref="L1006:M1006"/>
    <mergeCell ref="L935:M935"/>
    <mergeCell ref="L936:M936"/>
    <mergeCell ref="L937:M937"/>
    <mergeCell ref="L938:M938"/>
    <mergeCell ref="L939:M939"/>
    <mergeCell ref="L940:M940"/>
    <mergeCell ref="L941:M941"/>
    <mergeCell ref="L942:M942"/>
    <mergeCell ref="L943:M943"/>
    <mergeCell ref="L944:M944"/>
    <mergeCell ref="L945:M945"/>
    <mergeCell ref="L946:M946"/>
    <mergeCell ref="L947:M947"/>
    <mergeCell ref="L948:M948"/>
    <mergeCell ref="L949:M949"/>
    <mergeCell ref="L950:M950"/>
    <mergeCell ref="L951:M951"/>
    <mergeCell ref="L952:M952"/>
    <mergeCell ref="L953:M953"/>
    <mergeCell ref="L954:M954"/>
    <mergeCell ref="L955:M955"/>
    <mergeCell ref="L956:M956"/>
    <mergeCell ref="L957:M957"/>
    <mergeCell ref="L958:M958"/>
    <mergeCell ref="L959:M959"/>
    <mergeCell ref="L960:M960"/>
    <mergeCell ref="L961:M961"/>
    <mergeCell ref="L962:M962"/>
    <mergeCell ref="L963:M963"/>
    <mergeCell ref="L964:M964"/>
    <mergeCell ref="L965:M965"/>
    <mergeCell ref="L966:M966"/>
    <mergeCell ref="L967:M967"/>
    <mergeCell ref="L850:M850"/>
    <mergeCell ref="L851:M851"/>
    <mergeCell ref="L852:M852"/>
    <mergeCell ref="L853:M853"/>
    <mergeCell ref="L872:M872"/>
    <mergeCell ref="L873:M873"/>
    <mergeCell ref="L874:M874"/>
    <mergeCell ref="L875:M875"/>
    <mergeCell ref="L876:M876"/>
    <mergeCell ref="L877:M877"/>
    <mergeCell ref="L884:M884"/>
    <mergeCell ref="L885:M885"/>
    <mergeCell ref="L886:M886"/>
    <mergeCell ref="L887:M887"/>
    <mergeCell ref="L888:M888"/>
    <mergeCell ref="L889:M889"/>
    <mergeCell ref="L890:M890"/>
    <mergeCell ref="L891:M891"/>
    <mergeCell ref="L892:M892"/>
    <mergeCell ref="L893:M893"/>
    <mergeCell ref="L894:M894"/>
    <mergeCell ref="L895:M895"/>
    <mergeCell ref="L896:M896"/>
    <mergeCell ref="L897:M897"/>
    <mergeCell ref="L898:M898"/>
    <mergeCell ref="L899:M899"/>
    <mergeCell ref="L900:M900"/>
    <mergeCell ref="L901:M901"/>
    <mergeCell ref="L902:M902"/>
    <mergeCell ref="L903:M903"/>
    <mergeCell ref="L904:M904"/>
    <mergeCell ref="L905:M905"/>
    <mergeCell ref="L906:M906"/>
    <mergeCell ref="L777:M777"/>
    <mergeCell ref="L778:M778"/>
    <mergeCell ref="L779:M779"/>
    <mergeCell ref="L780:M780"/>
    <mergeCell ref="L781:M781"/>
    <mergeCell ref="L782:M782"/>
    <mergeCell ref="L783:M783"/>
    <mergeCell ref="L784:M784"/>
    <mergeCell ref="L785:M785"/>
    <mergeCell ref="L792:M792"/>
    <mergeCell ref="L793:M793"/>
    <mergeCell ref="L794:M794"/>
    <mergeCell ref="L795:M795"/>
    <mergeCell ref="L796:M796"/>
    <mergeCell ref="L797:M797"/>
    <mergeCell ref="L798:M798"/>
    <mergeCell ref="L799:M799"/>
    <mergeCell ref="L800:M800"/>
    <mergeCell ref="L801:M801"/>
    <mergeCell ref="L802:M802"/>
    <mergeCell ref="L803:M803"/>
    <mergeCell ref="L804:M804"/>
    <mergeCell ref="L805:M805"/>
    <mergeCell ref="L806:M806"/>
    <mergeCell ref="L807:M807"/>
    <mergeCell ref="L808:M808"/>
    <mergeCell ref="L809:M809"/>
    <mergeCell ref="L810:M810"/>
    <mergeCell ref="L811:M811"/>
    <mergeCell ref="L812:M812"/>
    <mergeCell ref="L813:M813"/>
    <mergeCell ref="L814:M814"/>
    <mergeCell ref="L815:M815"/>
    <mergeCell ref="L738:M738"/>
    <mergeCell ref="L739:M739"/>
    <mergeCell ref="L746:M746"/>
    <mergeCell ref="L747:M747"/>
    <mergeCell ref="L748:M748"/>
    <mergeCell ref="L749:M749"/>
    <mergeCell ref="L750:M750"/>
    <mergeCell ref="L751:M751"/>
    <mergeCell ref="L752:M752"/>
    <mergeCell ref="L753:M753"/>
    <mergeCell ref="L754:M754"/>
    <mergeCell ref="L755:M755"/>
    <mergeCell ref="L756:M756"/>
    <mergeCell ref="L757:M757"/>
    <mergeCell ref="L758:M758"/>
    <mergeCell ref="L759:M759"/>
    <mergeCell ref="L760:M760"/>
    <mergeCell ref="L761:M761"/>
    <mergeCell ref="L762:M762"/>
    <mergeCell ref="L763:M763"/>
    <mergeCell ref="L764:M764"/>
    <mergeCell ref="L765:M765"/>
    <mergeCell ref="L766:M766"/>
    <mergeCell ref="L767:M767"/>
    <mergeCell ref="L768:M768"/>
    <mergeCell ref="L769:M769"/>
    <mergeCell ref="L770:M770"/>
    <mergeCell ref="L771:M771"/>
    <mergeCell ref="L772:M772"/>
    <mergeCell ref="L773:M773"/>
    <mergeCell ref="L774:M774"/>
    <mergeCell ref="L775:M775"/>
    <mergeCell ref="L776:M776"/>
    <mergeCell ref="L705:M705"/>
    <mergeCell ref="L706:M706"/>
    <mergeCell ref="L707:M707"/>
    <mergeCell ref="L708:M708"/>
    <mergeCell ref="L709:M709"/>
    <mergeCell ref="L710:M710"/>
    <mergeCell ref="L711:M711"/>
    <mergeCell ref="L712:M712"/>
    <mergeCell ref="L713:M713"/>
    <mergeCell ref="L714:M714"/>
    <mergeCell ref="L715:M715"/>
    <mergeCell ref="L716:M716"/>
    <mergeCell ref="L717:M717"/>
    <mergeCell ref="L718:M718"/>
    <mergeCell ref="L719:M719"/>
    <mergeCell ref="L720:M720"/>
    <mergeCell ref="L721:M721"/>
    <mergeCell ref="L722:M722"/>
    <mergeCell ref="L723:M723"/>
    <mergeCell ref="L724:M724"/>
    <mergeCell ref="L725:M725"/>
    <mergeCell ref="L726:M726"/>
    <mergeCell ref="L727:M727"/>
    <mergeCell ref="L728:M728"/>
    <mergeCell ref="L729:M729"/>
    <mergeCell ref="L730:M730"/>
    <mergeCell ref="L731:M731"/>
    <mergeCell ref="L732:M732"/>
    <mergeCell ref="L733:M733"/>
    <mergeCell ref="L734:M734"/>
    <mergeCell ref="L735:M735"/>
    <mergeCell ref="L736:M736"/>
    <mergeCell ref="L737:M737"/>
    <mergeCell ref="L654:M654"/>
    <mergeCell ref="L655:M655"/>
    <mergeCell ref="L656:M656"/>
    <mergeCell ref="L657:M657"/>
    <mergeCell ref="L658:M658"/>
    <mergeCell ref="L659:M659"/>
    <mergeCell ref="L660:M660"/>
    <mergeCell ref="L661:M661"/>
    <mergeCell ref="L662:M662"/>
    <mergeCell ref="L663:M663"/>
    <mergeCell ref="L664:M664"/>
    <mergeCell ref="L665:M665"/>
    <mergeCell ref="L666:M666"/>
    <mergeCell ref="L667:M667"/>
    <mergeCell ref="L668:M668"/>
    <mergeCell ref="L669:M669"/>
    <mergeCell ref="L670:M670"/>
    <mergeCell ref="L671:M671"/>
    <mergeCell ref="L672:M672"/>
    <mergeCell ref="L673:M673"/>
    <mergeCell ref="L674:M674"/>
    <mergeCell ref="L675:M675"/>
    <mergeCell ref="L676:M676"/>
    <mergeCell ref="L677:M677"/>
    <mergeCell ref="L678:M678"/>
    <mergeCell ref="L679:M679"/>
    <mergeCell ref="L680:M680"/>
    <mergeCell ref="L681:M681"/>
    <mergeCell ref="L682:M682"/>
    <mergeCell ref="L683:M683"/>
    <mergeCell ref="L684:M684"/>
    <mergeCell ref="L685:M685"/>
    <mergeCell ref="L686:M686"/>
    <mergeCell ref="L591:M591"/>
    <mergeCell ref="L592:M592"/>
    <mergeCell ref="L593:M593"/>
    <mergeCell ref="L594:M594"/>
    <mergeCell ref="L595:M595"/>
    <mergeCell ref="L596:M596"/>
    <mergeCell ref="L597:M597"/>
    <mergeCell ref="L598:M598"/>
    <mergeCell ref="L599:M599"/>
    <mergeCell ref="L600:M600"/>
    <mergeCell ref="L601:M601"/>
    <mergeCell ref="L608:M608"/>
    <mergeCell ref="L609:M609"/>
    <mergeCell ref="L610:M610"/>
    <mergeCell ref="L611:M611"/>
    <mergeCell ref="L612:M612"/>
    <mergeCell ref="L613:M613"/>
    <mergeCell ref="L614:M614"/>
    <mergeCell ref="L615:M615"/>
    <mergeCell ref="L616:M616"/>
    <mergeCell ref="L617:M617"/>
    <mergeCell ref="L618:M618"/>
    <mergeCell ref="L619:M619"/>
    <mergeCell ref="L620:M620"/>
    <mergeCell ref="L621:M621"/>
    <mergeCell ref="L622:M622"/>
    <mergeCell ref="L623:M623"/>
    <mergeCell ref="L624:M624"/>
    <mergeCell ref="L625:M625"/>
    <mergeCell ref="L626:M626"/>
    <mergeCell ref="L627:M627"/>
    <mergeCell ref="L628:M628"/>
    <mergeCell ref="L629:M629"/>
    <mergeCell ref="L546:M546"/>
    <mergeCell ref="L547:M547"/>
    <mergeCell ref="L548:M548"/>
    <mergeCell ref="L549:M549"/>
    <mergeCell ref="L550:M550"/>
    <mergeCell ref="L551:M551"/>
    <mergeCell ref="L552:M552"/>
    <mergeCell ref="L553:M553"/>
    <mergeCell ref="L554:M554"/>
    <mergeCell ref="L555:M555"/>
    <mergeCell ref="L562:M562"/>
    <mergeCell ref="L563:M563"/>
    <mergeCell ref="L564:M564"/>
    <mergeCell ref="L565:M565"/>
    <mergeCell ref="L566:M566"/>
    <mergeCell ref="L567:M567"/>
    <mergeCell ref="L568:M568"/>
    <mergeCell ref="L569:M569"/>
    <mergeCell ref="L570:M570"/>
    <mergeCell ref="L571:M571"/>
    <mergeCell ref="L572:M572"/>
    <mergeCell ref="L573:M573"/>
    <mergeCell ref="L574:M574"/>
    <mergeCell ref="L575:M575"/>
    <mergeCell ref="L576:M576"/>
    <mergeCell ref="L577:M577"/>
    <mergeCell ref="L578:M578"/>
    <mergeCell ref="L579:M579"/>
    <mergeCell ref="L580:M580"/>
    <mergeCell ref="L581:M581"/>
    <mergeCell ref="L582:M582"/>
    <mergeCell ref="L583:M583"/>
    <mergeCell ref="L584:M584"/>
    <mergeCell ref="L507:M507"/>
    <mergeCell ref="L508:M508"/>
    <mergeCell ref="L509:M509"/>
    <mergeCell ref="L516:M516"/>
    <mergeCell ref="L517:M517"/>
    <mergeCell ref="L518:M518"/>
    <mergeCell ref="L519:M519"/>
    <mergeCell ref="L520:M520"/>
    <mergeCell ref="L521:M521"/>
    <mergeCell ref="L522:M522"/>
    <mergeCell ref="L523:M523"/>
    <mergeCell ref="L524:M524"/>
    <mergeCell ref="L525:M525"/>
    <mergeCell ref="L526:M526"/>
    <mergeCell ref="L527:M527"/>
    <mergeCell ref="L528:M528"/>
    <mergeCell ref="L529:M529"/>
    <mergeCell ref="L530:M530"/>
    <mergeCell ref="L531:M531"/>
    <mergeCell ref="L532:M532"/>
    <mergeCell ref="L533:M533"/>
    <mergeCell ref="L534:M534"/>
    <mergeCell ref="L535:M535"/>
    <mergeCell ref="L536:M536"/>
    <mergeCell ref="L537:M537"/>
    <mergeCell ref="L538:M538"/>
    <mergeCell ref="L539:M539"/>
    <mergeCell ref="L540:M540"/>
    <mergeCell ref="L541:M541"/>
    <mergeCell ref="L542:M542"/>
    <mergeCell ref="L543:M543"/>
    <mergeCell ref="L544:M544"/>
    <mergeCell ref="L545:M545"/>
    <mergeCell ref="L474:M474"/>
    <mergeCell ref="L475:M475"/>
    <mergeCell ref="L476:M476"/>
    <mergeCell ref="L477:M477"/>
    <mergeCell ref="L478:M478"/>
    <mergeCell ref="L479:M479"/>
    <mergeCell ref="L480:M480"/>
    <mergeCell ref="L481:M481"/>
    <mergeCell ref="L482:M482"/>
    <mergeCell ref="L483:M483"/>
    <mergeCell ref="L484:M484"/>
    <mergeCell ref="L485:M485"/>
    <mergeCell ref="L486:M486"/>
    <mergeCell ref="L487:M487"/>
    <mergeCell ref="L488:M488"/>
    <mergeCell ref="L489:M489"/>
    <mergeCell ref="L490:M490"/>
    <mergeCell ref="L491:M491"/>
    <mergeCell ref="L492:M492"/>
    <mergeCell ref="L493:M493"/>
    <mergeCell ref="L494:M494"/>
    <mergeCell ref="L495:M495"/>
    <mergeCell ref="L496:M496"/>
    <mergeCell ref="L497:M497"/>
    <mergeCell ref="L498:M498"/>
    <mergeCell ref="L499:M499"/>
    <mergeCell ref="L500:M500"/>
    <mergeCell ref="L501:M501"/>
    <mergeCell ref="L502:M502"/>
    <mergeCell ref="L503:M503"/>
    <mergeCell ref="L504:M504"/>
    <mergeCell ref="L505:M505"/>
    <mergeCell ref="L506:M506"/>
    <mergeCell ref="L402:M402"/>
    <mergeCell ref="L403:M403"/>
    <mergeCell ref="L404:M404"/>
    <mergeCell ref="L405:M405"/>
    <mergeCell ref="L406:M406"/>
    <mergeCell ref="L407:M407"/>
    <mergeCell ref="L408:M408"/>
    <mergeCell ref="L409:M409"/>
    <mergeCell ref="L410:M410"/>
    <mergeCell ref="L411:M411"/>
    <mergeCell ref="L412:M412"/>
    <mergeCell ref="L413:M413"/>
    <mergeCell ref="L414:M414"/>
    <mergeCell ref="L415:M415"/>
    <mergeCell ref="L416:M416"/>
    <mergeCell ref="L417:M417"/>
    <mergeCell ref="L424:M424"/>
    <mergeCell ref="L425:M425"/>
    <mergeCell ref="L426:M426"/>
    <mergeCell ref="L427:M427"/>
    <mergeCell ref="L428:M428"/>
    <mergeCell ref="L429:M429"/>
    <mergeCell ref="L430:M430"/>
    <mergeCell ref="L431:M431"/>
    <mergeCell ref="L432:M432"/>
    <mergeCell ref="L433:M433"/>
    <mergeCell ref="L434:M434"/>
    <mergeCell ref="L435:M435"/>
    <mergeCell ref="L436:M436"/>
    <mergeCell ref="L437:M437"/>
    <mergeCell ref="L438:M438"/>
    <mergeCell ref="L439:M439"/>
    <mergeCell ref="L440:M440"/>
    <mergeCell ref="L338:M338"/>
    <mergeCell ref="L339:M339"/>
    <mergeCell ref="L340:M340"/>
    <mergeCell ref="L341:M341"/>
    <mergeCell ref="L342:M342"/>
    <mergeCell ref="L343:M343"/>
    <mergeCell ref="L344:M344"/>
    <mergeCell ref="L345:M345"/>
    <mergeCell ref="L346:M346"/>
    <mergeCell ref="L347:M347"/>
    <mergeCell ref="L348:M348"/>
    <mergeCell ref="L349:M349"/>
    <mergeCell ref="L350:M350"/>
    <mergeCell ref="L351:M351"/>
    <mergeCell ref="L352:M352"/>
    <mergeCell ref="L353:M353"/>
    <mergeCell ref="L354:M354"/>
    <mergeCell ref="L355:M355"/>
    <mergeCell ref="L356:M356"/>
    <mergeCell ref="L357:M357"/>
    <mergeCell ref="L358:M358"/>
    <mergeCell ref="L359:M359"/>
    <mergeCell ref="L360:M360"/>
    <mergeCell ref="L361:M361"/>
    <mergeCell ref="L362:M362"/>
    <mergeCell ref="L363:M363"/>
    <mergeCell ref="L364:M364"/>
    <mergeCell ref="L365:M365"/>
    <mergeCell ref="L366:M366"/>
    <mergeCell ref="L367:M367"/>
    <mergeCell ref="L368:M368"/>
    <mergeCell ref="L369:M369"/>
    <mergeCell ref="L370:M370"/>
    <mergeCell ref="L299:M299"/>
    <mergeCell ref="L300:M300"/>
    <mergeCell ref="L301:M301"/>
    <mergeCell ref="L302:M302"/>
    <mergeCell ref="L303:M303"/>
    <mergeCell ref="L304:M304"/>
    <mergeCell ref="L305:M305"/>
    <mergeCell ref="L306:M306"/>
    <mergeCell ref="L307:M307"/>
    <mergeCell ref="L308:M308"/>
    <mergeCell ref="L309:M309"/>
    <mergeCell ref="L310:M310"/>
    <mergeCell ref="L311:M311"/>
    <mergeCell ref="L312:M312"/>
    <mergeCell ref="L313:M313"/>
    <mergeCell ref="L314:M314"/>
    <mergeCell ref="L315:M315"/>
    <mergeCell ref="L316:M316"/>
    <mergeCell ref="L317:M317"/>
    <mergeCell ref="L318:M318"/>
    <mergeCell ref="L319:M319"/>
    <mergeCell ref="L320:M320"/>
    <mergeCell ref="L321:M321"/>
    <mergeCell ref="L322:M322"/>
    <mergeCell ref="L323:M323"/>
    <mergeCell ref="L324:M324"/>
    <mergeCell ref="L325:M325"/>
    <mergeCell ref="L332:M332"/>
    <mergeCell ref="L333:M333"/>
    <mergeCell ref="L334:M334"/>
    <mergeCell ref="L335:M335"/>
    <mergeCell ref="L336:M336"/>
    <mergeCell ref="L337:M337"/>
    <mergeCell ref="L260:M260"/>
    <mergeCell ref="L261:M261"/>
    <mergeCell ref="L262:M262"/>
    <mergeCell ref="L263:M263"/>
    <mergeCell ref="L264:M264"/>
    <mergeCell ref="L265:M265"/>
    <mergeCell ref="L266:M266"/>
    <mergeCell ref="L267:M267"/>
    <mergeCell ref="L268:M268"/>
    <mergeCell ref="L269:M269"/>
    <mergeCell ref="L270:M270"/>
    <mergeCell ref="L271:M271"/>
    <mergeCell ref="L272:M272"/>
    <mergeCell ref="L273:M273"/>
    <mergeCell ref="L274:M274"/>
    <mergeCell ref="L275:M275"/>
    <mergeCell ref="L276:M276"/>
    <mergeCell ref="L277:M277"/>
    <mergeCell ref="L278:M278"/>
    <mergeCell ref="L279:M279"/>
    <mergeCell ref="L286:M286"/>
    <mergeCell ref="L287:M287"/>
    <mergeCell ref="L288:M288"/>
    <mergeCell ref="L289:M289"/>
    <mergeCell ref="L290:M290"/>
    <mergeCell ref="L291:M291"/>
    <mergeCell ref="L292:M292"/>
    <mergeCell ref="L293:M293"/>
    <mergeCell ref="L294:M294"/>
    <mergeCell ref="L295:M295"/>
    <mergeCell ref="L296:M296"/>
    <mergeCell ref="L297:M297"/>
    <mergeCell ref="L298:M298"/>
    <mergeCell ref="L214:M214"/>
    <mergeCell ref="L215:M215"/>
    <mergeCell ref="L216:M216"/>
    <mergeCell ref="L217:M217"/>
    <mergeCell ref="L218:M218"/>
    <mergeCell ref="L219:M219"/>
    <mergeCell ref="L220:M220"/>
    <mergeCell ref="L221:M221"/>
    <mergeCell ref="L222:M222"/>
    <mergeCell ref="L223:M223"/>
    <mergeCell ref="L224:M224"/>
    <mergeCell ref="L225:M225"/>
    <mergeCell ref="L226:M226"/>
    <mergeCell ref="L227:M227"/>
    <mergeCell ref="L228:M228"/>
    <mergeCell ref="L229:M229"/>
    <mergeCell ref="L230:M230"/>
    <mergeCell ref="L231:M231"/>
    <mergeCell ref="L244:M244"/>
    <mergeCell ref="L245:M245"/>
    <mergeCell ref="L246:M246"/>
    <mergeCell ref="L247:M247"/>
    <mergeCell ref="L248:M248"/>
    <mergeCell ref="L249:M249"/>
    <mergeCell ref="L250:M250"/>
    <mergeCell ref="L251:M251"/>
    <mergeCell ref="L252:M252"/>
    <mergeCell ref="L253:M253"/>
    <mergeCell ref="L254:M254"/>
    <mergeCell ref="L255:M255"/>
    <mergeCell ref="L256:M256"/>
    <mergeCell ref="L257:M257"/>
    <mergeCell ref="L258:M258"/>
    <mergeCell ref="L129:M129"/>
    <mergeCell ref="L130:M130"/>
    <mergeCell ref="L131:M131"/>
    <mergeCell ref="L132:M132"/>
    <mergeCell ref="L133:M133"/>
    <mergeCell ref="L134:M134"/>
    <mergeCell ref="L135:M135"/>
    <mergeCell ref="L136:M136"/>
    <mergeCell ref="L137:M137"/>
    <mergeCell ref="L138:M138"/>
    <mergeCell ref="L139:M139"/>
    <mergeCell ref="L140:M140"/>
    <mergeCell ref="L141:M141"/>
    <mergeCell ref="L148:M148"/>
    <mergeCell ref="L149:M149"/>
    <mergeCell ref="L150:M150"/>
    <mergeCell ref="L151:M151"/>
    <mergeCell ref="L152:M152"/>
    <mergeCell ref="L160:M160"/>
    <mergeCell ref="L161:M161"/>
    <mergeCell ref="L162:M162"/>
    <mergeCell ref="L163:M163"/>
    <mergeCell ref="L164:M164"/>
    <mergeCell ref="L165:M165"/>
    <mergeCell ref="L166:M166"/>
    <mergeCell ref="L167:M167"/>
    <mergeCell ref="L168:M168"/>
    <mergeCell ref="L169:M169"/>
    <mergeCell ref="L170:M170"/>
    <mergeCell ref="L171:M171"/>
    <mergeCell ref="L172:M172"/>
    <mergeCell ref="L173:M173"/>
    <mergeCell ref="L174:M174"/>
    <mergeCell ref="L76:M76"/>
    <mergeCell ref="L77:M77"/>
    <mergeCell ref="L78:M78"/>
    <mergeCell ref="L79:M79"/>
    <mergeCell ref="L80:M80"/>
    <mergeCell ref="L81:M81"/>
    <mergeCell ref="L82:M82"/>
    <mergeCell ref="L83:M83"/>
    <mergeCell ref="L84:M84"/>
    <mergeCell ref="L85:M85"/>
    <mergeCell ref="L86:M86"/>
    <mergeCell ref="L87:M87"/>
    <mergeCell ref="L88:M88"/>
    <mergeCell ref="L89:M89"/>
    <mergeCell ref="L90:M90"/>
    <mergeCell ref="L91:M91"/>
    <mergeCell ref="L92:M92"/>
    <mergeCell ref="L93:M93"/>
    <mergeCell ref="L114:M114"/>
    <mergeCell ref="L115:M115"/>
    <mergeCell ref="L116:M116"/>
    <mergeCell ref="L117:M117"/>
    <mergeCell ref="L118:M118"/>
    <mergeCell ref="L119:M119"/>
    <mergeCell ref="L120:M120"/>
    <mergeCell ref="L121:M121"/>
    <mergeCell ref="L122:M122"/>
    <mergeCell ref="L123:M123"/>
    <mergeCell ref="L124:M124"/>
    <mergeCell ref="L125:M125"/>
    <mergeCell ref="L126:M126"/>
    <mergeCell ref="L127:M127"/>
    <mergeCell ref="L128:M128"/>
    <mergeCell ref="Q511:V511"/>
    <mergeCell ref="Q512:W512"/>
    <mergeCell ref="E557:I557"/>
    <mergeCell ref="Q557:V557"/>
    <mergeCell ref="Q558:W558"/>
    <mergeCell ref="E603:I603"/>
    <mergeCell ref="Q603:V603"/>
    <mergeCell ref="Q604:W604"/>
    <mergeCell ref="E1017:I1017"/>
    <mergeCell ref="Q1017:V1017"/>
    <mergeCell ref="Q1018:W1018"/>
    <mergeCell ref="E1063:I1063"/>
    <mergeCell ref="Q1063:V1063"/>
    <mergeCell ref="Q1064:W1064"/>
    <mergeCell ref="E882:Q882"/>
    <mergeCell ref="F875:G875"/>
    <mergeCell ref="H875:I875"/>
    <mergeCell ref="J875:K875"/>
    <mergeCell ref="N875:O875"/>
    <mergeCell ref="P875:Q875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49:M49"/>
    <mergeCell ref="L56:M56"/>
    <mergeCell ref="L57:M57"/>
    <mergeCell ref="L58:M58"/>
    <mergeCell ref="L59:M59"/>
    <mergeCell ref="L60:M60"/>
    <mergeCell ref="L61:M61"/>
    <mergeCell ref="L62:M62"/>
    <mergeCell ref="L63:M63"/>
    <mergeCell ref="L64:M64"/>
    <mergeCell ref="L65:M65"/>
    <mergeCell ref="L66:M66"/>
    <mergeCell ref="L67:M67"/>
    <mergeCell ref="L68:M68"/>
    <mergeCell ref="L69:M69"/>
    <mergeCell ref="L70:M70"/>
    <mergeCell ref="L71:M71"/>
    <mergeCell ref="J359:K359"/>
    <mergeCell ref="N359:O359"/>
    <mergeCell ref="P359:Q359"/>
    <mergeCell ref="F357:G357"/>
    <mergeCell ref="H357:I357"/>
    <mergeCell ref="J357:K357"/>
    <mergeCell ref="N357:O357"/>
    <mergeCell ref="H370:I370"/>
    <mergeCell ref="F371:G371"/>
    <mergeCell ref="H371:I371"/>
    <mergeCell ref="J371:K371"/>
    <mergeCell ref="N371:O371"/>
    <mergeCell ref="P371:Q371"/>
    <mergeCell ref="F370:G370"/>
    <mergeCell ref="S376:W376"/>
    <mergeCell ref="E143:I143"/>
    <mergeCell ref="Q143:V143"/>
    <mergeCell ref="Q144:W144"/>
    <mergeCell ref="E189:I189"/>
    <mergeCell ref="Q189:V189"/>
    <mergeCell ref="Q190:W190"/>
    <mergeCell ref="E235:I235"/>
    <mergeCell ref="Q235:V235"/>
    <mergeCell ref="Q236:W236"/>
    <mergeCell ref="E281:I281"/>
    <mergeCell ref="Q281:V281"/>
    <mergeCell ref="Q282:W282"/>
    <mergeCell ref="E327:I327"/>
    <mergeCell ref="Q327:V327"/>
    <mergeCell ref="Q328:W328"/>
    <mergeCell ref="E373:I373"/>
    <mergeCell ref="Q373:V373"/>
    <mergeCell ref="Q374:W374"/>
    <mergeCell ref="L175:M175"/>
    <mergeCell ref="L176:M176"/>
    <mergeCell ref="L177:M177"/>
    <mergeCell ref="L178:M178"/>
    <mergeCell ref="L179:M179"/>
    <mergeCell ref="L180:M180"/>
    <mergeCell ref="L181:M181"/>
    <mergeCell ref="L182:M182"/>
    <mergeCell ref="L183:M183"/>
    <mergeCell ref="L184:M184"/>
    <mergeCell ref="L185:M185"/>
    <mergeCell ref="L186:M186"/>
    <mergeCell ref="L187:M187"/>
    <mergeCell ref="L194:M194"/>
    <mergeCell ref="L195:M195"/>
    <mergeCell ref="L196:M196"/>
    <mergeCell ref="L197:M197"/>
    <mergeCell ref="L198:M198"/>
    <mergeCell ref="L199:M199"/>
    <mergeCell ref="L200:M200"/>
    <mergeCell ref="L201:M201"/>
    <mergeCell ref="L202:M202"/>
    <mergeCell ref="L203:M203"/>
    <mergeCell ref="L204:M204"/>
    <mergeCell ref="L205:M205"/>
    <mergeCell ref="L206:M206"/>
    <mergeCell ref="L207:M207"/>
    <mergeCell ref="L208:M208"/>
    <mergeCell ref="L209:M209"/>
    <mergeCell ref="L210:M210"/>
    <mergeCell ref="L211:M211"/>
    <mergeCell ref="AK1252:AK1255"/>
    <mergeCell ref="AK1256:AK1259"/>
    <mergeCell ref="AK1260:AK1263"/>
    <mergeCell ref="AK1264:AK1267"/>
    <mergeCell ref="AK1268:AK1271"/>
    <mergeCell ref="AK1272:AK1275"/>
    <mergeCell ref="AK1276:AK1279"/>
    <mergeCell ref="AK1280:AK1283"/>
    <mergeCell ref="AK1284:AK1287"/>
    <mergeCell ref="AK1288:AK1291"/>
    <mergeCell ref="AK1298:AK1301"/>
    <mergeCell ref="AK1302:AK1305"/>
    <mergeCell ref="AK1306:AK1309"/>
    <mergeCell ref="AK1310:AK1313"/>
    <mergeCell ref="AK1314:AK1317"/>
    <mergeCell ref="AK1318:AK1321"/>
    <mergeCell ref="AK1322:AK1325"/>
    <mergeCell ref="AK1326:AK1329"/>
    <mergeCell ref="AK1330:AK1333"/>
    <mergeCell ref="AK1334:AK1337"/>
    <mergeCell ref="AK1344:AK1347"/>
    <mergeCell ref="AK1348:AK1351"/>
    <mergeCell ref="AK1352:AK1355"/>
    <mergeCell ref="AK1356:AK1359"/>
    <mergeCell ref="AK1360:AK1363"/>
    <mergeCell ref="AK1364:AK1367"/>
    <mergeCell ref="AK1368:AK1371"/>
    <mergeCell ref="AK1372:AK1375"/>
    <mergeCell ref="AK1376:AK1379"/>
    <mergeCell ref="AK1380:AK1383"/>
    <mergeCell ref="AK1138:AK1141"/>
    <mergeCell ref="AK1142:AK1145"/>
    <mergeCell ref="AK1146:AK1149"/>
    <mergeCell ref="AK1150:AK1153"/>
    <mergeCell ref="AK1160:AK1163"/>
    <mergeCell ref="AK1164:AK1167"/>
    <mergeCell ref="AK1168:AK1171"/>
    <mergeCell ref="AK1172:AK1175"/>
    <mergeCell ref="AK1176:AK1179"/>
    <mergeCell ref="AK1180:AK1183"/>
    <mergeCell ref="AK1184:AK1187"/>
    <mergeCell ref="AK1188:AK1191"/>
    <mergeCell ref="AK1192:AK1195"/>
    <mergeCell ref="AK1196:AK1199"/>
    <mergeCell ref="AK1206:AK1209"/>
    <mergeCell ref="AK1210:AK1213"/>
    <mergeCell ref="AK1214:AK1217"/>
    <mergeCell ref="AK1218:AK1221"/>
    <mergeCell ref="AK1222:AK1225"/>
    <mergeCell ref="AK1226:AK1229"/>
    <mergeCell ref="AK1230:AK1233"/>
    <mergeCell ref="AK1234:AK1237"/>
    <mergeCell ref="AK1238:AK1241"/>
    <mergeCell ref="AK992:AK995"/>
    <mergeCell ref="AK996:AK999"/>
    <mergeCell ref="AK1000:AK1003"/>
    <mergeCell ref="AK1004:AK1007"/>
    <mergeCell ref="AK1008:AK1011"/>
    <mergeCell ref="AK1012:AK1015"/>
    <mergeCell ref="AK1022:AK1025"/>
    <mergeCell ref="AK1026:AK1029"/>
    <mergeCell ref="AK1030:AK1033"/>
    <mergeCell ref="AK1034:AK1037"/>
    <mergeCell ref="AK1038:AK1041"/>
    <mergeCell ref="AK1042:AK1045"/>
    <mergeCell ref="AK1046:AK1049"/>
    <mergeCell ref="AK1050:AK1053"/>
    <mergeCell ref="AK1054:AK1057"/>
    <mergeCell ref="AK1058:AK1061"/>
    <mergeCell ref="AK1068:AK1071"/>
    <mergeCell ref="AK1072:AK1075"/>
    <mergeCell ref="AK1076:AK1079"/>
    <mergeCell ref="AK1080:AK1083"/>
    <mergeCell ref="AK1084:AK1087"/>
    <mergeCell ref="AK1088:AK1091"/>
    <mergeCell ref="AK1092:AK1095"/>
    <mergeCell ref="AK1096:AK1099"/>
    <mergeCell ref="AK1100:AK1103"/>
    <mergeCell ref="AK1104:AK1107"/>
    <mergeCell ref="AK1114:AK1117"/>
    <mergeCell ref="AK1118:AK1121"/>
    <mergeCell ref="AK1122:AK1125"/>
    <mergeCell ref="AK1126:AK1129"/>
    <mergeCell ref="AK1130:AK1133"/>
    <mergeCell ref="AK1134:AK1137"/>
    <mergeCell ref="AK1242:AK1245"/>
    <mergeCell ref="AK842:AK845"/>
    <mergeCell ref="AK846:AK849"/>
    <mergeCell ref="AK850:AK853"/>
    <mergeCell ref="AK854:AK857"/>
    <mergeCell ref="AK858:AK861"/>
    <mergeCell ref="AK862:AK865"/>
    <mergeCell ref="AK866:AK869"/>
    <mergeCell ref="AK870:AK873"/>
    <mergeCell ref="AK874:AK877"/>
    <mergeCell ref="AK884:AK887"/>
    <mergeCell ref="AK888:AK891"/>
    <mergeCell ref="AK892:AK895"/>
    <mergeCell ref="AK896:AK899"/>
    <mergeCell ref="AK900:AK903"/>
    <mergeCell ref="AK904:AK907"/>
    <mergeCell ref="AK908:AK911"/>
    <mergeCell ref="AK912:AK915"/>
    <mergeCell ref="AK916:AK919"/>
    <mergeCell ref="AK920:AK923"/>
    <mergeCell ref="AK930:AK933"/>
    <mergeCell ref="AK934:AK937"/>
    <mergeCell ref="AK938:AK941"/>
    <mergeCell ref="AK942:AK945"/>
    <mergeCell ref="AK946:AK949"/>
    <mergeCell ref="AK950:AK953"/>
    <mergeCell ref="AK954:AK957"/>
    <mergeCell ref="AK958:AK961"/>
    <mergeCell ref="AK962:AK965"/>
    <mergeCell ref="AK966:AK969"/>
    <mergeCell ref="AK976:AK979"/>
    <mergeCell ref="AK980:AK983"/>
    <mergeCell ref="AK984:AK987"/>
    <mergeCell ref="AK988:AK991"/>
    <mergeCell ref="AK686:AK689"/>
    <mergeCell ref="AK690:AK693"/>
    <mergeCell ref="AK700:AK703"/>
    <mergeCell ref="AK704:AK707"/>
    <mergeCell ref="AK708:AK711"/>
    <mergeCell ref="AK712:AK715"/>
    <mergeCell ref="AK716:AK719"/>
    <mergeCell ref="AK720:AK723"/>
    <mergeCell ref="AK724:AK727"/>
    <mergeCell ref="AK728:AK731"/>
    <mergeCell ref="AK732:AK735"/>
    <mergeCell ref="AK736:AK739"/>
    <mergeCell ref="AK746:AK749"/>
    <mergeCell ref="AK750:AK753"/>
    <mergeCell ref="AK754:AK757"/>
    <mergeCell ref="AK758:AK761"/>
    <mergeCell ref="AK762:AK765"/>
    <mergeCell ref="AK766:AK769"/>
    <mergeCell ref="AK770:AK773"/>
    <mergeCell ref="AK774:AK777"/>
    <mergeCell ref="AK778:AK781"/>
    <mergeCell ref="AK782:AK785"/>
    <mergeCell ref="AK792:AK795"/>
    <mergeCell ref="AK796:AK799"/>
    <mergeCell ref="AK800:AK803"/>
    <mergeCell ref="AK804:AK807"/>
    <mergeCell ref="AK808:AK811"/>
    <mergeCell ref="AK812:AK815"/>
    <mergeCell ref="AK816:AK819"/>
    <mergeCell ref="AK820:AK823"/>
    <mergeCell ref="AK824:AK827"/>
    <mergeCell ref="AK828:AK831"/>
    <mergeCell ref="AK838:AK841"/>
    <mergeCell ref="AK536:AK539"/>
    <mergeCell ref="AK540:AK543"/>
    <mergeCell ref="AK544:AK547"/>
    <mergeCell ref="AK548:AK551"/>
    <mergeCell ref="AK552:AK555"/>
    <mergeCell ref="AK562:AK565"/>
    <mergeCell ref="AK566:AK569"/>
    <mergeCell ref="AK570:AK573"/>
    <mergeCell ref="AK574:AK577"/>
    <mergeCell ref="AK578:AK581"/>
    <mergeCell ref="AK582:AK585"/>
    <mergeCell ref="AK586:AK589"/>
    <mergeCell ref="AK590:AK593"/>
    <mergeCell ref="AK594:AK597"/>
    <mergeCell ref="AK598:AK601"/>
    <mergeCell ref="AK608:AK611"/>
    <mergeCell ref="AK612:AK615"/>
    <mergeCell ref="AK616:AK619"/>
    <mergeCell ref="AK620:AK623"/>
    <mergeCell ref="AK624:AK627"/>
    <mergeCell ref="AK628:AK631"/>
    <mergeCell ref="AK632:AK635"/>
    <mergeCell ref="AK636:AK639"/>
    <mergeCell ref="AK640:AK643"/>
    <mergeCell ref="AK644:AK647"/>
    <mergeCell ref="AK654:AK657"/>
    <mergeCell ref="AK658:AK661"/>
    <mergeCell ref="AK662:AK665"/>
    <mergeCell ref="AK666:AK669"/>
    <mergeCell ref="AK670:AK673"/>
    <mergeCell ref="AK674:AK677"/>
    <mergeCell ref="AK678:AK681"/>
    <mergeCell ref="AK682:AK685"/>
    <mergeCell ref="AK386:AK389"/>
    <mergeCell ref="AK390:AK393"/>
    <mergeCell ref="AK394:AK397"/>
    <mergeCell ref="AK398:AK401"/>
    <mergeCell ref="AK402:AK405"/>
    <mergeCell ref="AK406:AK409"/>
    <mergeCell ref="AK410:AK413"/>
    <mergeCell ref="AK414:AK417"/>
    <mergeCell ref="AK424:AK427"/>
    <mergeCell ref="AK428:AK431"/>
    <mergeCell ref="AK432:AK435"/>
    <mergeCell ref="AK436:AK439"/>
    <mergeCell ref="AK440:AK443"/>
    <mergeCell ref="AK444:AK447"/>
    <mergeCell ref="AK448:AK451"/>
    <mergeCell ref="AK452:AK455"/>
    <mergeCell ref="AK456:AK459"/>
    <mergeCell ref="AK460:AK463"/>
    <mergeCell ref="AK470:AK473"/>
    <mergeCell ref="AK474:AK477"/>
    <mergeCell ref="AK478:AK481"/>
    <mergeCell ref="AK482:AK485"/>
    <mergeCell ref="AK486:AK489"/>
    <mergeCell ref="AK490:AK493"/>
    <mergeCell ref="AK494:AK497"/>
    <mergeCell ref="AK498:AK501"/>
    <mergeCell ref="AK502:AK505"/>
    <mergeCell ref="AK506:AK509"/>
    <mergeCell ref="AK516:AK519"/>
    <mergeCell ref="AK520:AK523"/>
    <mergeCell ref="AK524:AK527"/>
    <mergeCell ref="AK528:AK531"/>
    <mergeCell ref="AK532:AK535"/>
    <mergeCell ref="AK230:AK233"/>
    <mergeCell ref="AK240:AK243"/>
    <mergeCell ref="AK244:AK247"/>
    <mergeCell ref="AK248:AK251"/>
    <mergeCell ref="AK252:AK255"/>
    <mergeCell ref="AK256:AK259"/>
    <mergeCell ref="AK260:AK263"/>
    <mergeCell ref="AK264:AK267"/>
    <mergeCell ref="AK268:AK271"/>
    <mergeCell ref="AK272:AK275"/>
    <mergeCell ref="AK276:AK279"/>
    <mergeCell ref="AK286:AK289"/>
    <mergeCell ref="AK290:AK293"/>
    <mergeCell ref="AK294:AK297"/>
    <mergeCell ref="AK298:AK301"/>
    <mergeCell ref="AK302:AK305"/>
    <mergeCell ref="AK306:AK309"/>
    <mergeCell ref="AK310:AK313"/>
    <mergeCell ref="AK314:AK317"/>
    <mergeCell ref="AK318:AK321"/>
    <mergeCell ref="AK322:AK325"/>
    <mergeCell ref="AK332:AK335"/>
    <mergeCell ref="AK336:AK339"/>
    <mergeCell ref="AK340:AK343"/>
    <mergeCell ref="AK344:AK347"/>
    <mergeCell ref="AK348:AK351"/>
    <mergeCell ref="AK352:AK355"/>
    <mergeCell ref="AK356:AK359"/>
    <mergeCell ref="AK360:AK363"/>
    <mergeCell ref="AK364:AK367"/>
    <mergeCell ref="AK368:AK371"/>
    <mergeCell ref="AK378:AK381"/>
    <mergeCell ref="AK382:AK385"/>
    <mergeCell ref="AN5:AP9"/>
    <mergeCell ref="AK10:AK13"/>
    <mergeCell ref="AK14:AK17"/>
    <mergeCell ref="AK18:AK21"/>
    <mergeCell ref="AK22:AK25"/>
    <mergeCell ref="AK26:AK29"/>
    <mergeCell ref="AK30:AK33"/>
    <mergeCell ref="AK34:AK37"/>
    <mergeCell ref="AK38:AK41"/>
    <mergeCell ref="AK42:AK45"/>
    <mergeCell ref="AK46:AK49"/>
    <mergeCell ref="AK56:AK59"/>
    <mergeCell ref="AK60:AK63"/>
    <mergeCell ref="AK64:AK67"/>
    <mergeCell ref="AK68:AK71"/>
    <mergeCell ref="AK72:AK75"/>
    <mergeCell ref="AK76:AK79"/>
    <mergeCell ref="AK80:AK83"/>
    <mergeCell ref="AK84:AK87"/>
    <mergeCell ref="AK88:AK91"/>
    <mergeCell ref="AK92:AK95"/>
    <mergeCell ref="AK102:AK105"/>
    <mergeCell ref="AK106:AK109"/>
    <mergeCell ref="AK110:AK113"/>
    <mergeCell ref="AK114:AK117"/>
    <mergeCell ref="AK118:AK121"/>
    <mergeCell ref="AK122:AK125"/>
    <mergeCell ref="AK126:AK129"/>
    <mergeCell ref="AK130:AK133"/>
    <mergeCell ref="AK134:AK137"/>
    <mergeCell ref="AK138:AK141"/>
    <mergeCell ref="AK148:AK151"/>
    <mergeCell ref="AK152:AK155"/>
    <mergeCell ref="AM148:AM151"/>
    <mergeCell ref="AN148:AN151"/>
    <mergeCell ref="AO148:AO151"/>
    <mergeCell ref="AP148:AP151"/>
    <mergeCell ref="AL152:AL155"/>
    <mergeCell ref="AM152:AM155"/>
    <mergeCell ref="AN152:AN155"/>
    <mergeCell ref="AO152:AO155"/>
    <mergeCell ref="AP152:AP155"/>
    <mergeCell ref="AM88:AM91"/>
    <mergeCell ref="AN88:AN91"/>
    <mergeCell ref="AO88:AO91"/>
    <mergeCell ref="AP88:AP91"/>
    <mergeCell ref="AL92:AL95"/>
    <mergeCell ref="AM92:AM95"/>
    <mergeCell ref="AN92:AN95"/>
    <mergeCell ref="AO92:AO95"/>
    <mergeCell ref="AP92:AP95"/>
    <mergeCell ref="AL102:AL105"/>
    <mergeCell ref="AM102:AM105"/>
    <mergeCell ref="AN102:AN105"/>
    <mergeCell ref="AO102:AO105"/>
    <mergeCell ref="AP102:AP105"/>
    <mergeCell ref="AL106:AL109"/>
    <mergeCell ref="AM106:AM109"/>
    <mergeCell ref="AN106:AN109"/>
    <mergeCell ref="AO106:AO109"/>
    <mergeCell ref="AP106:AP109"/>
    <mergeCell ref="AL110:AL113"/>
    <mergeCell ref="AM110:AM113"/>
    <mergeCell ref="AN110:AN113"/>
    <mergeCell ref="AM1360:AM1363"/>
    <mergeCell ref="AN1360:AN1363"/>
    <mergeCell ref="AO1360:AO1363"/>
    <mergeCell ref="AP1360:AP1363"/>
    <mergeCell ref="AL1364:AL1367"/>
    <mergeCell ref="AM1364:AM1367"/>
    <mergeCell ref="AN1364:AN1367"/>
    <mergeCell ref="AO1364:AO1367"/>
    <mergeCell ref="AP1364:AP1367"/>
    <mergeCell ref="AL1368:AL1371"/>
    <mergeCell ref="AM1368:AM1371"/>
    <mergeCell ref="AN1368:AN1371"/>
    <mergeCell ref="AO1368:AO1371"/>
    <mergeCell ref="AP1368:AP1371"/>
    <mergeCell ref="AL1372:AL1375"/>
    <mergeCell ref="AM1372:AM1375"/>
    <mergeCell ref="AN1372:AN1375"/>
    <mergeCell ref="AO1372:AO1375"/>
    <mergeCell ref="AP1372:AP1375"/>
    <mergeCell ref="AL1376:AL1379"/>
    <mergeCell ref="AM1376:AM1379"/>
    <mergeCell ref="AN1376:AN1379"/>
    <mergeCell ref="AO1376:AO1379"/>
    <mergeCell ref="AP1376:AP1379"/>
    <mergeCell ref="AL1380:AL1383"/>
    <mergeCell ref="AM1380:AM1383"/>
    <mergeCell ref="AN1380:AN1383"/>
    <mergeCell ref="AO1380:AO1383"/>
    <mergeCell ref="AP1380:AP1383"/>
    <mergeCell ref="AL1330:AL1333"/>
    <mergeCell ref="AM1330:AM1333"/>
    <mergeCell ref="AN1330:AN1333"/>
    <mergeCell ref="AO1330:AO1333"/>
    <mergeCell ref="AP1330:AP1333"/>
    <mergeCell ref="AL1334:AL1337"/>
    <mergeCell ref="AM1334:AM1337"/>
    <mergeCell ref="AN1334:AN1337"/>
    <mergeCell ref="AO1334:AO1337"/>
    <mergeCell ref="AP1334:AP1337"/>
    <mergeCell ref="AL1344:AL1347"/>
    <mergeCell ref="AM1344:AM1347"/>
    <mergeCell ref="AN1344:AN1347"/>
    <mergeCell ref="AO1344:AO1347"/>
    <mergeCell ref="AP1344:AP1347"/>
    <mergeCell ref="AL1348:AL1351"/>
    <mergeCell ref="AM1348:AM1351"/>
    <mergeCell ref="AN1348:AN1351"/>
    <mergeCell ref="AO1348:AO1351"/>
    <mergeCell ref="AP1348:AP1351"/>
    <mergeCell ref="AL1352:AL1355"/>
    <mergeCell ref="AM1352:AM1355"/>
    <mergeCell ref="AN1352:AN1355"/>
    <mergeCell ref="AO1352:AO1355"/>
    <mergeCell ref="AP1352:AP1355"/>
    <mergeCell ref="AL1356:AL1359"/>
    <mergeCell ref="AM1356:AM1359"/>
    <mergeCell ref="AN1356:AN1359"/>
    <mergeCell ref="AO1356:AO1359"/>
    <mergeCell ref="AP1356:AP1359"/>
    <mergeCell ref="AM1306:AM1309"/>
    <mergeCell ref="AN1306:AN1309"/>
    <mergeCell ref="AO1306:AO1309"/>
    <mergeCell ref="AP1306:AP1309"/>
    <mergeCell ref="AL1310:AL1313"/>
    <mergeCell ref="AM1310:AM1313"/>
    <mergeCell ref="AN1310:AN1313"/>
    <mergeCell ref="AO1310:AO1313"/>
    <mergeCell ref="AP1310:AP1313"/>
    <mergeCell ref="AL1314:AL1317"/>
    <mergeCell ref="AM1314:AM1317"/>
    <mergeCell ref="AN1314:AN1317"/>
    <mergeCell ref="AO1314:AO1317"/>
    <mergeCell ref="AP1314:AP1317"/>
    <mergeCell ref="AL1318:AL1321"/>
    <mergeCell ref="AM1318:AM1321"/>
    <mergeCell ref="AN1318:AN1321"/>
    <mergeCell ref="AO1318:AO1321"/>
    <mergeCell ref="AP1318:AP1321"/>
    <mergeCell ref="AL1322:AL1325"/>
    <mergeCell ref="AM1322:AM1325"/>
    <mergeCell ref="AN1322:AN1325"/>
    <mergeCell ref="AO1322:AO1325"/>
    <mergeCell ref="AP1322:AP1325"/>
    <mergeCell ref="AL1326:AL1329"/>
    <mergeCell ref="AM1326:AM1329"/>
    <mergeCell ref="AN1326:AN1329"/>
    <mergeCell ref="AO1326:AO1329"/>
    <mergeCell ref="AP1326:AP1329"/>
    <mergeCell ref="AL1276:AL1279"/>
    <mergeCell ref="AM1276:AM1279"/>
    <mergeCell ref="AN1276:AN1279"/>
    <mergeCell ref="AO1276:AO1279"/>
    <mergeCell ref="AP1276:AP1279"/>
    <mergeCell ref="AL1280:AL1283"/>
    <mergeCell ref="AM1280:AM1283"/>
    <mergeCell ref="AN1280:AN1283"/>
    <mergeCell ref="AO1280:AO1283"/>
    <mergeCell ref="AP1280:AP1283"/>
    <mergeCell ref="AL1284:AL1287"/>
    <mergeCell ref="AM1284:AM1287"/>
    <mergeCell ref="AN1284:AN1287"/>
    <mergeCell ref="AO1284:AO1287"/>
    <mergeCell ref="AP1284:AP1287"/>
    <mergeCell ref="AL1288:AL1291"/>
    <mergeCell ref="AM1288:AM1291"/>
    <mergeCell ref="AN1288:AN1291"/>
    <mergeCell ref="AO1288:AO1291"/>
    <mergeCell ref="AP1288:AP1291"/>
    <mergeCell ref="AL1298:AL1301"/>
    <mergeCell ref="AM1298:AM1301"/>
    <mergeCell ref="AN1298:AN1301"/>
    <mergeCell ref="AO1298:AO1301"/>
    <mergeCell ref="AP1298:AP1301"/>
    <mergeCell ref="AL1302:AL1305"/>
    <mergeCell ref="AM1302:AM1305"/>
    <mergeCell ref="AN1302:AN1305"/>
    <mergeCell ref="AO1302:AO1305"/>
    <mergeCell ref="AP1302:AP1305"/>
    <mergeCell ref="AM1252:AM1255"/>
    <mergeCell ref="AN1252:AN1255"/>
    <mergeCell ref="AO1252:AO1255"/>
    <mergeCell ref="AP1252:AP1255"/>
    <mergeCell ref="AL1256:AL1259"/>
    <mergeCell ref="AM1256:AM1259"/>
    <mergeCell ref="AN1256:AN1259"/>
    <mergeCell ref="AO1256:AO1259"/>
    <mergeCell ref="AP1256:AP1259"/>
    <mergeCell ref="AL1260:AL1263"/>
    <mergeCell ref="AM1260:AM1263"/>
    <mergeCell ref="AN1260:AN1263"/>
    <mergeCell ref="AO1260:AO1263"/>
    <mergeCell ref="AP1260:AP1263"/>
    <mergeCell ref="AL1264:AL1267"/>
    <mergeCell ref="AM1264:AM1267"/>
    <mergeCell ref="AN1264:AN1267"/>
    <mergeCell ref="AO1264:AO1267"/>
    <mergeCell ref="AP1264:AP1267"/>
    <mergeCell ref="AL1268:AL1271"/>
    <mergeCell ref="AM1268:AM1271"/>
    <mergeCell ref="AN1268:AN1271"/>
    <mergeCell ref="AO1268:AO1271"/>
    <mergeCell ref="AP1268:AP1271"/>
    <mergeCell ref="AL1272:AL1275"/>
    <mergeCell ref="AM1272:AM1275"/>
    <mergeCell ref="AN1272:AN1275"/>
    <mergeCell ref="AO1272:AO1275"/>
    <mergeCell ref="AP1272:AP1275"/>
    <mergeCell ref="AL1222:AL1225"/>
    <mergeCell ref="AM1222:AM1225"/>
    <mergeCell ref="AN1222:AN1225"/>
    <mergeCell ref="AO1222:AO1225"/>
    <mergeCell ref="AP1222:AP1225"/>
    <mergeCell ref="AL1226:AL1229"/>
    <mergeCell ref="AM1226:AM1229"/>
    <mergeCell ref="AN1226:AN1229"/>
    <mergeCell ref="AO1226:AO1229"/>
    <mergeCell ref="AP1226:AP1229"/>
    <mergeCell ref="AL1230:AL1233"/>
    <mergeCell ref="AM1230:AM1233"/>
    <mergeCell ref="AN1230:AN1233"/>
    <mergeCell ref="AO1230:AO1233"/>
    <mergeCell ref="AP1230:AP1233"/>
    <mergeCell ref="AL1234:AL1237"/>
    <mergeCell ref="AM1234:AM1237"/>
    <mergeCell ref="AN1234:AN1237"/>
    <mergeCell ref="AO1234:AO1237"/>
    <mergeCell ref="AP1234:AP1237"/>
    <mergeCell ref="AL1238:AL1241"/>
    <mergeCell ref="AM1238:AM1241"/>
    <mergeCell ref="AN1238:AN1241"/>
    <mergeCell ref="AO1238:AO1241"/>
    <mergeCell ref="AP1238:AP1241"/>
    <mergeCell ref="AL1242:AL1245"/>
    <mergeCell ref="AM1242:AM1245"/>
    <mergeCell ref="AN1242:AN1245"/>
    <mergeCell ref="AO1242:AO1245"/>
    <mergeCell ref="AP1242:AP1245"/>
    <mergeCell ref="AM1192:AM1195"/>
    <mergeCell ref="AN1192:AN1195"/>
    <mergeCell ref="AO1192:AO1195"/>
    <mergeCell ref="AP1192:AP1195"/>
    <mergeCell ref="AL1196:AL1199"/>
    <mergeCell ref="AM1196:AM1199"/>
    <mergeCell ref="AN1196:AN1199"/>
    <mergeCell ref="AO1196:AO1199"/>
    <mergeCell ref="AP1196:AP1199"/>
    <mergeCell ref="AL1206:AL1209"/>
    <mergeCell ref="AM1206:AM1209"/>
    <mergeCell ref="AN1206:AN1209"/>
    <mergeCell ref="AO1206:AO1209"/>
    <mergeCell ref="AP1206:AP1209"/>
    <mergeCell ref="AL1210:AL1213"/>
    <mergeCell ref="AM1210:AM1213"/>
    <mergeCell ref="AN1210:AN1213"/>
    <mergeCell ref="AO1210:AO1213"/>
    <mergeCell ref="AP1210:AP1213"/>
    <mergeCell ref="AL1214:AL1217"/>
    <mergeCell ref="AM1214:AM1217"/>
    <mergeCell ref="AN1214:AN1217"/>
    <mergeCell ref="AO1214:AO1217"/>
    <mergeCell ref="AP1214:AP1217"/>
    <mergeCell ref="AL1218:AL1221"/>
    <mergeCell ref="AM1218:AM1221"/>
    <mergeCell ref="AN1218:AN1221"/>
    <mergeCell ref="AO1218:AO1221"/>
    <mergeCell ref="AP1218:AP1221"/>
    <mergeCell ref="AL1168:AL1171"/>
    <mergeCell ref="AM1168:AM1171"/>
    <mergeCell ref="AN1168:AN1171"/>
    <mergeCell ref="AO1168:AO1171"/>
    <mergeCell ref="AP1168:AP1171"/>
    <mergeCell ref="AL1172:AL1175"/>
    <mergeCell ref="AM1172:AM1175"/>
    <mergeCell ref="AN1172:AN1175"/>
    <mergeCell ref="AO1172:AO1175"/>
    <mergeCell ref="AP1172:AP1175"/>
    <mergeCell ref="AL1176:AL1179"/>
    <mergeCell ref="AM1176:AM1179"/>
    <mergeCell ref="AN1176:AN1179"/>
    <mergeCell ref="AO1176:AO1179"/>
    <mergeCell ref="AP1176:AP1179"/>
    <mergeCell ref="AL1180:AL1183"/>
    <mergeCell ref="AM1180:AM1183"/>
    <mergeCell ref="AN1180:AN1183"/>
    <mergeCell ref="AO1180:AO1183"/>
    <mergeCell ref="AP1180:AP1183"/>
    <mergeCell ref="AL1184:AL1187"/>
    <mergeCell ref="AM1184:AM1187"/>
    <mergeCell ref="AN1184:AN1187"/>
    <mergeCell ref="AO1184:AO1187"/>
    <mergeCell ref="AP1184:AP1187"/>
    <mergeCell ref="AL1188:AL1191"/>
    <mergeCell ref="AM1188:AM1191"/>
    <mergeCell ref="AN1188:AN1191"/>
    <mergeCell ref="AO1188:AO1191"/>
    <mergeCell ref="AP1188:AP1191"/>
    <mergeCell ref="AM1138:AM1141"/>
    <mergeCell ref="AN1138:AN1141"/>
    <mergeCell ref="AO1138:AO1141"/>
    <mergeCell ref="AP1138:AP1141"/>
    <mergeCell ref="AL1142:AL1145"/>
    <mergeCell ref="AM1142:AM1145"/>
    <mergeCell ref="AN1142:AN1145"/>
    <mergeCell ref="AO1142:AO1145"/>
    <mergeCell ref="AP1142:AP1145"/>
    <mergeCell ref="AL1146:AL1149"/>
    <mergeCell ref="AM1146:AM1149"/>
    <mergeCell ref="AN1146:AN1149"/>
    <mergeCell ref="AO1146:AO1149"/>
    <mergeCell ref="AP1146:AP1149"/>
    <mergeCell ref="AL1150:AL1153"/>
    <mergeCell ref="AM1150:AM1153"/>
    <mergeCell ref="AN1150:AN1153"/>
    <mergeCell ref="AO1150:AO1153"/>
    <mergeCell ref="AP1150:AP1153"/>
    <mergeCell ref="AL1160:AL1163"/>
    <mergeCell ref="AM1160:AM1163"/>
    <mergeCell ref="AN1160:AN1163"/>
    <mergeCell ref="AO1160:AO1163"/>
    <mergeCell ref="AP1160:AP1163"/>
    <mergeCell ref="AL1164:AL1167"/>
    <mergeCell ref="AM1164:AM1167"/>
    <mergeCell ref="AN1164:AN1167"/>
    <mergeCell ref="AO1164:AO1167"/>
    <mergeCell ref="AP1164:AP1167"/>
    <mergeCell ref="AL1114:AL1117"/>
    <mergeCell ref="AM1114:AM1117"/>
    <mergeCell ref="AN1114:AN1117"/>
    <mergeCell ref="AO1114:AO1117"/>
    <mergeCell ref="AP1114:AP1117"/>
    <mergeCell ref="AL1118:AL1121"/>
    <mergeCell ref="AM1118:AM1121"/>
    <mergeCell ref="AN1118:AN1121"/>
    <mergeCell ref="AO1118:AO1121"/>
    <mergeCell ref="AP1118:AP1121"/>
    <mergeCell ref="AL1122:AL1125"/>
    <mergeCell ref="AM1122:AM1125"/>
    <mergeCell ref="AN1122:AN1125"/>
    <mergeCell ref="AO1122:AO1125"/>
    <mergeCell ref="AP1122:AP1125"/>
    <mergeCell ref="AL1126:AL1129"/>
    <mergeCell ref="AM1126:AM1129"/>
    <mergeCell ref="AN1126:AN1129"/>
    <mergeCell ref="AO1126:AO1129"/>
    <mergeCell ref="AP1126:AP1129"/>
    <mergeCell ref="AL1130:AL1133"/>
    <mergeCell ref="AM1130:AM1133"/>
    <mergeCell ref="AN1130:AN1133"/>
    <mergeCell ref="AO1130:AO1133"/>
    <mergeCell ref="AP1130:AP1133"/>
    <mergeCell ref="AL1134:AL1137"/>
    <mergeCell ref="AM1134:AM1137"/>
    <mergeCell ref="AN1134:AN1137"/>
    <mergeCell ref="AO1134:AO1137"/>
    <mergeCell ref="AP1134:AP1137"/>
    <mergeCell ref="AM1084:AM1087"/>
    <mergeCell ref="AN1084:AN1087"/>
    <mergeCell ref="AO1084:AO1087"/>
    <mergeCell ref="AP1084:AP1087"/>
    <mergeCell ref="AL1088:AL1091"/>
    <mergeCell ref="AM1088:AM1091"/>
    <mergeCell ref="AN1088:AN1091"/>
    <mergeCell ref="AO1088:AO1091"/>
    <mergeCell ref="AP1088:AP1091"/>
    <mergeCell ref="AL1092:AL1095"/>
    <mergeCell ref="AM1092:AM1095"/>
    <mergeCell ref="AN1092:AN1095"/>
    <mergeCell ref="AO1092:AO1095"/>
    <mergeCell ref="AP1092:AP1095"/>
    <mergeCell ref="AL1096:AL1099"/>
    <mergeCell ref="AM1096:AM1099"/>
    <mergeCell ref="AN1096:AN1099"/>
    <mergeCell ref="AO1096:AO1099"/>
    <mergeCell ref="AP1096:AP1099"/>
    <mergeCell ref="AL1100:AL1103"/>
    <mergeCell ref="AM1100:AM1103"/>
    <mergeCell ref="AN1100:AN1103"/>
    <mergeCell ref="AO1100:AO1103"/>
    <mergeCell ref="AP1100:AP1103"/>
    <mergeCell ref="AL1104:AL1107"/>
    <mergeCell ref="AM1104:AM1107"/>
    <mergeCell ref="AN1104:AN1107"/>
    <mergeCell ref="AO1104:AO1107"/>
    <mergeCell ref="AP1104:AP1107"/>
    <mergeCell ref="AL1054:AL1057"/>
    <mergeCell ref="AM1054:AM1057"/>
    <mergeCell ref="AN1054:AN1057"/>
    <mergeCell ref="AO1054:AO1057"/>
    <mergeCell ref="AP1054:AP1057"/>
    <mergeCell ref="AL1058:AL1061"/>
    <mergeCell ref="AM1058:AM1061"/>
    <mergeCell ref="AN1058:AN1061"/>
    <mergeCell ref="AO1058:AO1061"/>
    <mergeCell ref="AP1058:AP1061"/>
    <mergeCell ref="AL1068:AL1071"/>
    <mergeCell ref="AM1068:AM1071"/>
    <mergeCell ref="AN1068:AN1071"/>
    <mergeCell ref="AO1068:AO1071"/>
    <mergeCell ref="AP1068:AP1071"/>
    <mergeCell ref="AL1072:AL1075"/>
    <mergeCell ref="AM1072:AM1075"/>
    <mergeCell ref="AN1072:AN1075"/>
    <mergeCell ref="AO1072:AO1075"/>
    <mergeCell ref="AP1072:AP1075"/>
    <mergeCell ref="AL1076:AL1079"/>
    <mergeCell ref="AM1076:AM1079"/>
    <mergeCell ref="AN1076:AN1079"/>
    <mergeCell ref="AO1076:AO1079"/>
    <mergeCell ref="AP1076:AP1079"/>
    <mergeCell ref="AL1080:AL1083"/>
    <mergeCell ref="AM1080:AM1083"/>
    <mergeCell ref="AN1080:AN1083"/>
    <mergeCell ref="AO1080:AO1083"/>
    <mergeCell ref="AP1080:AP1083"/>
    <mergeCell ref="AM1030:AM1033"/>
    <mergeCell ref="AN1030:AN1033"/>
    <mergeCell ref="AO1030:AO1033"/>
    <mergeCell ref="AP1030:AP1033"/>
    <mergeCell ref="AL1034:AL1037"/>
    <mergeCell ref="AM1034:AM1037"/>
    <mergeCell ref="AN1034:AN1037"/>
    <mergeCell ref="AO1034:AO1037"/>
    <mergeCell ref="AP1034:AP1037"/>
    <mergeCell ref="AL1038:AL1041"/>
    <mergeCell ref="AM1038:AM1041"/>
    <mergeCell ref="AN1038:AN1041"/>
    <mergeCell ref="AO1038:AO1041"/>
    <mergeCell ref="AP1038:AP1041"/>
    <mergeCell ref="AL1042:AL1045"/>
    <mergeCell ref="AM1042:AM1045"/>
    <mergeCell ref="AN1042:AN1045"/>
    <mergeCell ref="AO1042:AO1045"/>
    <mergeCell ref="AP1042:AP1045"/>
    <mergeCell ref="AL1046:AL1049"/>
    <mergeCell ref="AM1046:AM1049"/>
    <mergeCell ref="AN1046:AN1049"/>
    <mergeCell ref="AO1046:AO1049"/>
    <mergeCell ref="AP1046:AP1049"/>
    <mergeCell ref="AL1050:AL1053"/>
    <mergeCell ref="AM1050:AM1053"/>
    <mergeCell ref="AN1050:AN1053"/>
    <mergeCell ref="AO1050:AO1053"/>
    <mergeCell ref="AP1050:AP1053"/>
    <mergeCell ref="AL1000:AL1003"/>
    <mergeCell ref="AM1000:AM1003"/>
    <mergeCell ref="AN1000:AN1003"/>
    <mergeCell ref="AO1000:AO1003"/>
    <mergeCell ref="AP1000:AP1003"/>
    <mergeCell ref="AL1004:AL1007"/>
    <mergeCell ref="AM1004:AM1007"/>
    <mergeCell ref="AN1004:AN1007"/>
    <mergeCell ref="AO1004:AO1007"/>
    <mergeCell ref="AP1004:AP1007"/>
    <mergeCell ref="AL1008:AL1011"/>
    <mergeCell ref="AM1008:AM1011"/>
    <mergeCell ref="AN1008:AN1011"/>
    <mergeCell ref="AO1008:AO1011"/>
    <mergeCell ref="AP1008:AP1011"/>
    <mergeCell ref="AL1012:AL1015"/>
    <mergeCell ref="AM1012:AM1015"/>
    <mergeCell ref="AN1012:AN1015"/>
    <mergeCell ref="AO1012:AO1015"/>
    <mergeCell ref="AP1012:AP1015"/>
    <mergeCell ref="AL1022:AL1025"/>
    <mergeCell ref="AM1022:AM1025"/>
    <mergeCell ref="AN1022:AN1025"/>
    <mergeCell ref="AO1022:AO1025"/>
    <mergeCell ref="AP1022:AP1025"/>
    <mergeCell ref="AL1026:AL1029"/>
    <mergeCell ref="AM1026:AM1029"/>
    <mergeCell ref="AN1026:AN1029"/>
    <mergeCell ref="AO1026:AO1029"/>
    <mergeCell ref="AP1026:AP1029"/>
    <mergeCell ref="AM976:AM979"/>
    <mergeCell ref="AN976:AN979"/>
    <mergeCell ref="AO976:AO979"/>
    <mergeCell ref="AP976:AP979"/>
    <mergeCell ref="AL980:AL983"/>
    <mergeCell ref="AM980:AM983"/>
    <mergeCell ref="AN980:AN983"/>
    <mergeCell ref="AO980:AO983"/>
    <mergeCell ref="AP980:AP983"/>
    <mergeCell ref="AL984:AL987"/>
    <mergeCell ref="AM984:AM987"/>
    <mergeCell ref="AN984:AN987"/>
    <mergeCell ref="AO984:AO987"/>
    <mergeCell ref="AP984:AP987"/>
    <mergeCell ref="AL988:AL991"/>
    <mergeCell ref="AM988:AM991"/>
    <mergeCell ref="AN988:AN991"/>
    <mergeCell ref="AO988:AO991"/>
    <mergeCell ref="AP988:AP991"/>
    <mergeCell ref="AL992:AL995"/>
    <mergeCell ref="AM992:AM995"/>
    <mergeCell ref="AN992:AN995"/>
    <mergeCell ref="AO992:AO995"/>
    <mergeCell ref="AP992:AP995"/>
    <mergeCell ref="AL996:AL999"/>
    <mergeCell ref="AM996:AM999"/>
    <mergeCell ref="AN996:AN999"/>
    <mergeCell ref="AO996:AO999"/>
    <mergeCell ref="AP996:AP999"/>
    <mergeCell ref="AL946:AL949"/>
    <mergeCell ref="AM946:AM949"/>
    <mergeCell ref="AN946:AN949"/>
    <mergeCell ref="AO946:AO949"/>
    <mergeCell ref="AP946:AP949"/>
    <mergeCell ref="AL950:AL953"/>
    <mergeCell ref="AM950:AM953"/>
    <mergeCell ref="AN950:AN953"/>
    <mergeCell ref="AO950:AO953"/>
    <mergeCell ref="AP950:AP953"/>
    <mergeCell ref="AL954:AL957"/>
    <mergeCell ref="AM954:AM957"/>
    <mergeCell ref="AN954:AN957"/>
    <mergeCell ref="AO954:AO957"/>
    <mergeCell ref="AP954:AP957"/>
    <mergeCell ref="AL958:AL961"/>
    <mergeCell ref="AM958:AM961"/>
    <mergeCell ref="AN958:AN961"/>
    <mergeCell ref="AO958:AO961"/>
    <mergeCell ref="AP958:AP961"/>
    <mergeCell ref="AL962:AL965"/>
    <mergeCell ref="AM962:AM965"/>
    <mergeCell ref="AN962:AN965"/>
    <mergeCell ref="AO962:AO965"/>
    <mergeCell ref="AP962:AP965"/>
    <mergeCell ref="AL966:AL969"/>
    <mergeCell ref="AM966:AM969"/>
    <mergeCell ref="AN966:AN969"/>
    <mergeCell ref="AO966:AO969"/>
    <mergeCell ref="AP966:AP969"/>
    <mergeCell ref="AM916:AM919"/>
    <mergeCell ref="AN916:AN919"/>
    <mergeCell ref="AO916:AO919"/>
    <mergeCell ref="AP916:AP919"/>
    <mergeCell ref="AL920:AL923"/>
    <mergeCell ref="AM920:AM923"/>
    <mergeCell ref="AN920:AN923"/>
    <mergeCell ref="AO920:AO923"/>
    <mergeCell ref="AP920:AP923"/>
    <mergeCell ref="AL930:AL933"/>
    <mergeCell ref="AM930:AM933"/>
    <mergeCell ref="AN930:AN933"/>
    <mergeCell ref="AO930:AO933"/>
    <mergeCell ref="AP930:AP933"/>
    <mergeCell ref="AL934:AL937"/>
    <mergeCell ref="AM934:AM937"/>
    <mergeCell ref="AN934:AN937"/>
    <mergeCell ref="AO934:AO937"/>
    <mergeCell ref="AP934:AP937"/>
    <mergeCell ref="AL938:AL941"/>
    <mergeCell ref="AM938:AM941"/>
    <mergeCell ref="AN938:AN941"/>
    <mergeCell ref="AO938:AO941"/>
    <mergeCell ref="AP938:AP941"/>
    <mergeCell ref="AL942:AL945"/>
    <mergeCell ref="AM942:AM945"/>
    <mergeCell ref="AN942:AN945"/>
    <mergeCell ref="AO942:AO945"/>
    <mergeCell ref="AP942:AP945"/>
    <mergeCell ref="AL892:AL895"/>
    <mergeCell ref="AM892:AM895"/>
    <mergeCell ref="AN892:AN895"/>
    <mergeCell ref="AO892:AO895"/>
    <mergeCell ref="AP892:AP895"/>
    <mergeCell ref="AL896:AL899"/>
    <mergeCell ref="AM896:AM899"/>
    <mergeCell ref="AN896:AN899"/>
    <mergeCell ref="AO896:AO899"/>
    <mergeCell ref="AP896:AP899"/>
    <mergeCell ref="AL900:AL903"/>
    <mergeCell ref="AM900:AM903"/>
    <mergeCell ref="AN900:AN903"/>
    <mergeCell ref="AO900:AO903"/>
    <mergeCell ref="AP900:AP903"/>
    <mergeCell ref="AL904:AL907"/>
    <mergeCell ref="AM904:AM907"/>
    <mergeCell ref="AN904:AN907"/>
    <mergeCell ref="AO904:AO907"/>
    <mergeCell ref="AP904:AP907"/>
    <mergeCell ref="AL908:AL911"/>
    <mergeCell ref="AM908:AM911"/>
    <mergeCell ref="AN908:AN911"/>
    <mergeCell ref="AO908:AO911"/>
    <mergeCell ref="AP908:AP911"/>
    <mergeCell ref="AL912:AL915"/>
    <mergeCell ref="AM912:AM915"/>
    <mergeCell ref="AN912:AN915"/>
    <mergeCell ref="AO912:AO915"/>
    <mergeCell ref="AP912:AP915"/>
    <mergeCell ref="AM862:AM865"/>
    <mergeCell ref="AN862:AN865"/>
    <mergeCell ref="AO862:AO865"/>
    <mergeCell ref="AP862:AP865"/>
    <mergeCell ref="AL866:AL869"/>
    <mergeCell ref="AM866:AM869"/>
    <mergeCell ref="AN866:AN869"/>
    <mergeCell ref="AO866:AO869"/>
    <mergeCell ref="AP866:AP869"/>
    <mergeCell ref="AL870:AL873"/>
    <mergeCell ref="AM870:AM873"/>
    <mergeCell ref="AN870:AN873"/>
    <mergeCell ref="AO870:AO873"/>
    <mergeCell ref="AP870:AP873"/>
    <mergeCell ref="AL874:AL877"/>
    <mergeCell ref="AM874:AM877"/>
    <mergeCell ref="AN874:AN877"/>
    <mergeCell ref="AO874:AO877"/>
    <mergeCell ref="AP874:AP877"/>
    <mergeCell ref="AL884:AL887"/>
    <mergeCell ref="AM884:AM887"/>
    <mergeCell ref="AN884:AN887"/>
    <mergeCell ref="AO884:AO887"/>
    <mergeCell ref="AP884:AP887"/>
    <mergeCell ref="AL888:AL891"/>
    <mergeCell ref="AM888:AM891"/>
    <mergeCell ref="AN888:AN891"/>
    <mergeCell ref="AO888:AO891"/>
    <mergeCell ref="AP888:AP891"/>
    <mergeCell ref="AL838:AL841"/>
    <mergeCell ref="AM838:AM841"/>
    <mergeCell ref="AN838:AN841"/>
    <mergeCell ref="AO838:AO841"/>
    <mergeCell ref="AP838:AP841"/>
    <mergeCell ref="AL842:AL845"/>
    <mergeCell ref="AM842:AM845"/>
    <mergeCell ref="AN842:AN845"/>
    <mergeCell ref="AO842:AO845"/>
    <mergeCell ref="AP842:AP845"/>
    <mergeCell ref="AL846:AL849"/>
    <mergeCell ref="AM846:AM849"/>
    <mergeCell ref="AN846:AN849"/>
    <mergeCell ref="AO846:AO849"/>
    <mergeCell ref="AP846:AP849"/>
    <mergeCell ref="AL850:AL853"/>
    <mergeCell ref="AM850:AM853"/>
    <mergeCell ref="AN850:AN853"/>
    <mergeCell ref="AO850:AO853"/>
    <mergeCell ref="AP850:AP853"/>
    <mergeCell ref="AL854:AL857"/>
    <mergeCell ref="AM854:AM857"/>
    <mergeCell ref="AN854:AN857"/>
    <mergeCell ref="AO854:AO857"/>
    <mergeCell ref="AP854:AP857"/>
    <mergeCell ref="AL858:AL861"/>
    <mergeCell ref="AM858:AM861"/>
    <mergeCell ref="AN858:AN861"/>
    <mergeCell ref="AO858:AO861"/>
    <mergeCell ref="AP858:AP861"/>
    <mergeCell ref="AM808:AM811"/>
    <mergeCell ref="AN808:AN811"/>
    <mergeCell ref="AO808:AO811"/>
    <mergeCell ref="AP808:AP811"/>
    <mergeCell ref="AL812:AL815"/>
    <mergeCell ref="AM812:AM815"/>
    <mergeCell ref="AN812:AN815"/>
    <mergeCell ref="AO812:AO815"/>
    <mergeCell ref="AP812:AP815"/>
    <mergeCell ref="AL816:AL819"/>
    <mergeCell ref="AM816:AM819"/>
    <mergeCell ref="AN816:AN819"/>
    <mergeCell ref="AO816:AO819"/>
    <mergeCell ref="AP816:AP819"/>
    <mergeCell ref="AL820:AL823"/>
    <mergeCell ref="AM820:AM823"/>
    <mergeCell ref="AN820:AN823"/>
    <mergeCell ref="AO820:AO823"/>
    <mergeCell ref="AP820:AP823"/>
    <mergeCell ref="AL824:AL827"/>
    <mergeCell ref="AM824:AM827"/>
    <mergeCell ref="AN824:AN827"/>
    <mergeCell ref="AO824:AO827"/>
    <mergeCell ref="AP824:AP827"/>
    <mergeCell ref="AL828:AL831"/>
    <mergeCell ref="AM828:AM831"/>
    <mergeCell ref="AN828:AN831"/>
    <mergeCell ref="AO828:AO831"/>
    <mergeCell ref="AP828:AP831"/>
    <mergeCell ref="AL778:AL781"/>
    <mergeCell ref="AM778:AM781"/>
    <mergeCell ref="AN778:AN781"/>
    <mergeCell ref="AO778:AO781"/>
    <mergeCell ref="AP778:AP781"/>
    <mergeCell ref="AL782:AL785"/>
    <mergeCell ref="AM782:AM785"/>
    <mergeCell ref="AN782:AN785"/>
    <mergeCell ref="AO782:AO785"/>
    <mergeCell ref="AP782:AP785"/>
    <mergeCell ref="AL792:AL795"/>
    <mergeCell ref="AM792:AM795"/>
    <mergeCell ref="AN792:AN795"/>
    <mergeCell ref="AO792:AO795"/>
    <mergeCell ref="AP792:AP795"/>
    <mergeCell ref="AL796:AL799"/>
    <mergeCell ref="AM796:AM799"/>
    <mergeCell ref="AN796:AN799"/>
    <mergeCell ref="AO796:AO799"/>
    <mergeCell ref="AP796:AP799"/>
    <mergeCell ref="AL800:AL803"/>
    <mergeCell ref="AM800:AM803"/>
    <mergeCell ref="AN800:AN803"/>
    <mergeCell ref="AO800:AO803"/>
    <mergeCell ref="AP800:AP803"/>
    <mergeCell ref="AL804:AL807"/>
    <mergeCell ref="AM804:AM807"/>
    <mergeCell ref="AN804:AN807"/>
    <mergeCell ref="AO804:AO807"/>
    <mergeCell ref="AP804:AP807"/>
    <mergeCell ref="AM754:AM757"/>
    <mergeCell ref="AN754:AN757"/>
    <mergeCell ref="AO754:AO757"/>
    <mergeCell ref="AP754:AP757"/>
    <mergeCell ref="AL758:AL761"/>
    <mergeCell ref="AM758:AM761"/>
    <mergeCell ref="AN758:AN761"/>
    <mergeCell ref="AO758:AO761"/>
    <mergeCell ref="AP758:AP761"/>
    <mergeCell ref="AL762:AL765"/>
    <mergeCell ref="AM762:AM765"/>
    <mergeCell ref="AN762:AN765"/>
    <mergeCell ref="AO762:AO765"/>
    <mergeCell ref="AP762:AP765"/>
    <mergeCell ref="AL766:AL769"/>
    <mergeCell ref="AM766:AM769"/>
    <mergeCell ref="AN766:AN769"/>
    <mergeCell ref="AO766:AO769"/>
    <mergeCell ref="AP766:AP769"/>
    <mergeCell ref="AL770:AL773"/>
    <mergeCell ref="AM770:AM773"/>
    <mergeCell ref="AN770:AN773"/>
    <mergeCell ref="AO770:AO773"/>
    <mergeCell ref="AP770:AP773"/>
    <mergeCell ref="AL774:AL777"/>
    <mergeCell ref="AM774:AM777"/>
    <mergeCell ref="AN774:AN777"/>
    <mergeCell ref="AO774:AO777"/>
    <mergeCell ref="AP774:AP777"/>
    <mergeCell ref="AL724:AL727"/>
    <mergeCell ref="AM724:AM727"/>
    <mergeCell ref="AN724:AN727"/>
    <mergeCell ref="AO724:AO727"/>
    <mergeCell ref="AP724:AP727"/>
    <mergeCell ref="AL728:AL731"/>
    <mergeCell ref="AM728:AM731"/>
    <mergeCell ref="AN728:AN731"/>
    <mergeCell ref="AO728:AO731"/>
    <mergeCell ref="AP728:AP731"/>
    <mergeCell ref="AL732:AL735"/>
    <mergeCell ref="AM732:AM735"/>
    <mergeCell ref="AN732:AN735"/>
    <mergeCell ref="AO732:AO735"/>
    <mergeCell ref="AP732:AP735"/>
    <mergeCell ref="AL736:AL739"/>
    <mergeCell ref="AM736:AM739"/>
    <mergeCell ref="AN736:AN739"/>
    <mergeCell ref="AO736:AO739"/>
    <mergeCell ref="AP736:AP739"/>
    <mergeCell ref="AL746:AL749"/>
    <mergeCell ref="AM746:AM749"/>
    <mergeCell ref="AN746:AN749"/>
    <mergeCell ref="AO746:AO749"/>
    <mergeCell ref="AP746:AP749"/>
    <mergeCell ref="AL750:AL753"/>
    <mergeCell ref="AM750:AM753"/>
    <mergeCell ref="AN750:AN753"/>
    <mergeCell ref="AO750:AO753"/>
    <mergeCell ref="AP750:AP753"/>
    <mergeCell ref="AM700:AM703"/>
    <mergeCell ref="AN700:AN703"/>
    <mergeCell ref="AO700:AO703"/>
    <mergeCell ref="AP700:AP703"/>
    <mergeCell ref="AL704:AL707"/>
    <mergeCell ref="AM704:AM707"/>
    <mergeCell ref="AN704:AN707"/>
    <mergeCell ref="AO704:AO707"/>
    <mergeCell ref="AP704:AP707"/>
    <mergeCell ref="AL708:AL711"/>
    <mergeCell ref="AM708:AM711"/>
    <mergeCell ref="AN708:AN711"/>
    <mergeCell ref="AO708:AO711"/>
    <mergeCell ref="AP708:AP711"/>
    <mergeCell ref="AL712:AL715"/>
    <mergeCell ref="AM712:AM715"/>
    <mergeCell ref="AN712:AN715"/>
    <mergeCell ref="AO712:AO715"/>
    <mergeCell ref="AP712:AP715"/>
    <mergeCell ref="AL716:AL719"/>
    <mergeCell ref="AM716:AM719"/>
    <mergeCell ref="AN716:AN719"/>
    <mergeCell ref="AO716:AO719"/>
    <mergeCell ref="AP716:AP719"/>
    <mergeCell ref="AL720:AL723"/>
    <mergeCell ref="AM720:AM723"/>
    <mergeCell ref="AN720:AN723"/>
    <mergeCell ref="AO720:AO723"/>
    <mergeCell ref="AP720:AP723"/>
    <mergeCell ref="AL670:AL673"/>
    <mergeCell ref="AM670:AM673"/>
    <mergeCell ref="AN670:AN673"/>
    <mergeCell ref="AO670:AO673"/>
    <mergeCell ref="AP670:AP673"/>
    <mergeCell ref="AL674:AL677"/>
    <mergeCell ref="AM674:AM677"/>
    <mergeCell ref="AN674:AN677"/>
    <mergeCell ref="AO674:AO677"/>
    <mergeCell ref="AP674:AP677"/>
    <mergeCell ref="AL678:AL681"/>
    <mergeCell ref="AM678:AM681"/>
    <mergeCell ref="AN678:AN681"/>
    <mergeCell ref="AO678:AO681"/>
    <mergeCell ref="AP678:AP681"/>
    <mergeCell ref="AL682:AL685"/>
    <mergeCell ref="AM682:AM685"/>
    <mergeCell ref="AN682:AN685"/>
    <mergeCell ref="AO682:AO685"/>
    <mergeCell ref="AP682:AP685"/>
    <mergeCell ref="AL686:AL689"/>
    <mergeCell ref="AM686:AM689"/>
    <mergeCell ref="AN686:AN689"/>
    <mergeCell ref="AO686:AO689"/>
    <mergeCell ref="AP686:AP689"/>
    <mergeCell ref="AL690:AL693"/>
    <mergeCell ref="AM690:AM693"/>
    <mergeCell ref="AN690:AN693"/>
    <mergeCell ref="AO690:AO693"/>
    <mergeCell ref="AP690:AP693"/>
    <mergeCell ref="AM640:AM643"/>
    <mergeCell ref="AN640:AN643"/>
    <mergeCell ref="AO640:AO643"/>
    <mergeCell ref="AP640:AP643"/>
    <mergeCell ref="AL644:AL647"/>
    <mergeCell ref="AM644:AM647"/>
    <mergeCell ref="AN644:AN647"/>
    <mergeCell ref="AO644:AO647"/>
    <mergeCell ref="AP644:AP647"/>
    <mergeCell ref="AL654:AL657"/>
    <mergeCell ref="AM654:AM657"/>
    <mergeCell ref="AN654:AN657"/>
    <mergeCell ref="AO654:AO657"/>
    <mergeCell ref="AP654:AP657"/>
    <mergeCell ref="AL658:AL661"/>
    <mergeCell ref="AM658:AM661"/>
    <mergeCell ref="AN658:AN661"/>
    <mergeCell ref="AO658:AO661"/>
    <mergeCell ref="AP658:AP661"/>
    <mergeCell ref="AL662:AL665"/>
    <mergeCell ref="AM662:AM665"/>
    <mergeCell ref="AN662:AN665"/>
    <mergeCell ref="AO662:AO665"/>
    <mergeCell ref="AP662:AP665"/>
    <mergeCell ref="AL666:AL669"/>
    <mergeCell ref="AM666:AM669"/>
    <mergeCell ref="AN666:AN669"/>
    <mergeCell ref="AO666:AO669"/>
    <mergeCell ref="AP666:AP669"/>
    <mergeCell ref="AL616:AL619"/>
    <mergeCell ref="AM616:AM619"/>
    <mergeCell ref="AN616:AN619"/>
    <mergeCell ref="AO616:AO619"/>
    <mergeCell ref="AP616:AP619"/>
    <mergeCell ref="AL620:AL623"/>
    <mergeCell ref="AM620:AM623"/>
    <mergeCell ref="AN620:AN623"/>
    <mergeCell ref="AO620:AO623"/>
    <mergeCell ref="AP620:AP623"/>
    <mergeCell ref="AL624:AL627"/>
    <mergeCell ref="AM624:AM627"/>
    <mergeCell ref="AN624:AN627"/>
    <mergeCell ref="AO624:AO627"/>
    <mergeCell ref="AP624:AP627"/>
    <mergeCell ref="AL628:AL631"/>
    <mergeCell ref="AM628:AM631"/>
    <mergeCell ref="AN628:AN631"/>
    <mergeCell ref="AO628:AO631"/>
    <mergeCell ref="AP628:AP631"/>
    <mergeCell ref="AL632:AL635"/>
    <mergeCell ref="AM632:AM635"/>
    <mergeCell ref="AN632:AN635"/>
    <mergeCell ref="AO632:AO635"/>
    <mergeCell ref="AP632:AP635"/>
    <mergeCell ref="AL636:AL639"/>
    <mergeCell ref="AM636:AM639"/>
    <mergeCell ref="AN636:AN639"/>
    <mergeCell ref="AO636:AO639"/>
    <mergeCell ref="AP636:AP639"/>
    <mergeCell ref="AM586:AM589"/>
    <mergeCell ref="AN586:AN589"/>
    <mergeCell ref="AO586:AO589"/>
    <mergeCell ref="AP586:AP589"/>
    <mergeCell ref="AL590:AL593"/>
    <mergeCell ref="AM590:AM593"/>
    <mergeCell ref="AN590:AN593"/>
    <mergeCell ref="AO590:AO593"/>
    <mergeCell ref="AP590:AP593"/>
    <mergeCell ref="AL594:AL597"/>
    <mergeCell ref="AM594:AM597"/>
    <mergeCell ref="AN594:AN597"/>
    <mergeCell ref="AO594:AO597"/>
    <mergeCell ref="AP594:AP597"/>
    <mergeCell ref="AL598:AL601"/>
    <mergeCell ref="AM598:AM601"/>
    <mergeCell ref="AN598:AN601"/>
    <mergeCell ref="AO598:AO601"/>
    <mergeCell ref="AP598:AP601"/>
    <mergeCell ref="AL608:AL611"/>
    <mergeCell ref="AM608:AM611"/>
    <mergeCell ref="AN608:AN611"/>
    <mergeCell ref="AO608:AO611"/>
    <mergeCell ref="AP608:AP611"/>
    <mergeCell ref="AL612:AL615"/>
    <mergeCell ref="AM612:AM615"/>
    <mergeCell ref="AN612:AN615"/>
    <mergeCell ref="AO612:AO615"/>
    <mergeCell ref="AP612:AP615"/>
    <mergeCell ref="AL562:AL565"/>
    <mergeCell ref="AM562:AM565"/>
    <mergeCell ref="AN562:AN565"/>
    <mergeCell ref="AO562:AO565"/>
    <mergeCell ref="AP562:AP565"/>
    <mergeCell ref="AL566:AL569"/>
    <mergeCell ref="AM566:AM569"/>
    <mergeCell ref="AN566:AN569"/>
    <mergeCell ref="AO566:AO569"/>
    <mergeCell ref="AP566:AP569"/>
    <mergeCell ref="AL570:AL573"/>
    <mergeCell ref="AM570:AM573"/>
    <mergeCell ref="AN570:AN573"/>
    <mergeCell ref="AO570:AO573"/>
    <mergeCell ref="AP570:AP573"/>
    <mergeCell ref="AL574:AL577"/>
    <mergeCell ref="AM574:AM577"/>
    <mergeCell ref="AN574:AN577"/>
    <mergeCell ref="AO574:AO577"/>
    <mergeCell ref="AP574:AP577"/>
    <mergeCell ref="AL578:AL581"/>
    <mergeCell ref="AM578:AM581"/>
    <mergeCell ref="AN578:AN581"/>
    <mergeCell ref="AO578:AO581"/>
    <mergeCell ref="AP578:AP581"/>
    <mergeCell ref="AL582:AL585"/>
    <mergeCell ref="AM582:AM585"/>
    <mergeCell ref="AN582:AN585"/>
    <mergeCell ref="AO582:AO585"/>
    <mergeCell ref="AP582:AP585"/>
    <mergeCell ref="AM532:AM535"/>
    <mergeCell ref="AN532:AN535"/>
    <mergeCell ref="AO532:AO535"/>
    <mergeCell ref="AP532:AP535"/>
    <mergeCell ref="AL536:AL539"/>
    <mergeCell ref="AM536:AM539"/>
    <mergeCell ref="AN536:AN539"/>
    <mergeCell ref="AO536:AO539"/>
    <mergeCell ref="AP536:AP539"/>
    <mergeCell ref="AL540:AL543"/>
    <mergeCell ref="AM540:AM543"/>
    <mergeCell ref="AN540:AN543"/>
    <mergeCell ref="AO540:AO543"/>
    <mergeCell ref="AP540:AP543"/>
    <mergeCell ref="AL544:AL547"/>
    <mergeCell ref="AM544:AM547"/>
    <mergeCell ref="AN544:AN547"/>
    <mergeCell ref="AO544:AO547"/>
    <mergeCell ref="AP544:AP547"/>
    <mergeCell ref="AL548:AL551"/>
    <mergeCell ref="AM548:AM551"/>
    <mergeCell ref="AN548:AN551"/>
    <mergeCell ref="AO548:AO551"/>
    <mergeCell ref="AP548:AP551"/>
    <mergeCell ref="AL552:AL555"/>
    <mergeCell ref="AM552:AM555"/>
    <mergeCell ref="AN552:AN555"/>
    <mergeCell ref="AO552:AO555"/>
    <mergeCell ref="AP552:AP555"/>
    <mergeCell ref="AL502:AL505"/>
    <mergeCell ref="AM502:AM505"/>
    <mergeCell ref="AN502:AN505"/>
    <mergeCell ref="AO502:AO505"/>
    <mergeCell ref="AP502:AP505"/>
    <mergeCell ref="AL506:AL509"/>
    <mergeCell ref="AM506:AM509"/>
    <mergeCell ref="AN506:AN509"/>
    <mergeCell ref="AO506:AO509"/>
    <mergeCell ref="AP506:AP509"/>
    <mergeCell ref="AL516:AL519"/>
    <mergeCell ref="AM516:AM519"/>
    <mergeCell ref="AN516:AN519"/>
    <mergeCell ref="AO516:AO519"/>
    <mergeCell ref="AP516:AP519"/>
    <mergeCell ref="AL520:AL523"/>
    <mergeCell ref="AM520:AM523"/>
    <mergeCell ref="AN520:AN523"/>
    <mergeCell ref="AO520:AO523"/>
    <mergeCell ref="AP520:AP523"/>
    <mergeCell ref="AL524:AL527"/>
    <mergeCell ref="AM524:AM527"/>
    <mergeCell ref="AN524:AN527"/>
    <mergeCell ref="AO524:AO527"/>
    <mergeCell ref="AP524:AP527"/>
    <mergeCell ref="AL528:AL531"/>
    <mergeCell ref="AM528:AM531"/>
    <mergeCell ref="AN528:AN531"/>
    <mergeCell ref="AO528:AO531"/>
    <mergeCell ref="AP528:AP531"/>
    <mergeCell ref="AM478:AM481"/>
    <mergeCell ref="AN478:AN481"/>
    <mergeCell ref="AO478:AO481"/>
    <mergeCell ref="AP478:AP481"/>
    <mergeCell ref="AL482:AL485"/>
    <mergeCell ref="AM482:AM485"/>
    <mergeCell ref="AN482:AN485"/>
    <mergeCell ref="AO482:AO485"/>
    <mergeCell ref="AP482:AP485"/>
    <mergeCell ref="AL486:AL489"/>
    <mergeCell ref="AM486:AM489"/>
    <mergeCell ref="AN486:AN489"/>
    <mergeCell ref="AO486:AO489"/>
    <mergeCell ref="AP486:AP489"/>
    <mergeCell ref="AL490:AL493"/>
    <mergeCell ref="AM490:AM493"/>
    <mergeCell ref="AN490:AN493"/>
    <mergeCell ref="AO490:AO493"/>
    <mergeCell ref="AP490:AP493"/>
    <mergeCell ref="AL494:AL497"/>
    <mergeCell ref="AM494:AM497"/>
    <mergeCell ref="AN494:AN497"/>
    <mergeCell ref="AO494:AO497"/>
    <mergeCell ref="AP494:AP497"/>
    <mergeCell ref="AL498:AL501"/>
    <mergeCell ref="AM498:AM501"/>
    <mergeCell ref="AN498:AN501"/>
    <mergeCell ref="AO498:AO501"/>
    <mergeCell ref="AP498:AP501"/>
    <mergeCell ref="AL448:AL451"/>
    <mergeCell ref="AM448:AM451"/>
    <mergeCell ref="AN448:AN451"/>
    <mergeCell ref="AO448:AO451"/>
    <mergeCell ref="AP448:AP451"/>
    <mergeCell ref="AL452:AL455"/>
    <mergeCell ref="AM452:AM455"/>
    <mergeCell ref="AN452:AN455"/>
    <mergeCell ref="AO452:AO455"/>
    <mergeCell ref="AP452:AP455"/>
    <mergeCell ref="AL456:AL459"/>
    <mergeCell ref="AM456:AM459"/>
    <mergeCell ref="AN456:AN459"/>
    <mergeCell ref="AO456:AO459"/>
    <mergeCell ref="AP456:AP459"/>
    <mergeCell ref="AL460:AL463"/>
    <mergeCell ref="AM460:AM463"/>
    <mergeCell ref="AN460:AN463"/>
    <mergeCell ref="AO460:AO463"/>
    <mergeCell ref="AP460:AP463"/>
    <mergeCell ref="AL470:AL473"/>
    <mergeCell ref="AM470:AM473"/>
    <mergeCell ref="AN470:AN473"/>
    <mergeCell ref="AO470:AO473"/>
    <mergeCell ref="AP470:AP473"/>
    <mergeCell ref="AL474:AL477"/>
    <mergeCell ref="AM474:AM477"/>
    <mergeCell ref="AN474:AN477"/>
    <mergeCell ref="AO474:AO477"/>
    <mergeCell ref="AP474:AP477"/>
    <mergeCell ref="AM424:AM427"/>
    <mergeCell ref="AN424:AN427"/>
    <mergeCell ref="AO424:AO427"/>
    <mergeCell ref="AP424:AP427"/>
    <mergeCell ref="AL428:AL431"/>
    <mergeCell ref="AM428:AM431"/>
    <mergeCell ref="AN428:AN431"/>
    <mergeCell ref="AO428:AO431"/>
    <mergeCell ref="AP428:AP431"/>
    <mergeCell ref="AL432:AL435"/>
    <mergeCell ref="AM432:AM435"/>
    <mergeCell ref="AN432:AN435"/>
    <mergeCell ref="AO432:AO435"/>
    <mergeCell ref="AP432:AP435"/>
    <mergeCell ref="AL436:AL439"/>
    <mergeCell ref="AM436:AM439"/>
    <mergeCell ref="AN436:AN439"/>
    <mergeCell ref="AO436:AO439"/>
    <mergeCell ref="AP436:AP439"/>
    <mergeCell ref="AL440:AL443"/>
    <mergeCell ref="AM440:AM443"/>
    <mergeCell ref="AN440:AN443"/>
    <mergeCell ref="AO440:AO443"/>
    <mergeCell ref="AP440:AP443"/>
    <mergeCell ref="AL444:AL447"/>
    <mergeCell ref="AM444:AM447"/>
    <mergeCell ref="AN444:AN447"/>
    <mergeCell ref="AO444:AO447"/>
    <mergeCell ref="AP444:AP447"/>
    <mergeCell ref="AL394:AL397"/>
    <mergeCell ref="AM394:AM397"/>
    <mergeCell ref="AN394:AN397"/>
    <mergeCell ref="AO394:AO397"/>
    <mergeCell ref="AP394:AP397"/>
    <mergeCell ref="AL398:AL401"/>
    <mergeCell ref="AM398:AM401"/>
    <mergeCell ref="AN398:AN401"/>
    <mergeCell ref="AO398:AO401"/>
    <mergeCell ref="AP398:AP401"/>
    <mergeCell ref="AL402:AL405"/>
    <mergeCell ref="AM402:AM405"/>
    <mergeCell ref="AN402:AN405"/>
    <mergeCell ref="AO402:AO405"/>
    <mergeCell ref="AP402:AP405"/>
    <mergeCell ref="AL406:AL409"/>
    <mergeCell ref="AM406:AM409"/>
    <mergeCell ref="AN406:AN409"/>
    <mergeCell ref="AO406:AO409"/>
    <mergeCell ref="AP406:AP409"/>
    <mergeCell ref="AL410:AL413"/>
    <mergeCell ref="AM410:AM413"/>
    <mergeCell ref="AN410:AN413"/>
    <mergeCell ref="AO410:AO413"/>
    <mergeCell ref="AP410:AP413"/>
    <mergeCell ref="AL414:AL417"/>
    <mergeCell ref="AM414:AM417"/>
    <mergeCell ref="AN414:AN417"/>
    <mergeCell ref="AO414:AO417"/>
    <mergeCell ref="AP414:AP417"/>
    <mergeCell ref="AM364:AM367"/>
    <mergeCell ref="AN364:AN367"/>
    <mergeCell ref="AO364:AO367"/>
    <mergeCell ref="AP364:AP367"/>
    <mergeCell ref="AL368:AL371"/>
    <mergeCell ref="AM368:AM371"/>
    <mergeCell ref="AN368:AN371"/>
    <mergeCell ref="AO368:AO371"/>
    <mergeCell ref="AP368:AP371"/>
    <mergeCell ref="AL378:AL381"/>
    <mergeCell ref="AM378:AM381"/>
    <mergeCell ref="AN378:AN381"/>
    <mergeCell ref="AO378:AO381"/>
    <mergeCell ref="AP378:AP381"/>
    <mergeCell ref="AL382:AL385"/>
    <mergeCell ref="AM382:AM385"/>
    <mergeCell ref="AN382:AN385"/>
    <mergeCell ref="AO382:AO385"/>
    <mergeCell ref="AP382:AP385"/>
    <mergeCell ref="AL386:AL389"/>
    <mergeCell ref="AM386:AM389"/>
    <mergeCell ref="AN386:AN389"/>
    <mergeCell ref="AO386:AO389"/>
    <mergeCell ref="AP386:AP389"/>
    <mergeCell ref="AL390:AL393"/>
    <mergeCell ref="AM390:AM393"/>
    <mergeCell ref="AN390:AN393"/>
    <mergeCell ref="AO390:AO393"/>
    <mergeCell ref="AP390:AP393"/>
    <mergeCell ref="AL340:AL343"/>
    <mergeCell ref="AM340:AM343"/>
    <mergeCell ref="AN340:AN343"/>
    <mergeCell ref="AO340:AO343"/>
    <mergeCell ref="AP340:AP343"/>
    <mergeCell ref="AL344:AL347"/>
    <mergeCell ref="AM344:AM347"/>
    <mergeCell ref="AN344:AN347"/>
    <mergeCell ref="AO344:AO347"/>
    <mergeCell ref="AP344:AP347"/>
    <mergeCell ref="AL348:AL351"/>
    <mergeCell ref="AM348:AM351"/>
    <mergeCell ref="AN348:AN351"/>
    <mergeCell ref="AO348:AO351"/>
    <mergeCell ref="AP348:AP351"/>
    <mergeCell ref="AL352:AL355"/>
    <mergeCell ref="AM352:AM355"/>
    <mergeCell ref="AN352:AN355"/>
    <mergeCell ref="AO352:AO355"/>
    <mergeCell ref="AP352:AP355"/>
    <mergeCell ref="AL356:AL359"/>
    <mergeCell ref="AM356:AM359"/>
    <mergeCell ref="AN356:AN359"/>
    <mergeCell ref="AO356:AO359"/>
    <mergeCell ref="AP356:AP359"/>
    <mergeCell ref="AL360:AL363"/>
    <mergeCell ref="AM360:AM363"/>
    <mergeCell ref="AN360:AN363"/>
    <mergeCell ref="AO360:AO363"/>
    <mergeCell ref="AP360:AP363"/>
    <mergeCell ref="AM310:AM313"/>
    <mergeCell ref="AN310:AN313"/>
    <mergeCell ref="AO310:AO313"/>
    <mergeCell ref="AP310:AP313"/>
    <mergeCell ref="AL314:AL317"/>
    <mergeCell ref="AM314:AM317"/>
    <mergeCell ref="AN314:AN317"/>
    <mergeCell ref="AO314:AO317"/>
    <mergeCell ref="AP314:AP317"/>
    <mergeCell ref="AL318:AL321"/>
    <mergeCell ref="AM318:AM321"/>
    <mergeCell ref="AN318:AN321"/>
    <mergeCell ref="AO318:AO321"/>
    <mergeCell ref="AP318:AP321"/>
    <mergeCell ref="AL322:AL325"/>
    <mergeCell ref="AM322:AM325"/>
    <mergeCell ref="AN322:AN325"/>
    <mergeCell ref="AO322:AO325"/>
    <mergeCell ref="AP322:AP325"/>
    <mergeCell ref="AL332:AL335"/>
    <mergeCell ref="AM332:AM335"/>
    <mergeCell ref="AN332:AN335"/>
    <mergeCell ref="AO332:AO335"/>
    <mergeCell ref="AP332:AP335"/>
    <mergeCell ref="AL336:AL339"/>
    <mergeCell ref="AM336:AM339"/>
    <mergeCell ref="AN336:AN339"/>
    <mergeCell ref="AO336:AO339"/>
    <mergeCell ref="AP336:AP339"/>
    <mergeCell ref="AL286:AL289"/>
    <mergeCell ref="AM286:AM289"/>
    <mergeCell ref="AN286:AN289"/>
    <mergeCell ref="AO286:AO289"/>
    <mergeCell ref="AP286:AP289"/>
    <mergeCell ref="AL290:AL293"/>
    <mergeCell ref="AM290:AM293"/>
    <mergeCell ref="AN290:AN293"/>
    <mergeCell ref="AO290:AO293"/>
    <mergeCell ref="AP290:AP293"/>
    <mergeCell ref="AL294:AL297"/>
    <mergeCell ref="AM294:AM297"/>
    <mergeCell ref="AN294:AN297"/>
    <mergeCell ref="AO294:AO297"/>
    <mergeCell ref="AP294:AP297"/>
    <mergeCell ref="AL298:AL301"/>
    <mergeCell ref="AM298:AM301"/>
    <mergeCell ref="AN298:AN301"/>
    <mergeCell ref="AO298:AO301"/>
    <mergeCell ref="AP298:AP301"/>
    <mergeCell ref="AL302:AL305"/>
    <mergeCell ref="AM302:AM305"/>
    <mergeCell ref="AN302:AN305"/>
    <mergeCell ref="AO302:AO305"/>
    <mergeCell ref="AP302:AP305"/>
    <mergeCell ref="AL306:AL309"/>
    <mergeCell ref="AM306:AM309"/>
    <mergeCell ref="AN306:AN309"/>
    <mergeCell ref="AO306:AO309"/>
    <mergeCell ref="AP306:AP309"/>
    <mergeCell ref="AM256:AM259"/>
    <mergeCell ref="AN256:AN259"/>
    <mergeCell ref="AO256:AO259"/>
    <mergeCell ref="AP256:AP259"/>
    <mergeCell ref="AL260:AL263"/>
    <mergeCell ref="AM260:AM263"/>
    <mergeCell ref="AN260:AN263"/>
    <mergeCell ref="AO260:AO263"/>
    <mergeCell ref="AP260:AP263"/>
    <mergeCell ref="AL264:AL267"/>
    <mergeCell ref="AM264:AM267"/>
    <mergeCell ref="AN264:AN267"/>
    <mergeCell ref="AO264:AO267"/>
    <mergeCell ref="AP264:AP267"/>
    <mergeCell ref="AL268:AL271"/>
    <mergeCell ref="AM268:AM271"/>
    <mergeCell ref="AN268:AN271"/>
    <mergeCell ref="AO268:AO271"/>
    <mergeCell ref="AP268:AP271"/>
    <mergeCell ref="AL272:AL275"/>
    <mergeCell ref="AM272:AM275"/>
    <mergeCell ref="AN272:AN275"/>
    <mergeCell ref="AO272:AO275"/>
    <mergeCell ref="AP272:AP275"/>
    <mergeCell ref="AL276:AL279"/>
    <mergeCell ref="AM276:AM279"/>
    <mergeCell ref="AN276:AN279"/>
    <mergeCell ref="AO276:AO279"/>
    <mergeCell ref="AP276:AP279"/>
    <mergeCell ref="AL226:AL229"/>
    <mergeCell ref="AM226:AM229"/>
    <mergeCell ref="AN226:AN229"/>
    <mergeCell ref="AO226:AO229"/>
    <mergeCell ref="AP226:AP229"/>
    <mergeCell ref="AL230:AL233"/>
    <mergeCell ref="AM230:AM233"/>
    <mergeCell ref="AN230:AN233"/>
    <mergeCell ref="AO230:AO233"/>
    <mergeCell ref="AP230:AP233"/>
    <mergeCell ref="AL240:AL243"/>
    <mergeCell ref="AM240:AM243"/>
    <mergeCell ref="AN240:AN243"/>
    <mergeCell ref="AO240:AO243"/>
    <mergeCell ref="AP240:AP243"/>
    <mergeCell ref="AL244:AL247"/>
    <mergeCell ref="AM244:AM247"/>
    <mergeCell ref="AN244:AN247"/>
    <mergeCell ref="AO244:AO247"/>
    <mergeCell ref="AP244:AP247"/>
    <mergeCell ref="AL248:AL251"/>
    <mergeCell ref="AM248:AM251"/>
    <mergeCell ref="AN248:AN251"/>
    <mergeCell ref="AO248:AO251"/>
    <mergeCell ref="AP248:AP251"/>
    <mergeCell ref="AL252:AL255"/>
    <mergeCell ref="AM252:AM255"/>
    <mergeCell ref="AN252:AN255"/>
    <mergeCell ref="AO252:AO255"/>
    <mergeCell ref="AP252:AP255"/>
    <mergeCell ref="AM202:AM205"/>
    <mergeCell ref="AN202:AN205"/>
    <mergeCell ref="AO202:AO205"/>
    <mergeCell ref="AP202:AP205"/>
    <mergeCell ref="AL206:AL209"/>
    <mergeCell ref="AM206:AM209"/>
    <mergeCell ref="AN206:AN209"/>
    <mergeCell ref="AO206:AO209"/>
    <mergeCell ref="AP206:AP209"/>
    <mergeCell ref="AL210:AL213"/>
    <mergeCell ref="AM210:AM213"/>
    <mergeCell ref="AN210:AN213"/>
    <mergeCell ref="AO210:AO213"/>
    <mergeCell ref="AP210:AP213"/>
    <mergeCell ref="AL214:AL217"/>
    <mergeCell ref="AM214:AM217"/>
    <mergeCell ref="AN214:AN217"/>
    <mergeCell ref="AO214:AO217"/>
    <mergeCell ref="AP214:AP217"/>
    <mergeCell ref="AL218:AL221"/>
    <mergeCell ref="AM218:AM221"/>
    <mergeCell ref="AN218:AN221"/>
    <mergeCell ref="AO218:AO221"/>
    <mergeCell ref="AP218:AP221"/>
    <mergeCell ref="AL222:AL225"/>
    <mergeCell ref="AM222:AM225"/>
    <mergeCell ref="AN222:AN225"/>
    <mergeCell ref="AO222:AO225"/>
    <mergeCell ref="AP222:AP225"/>
    <mergeCell ref="AL172:AL175"/>
    <mergeCell ref="AM172:AM175"/>
    <mergeCell ref="AN172:AN175"/>
    <mergeCell ref="AO172:AO175"/>
    <mergeCell ref="AP172:AP175"/>
    <mergeCell ref="AL176:AL179"/>
    <mergeCell ref="AM176:AM179"/>
    <mergeCell ref="AN176:AN179"/>
    <mergeCell ref="AO176:AO179"/>
    <mergeCell ref="AP176:AP179"/>
    <mergeCell ref="AL180:AL183"/>
    <mergeCell ref="AM180:AM183"/>
    <mergeCell ref="AN180:AN183"/>
    <mergeCell ref="AO180:AO183"/>
    <mergeCell ref="AP180:AP183"/>
    <mergeCell ref="AL184:AL187"/>
    <mergeCell ref="AM184:AM187"/>
    <mergeCell ref="AN184:AN187"/>
    <mergeCell ref="AO184:AO187"/>
    <mergeCell ref="AP184:AP187"/>
    <mergeCell ref="AL194:AL197"/>
    <mergeCell ref="AM194:AM197"/>
    <mergeCell ref="AN194:AN197"/>
    <mergeCell ref="AO194:AO197"/>
    <mergeCell ref="AP194:AP197"/>
    <mergeCell ref="AL198:AL201"/>
    <mergeCell ref="AM198:AM201"/>
    <mergeCell ref="AN198:AN201"/>
    <mergeCell ref="AO198:AO201"/>
    <mergeCell ref="AP198:AP201"/>
    <mergeCell ref="AM156:AM159"/>
    <mergeCell ref="AN156:AN159"/>
    <mergeCell ref="AO156:AO159"/>
    <mergeCell ref="AP156:AP159"/>
    <mergeCell ref="AL160:AL163"/>
    <mergeCell ref="AM160:AM163"/>
    <mergeCell ref="AN160:AN163"/>
    <mergeCell ref="AO160:AO163"/>
    <mergeCell ref="AP160:AP163"/>
    <mergeCell ref="AL164:AL167"/>
    <mergeCell ref="AM164:AM167"/>
    <mergeCell ref="AN164:AN167"/>
    <mergeCell ref="AO164:AO167"/>
    <mergeCell ref="AP164:AP167"/>
    <mergeCell ref="AL168:AL171"/>
    <mergeCell ref="AM168:AM171"/>
    <mergeCell ref="AN168:AN171"/>
    <mergeCell ref="AO168:AO171"/>
    <mergeCell ref="AP168:AP171"/>
    <mergeCell ref="AL118:AL121"/>
    <mergeCell ref="AM118:AM121"/>
    <mergeCell ref="AN118:AN121"/>
    <mergeCell ref="AO118:AO121"/>
    <mergeCell ref="AP118:AP121"/>
    <mergeCell ref="AL122:AL125"/>
    <mergeCell ref="AM122:AM125"/>
    <mergeCell ref="AN122:AN125"/>
    <mergeCell ref="AO122:AO125"/>
    <mergeCell ref="AP122:AP125"/>
    <mergeCell ref="AL126:AL129"/>
    <mergeCell ref="AM126:AM129"/>
    <mergeCell ref="AN126:AN129"/>
    <mergeCell ref="AO126:AO129"/>
    <mergeCell ref="AP126:AP129"/>
    <mergeCell ref="AL130:AL133"/>
    <mergeCell ref="AM130:AM133"/>
    <mergeCell ref="AN130:AN133"/>
    <mergeCell ref="AO130:AO133"/>
    <mergeCell ref="AP130:AP133"/>
    <mergeCell ref="AL134:AL137"/>
    <mergeCell ref="AM134:AM137"/>
    <mergeCell ref="AN134:AN137"/>
    <mergeCell ref="AO134:AO137"/>
    <mergeCell ref="AP134:AP137"/>
    <mergeCell ref="AL138:AL141"/>
    <mergeCell ref="AM138:AM141"/>
    <mergeCell ref="AN138:AN141"/>
    <mergeCell ref="AO138:AO141"/>
    <mergeCell ref="AP138:AP141"/>
    <mergeCell ref="AO110:AO113"/>
    <mergeCell ref="AP110:AP113"/>
    <mergeCell ref="AL114:AL117"/>
    <mergeCell ref="AM114:AM117"/>
    <mergeCell ref="AN114:AN117"/>
    <mergeCell ref="AO114:AO117"/>
    <mergeCell ref="AP114:AP117"/>
    <mergeCell ref="AL64:AL67"/>
    <mergeCell ref="AM64:AM67"/>
    <mergeCell ref="AN64:AN67"/>
    <mergeCell ref="AO64:AO67"/>
    <mergeCell ref="AP64:AP67"/>
    <mergeCell ref="AL68:AL71"/>
    <mergeCell ref="AM68:AM71"/>
    <mergeCell ref="AN68:AN71"/>
    <mergeCell ref="AO68:AO71"/>
    <mergeCell ref="AP68:AP71"/>
    <mergeCell ref="AL72:AL75"/>
    <mergeCell ref="AM72:AM75"/>
    <mergeCell ref="AN72:AN75"/>
    <mergeCell ref="AO72:AO75"/>
    <mergeCell ref="AP72:AP75"/>
    <mergeCell ref="AL76:AL79"/>
    <mergeCell ref="AM76:AM79"/>
    <mergeCell ref="AN76:AN79"/>
    <mergeCell ref="AO76:AO79"/>
    <mergeCell ref="AP76:AP79"/>
    <mergeCell ref="AL80:AL83"/>
    <mergeCell ref="AM80:AM83"/>
    <mergeCell ref="AN80:AN83"/>
    <mergeCell ref="AO80:AO83"/>
    <mergeCell ref="AP80:AP83"/>
    <mergeCell ref="AL84:AL87"/>
    <mergeCell ref="AM84:AM87"/>
    <mergeCell ref="AN84:AN87"/>
    <mergeCell ref="AO84:AO87"/>
    <mergeCell ref="AP84:AP87"/>
    <mergeCell ref="AM34:AM37"/>
    <mergeCell ref="AN34:AN37"/>
    <mergeCell ref="AO34:AO37"/>
    <mergeCell ref="AP34:AP37"/>
    <mergeCell ref="AL38:AL41"/>
    <mergeCell ref="AM38:AM41"/>
    <mergeCell ref="AN38:AN41"/>
    <mergeCell ref="AO38:AO41"/>
    <mergeCell ref="AP38:AP41"/>
    <mergeCell ref="AL42:AL45"/>
    <mergeCell ref="AM42:AM45"/>
    <mergeCell ref="AN42:AN45"/>
    <mergeCell ref="AO42:AO45"/>
    <mergeCell ref="AP42:AP45"/>
    <mergeCell ref="AL46:AL49"/>
    <mergeCell ref="AM46:AM49"/>
    <mergeCell ref="AN46:AN49"/>
    <mergeCell ref="AO46:AO49"/>
    <mergeCell ref="AP46:AP49"/>
    <mergeCell ref="AL56:AL59"/>
    <mergeCell ref="AM56:AM59"/>
    <mergeCell ref="AN56:AN59"/>
    <mergeCell ref="AO56:AO59"/>
    <mergeCell ref="AP56:AP59"/>
    <mergeCell ref="AL60:AL63"/>
    <mergeCell ref="AM60:AM63"/>
    <mergeCell ref="AN60:AN63"/>
    <mergeCell ref="AO60:AO63"/>
    <mergeCell ref="AP60:AP63"/>
    <mergeCell ref="AL10:AL13"/>
    <mergeCell ref="AM10:AM13"/>
    <mergeCell ref="AN10:AN13"/>
    <mergeCell ref="AO10:AO13"/>
    <mergeCell ref="AP10:AP13"/>
    <mergeCell ref="AL14:AL17"/>
    <mergeCell ref="AM14:AM17"/>
    <mergeCell ref="AN14:AN17"/>
    <mergeCell ref="AO14:AO17"/>
    <mergeCell ref="AP14:AP17"/>
    <mergeCell ref="AL18:AL21"/>
    <mergeCell ref="AM18:AM21"/>
    <mergeCell ref="AN18:AN21"/>
    <mergeCell ref="AO18:AO21"/>
    <mergeCell ref="AP18:AP21"/>
    <mergeCell ref="AL22:AL25"/>
    <mergeCell ref="AM22:AM25"/>
    <mergeCell ref="AN22:AN25"/>
    <mergeCell ref="AO22:AO25"/>
    <mergeCell ref="AP22:AP25"/>
    <mergeCell ref="AL26:AL29"/>
    <mergeCell ref="AM26:AM29"/>
    <mergeCell ref="AN26:AN29"/>
    <mergeCell ref="AO26:AO29"/>
    <mergeCell ref="AP26:AP29"/>
    <mergeCell ref="AL30:AL33"/>
    <mergeCell ref="AM30:AM33"/>
    <mergeCell ref="AN30:AN33"/>
    <mergeCell ref="AO30:AO33"/>
    <mergeCell ref="AP30:AP33"/>
    <mergeCell ref="B1389:D1389"/>
    <mergeCell ref="E1389:Q1389"/>
    <mergeCell ref="AL34:AL37"/>
    <mergeCell ref="AL88:AL91"/>
    <mergeCell ref="AL148:AL151"/>
    <mergeCell ref="AL202:AL205"/>
    <mergeCell ref="AL256:AL259"/>
    <mergeCell ref="AL310:AL313"/>
    <mergeCell ref="AL364:AL367"/>
    <mergeCell ref="AL424:AL427"/>
    <mergeCell ref="AL478:AL481"/>
    <mergeCell ref="AL532:AL535"/>
    <mergeCell ref="AL586:AL589"/>
    <mergeCell ref="AL640:AL643"/>
    <mergeCell ref="AL700:AL703"/>
    <mergeCell ref="AL754:AL757"/>
    <mergeCell ref="AL808:AL811"/>
    <mergeCell ref="AL862:AL865"/>
    <mergeCell ref="AL916:AL919"/>
    <mergeCell ref="AL976:AL979"/>
    <mergeCell ref="AL1030:AL1033"/>
    <mergeCell ref="AL1084:AL1087"/>
    <mergeCell ref="AL1138:AL1141"/>
    <mergeCell ref="AL1192:AL1195"/>
    <mergeCell ref="AL1252:AL1255"/>
    <mergeCell ref="AL1306:AL1309"/>
    <mergeCell ref="AL1360:AL1363"/>
    <mergeCell ref="AK156:AK159"/>
    <mergeCell ref="AK160:AK163"/>
    <mergeCell ref="AK164:AK167"/>
    <mergeCell ref="AK168:AK171"/>
    <mergeCell ref="AK172:AK175"/>
    <mergeCell ref="AK176:AK179"/>
    <mergeCell ref="AL156:AL159"/>
    <mergeCell ref="AK180:AK183"/>
    <mergeCell ref="AK184:AK187"/>
    <mergeCell ref="AK194:AK197"/>
    <mergeCell ref="AK198:AK201"/>
    <mergeCell ref="AK202:AK205"/>
    <mergeCell ref="AK206:AK209"/>
    <mergeCell ref="S1296:W1296"/>
    <mergeCell ref="B1297:D1297"/>
    <mergeCell ref="E1297:Q1297"/>
    <mergeCell ref="A1339:C1339"/>
    <mergeCell ref="AK210:AK213"/>
    <mergeCell ref="AK214:AK217"/>
    <mergeCell ref="AK218:AK221"/>
    <mergeCell ref="AK222:AK225"/>
    <mergeCell ref="B1295:C1295"/>
    <mergeCell ref="A1296:D1296"/>
    <mergeCell ref="E1296:Q1296"/>
    <mergeCell ref="F1381:G1381"/>
    <mergeCell ref="H1381:I1381"/>
    <mergeCell ref="J1381:K1381"/>
    <mergeCell ref="N1381:O1381"/>
    <mergeCell ref="P1381:Q1381"/>
    <mergeCell ref="J1379:K1379"/>
    <mergeCell ref="N1379:O1379"/>
    <mergeCell ref="P1379:Q1379"/>
    <mergeCell ref="F1377:G1377"/>
    <mergeCell ref="H1377:I1377"/>
    <mergeCell ref="J1377:K1377"/>
    <mergeCell ref="N1377:O1377"/>
    <mergeCell ref="AK226:AK229"/>
    <mergeCell ref="F1331:G1331"/>
    <mergeCell ref="H1331:I1331"/>
    <mergeCell ref="J1331:K1331"/>
    <mergeCell ref="S1342:W1342"/>
    <mergeCell ref="C1334:C1337"/>
    <mergeCell ref="D1334:D1337"/>
    <mergeCell ref="F1334:G1334"/>
    <mergeCell ref="A1293:C1293"/>
    <mergeCell ref="B1294:C1294"/>
    <mergeCell ref="F1294:O1294"/>
    <mergeCell ref="B1249:C1249"/>
    <mergeCell ref="F1249:O1249"/>
    <mergeCell ref="A1250:D1250"/>
    <mergeCell ref="E1250:Q1250"/>
    <mergeCell ref="S1204:W1204"/>
    <mergeCell ref="B1205:D1205"/>
    <mergeCell ref="E1205:Q1205"/>
    <mergeCell ref="A1247:C1247"/>
    <mergeCell ref="B1248:C1248"/>
    <mergeCell ref="F1248:O1248"/>
    <mergeCell ref="B1203:C1203"/>
    <mergeCell ref="F1203:O1203"/>
    <mergeCell ref="A1204:D1204"/>
    <mergeCell ref="E1204:Q1204"/>
    <mergeCell ref="S1158:W1158"/>
    <mergeCell ref="B1159:D1159"/>
    <mergeCell ref="E1159:Q1159"/>
    <mergeCell ref="A1201:C1201"/>
    <mergeCell ref="B1202:C1202"/>
    <mergeCell ref="F1202:O1202"/>
    <mergeCell ref="F1289:G1289"/>
    <mergeCell ref="H1289:I1289"/>
    <mergeCell ref="J1289:K1289"/>
    <mergeCell ref="N1289:O1289"/>
    <mergeCell ref="P1289:Q1289"/>
    <mergeCell ref="J1287:K1287"/>
    <mergeCell ref="N1287:O1287"/>
    <mergeCell ref="P1287:Q1287"/>
    <mergeCell ref="F1285:G1285"/>
    <mergeCell ref="H1285:I1285"/>
    <mergeCell ref="J1285:K1285"/>
    <mergeCell ref="N1285:O1285"/>
    <mergeCell ref="P1285:Q1285"/>
    <mergeCell ref="F1286:G1286"/>
    <mergeCell ref="J1279:K1279"/>
    <mergeCell ref="N1279:O1279"/>
    <mergeCell ref="P1279:Q1279"/>
    <mergeCell ref="F1277:G1277"/>
    <mergeCell ref="H1277:I1277"/>
    <mergeCell ref="J1277:K1277"/>
    <mergeCell ref="N1277:O1277"/>
    <mergeCell ref="H1290:I1290"/>
    <mergeCell ref="P1290:Q1290"/>
    <mergeCell ref="E1201:I1201"/>
    <mergeCell ref="Q1201:V1201"/>
    <mergeCell ref="Q1202:W1202"/>
    <mergeCell ref="E1247:I1247"/>
    <mergeCell ref="Q1247:V1247"/>
    <mergeCell ref="E1339:I1339"/>
    <mergeCell ref="Q1339:V1339"/>
    <mergeCell ref="Q1340:W1340"/>
    <mergeCell ref="B1341:C1341"/>
    <mergeCell ref="F1341:O1341"/>
    <mergeCell ref="A1342:D1342"/>
    <mergeCell ref="Q1293:V1293"/>
    <mergeCell ref="Q1294:W1294"/>
    <mergeCell ref="F1291:G1291"/>
    <mergeCell ref="H1291:I1291"/>
    <mergeCell ref="J1291:K1291"/>
    <mergeCell ref="N1291:O1291"/>
    <mergeCell ref="P1291:Q1291"/>
    <mergeCell ref="F1290:G1290"/>
    <mergeCell ref="F1281:G1281"/>
    <mergeCell ref="H1281:I1281"/>
    <mergeCell ref="J1281:K1281"/>
    <mergeCell ref="B1067:D1067"/>
    <mergeCell ref="E1067:Q1067"/>
    <mergeCell ref="A1109:C1109"/>
    <mergeCell ref="B1110:C1110"/>
    <mergeCell ref="F1110:O1110"/>
    <mergeCell ref="B1065:C1065"/>
    <mergeCell ref="F1065:O1065"/>
    <mergeCell ref="A1066:D1066"/>
    <mergeCell ref="E1066:Q1066"/>
    <mergeCell ref="H1152:I1152"/>
    <mergeCell ref="J1152:K1152"/>
    <mergeCell ref="N1152:O1152"/>
    <mergeCell ref="P1152:Q1152"/>
    <mergeCell ref="F1153:G1153"/>
    <mergeCell ref="H1153:I1153"/>
    <mergeCell ref="J1153:K1153"/>
    <mergeCell ref="N1153:O1153"/>
    <mergeCell ref="P1153:Q1153"/>
    <mergeCell ref="F1151:G1151"/>
    <mergeCell ref="H1151:I1151"/>
    <mergeCell ref="J1151:K1151"/>
    <mergeCell ref="N1151:O1151"/>
    <mergeCell ref="P1151:Q1151"/>
    <mergeCell ref="F1152:G1152"/>
    <mergeCell ref="H1144:I1144"/>
    <mergeCell ref="J1144:K1144"/>
    <mergeCell ref="N1144:O1144"/>
    <mergeCell ref="P1144:Q1144"/>
    <mergeCell ref="F1145:G1145"/>
    <mergeCell ref="H1145:I1145"/>
    <mergeCell ref="J1145:K1145"/>
    <mergeCell ref="N1145:O1145"/>
    <mergeCell ref="P1145:Q1145"/>
    <mergeCell ref="F1143:G1143"/>
    <mergeCell ref="J1149:K1149"/>
    <mergeCell ref="N1149:O1149"/>
    <mergeCell ref="P1149:Q1149"/>
    <mergeCell ref="F1147:G1147"/>
    <mergeCell ref="H1147:I1147"/>
    <mergeCell ref="J1147:K1147"/>
    <mergeCell ref="N1147:O1147"/>
    <mergeCell ref="P1147:Q1147"/>
    <mergeCell ref="F1148:G1148"/>
    <mergeCell ref="J1141:K1141"/>
    <mergeCell ref="N1141:O1141"/>
    <mergeCell ref="P1141:Q1141"/>
    <mergeCell ref="F1139:G1139"/>
    <mergeCell ref="H1139:I1139"/>
    <mergeCell ref="J1139:K1139"/>
    <mergeCell ref="N1139:O1139"/>
    <mergeCell ref="F1140:G1140"/>
    <mergeCell ref="S1066:W1066"/>
    <mergeCell ref="E1109:I1109"/>
    <mergeCell ref="Q1109:V1109"/>
    <mergeCell ref="Q1110:W1110"/>
    <mergeCell ref="H1128:I1128"/>
    <mergeCell ref="J1128:K1128"/>
    <mergeCell ref="N1128:O1128"/>
    <mergeCell ref="P1128:Q1128"/>
    <mergeCell ref="F1129:G1129"/>
    <mergeCell ref="H1129:I1129"/>
    <mergeCell ref="J1129:K1129"/>
    <mergeCell ref="N1129:O1129"/>
    <mergeCell ref="P1129:Q1129"/>
    <mergeCell ref="A1063:C1063"/>
    <mergeCell ref="B1064:C1064"/>
    <mergeCell ref="F1064:O1064"/>
    <mergeCell ref="B1019:C1019"/>
    <mergeCell ref="F1019:O1019"/>
    <mergeCell ref="A1020:D1020"/>
    <mergeCell ref="E1020:Q1020"/>
    <mergeCell ref="S974:W974"/>
    <mergeCell ref="B975:D975"/>
    <mergeCell ref="E975:Q975"/>
    <mergeCell ref="A1017:C1017"/>
    <mergeCell ref="B1018:C1018"/>
    <mergeCell ref="F1018:O1018"/>
    <mergeCell ref="B973:C973"/>
    <mergeCell ref="F973:O973"/>
    <mergeCell ref="A974:D974"/>
    <mergeCell ref="E974:Q974"/>
    <mergeCell ref="S928:W928"/>
    <mergeCell ref="B929:D929"/>
    <mergeCell ref="E929:Q929"/>
    <mergeCell ref="A971:C971"/>
    <mergeCell ref="B972:C972"/>
    <mergeCell ref="F972:O972"/>
    <mergeCell ref="H1060:I1060"/>
    <mergeCell ref="J1060:K1060"/>
    <mergeCell ref="N1060:O1060"/>
    <mergeCell ref="P1060:Q1060"/>
    <mergeCell ref="F1061:G1061"/>
    <mergeCell ref="H1061:I1061"/>
    <mergeCell ref="J1061:K1061"/>
    <mergeCell ref="N1061:O1061"/>
    <mergeCell ref="P1061:Q1061"/>
    <mergeCell ref="F1059:G1059"/>
    <mergeCell ref="H1059:I1059"/>
    <mergeCell ref="J1059:K1059"/>
    <mergeCell ref="N1059:O1059"/>
    <mergeCell ref="P1059:Q1059"/>
    <mergeCell ref="F1060:G1060"/>
    <mergeCell ref="H1052:I1052"/>
    <mergeCell ref="J1052:K1052"/>
    <mergeCell ref="N1052:O1052"/>
    <mergeCell ref="P1052:Q1052"/>
    <mergeCell ref="F1053:G1053"/>
    <mergeCell ref="H1053:I1053"/>
    <mergeCell ref="J1053:K1053"/>
    <mergeCell ref="N1053:O1053"/>
    <mergeCell ref="H1051:I1051"/>
    <mergeCell ref="J1051:K1051"/>
    <mergeCell ref="E971:I971"/>
    <mergeCell ref="Q971:V971"/>
    <mergeCell ref="Q972:W972"/>
    <mergeCell ref="L934:M934"/>
    <mergeCell ref="F1127:G1127"/>
    <mergeCell ref="B837:D837"/>
    <mergeCell ref="E837:Q837"/>
    <mergeCell ref="A879:C879"/>
    <mergeCell ref="B880:C880"/>
    <mergeCell ref="F880:O880"/>
    <mergeCell ref="B835:C835"/>
    <mergeCell ref="F835:O835"/>
    <mergeCell ref="A836:D836"/>
    <mergeCell ref="E836:Q836"/>
    <mergeCell ref="F921:G921"/>
    <mergeCell ref="H921:I921"/>
    <mergeCell ref="J921:K921"/>
    <mergeCell ref="N921:O921"/>
    <mergeCell ref="P921:Q921"/>
    <mergeCell ref="J919:K919"/>
    <mergeCell ref="N919:O919"/>
    <mergeCell ref="P919:Q919"/>
    <mergeCell ref="F917:G917"/>
    <mergeCell ref="H917:I917"/>
    <mergeCell ref="J917:K917"/>
    <mergeCell ref="N917:O917"/>
    <mergeCell ref="P917:Q917"/>
    <mergeCell ref="F918:G918"/>
    <mergeCell ref="J911:K911"/>
    <mergeCell ref="N911:O911"/>
    <mergeCell ref="P911:Q911"/>
    <mergeCell ref="F909:G909"/>
    <mergeCell ref="H909:I909"/>
    <mergeCell ref="J909:K909"/>
    <mergeCell ref="N909:O909"/>
    <mergeCell ref="P909:Q909"/>
    <mergeCell ref="F910:G910"/>
    <mergeCell ref="J903:K903"/>
    <mergeCell ref="N903:O903"/>
    <mergeCell ref="P903:Q903"/>
    <mergeCell ref="F901:G901"/>
    <mergeCell ref="H901:I901"/>
    <mergeCell ref="J901:K901"/>
    <mergeCell ref="N901:O901"/>
    <mergeCell ref="P901:Q901"/>
    <mergeCell ref="F902:G902"/>
    <mergeCell ref="J895:K895"/>
    <mergeCell ref="N895:O895"/>
    <mergeCell ref="P895:Q895"/>
    <mergeCell ref="F893:G893"/>
    <mergeCell ref="H893:I893"/>
    <mergeCell ref="J893:K893"/>
    <mergeCell ref="N893:O893"/>
    <mergeCell ref="F894:G894"/>
    <mergeCell ref="E879:I879"/>
    <mergeCell ref="Q879:V879"/>
    <mergeCell ref="Q880:W880"/>
    <mergeCell ref="B883:D883"/>
    <mergeCell ref="E883:Q883"/>
    <mergeCell ref="B881:C881"/>
    <mergeCell ref="F881:O881"/>
    <mergeCell ref="A882:D882"/>
    <mergeCell ref="S836:W836"/>
    <mergeCell ref="S882:W882"/>
    <mergeCell ref="L838:M838"/>
    <mergeCell ref="L839:M839"/>
    <mergeCell ref="L840:M840"/>
    <mergeCell ref="L841:M841"/>
    <mergeCell ref="L842:M842"/>
    <mergeCell ref="A833:C833"/>
    <mergeCell ref="B834:C834"/>
    <mergeCell ref="F834:O834"/>
    <mergeCell ref="B789:C789"/>
    <mergeCell ref="F789:O789"/>
    <mergeCell ref="A790:D790"/>
    <mergeCell ref="E790:Q790"/>
    <mergeCell ref="S744:W744"/>
    <mergeCell ref="B745:D745"/>
    <mergeCell ref="E745:Q745"/>
    <mergeCell ref="A787:C787"/>
    <mergeCell ref="B788:C788"/>
    <mergeCell ref="F788:O788"/>
    <mergeCell ref="B743:C743"/>
    <mergeCell ref="F743:O743"/>
    <mergeCell ref="A744:D744"/>
    <mergeCell ref="E744:Q744"/>
    <mergeCell ref="S698:W698"/>
    <mergeCell ref="B699:D699"/>
    <mergeCell ref="E699:Q699"/>
    <mergeCell ref="A741:C741"/>
    <mergeCell ref="B742:C742"/>
    <mergeCell ref="F742:O742"/>
    <mergeCell ref="F829:G829"/>
    <mergeCell ref="H829:I829"/>
    <mergeCell ref="J829:K829"/>
    <mergeCell ref="N829:O829"/>
    <mergeCell ref="P829:Q829"/>
    <mergeCell ref="J827:K827"/>
    <mergeCell ref="N827:O827"/>
    <mergeCell ref="P827:Q827"/>
    <mergeCell ref="F825:G825"/>
    <mergeCell ref="H825:I825"/>
    <mergeCell ref="J825:K825"/>
    <mergeCell ref="N825:O825"/>
    <mergeCell ref="P825:Q825"/>
    <mergeCell ref="F826:G826"/>
    <mergeCell ref="J819:K819"/>
    <mergeCell ref="N819:O819"/>
    <mergeCell ref="P819:Q819"/>
    <mergeCell ref="F817:G817"/>
    <mergeCell ref="H817:I817"/>
    <mergeCell ref="J817:K817"/>
    <mergeCell ref="N817:O817"/>
    <mergeCell ref="H830:I830"/>
    <mergeCell ref="P830:Q830"/>
    <mergeCell ref="E741:I741"/>
    <mergeCell ref="Q741:V741"/>
    <mergeCell ref="Q742:W742"/>
    <mergeCell ref="E787:I787"/>
    <mergeCell ref="Q787:V787"/>
    <mergeCell ref="Q788:W788"/>
    <mergeCell ref="E833:I833"/>
    <mergeCell ref="Q833:V833"/>
    <mergeCell ref="Q834:W834"/>
    <mergeCell ref="F831:G831"/>
    <mergeCell ref="H831:I831"/>
    <mergeCell ref="J831:K831"/>
    <mergeCell ref="N831:O831"/>
    <mergeCell ref="P831:Q831"/>
    <mergeCell ref="F830:G830"/>
    <mergeCell ref="F821:G821"/>
    <mergeCell ref="H821:I821"/>
    <mergeCell ref="L704:M704"/>
    <mergeCell ref="B607:D607"/>
    <mergeCell ref="E607:Q607"/>
    <mergeCell ref="A649:C649"/>
    <mergeCell ref="B650:C650"/>
    <mergeCell ref="F650:O650"/>
    <mergeCell ref="B605:C605"/>
    <mergeCell ref="F605:O605"/>
    <mergeCell ref="A606:D606"/>
    <mergeCell ref="E606:Q606"/>
    <mergeCell ref="H692:I692"/>
    <mergeCell ref="J692:K692"/>
    <mergeCell ref="N692:O692"/>
    <mergeCell ref="P692:Q692"/>
    <mergeCell ref="F693:G693"/>
    <mergeCell ref="H693:I693"/>
    <mergeCell ref="J693:K693"/>
    <mergeCell ref="N693:O693"/>
    <mergeCell ref="P693:Q693"/>
    <mergeCell ref="F691:G691"/>
    <mergeCell ref="H691:I691"/>
    <mergeCell ref="J691:K691"/>
    <mergeCell ref="N691:O691"/>
    <mergeCell ref="P691:Q691"/>
    <mergeCell ref="F692:G692"/>
    <mergeCell ref="H684:I684"/>
    <mergeCell ref="J684:K684"/>
    <mergeCell ref="N684:O684"/>
    <mergeCell ref="P684:Q684"/>
    <mergeCell ref="F685:G685"/>
    <mergeCell ref="H685:I685"/>
    <mergeCell ref="J685:K685"/>
    <mergeCell ref="N685:O685"/>
    <mergeCell ref="P685:Q685"/>
    <mergeCell ref="F683:G683"/>
    <mergeCell ref="J689:K689"/>
    <mergeCell ref="N689:O689"/>
    <mergeCell ref="P689:Q689"/>
    <mergeCell ref="F687:G687"/>
    <mergeCell ref="H687:I687"/>
    <mergeCell ref="J687:K687"/>
    <mergeCell ref="N687:O687"/>
    <mergeCell ref="P687:Q687"/>
    <mergeCell ref="F688:G688"/>
    <mergeCell ref="J681:K681"/>
    <mergeCell ref="N681:O681"/>
    <mergeCell ref="P681:Q681"/>
    <mergeCell ref="F679:G679"/>
    <mergeCell ref="H679:I679"/>
    <mergeCell ref="J679:K679"/>
    <mergeCell ref="N679:O679"/>
    <mergeCell ref="F680:G680"/>
    <mergeCell ref="J673:K673"/>
    <mergeCell ref="E649:I649"/>
    <mergeCell ref="Q649:V649"/>
    <mergeCell ref="Q650:W650"/>
    <mergeCell ref="H668:I668"/>
    <mergeCell ref="J668:K668"/>
    <mergeCell ref="N668:O668"/>
    <mergeCell ref="P668:Q668"/>
    <mergeCell ref="F669:G669"/>
    <mergeCell ref="H669:I669"/>
    <mergeCell ref="J669:K669"/>
    <mergeCell ref="N669:O669"/>
    <mergeCell ref="S606:W606"/>
    <mergeCell ref="A603:C603"/>
    <mergeCell ref="B604:C604"/>
    <mergeCell ref="F604:O604"/>
    <mergeCell ref="B559:C559"/>
    <mergeCell ref="F559:O559"/>
    <mergeCell ref="A560:D560"/>
    <mergeCell ref="E560:Q560"/>
    <mergeCell ref="S514:W514"/>
    <mergeCell ref="B515:D515"/>
    <mergeCell ref="E515:Q515"/>
    <mergeCell ref="A557:C557"/>
    <mergeCell ref="B558:C558"/>
    <mergeCell ref="F558:O558"/>
    <mergeCell ref="B513:C513"/>
    <mergeCell ref="F513:O513"/>
    <mergeCell ref="A514:D514"/>
    <mergeCell ref="E514:Q514"/>
    <mergeCell ref="S468:W468"/>
    <mergeCell ref="B469:D469"/>
    <mergeCell ref="E469:Q469"/>
    <mergeCell ref="A511:C511"/>
    <mergeCell ref="B512:C512"/>
    <mergeCell ref="F512:O512"/>
    <mergeCell ref="H600:I600"/>
    <mergeCell ref="J600:K600"/>
    <mergeCell ref="N600:O600"/>
    <mergeCell ref="P600:Q600"/>
    <mergeCell ref="F601:G601"/>
    <mergeCell ref="H601:I601"/>
    <mergeCell ref="J601:K601"/>
    <mergeCell ref="N601:O601"/>
    <mergeCell ref="P601:Q601"/>
    <mergeCell ref="F599:G599"/>
    <mergeCell ref="H599:I599"/>
    <mergeCell ref="J599:K599"/>
    <mergeCell ref="N599:O599"/>
    <mergeCell ref="P599:Q599"/>
    <mergeCell ref="F600:G600"/>
    <mergeCell ref="H592:I592"/>
    <mergeCell ref="J592:K592"/>
    <mergeCell ref="N592:O592"/>
    <mergeCell ref="P592:Q592"/>
    <mergeCell ref="F593:G593"/>
    <mergeCell ref="H593:I593"/>
    <mergeCell ref="J593:K593"/>
    <mergeCell ref="N593:O593"/>
    <mergeCell ref="H591:I591"/>
    <mergeCell ref="J591:K591"/>
    <mergeCell ref="B586:B589"/>
    <mergeCell ref="C586:C589"/>
    <mergeCell ref="D586:D589"/>
    <mergeCell ref="F586:G586"/>
    <mergeCell ref="H586:I586"/>
    <mergeCell ref="H588:I588"/>
    <mergeCell ref="F589:G589"/>
    <mergeCell ref="H589:I589"/>
    <mergeCell ref="P593:Q593"/>
    <mergeCell ref="F591:G591"/>
    <mergeCell ref="H584:I584"/>
    <mergeCell ref="J584:K584"/>
    <mergeCell ref="N584:O584"/>
    <mergeCell ref="P584:Q584"/>
    <mergeCell ref="F585:G585"/>
    <mergeCell ref="E511:I511"/>
    <mergeCell ref="A376:D376"/>
    <mergeCell ref="E376:Q376"/>
    <mergeCell ref="F461:G461"/>
    <mergeCell ref="H461:I461"/>
    <mergeCell ref="J461:K461"/>
    <mergeCell ref="N461:O461"/>
    <mergeCell ref="P461:Q461"/>
    <mergeCell ref="J459:K459"/>
    <mergeCell ref="N459:O459"/>
    <mergeCell ref="P459:Q459"/>
    <mergeCell ref="F457:G457"/>
    <mergeCell ref="H457:I457"/>
    <mergeCell ref="J457:K457"/>
    <mergeCell ref="N457:O457"/>
    <mergeCell ref="P457:Q457"/>
    <mergeCell ref="F458:G458"/>
    <mergeCell ref="J451:K451"/>
    <mergeCell ref="N451:O451"/>
    <mergeCell ref="P451:Q451"/>
    <mergeCell ref="F449:G449"/>
    <mergeCell ref="H449:I449"/>
    <mergeCell ref="J449:K449"/>
    <mergeCell ref="N449:O449"/>
    <mergeCell ref="P449:Q449"/>
    <mergeCell ref="F450:G450"/>
    <mergeCell ref="J443:K443"/>
    <mergeCell ref="N443:O443"/>
    <mergeCell ref="P443:Q443"/>
    <mergeCell ref="F441:G441"/>
    <mergeCell ref="H441:I441"/>
    <mergeCell ref="J441:K441"/>
    <mergeCell ref="N441:O441"/>
    <mergeCell ref="P441:Q441"/>
    <mergeCell ref="F442:G442"/>
    <mergeCell ref="J435:K435"/>
    <mergeCell ref="N435:O435"/>
    <mergeCell ref="P435:Q435"/>
    <mergeCell ref="F433:G433"/>
    <mergeCell ref="H433:I433"/>
    <mergeCell ref="J433:K433"/>
    <mergeCell ref="B423:D423"/>
    <mergeCell ref="E423:Q423"/>
    <mergeCell ref="B421:C421"/>
    <mergeCell ref="F421:O421"/>
    <mergeCell ref="A422:D422"/>
    <mergeCell ref="E422:Q422"/>
    <mergeCell ref="F415:G415"/>
    <mergeCell ref="H415:I415"/>
    <mergeCell ref="J415:K415"/>
    <mergeCell ref="N415:O415"/>
    <mergeCell ref="P415:Q415"/>
    <mergeCell ref="F416:G416"/>
    <mergeCell ref="F411:G411"/>
    <mergeCell ref="H411:I411"/>
    <mergeCell ref="J411:K411"/>
    <mergeCell ref="N411:O411"/>
    <mergeCell ref="P411:Q411"/>
    <mergeCell ref="D414:D417"/>
    <mergeCell ref="F414:G414"/>
    <mergeCell ref="H414:I414"/>
    <mergeCell ref="H412:I412"/>
    <mergeCell ref="F413:G413"/>
    <mergeCell ref="H413:I413"/>
    <mergeCell ref="E419:I419"/>
    <mergeCell ref="E1393:G1393"/>
    <mergeCell ref="H1393:K1393"/>
    <mergeCell ref="N1393:Q1393"/>
    <mergeCell ref="S1393:V1393"/>
    <mergeCell ref="C1391:D1391"/>
    <mergeCell ref="E1391:G1391"/>
    <mergeCell ref="H1391:K1391"/>
    <mergeCell ref="N1391:Q1391"/>
    <mergeCell ref="S1391:V1391"/>
    <mergeCell ref="C1393:D1393"/>
    <mergeCell ref="E1392:G1392"/>
    <mergeCell ref="A143:C143"/>
    <mergeCell ref="B144:C144"/>
    <mergeCell ref="F144:O144"/>
    <mergeCell ref="S146:W146"/>
    <mergeCell ref="B147:D147"/>
    <mergeCell ref="E147:Q147"/>
    <mergeCell ref="A189:C189"/>
    <mergeCell ref="B190:C190"/>
    <mergeCell ref="F190:O190"/>
    <mergeCell ref="B145:C145"/>
    <mergeCell ref="F145:O145"/>
    <mergeCell ref="A146:D146"/>
    <mergeCell ref="E146:Q146"/>
    <mergeCell ref="H232:I232"/>
    <mergeCell ref="J232:K232"/>
    <mergeCell ref="N232:O232"/>
    <mergeCell ref="P232:Q232"/>
    <mergeCell ref="F233:G233"/>
    <mergeCell ref="H233:I233"/>
    <mergeCell ref="J233:K233"/>
    <mergeCell ref="N233:O233"/>
    <mergeCell ref="P233:Q233"/>
    <mergeCell ref="F231:G231"/>
    <mergeCell ref="H231:I231"/>
    <mergeCell ref="A373:C373"/>
    <mergeCell ref="B374:C374"/>
    <mergeCell ref="F374:O374"/>
    <mergeCell ref="B329:C329"/>
    <mergeCell ref="F329:O329"/>
    <mergeCell ref="A330:D330"/>
    <mergeCell ref="E330:Q330"/>
    <mergeCell ref="S284:W284"/>
    <mergeCell ref="B285:D285"/>
    <mergeCell ref="E285:Q285"/>
    <mergeCell ref="A327:C327"/>
    <mergeCell ref="B328:C328"/>
    <mergeCell ref="F328:O328"/>
    <mergeCell ref="B283:C283"/>
    <mergeCell ref="B377:D377"/>
    <mergeCell ref="E377:Q377"/>
    <mergeCell ref="A419:C419"/>
    <mergeCell ref="B420:C420"/>
    <mergeCell ref="F420:O420"/>
    <mergeCell ref="B375:C375"/>
    <mergeCell ref="F375:O375"/>
    <mergeCell ref="C1392:D1392"/>
    <mergeCell ref="S1392:V1392"/>
    <mergeCell ref="N1392:Q1392"/>
    <mergeCell ref="H1392:K1392"/>
    <mergeCell ref="H1382:I1382"/>
    <mergeCell ref="J1382:K1382"/>
    <mergeCell ref="N1382:O1382"/>
    <mergeCell ref="H585:I585"/>
    <mergeCell ref="P1382:Q1382"/>
    <mergeCell ref="F1383:G1383"/>
    <mergeCell ref="H1383:I1383"/>
    <mergeCell ref="J1383:K1383"/>
    <mergeCell ref="N1383:O1383"/>
    <mergeCell ref="P1383:Q1383"/>
    <mergeCell ref="F1382:G1382"/>
    <mergeCell ref="Z1380:Z1383"/>
    <mergeCell ref="J1380:K1380"/>
    <mergeCell ref="N1380:O1380"/>
    <mergeCell ref="P1380:Q1380"/>
    <mergeCell ref="V1380:V1383"/>
    <mergeCell ref="X1380:X1383"/>
    <mergeCell ref="A1380:A1383"/>
    <mergeCell ref="B1380:B1383"/>
    <mergeCell ref="C1380:C1383"/>
    <mergeCell ref="D1380:D1383"/>
    <mergeCell ref="F1380:G1380"/>
    <mergeCell ref="H1380:I1380"/>
    <mergeCell ref="B1387:C1387"/>
    <mergeCell ref="F1387:O1387"/>
    <mergeCell ref="A1388:D1388"/>
    <mergeCell ref="E1388:Q1388"/>
    <mergeCell ref="A1385:C1385"/>
    <mergeCell ref="B1386:C1386"/>
    <mergeCell ref="F1386:O1386"/>
    <mergeCell ref="E1385:I1385"/>
    <mergeCell ref="Q1385:V1385"/>
    <mergeCell ref="Q1386:W1386"/>
    <mergeCell ref="L1380:M1380"/>
    <mergeCell ref="L1381:M1381"/>
    <mergeCell ref="L1382:M1382"/>
    <mergeCell ref="L1383:M1383"/>
    <mergeCell ref="S1388:W1388"/>
    <mergeCell ref="Z1376:Z1379"/>
    <mergeCell ref="J1376:K1376"/>
    <mergeCell ref="N1376:O1376"/>
    <mergeCell ref="P1376:Q1376"/>
    <mergeCell ref="V1376:V1379"/>
    <mergeCell ref="X1376:X1379"/>
    <mergeCell ref="J1378:K1378"/>
    <mergeCell ref="N1378:O1378"/>
    <mergeCell ref="P1378:Q1378"/>
    <mergeCell ref="A1376:A1379"/>
    <mergeCell ref="B1376:B1379"/>
    <mergeCell ref="C1376:C1379"/>
    <mergeCell ref="D1376:D1379"/>
    <mergeCell ref="F1376:G1376"/>
    <mergeCell ref="H1376:I1376"/>
    <mergeCell ref="H1378:I1378"/>
    <mergeCell ref="F1379:G1379"/>
    <mergeCell ref="H1379:I1379"/>
    <mergeCell ref="H1374:I1374"/>
    <mergeCell ref="J1374:K1374"/>
    <mergeCell ref="N1374:O1374"/>
    <mergeCell ref="P1374:Q1374"/>
    <mergeCell ref="F1375:G1375"/>
    <mergeCell ref="H1375:I1375"/>
    <mergeCell ref="J1375:K1375"/>
    <mergeCell ref="N1375:O1375"/>
    <mergeCell ref="P1375:Q1375"/>
    <mergeCell ref="F1373:G1373"/>
    <mergeCell ref="H1373:I1373"/>
    <mergeCell ref="J1373:K1373"/>
    <mergeCell ref="N1373:O1373"/>
    <mergeCell ref="P1373:Q1373"/>
    <mergeCell ref="F1374:G1374"/>
    <mergeCell ref="Z1372:Z1375"/>
    <mergeCell ref="J1372:K1372"/>
    <mergeCell ref="N1372:O1372"/>
    <mergeCell ref="P1372:Q1372"/>
    <mergeCell ref="V1372:V1375"/>
    <mergeCell ref="X1372:X1375"/>
    <mergeCell ref="A1372:A1375"/>
    <mergeCell ref="B1372:B1375"/>
    <mergeCell ref="C1372:C1375"/>
    <mergeCell ref="D1372:D1375"/>
    <mergeCell ref="F1372:G1372"/>
    <mergeCell ref="H1372:I1372"/>
    <mergeCell ref="L1372:M1372"/>
    <mergeCell ref="L1373:M1373"/>
    <mergeCell ref="L1374:M1374"/>
    <mergeCell ref="L1375:M1375"/>
    <mergeCell ref="L1376:M1376"/>
    <mergeCell ref="L1377:M1377"/>
    <mergeCell ref="L1378:M1378"/>
    <mergeCell ref="L1379:M1379"/>
    <mergeCell ref="P1377:Q1377"/>
    <mergeCell ref="F1378:G1378"/>
    <mergeCell ref="Z1368:Z1371"/>
    <mergeCell ref="J1368:K1368"/>
    <mergeCell ref="N1368:O1368"/>
    <mergeCell ref="P1368:Q1368"/>
    <mergeCell ref="V1368:V1371"/>
    <mergeCell ref="X1368:X1371"/>
    <mergeCell ref="J1370:K1370"/>
    <mergeCell ref="N1370:O1370"/>
    <mergeCell ref="P1370:Q1370"/>
    <mergeCell ref="A1368:A1371"/>
    <mergeCell ref="B1368:B1371"/>
    <mergeCell ref="C1368:C1371"/>
    <mergeCell ref="D1368:D1371"/>
    <mergeCell ref="F1368:G1368"/>
    <mergeCell ref="H1368:I1368"/>
    <mergeCell ref="H1370:I1370"/>
    <mergeCell ref="F1371:G1371"/>
    <mergeCell ref="H1371:I1371"/>
    <mergeCell ref="H1366:I1366"/>
    <mergeCell ref="J1366:K1366"/>
    <mergeCell ref="N1366:O1366"/>
    <mergeCell ref="P1366:Q1366"/>
    <mergeCell ref="F1367:G1367"/>
    <mergeCell ref="H1367:I1367"/>
    <mergeCell ref="J1367:K1367"/>
    <mergeCell ref="N1367:O1367"/>
    <mergeCell ref="P1367:Q1367"/>
    <mergeCell ref="F1365:G1365"/>
    <mergeCell ref="H1365:I1365"/>
    <mergeCell ref="J1365:K1365"/>
    <mergeCell ref="N1365:O1365"/>
    <mergeCell ref="P1365:Q1365"/>
    <mergeCell ref="F1366:G1366"/>
    <mergeCell ref="Z1364:Z1367"/>
    <mergeCell ref="J1364:K1364"/>
    <mergeCell ref="N1364:O1364"/>
    <mergeCell ref="P1364:Q1364"/>
    <mergeCell ref="V1364:V1367"/>
    <mergeCell ref="X1364:X1367"/>
    <mergeCell ref="A1364:A1367"/>
    <mergeCell ref="B1364:B1367"/>
    <mergeCell ref="C1364:C1367"/>
    <mergeCell ref="D1364:D1367"/>
    <mergeCell ref="F1364:G1364"/>
    <mergeCell ref="H1364:I1364"/>
    <mergeCell ref="L1364:M1364"/>
    <mergeCell ref="L1365:M1365"/>
    <mergeCell ref="L1366:M1366"/>
    <mergeCell ref="L1367:M1367"/>
    <mergeCell ref="L1368:M1368"/>
    <mergeCell ref="L1369:M1369"/>
    <mergeCell ref="L1370:M1370"/>
    <mergeCell ref="L1371:M1371"/>
    <mergeCell ref="J1371:K1371"/>
    <mergeCell ref="N1371:O1371"/>
    <mergeCell ref="P1371:Q1371"/>
    <mergeCell ref="F1369:G1369"/>
    <mergeCell ref="H1369:I1369"/>
    <mergeCell ref="J1369:K1369"/>
    <mergeCell ref="N1369:O1369"/>
    <mergeCell ref="P1369:Q1369"/>
    <mergeCell ref="F1370:G1370"/>
    <mergeCell ref="Z1360:Z1363"/>
    <mergeCell ref="J1360:K1360"/>
    <mergeCell ref="N1360:O1360"/>
    <mergeCell ref="P1360:Q1360"/>
    <mergeCell ref="V1360:V1363"/>
    <mergeCell ref="X1360:X1363"/>
    <mergeCell ref="J1362:K1362"/>
    <mergeCell ref="N1362:O1362"/>
    <mergeCell ref="P1362:Q1362"/>
    <mergeCell ref="A1360:A1363"/>
    <mergeCell ref="B1360:B1363"/>
    <mergeCell ref="C1360:C1363"/>
    <mergeCell ref="D1360:D1363"/>
    <mergeCell ref="F1360:G1360"/>
    <mergeCell ref="H1360:I1360"/>
    <mergeCell ref="H1362:I1362"/>
    <mergeCell ref="F1363:G1363"/>
    <mergeCell ref="H1363:I1363"/>
    <mergeCell ref="H1358:I1358"/>
    <mergeCell ref="J1358:K1358"/>
    <mergeCell ref="N1358:O1358"/>
    <mergeCell ref="P1358:Q1358"/>
    <mergeCell ref="F1359:G1359"/>
    <mergeCell ref="H1359:I1359"/>
    <mergeCell ref="J1359:K1359"/>
    <mergeCell ref="N1359:O1359"/>
    <mergeCell ref="P1359:Q1359"/>
    <mergeCell ref="F1357:G1357"/>
    <mergeCell ref="H1357:I1357"/>
    <mergeCell ref="J1357:K1357"/>
    <mergeCell ref="N1357:O1357"/>
    <mergeCell ref="P1357:Q1357"/>
    <mergeCell ref="F1358:G1358"/>
    <mergeCell ref="Z1356:Z1359"/>
    <mergeCell ref="J1356:K1356"/>
    <mergeCell ref="N1356:O1356"/>
    <mergeCell ref="P1356:Q1356"/>
    <mergeCell ref="V1356:V1359"/>
    <mergeCell ref="X1356:X1359"/>
    <mergeCell ref="A1356:A1359"/>
    <mergeCell ref="B1356:B1359"/>
    <mergeCell ref="C1356:C1359"/>
    <mergeCell ref="D1356:D1359"/>
    <mergeCell ref="F1356:G1356"/>
    <mergeCell ref="H1356:I1356"/>
    <mergeCell ref="L1361:M1361"/>
    <mergeCell ref="L1362:M1362"/>
    <mergeCell ref="L1363:M1363"/>
    <mergeCell ref="J1363:K1363"/>
    <mergeCell ref="N1363:O1363"/>
    <mergeCell ref="P1363:Q1363"/>
    <mergeCell ref="F1361:G1361"/>
    <mergeCell ref="H1361:I1361"/>
    <mergeCell ref="J1361:K1361"/>
    <mergeCell ref="N1361:O1361"/>
    <mergeCell ref="P1361:Q1361"/>
    <mergeCell ref="F1362:G1362"/>
    <mergeCell ref="H1334:I1334"/>
    <mergeCell ref="Z1352:Z1355"/>
    <mergeCell ref="J1352:K1352"/>
    <mergeCell ref="N1352:O1352"/>
    <mergeCell ref="P1352:Q1352"/>
    <mergeCell ref="V1352:V1355"/>
    <mergeCell ref="X1352:X1355"/>
    <mergeCell ref="J1354:K1354"/>
    <mergeCell ref="N1354:O1354"/>
    <mergeCell ref="P1354:Q1354"/>
    <mergeCell ref="A1352:A1355"/>
    <mergeCell ref="B1352:B1355"/>
    <mergeCell ref="C1352:C1355"/>
    <mergeCell ref="D1352:D1355"/>
    <mergeCell ref="F1352:G1352"/>
    <mergeCell ref="H1352:I1352"/>
    <mergeCell ref="H1354:I1354"/>
    <mergeCell ref="F1355:G1355"/>
    <mergeCell ref="H1355:I1355"/>
    <mergeCell ref="H1350:I1350"/>
    <mergeCell ref="J1350:K1350"/>
    <mergeCell ref="N1350:O1350"/>
    <mergeCell ref="P1350:Q1350"/>
    <mergeCell ref="F1351:G1351"/>
    <mergeCell ref="H1351:I1351"/>
    <mergeCell ref="J1351:K1351"/>
    <mergeCell ref="N1351:O1351"/>
    <mergeCell ref="P1351:Q1351"/>
    <mergeCell ref="F1349:G1349"/>
    <mergeCell ref="H1349:I1349"/>
    <mergeCell ref="J1349:K1349"/>
    <mergeCell ref="N1349:O1349"/>
    <mergeCell ref="P1349:Q1349"/>
    <mergeCell ref="F1350:G1350"/>
    <mergeCell ref="Z1348:Z1351"/>
    <mergeCell ref="J1348:K1348"/>
    <mergeCell ref="N1348:O1348"/>
    <mergeCell ref="P1348:Q1348"/>
    <mergeCell ref="V1348:V1351"/>
    <mergeCell ref="X1348:X1351"/>
    <mergeCell ref="P1353:Q1353"/>
    <mergeCell ref="B1340:C1340"/>
    <mergeCell ref="F1340:O1340"/>
    <mergeCell ref="F1335:G1335"/>
    <mergeCell ref="H1335:I1335"/>
    <mergeCell ref="J1335:K1335"/>
    <mergeCell ref="N1335:O1335"/>
    <mergeCell ref="P1335:Q1335"/>
    <mergeCell ref="F1336:G1336"/>
    <mergeCell ref="J1355:K1355"/>
    <mergeCell ref="N1355:O1355"/>
    <mergeCell ref="P1355:Q1355"/>
    <mergeCell ref="F1353:G1353"/>
    <mergeCell ref="H1353:I1353"/>
    <mergeCell ref="J1353:K1353"/>
    <mergeCell ref="N1353:O1353"/>
    <mergeCell ref="F1354:G1354"/>
    <mergeCell ref="B1343:D1343"/>
    <mergeCell ref="E1343:Q1343"/>
    <mergeCell ref="E1342:Q1342"/>
    <mergeCell ref="F1330:G1330"/>
    <mergeCell ref="H1330:I1330"/>
    <mergeCell ref="H1332:I1332"/>
    <mergeCell ref="F1333:G1333"/>
    <mergeCell ref="H1333:I1333"/>
    <mergeCell ref="H1336:I1336"/>
    <mergeCell ref="J1336:K1336"/>
    <mergeCell ref="N1336:O1336"/>
    <mergeCell ref="P1336:Q1336"/>
    <mergeCell ref="F1337:G1337"/>
    <mergeCell ref="H1337:I1337"/>
    <mergeCell ref="J1337:K1337"/>
    <mergeCell ref="N1337:O1337"/>
    <mergeCell ref="P1337:Q1337"/>
    <mergeCell ref="H1328:I1328"/>
    <mergeCell ref="J1328:K1328"/>
    <mergeCell ref="N1328:O1328"/>
    <mergeCell ref="P1328:Q1328"/>
    <mergeCell ref="F1329:G1329"/>
    <mergeCell ref="H1329:I1329"/>
    <mergeCell ref="J1329:K1329"/>
    <mergeCell ref="N1329:O1329"/>
    <mergeCell ref="P1329:Q1329"/>
    <mergeCell ref="Z1334:Z1337"/>
    <mergeCell ref="J1334:K1334"/>
    <mergeCell ref="N1334:O1334"/>
    <mergeCell ref="P1334:Q1334"/>
    <mergeCell ref="V1334:V1337"/>
    <mergeCell ref="X1334:X1337"/>
    <mergeCell ref="J1347:K1347"/>
    <mergeCell ref="N1347:O1347"/>
    <mergeCell ref="P1347:Q1347"/>
    <mergeCell ref="A1348:A1351"/>
    <mergeCell ref="B1348:B1351"/>
    <mergeCell ref="C1348:C1351"/>
    <mergeCell ref="D1348:D1351"/>
    <mergeCell ref="F1348:G1348"/>
    <mergeCell ref="H1348:I1348"/>
    <mergeCell ref="F1345:G1345"/>
    <mergeCell ref="H1345:I1345"/>
    <mergeCell ref="J1345:K1345"/>
    <mergeCell ref="N1345:O1345"/>
    <mergeCell ref="P1345:Q1345"/>
    <mergeCell ref="F1346:G1346"/>
    <mergeCell ref="Z1344:Z1347"/>
    <mergeCell ref="J1344:K1344"/>
    <mergeCell ref="N1344:O1344"/>
    <mergeCell ref="P1344:Q1344"/>
    <mergeCell ref="V1344:V1347"/>
    <mergeCell ref="X1344:X1347"/>
    <mergeCell ref="J1346:K1346"/>
    <mergeCell ref="N1346:O1346"/>
    <mergeCell ref="P1346:Q1346"/>
    <mergeCell ref="A1344:A1347"/>
    <mergeCell ref="B1344:B1347"/>
    <mergeCell ref="C1344:C1347"/>
    <mergeCell ref="D1344:D1347"/>
    <mergeCell ref="F1344:G1344"/>
    <mergeCell ref="H1344:I1344"/>
    <mergeCell ref="H1346:I1346"/>
    <mergeCell ref="F1347:G1347"/>
    <mergeCell ref="H1347:I1347"/>
    <mergeCell ref="A1334:A1337"/>
    <mergeCell ref="B1334:B1337"/>
    <mergeCell ref="F1327:G1327"/>
    <mergeCell ref="H1327:I1327"/>
    <mergeCell ref="J1327:K1327"/>
    <mergeCell ref="N1327:O1327"/>
    <mergeCell ref="P1327:Q1327"/>
    <mergeCell ref="F1328:G1328"/>
    <mergeCell ref="Z1326:Z1329"/>
    <mergeCell ref="J1326:K1326"/>
    <mergeCell ref="N1326:O1326"/>
    <mergeCell ref="P1326:Q1326"/>
    <mergeCell ref="V1326:V1329"/>
    <mergeCell ref="X1326:X1329"/>
    <mergeCell ref="J1325:K1325"/>
    <mergeCell ref="N1325:O1325"/>
    <mergeCell ref="P1325:Q1325"/>
    <mergeCell ref="A1326:A1329"/>
    <mergeCell ref="B1326:B1329"/>
    <mergeCell ref="C1326:C1329"/>
    <mergeCell ref="D1326:D1329"/>
    <mergeCell ref="F1326:G1326"/>
    <mergeCell ref="H1326:I1326"/>
    <mergeCell ref="J1333:K1333"/>
    <mergeCell ref="N1333:O1333"/>
    <mergeCell ref="P1333:Q1333"/>
    <mergeCell ref="F1323:G1323"/>
    <mergeCell ref="H1323:I1323"/>
    <mergeCell ref="J1323:K1323"/>
    <mergeCell ref="N1323:O1323"/>
    <mergeCell ref="P1323:Q1323"/>
    <mergeCell ref="F1324:G1324"/>
    <mergeCell ref="Z1322:Z1325"/>
    <mergeCell ref="J1322:K1322"/>
    <mergeCell ref="N1322:O1322"/>
    <mergeCell ref="P1322:Q1322"/>
    <mergeCell ref="V1322:V1325"/>
    <mergeCell ref="X1322:X1325"/>
    <mergeCell ref="J1324:K1324"/>
    <mergeCell ref="N1324:O1324"/>
    <mergeCell ref="P1324:Q1324"/>
    <mergeCell ref="A1322:A1325"/>
    <mergeCell ref="B1322:B1325"/>
    <mergeCell ref="C1322:C1325"/>
    <mergeCell ref="D1322:D1325"/>
    <mergeCell ref="F1322:G1322"/>
    <mergeCell ref="H1322:I1322"/>
    <mergeCell ref="H1324:I1324"/>
    <mergeCell ref="F1325:G1325"/>
    <mergeCell ref="H1325:I1325"/>
    <mergeCell ref="N1331:O1331"/>
    <mergeCell ref="P1331:Q1331"/>
    <mergeCell ref="F1332:G1332"/>
    <mergeCell ref="Z1330:Z1333"/>
    <mergeCell ref="J1330:K1330"/>
    <mergeCell ref="N1330:O1330"/>
    <mergeCell ref="P1330:Q1330"/>
    <mergeCell ref="V1330:V1333"/>
    <mergeCell ref="X1330:X1333"/>
    <mergeCell ref="J1332:K1332"/>
    <mergeCell ref="N1332:O1332"/>
    <mergeCell ref="P1332:Q1332"/>
    <mergeCell ref="A1330:A1333"/>
    <mergeCell ref="B1330:B1333"/>
    <mergeCell ref="C1330:C1333"/>
    <mergeCell ref="D1330:D1333"/>
    <mergeCell ref="H1320:I1320"/>
    <mergeCell ref="J1320:K1320"/>
    <mergeCell ref="N1320:O1320"/>
    <mergeCell ref="P1320:Q1320"/>
    <mergeCell ref="F1321:G1321"/>
    <mergeCell ref="H1321:I1321"/>
    <mergeCell ref="J1321:K1321"/>
    <mergeCell ref="N1321:O1321"/>
    <mergeCell ref="P1321:Q1321"/>
    <mergeCell ref="F1320:G1320"/>
    <mergeCell ref="Z1318:Z1321"/>
    <mergeCell ref="J1318:K1318"/>
    <mergeCell ref="N1318:O1318"/>
    <mergeCell ref="P1318:Q1318"/>
    <mergeCell ref="V1318:V1321"/>
    <mergeCell ref="X1318:X1321"/>
    <mergeCell ref="J1317:K1317"/>
    <mergeCell ref="N1317:O1317"/>
    <mergeCell ref="P1317:Q1317"/>
    <mergeCell ref="A1318:A1321"/>
    <mergeCell ref="B1318:B1321"/>
    <mergeCell ref="C1318:C1321"/>
    <mergeCell ref="D1318:D1321"/>
    <mergeCell ref="F1318:G1318"/>
    <mergeCell ref="H1318:I1318"/>
    <mergeCell ref="F1315:G1315"/>
    <mergeCell ref="H1315:I1315"/>
    <mergeCell ref="J1315:K1315"/>
    <mergeCell ref="N1315:O1315"/>
    <mergeCell ref="P1315:Q1315"/>
    <mergeCell ref="F1316:G1316"/>
    <mergeCell ref="Z1314:Z1317"/>
    <mergeCell ref="J1314:K1314"/>
    <mergeCell ref="N1314:O1314"/>
    <mergeCell ref="P1314:Q1314"/>
    <mergeCell ref="V1314:V1317"/>
    <mergeCell ref="X1314:X1317"/>
    <mergeCell ref="J1316:K1316"/>
    <mergeCell ref="N1316:O1316"/>
    <mergeCell ref="P1316:Q1316"/>
    <mergeCell ref="A1314:A1317"/>
    <mergeCell ref="B1314:B1317"/>
    <mergeCell ref="C1314:C1317"/>
    <mergeCell ref="D1314:D1317"/>
    <mergeCell ref="F1314:G1314"/>
    <mergeCell ref="H1314:I1314"/>
    <mergeCell ref="H1316:I1316"/>
    <mergeCell ref="F1317:G1317"/>
    <mergeCell ref="H1317:I1317"/>
    <mergeCell ref="L1314:M1314"/>
    <mergeCell ref="L1315:M1315"/>
    <mergeCell ref="L1316:M1316"/>
    <mergeCell ref="L1317:M1317"/>
    <mergeCell ref="L1318:M1318"/>
    <mergeCell ref="L1319:M1319"/>
    <mergeCell ref="L1320:M1320"/>
    <mergeCell ref="L1321:M1321"/>
    <mergeCell ref="P1312:Q1312"/>
    <mergeCell ref="F1313:G1313"/>
    <mergeCell ref="H1313:I1313"/>
    <mergeCell ref="J1313:K1313"/>
    <mergeCell ref="N1313:O1313"/>
    <mergeCell ref="P1313:Q1313"/>
    <mergeCell ref="F1311:G1311"/>
    <mergeCell ref="H1311:I1311"/>
    <mergeCell ref="J1311:K1311"/>
    <mergeCell ref="N1311:O1311"/>
    <mergeCell ref="P1311:Q1311"/>
    <mergeCell ref="F1312:G1312"/>
    <mergeCell ref="Z1310:Z1313"/>
    <mergeCell ref="J1310:K1310"/>
    <mergeCell ref="N1310:O1310"/>
    <mergeCell ref="P1310:Q1310"/>
    <mergeCell ref="V1310:V1313"/>
    <mergeCell ref="X1310:X1313"/>
    <mergeCell ref="J1309:K1309"/>
    <mergeCell ref="N1309:O1309"/>
    <mergeCell ref="P1309:Q1309"/>
    <mergeCell ref="A1310:A1313"/>
    <mergeCell ref="B1310:B1313"/>
    <mergeCell ref="C1310:C1313"/>
    <mergeCell ref="D1310:D1313"/>
    <mergeCell ref="F1310:G1310"/>
    <mergeCell ref="H1310:I1310"/>
    <mergeCell ref="F1319:G1319"/>
    <mergeCell ref="H1319:I1319"/>
    <mergeCell ref="J1319:K1319"/>
    <mergeCell ref="N1319:O1319"/>
    <mergeCell ref="P1319:Q1319"/>
    <mergeCell ref="F1307:G1307"/>
    <mergeCell ref="H1307:I1307"/>
    <mergeCell ref="J1307:K1307"/>
    <mergeCell ref="N1307:O1307"/>
    <mergeCell ref="P1307:Q1307"/>
    <mergeCell ref="F1308:G1308"/>
    <mergeCell ref="Z1306:Z1309"/>
    <mergeCell ref="J1306:K1306"/>
    <mergeCell ref="N1306:O1306"/>
    <mergeCell ref="P1306:Q1306"/>
    <mergeCell ref="V1306:V1309"/>
    <mergeCell ref="X1306:X1309"/>
    <mergeCell ref="J1308:K1308"/>
    <mergeCell ref="N1308:O1308"/>
    <mergeCell ref="P1308:Q1308"/>
    <mergeCell ref="A1306:A1309"/>
    <mergeCell ref="B1306:B1309"/>
    <mergeCell ref="C1306:C1309"/>
    <mergeCell ref="D1306:D1309"/>
    <mergeCell ref="F1306:G1306"/>
    <mergeCell ref="H1306:I1306"/>
    <mergeCell ref="H1308:I1308"/>
    <mergeCell ref="F1309:G1309"/>
    <mergeCell ref="H1309:I1309"/>
    <mergeCell ref="P1304:Q1304"/>
    <mergeCell ref="F1305:G1305"/>
    <mergeCell ref="H1305:I1305"/>
    <mergeCell ref="J1305:K1305"/>
    <mergeCell ref="N1305:O1305"/>
    <mergeCell ref="P1305:Q1305"/>
    <mergeCell ref="F1303:G1303"/>
    <mergeCell ref="H1303:I1303"/>
    <mergeCell ref="J1303:K1303"/>
    <mergeCell ref="N1303:O1303"/>
    <mergeCell ref="P1303:Q1303"/>
    <mergeCell ref="F1304:G1304"/>
    <mergeCell ref="Z1302:Z1305"/>
    <mergeCell ref="J1302:K1302"/>
    <mergeCell ref="N1302:O1302"/>
    <mergeCell ref="P1302:Q1302"/>
    <mergeCell ref="V1302:V1305"/>
    <mergeCell ref="X1302:X1305"/>
    <mergeCell ref="J1301:K1301"/>
    <mergeCell ref="N1301:O1301"/>
    <mergeCell ref="P1301:Q1301"/>
    <mergeCell ref="A1302:A1305"/>
    <mergeCell ref="B1302:B1305"/>
    <mergeCell ref="C1302:C1305"/>
    <mergeCell ref="D1302:D1305"/>
    <mergeCell ref="F1302:G1302"/>
    <mergeCell ref="H1302:I1302"/>
    <mergeCell ref="F1299:G1299"/>
    <mergeCell ref="H1299:I1299"/>
    <mergeCell ref="J1299:K1299"/>
    <mergeCell ref="N1299:O1299"/>
    <mergeCell ref="P1299:Q1299"/>
    <mergeCell ref="F1300:G1300"/>
    <mergeCell ref="Z1298:Z1301"/>
    <mergeCell ref="J1298:K1298"/>
    <mergeCell ref="N1298:O1298"/>
    <mergeCell ref="P1298:Q1298"/>
    <mergeCell ref="V1298:V1301"/>
    <mergeCell ref="X1298:X1301"/>
    <mergeCell ref="J1300:K1300"/>
    <mergeCell ref="N1300:O1300"/>
    <mergeCell ref="P1300:Q1300"/>
    <mergeCell ref="A1298:A1301"/>
    <mergeCell ref="B1298:B1301"/>
    <mergeCell ref="C1298:C1301"/>
    <mergeCell ref="D1298:D1301"/>
    <mergeCell ref="F1298:G1298"/>
    <mergeCell ref="H1298:I1298"/>
    <mergeCell ref="H1300:I1300"/>
    <mergeCell ref="F1301:G1301"/>
    <mergeCell ref="H1301:I1301"/>
    <mergeCell ref="Z1288:Z1291"/>
    <mergeCell ref="J1288:K1288"/>
    <mergeCell ref="N1288:O1288"/>
    <mergeCell ref="P1288:Q1288"/>
    <mergeCell ref="V1288:V1291"/>
    <mergeCell ref="X1288:X1291"/>
    <mergeCell ref="A1288:A1291"/>
    <mergeCell ref="B1288:B1291"/>
    <mergeCell ref="C1288:C1291"/>
    <mergeCell ref="D1288:D1291"/>
    <mergeCell ref="F1288:G1288"/>
    <mergeCell ref="H1288:I1288"/>
    <mergeCell ref="Z1284:Z1287"/>
    <mergeCell ref="J1284:K1284"/>
    <mergeCell ref="N1284:O1284"/>
    <mergeCell ref="P1284:Q1284"/>
    <mergeCell ref="V1284:V1287"/>
    <mergeCell ref="X1284:X1287"/>
    <mergeCell ref="J1286:K1286"/>
    <mergeCell ref="N1286:O1286"/>
    <mergeCell ref="P1286:Q1286"/>
    <mergeCell ref="A1284:A1287"/>
    <mergeCell ref="B1284:B1287"/>
    <mergeCell ref="C1284:C1287"/>
    <mergeCell ref="D1284:D1287"/>
    <mergeCell ref="F1284:G1284"/>
    <mergeCell ref="H1284:I1284"/>
    <mergeCell ref="H1286:I1286"/>
    <mergeCell ref="F1287:G1287"/>
    <mergeCell ref="H1287:I1287"/>
    <mergeCell ref="J1290:K1290"/>
    <mergeCell ref="N1290:O1290"/>
    <mergeCell ref="F1283:G1283"/>
    <mergeCell ref="H1283:I1283"/>
    <mergeCell ref="J1283:K1283"/>
    <mergeCell ref="N1283:O1283"/>
    <mergeCell ref="P1283:Q1283"/>
    <mergeCell ref="H1274:I1274"/>
    <mergeCell ref="J1274:K1274"/>
    <mergeCell ref="N1274:O1274"/>
    <mergeCell ref="P1274:Q1274"/>
    <mergeCell ref="F1275:G1275"/>
    <mergeCell ref="H1275:I1275"/>
    <mergeCell ref="J1275:K1275"/>
    <mergeCell ref="N1275:O1275"/>
    <mergeCell ref="P1275:Q1275"/>
    <mergeCell ref="F1273:G1273"/>
    <mergeCell ref="H1273:I1273"/>
    <mergeCell ref="J1273:K1273"/>
    <mergeCell ref="N1273:O1273"/>
    <mergeCell ref="P1273:Q1273"/>
    <mergeCell ref="F1274:G1274"/>
    <mergeCell ref="Z1272:Z1275"/>
    <mergeCell ref="J1272:K1272"/>
    <mergeCell ref="N1272:O1272"/>
    <mergeCell ref="P1272:Q1272"/>
    <mergeCell ref="V1272:V1275"/>
    <mergeCell ref="X1272:X1275"/>
    <mergeCell ref="J1271:K1271"/>
    <mergeCell ref="N1271:O1271"/>
    <mergeCell ref="P1271:Q1271"/>
    <mergeCell ref="A1272:A1275"/>
    <mergeCell ref="B1272:B1275"/>
    <mergeCell ref="C1272:C1275"/>
    <mergeCell ref="D1272:D1275"/>
    <mergeCell ref="F1272:G1272"/>
    <mergeCell ref="H1272:I1272"/>
    <mergeCell ref="H1282:I1282"/>
    <mergeCell ref="J1282:K1282"/>
    <mergeCell ref="N1282:O1282"/>
    <mergeCell ref="P1282:Q1282"/>
    <mergeCell ref="N1281:O1281"/>
    <mergeCell ref="P1281:Q1281"/>
    <mergeCell ref="F1282:G1282"/>
    <mergeCell ref="Z1280:Z1283"/>
    <mergeCell ref="J1280:K1280"/>
    <mergeCell ref="N1280:O1280"/>
    <mergeCell ref="P1280:Q1280"/>
    <mergeCell ref="V1280:V1283"/>
    <mergeCell ref="X1280:X1283"/>
    <mergeCell ref="A1280:A1283"/>
    <mergeCell ref="B1280:B1283"/>
    <mergeCell ref="C1280:C1283"/>
    <mergeCell ref="D1280:D1283"/>
    <mergeCell ref="F1280:G1280"/>
    <mergeCell ref="H1280:I1280"/>
    <mergeCell ref="P1277:Q1277"/>
    <mergeCell ref="F1278:G1278"/>
    <mergeCell ref="Z1276:Z1279"/>
    <mergeCell ref="J1276:K1276"/>
    <mergeCell ref="N1276:O1276"/>
    <mergeCell ref="P1276:Q1276"/>
    <mergeCell ref="V1276:V1279"/>
    <mergeCell ref="X1276:X1279"/>
    <mergeCell ref="J1278:K1278"/>
    <mergeCell ref="N1278:O1278"/>
    <mergeCell ref="P1278:Q1278"/>
    <mergeCell ref="A1276:A1279"/>
    <mergeCell ref="B1276:B1279"/>
    <mergeCell ref="C1276:C1279"/>
    <mergeCell ref="D1276:D1279"/>
    <mergeCell ref="H1260:I1260"/>
    <mergeCell ref="H1262:I1262"/>
    <mergeCell ref="F1263:G1263"/>
    <mergeCell ref="H1263:I1263"/>
    <mergeCell ref="F1269:G1269"/>
    <mergeCell ref="H1269:I1269"/>
    <mergeCell ref="J1269:K1269"/>
    <mergeCell ref="N1269:O1269"/>
    <mergeCell ref="P1269:Q1269"/>
    <mergeCell ref="F1270:G1270"/>
    <mergeCell ref="Z1268:Z1271"/>
    <mergeCell ref="J1268:K1268"/>
    <mergeCell ref="N1268:O1268"/>
    <mergeCell ref="P1268:Q1268"/>
    <mergeCell ref="V1268:V1271"/>
    <mergeCell ref="X1268:X1271"/>
    <mergeCell ref="J1270:K1270"/>
    <mergeCell ref="N1270:O1270"/>
    <mergeCell ref="P1270:Q1270"/>
    <mergeCell ref="A1268:A1271"/>
    <mergeCell ref="B1268:B1271"/>
    <mergeCell ref="C1268:C1271"/>
    <mergeCell ref="D1268:D1271"/>
    <mergeCell ref="F1268:G1268"/>
    <mergeCell ref="H1268:I1268"/>
    <mergeCell ref="H1270:I1270"/>
    <mergeCell ref="F1271:G1271"/>
    <mergeCell ref="H1271:I1271"/>
    <mergeCell ref="H1266:I1266"/>
    <mergeCell ref="J1266:K1266"/>
    <mergeCell ref="N1266:O1266"/>
    <mergeCell ref="P1266:Q1266"/>
    <mergeCell ref="F1267:G1267"/>
    <mergeCell ref="H1267:I1267"/>
    <mergeCell ref="J1267:K1267"/>
    <mergeCell ref="N1267:O1267"/>
    <mergeCell ref="P1267:Q1267"/>
    <mergeCell ref="F1266:G1266"/>
    <mergeCell ref="Z1264:Z1267"/>
    <mergeCell ref="J1264:K1264"/>
    <mergeCell ref="N1264:O1264"/>
    <mergeCell ref="P1264:Q1264"/>
    <mergeCell ref="V1264:V1267"/>
    <mergeCell ref="X1264:X1267"/>
    <mergeCell ref="H1258:I1258"/>
    <mergeCell ref="J1258:K1258"/>
    <mergeCell ref="N1258:O1258"/>
    <mergeCell ref="P1258:Q1258"/>
    <mergeCell ref="F1259:G1259"/>
    <mergeCell ref="H1259:I1259"/>
    <mergeCell ref="J1259:K1259"/>
    <mergeCell ref="N1259:O1259"/>
    <mergeCell ref="P1259:Q1259"/>
    <mergeCell ref="F1257:G1257"/>
    <mergeCell ref="H1257:I1257"/>
    <mergeCell ref="J1257:K1257"/>
    <mergeCell ref="N1257:O1257"/>
    <mergeCell ref="P1257:Q1257"/>
    <mergeCell ref="F1258:G1258"/>
    <mergeCell ref="Z1256:Z1259"/>
    <mergeCell ref="J1256:K1256"/>
    <mergeCell ref="N1256:O1256"/>
    <mergeCell ref="P1256:Q1256"/>
    <mergeCell ref="V1256:V1259"/>
    <mergeCell ref="X1256:X1259"/>
    <mergeCell ref="J1255:K1255"/>
    <mergeCell ref="N1255:O1255"/>
    <mergeCell ref="P1255:Q1255"/>
    <mergeCell ref="A1256:A1259"/>
    <mergeCell ref="B1256:B1259"/>
    <mergeCell ref="C1256:C1259"/>
    <mergeCell ref="D1256:D1259"/>
    <mergeCell ref="F1256:G1256"/>
    <mergeCell ref="H1256:I1256"/>
    <mergeCell ref="F1265:G1265"/>
    <mergeCell ref="H1265:I1265"/>
    <mergeCell ref="J1265:K1265"/>
    <mergeCell ref="N1265:O1265"/>
    <mergeCell ref="P1265:Q1265"/>
    <mergeCell ref="J1263:K1263"/>
    <mergeCell ref="N1263:O1263"/>
    <mergeCell ref="P1263:Q1263"/>
    <mergeCell ref="A1264:A1267"/>
    <mergeCell ref="B1264:B1267"/>
    <mergeCell ref="C1264:C1267"/>
    <mergeCell ref="D1264:D1267"/>
    <mergeCell ref="F1264:G1264"/>
    <mergeCell ref="H1264:I1264"/>
    <mergeCell ref="F1261:G1261"/>
    <mergeCell ref="H1261:I1261"/>
    <mergeCell ref="J1261:K1261"/>
    <mergeCell ref="N1261:O1261"/>
    <mergeCell ref="P1261:Q1261"/>
    <mergeCell ref="F1262:G1262"/>
    <mergeCell ref="Z1260:Z1263"/>
    <mergeCell ref="J1260:K1260"/>
    <mergeCell ref="N1260:O1260"/>
    <mergeCell ref="P1260:Q1260"/>
    <mergeCell ref="V1260:V1263"/>
    <mergeCell ref="X1260:X1263"/>
    <mergeCell ref="J1262:K1262"/>
    <mergeCell ref="N1262:O1262"/>
    <mergeCell ref="P1262:Q1262"/>
    <mergeCell ref="A1260:A1263"/>
    <mergeCell ref="B1260:B1263"/>
    <mergeCell ref="C1260:C1263"/>
    <mergeCell ref="D1260:D1263"/>
    <mergeCell ref="F1260:G1260"/>
    <mergeCell ref="H1238:I1238"/>
    <mergeCell ref="H1240:I1240"/>
    <mergeCell ref="F1241:G1241"/>
    <mergeCell ref="H1241:I1241"/>
    <mergeCell ref="F1253:G1253"/>
    <mergeCell ref="H1253:I1253"/>
    <mergeCell ref="J1253:K1253"/>
    <mergeCell ref="N1253:O1253"/>
    <mergeCell ref="P1253:Q1253"/>
    <mergeCell ref="F1254:G1254"/>
    <mergeCell ref="Z1252:Z1255"/>
    <mergeCell ref="J1252:K1252"/>
    <mergeCell ref="N1252:O1252"/>
    <mergeCell ref="P1252:Q1252"/>
    <mergeCell ref="V1252:V1255"/>
    <mergeCell ref="X1252:X1255"/>
    <mergeCell ref="J1254:K1254"/>
    <mergeCell ref="N1254:O1254"/>
    <mergeCell ref="P1254:Q1254"/>
    <mergeCell ref="A1252:A1255"/>
    <mergeCell ref="B1252:B1255"/>
    <mergeCell ref="C1252:C1255"/>
    <mergeCell ref="D1252:D1255"/>
    <mergeCell ref="F1252:G1252"/>
    <mergeCell ref="H1252:I1252"/>
    <mergeCell ref="H1254:I1254"/>
    <mergeCell ref="F1255:G1255"/>
    <mergeCell ref="H1255:I1255"/>
    <mergeCell ref="H1244:I1244"/>
    <mergeCell ref="J1244:K1244"/>
    <mergeCell ref="N1244:O1244"/>
    <mergeCell ref="P1244:Q1244"/>
    <mergeCell ref="F1245:G1245"/>
    <mergeCell ref="H1245:I1245"/>
    <mergeCell ref="J1245:K1245"/>
    <mergeCell ref="N1245:O1245"/>
    <mergeCell ref="P1245:Q1245"/>
    <mergeCell ref="S1250:W1250"/>
    <mergeCell ref="B1251:D1251"/>
    <mergeCell ref="E1251:Q1251"/>
    <mergeCell ref="F1244:G1244"/>
    <mergeCell ref="Z1242:Z1245"/>
    <mergeCell ref="J1242:K1242"/>
    <mergeCell ref="N1242:O1242"/>
    <mergeCell ref="P1242:Q1242"/>
    <mergeCell ref="V1242:V1245"/>
    <mergeCell ref="X1242:X1245"/>
    <mergeCell ref="Q1248:W1248"/>
    <mergeCell ref="H1236:I1236"/>
    <mergeCell ref="J1236:K1236"/>
    <mergeCell ref="N1236:O1236"/>
    <mergeCell ref="P1236:Q1236"/>
    <mergeCell ref="F1237:G1237"/>
    <mergeCell ref="H1237:I1237"/>
    <mergeCell ref="J1237:K1237"/>
    <mergeCell ref="N1237:O1237"/>
    <mergeCell ref="P1237:Q1237"/>
    <mergeCell ref="F1235:G1235"/>
    <mergeCell ref="H1235:I1235"/>
    <mergeCell ref="J1235:K1235"/>
    <mergeCell ref="N1235:O1235"/>
    <mergeCell ref="P1235:Q1235"/>
    <mergeCell ref="F1236:G1236"/>
    <mergeCell ref="Z1234:Z1237"/>
    <mergeCell ref="J1234:K1234"/>
    <mergeCell ref="N1234:O1234"/>
    <mergeCell ref="P1234:Q1234"/>
    <mergeCell ref="V1234:V1237"/>
    <mergeCell ref="X1234:X1237"/>
    <mergeCell ref="J1233:K1233"/>
    <mergeCell ref="N1233:O1233"/>
    <mergeCell ref="P1233:Q1233"/>
    <mergeCell ref="A1234:A1237"/>
    <mergeCell ref="B1234:B1237"/>
    <mergeCell ref="C1234:C1237"/>
    <mergeCell ref="D1234:D1237"/>
    <mergeCell ref="F1234:G1234"/>
    <mergeCell ref="H1234:I1234"/>
    <mergeCell ref="F1243:G1243"/>
    <mergeCell ref="H1243:I1243"/>
    <mergeCell ref="J1243:K1243"/>
    <mergeCell ref="N1243:O1243"/>
    <mergeCell ref="P1243:Q1243"/>
    <mergeCell ref="J1241:K1241"/>
    <mergeCell ref="N1241:O1241"/>
    <mergeCell ref="P1241:Q1241"/>
    <mergeCell ref="A1242:A1245"/>
    <mergeCell ref="B1242:B1245"/>
    <mergeCell ref="C1242:C1245"/>
    <mergeCell ref="D1242:D1245"/>
    <mergeCell ref="F1242:G1242"/>
    <mergeCell ref="H1242:I1242"/>
    <mergeCell ref="F1239:G1239"/>
    <mergeCell ref="H1239:I1239"/>
    <mergeCell ref="J1239:K1239"/>
    <mergeCell ref="N1239:O1239"/>
    <mergeCell ref="P1239:Q1239"/>
    <mergeCell ref="F1240:G1240"/>
    <mergeCell ref="Z1238:Z1241"/>
    <mergeCell ref="J1238:K1238"/>
    <mergeCell ref="N1238:O1238"/>
    <mergeCell ref="P1238:Q1238"/>
    <mergeCell ref="V1238:V1241"/>
    <mergeCell ref="X1238:X1241"/>
    <mergeCell ref="J1240:K1240"/>
    <mergeCell ref="N1240:O1240"/>
    <mergeCell ref="P1240:Q1240"/>
    <mergeCell ref="A1238:A1241"/>
    <mergeCell ref="B1238:B1241"/>
    <mergeCell ref="C1238:C1241"/>
    <mergeCell ref="D1238:D1241"/>
    <mergeCell ref="F1238:G1238"/>
    <mergeCell ref="H1222:I1222"/>
    <mergeCell ref="H1224:I1224"/>
    <mergeCell ref="F1225:G1225"/>
    <mergeCell ref="H1225:I1225"/>
    <mergeCell ref="F1231:G1231"/>
    <mergeCell ref="H1231:I1231"/>
    <mergeCell ref="J1231:K1231"/>
    <mergeCell ref="N1231:O1231"/>
    <mergeCell ref="P1231:Q1231"/>
    <mergeCell ref="F1232:G1232"/>
    <mergeCell ref="Z1230:Z1233"/>
    <mergeCell ref="J1230:K1230"/>
    <mergeCell ref="N1230:O1230"/>
    <mergeCell ref="P1230:Q1230"/>
    <mergeCell ref="V1230:V1233"/>
    <mergeCell ref="X1230:X1233"/>
    <mergeCell ref="J1232:K1232"/>
    <mergeCell ref="N1232:O1232"/>
    <mergeCell ref="P1232:Q1232"/>
    <mergeCell ref="A1230:A1233"/>
    <mergeCell ref="B1230:B1233"/>
    <mergeCell ref="C1230:C1233"/>
    <mergeCell ref="D1230:D1233"/>
    <mergeCell ref="F1230:G1230"/>
    <mergeCell ref="H1230:I1230"/>
    <mergeCell ref="H1232:I1232"/>
    <mergeCell ref="F1233:G1233"/>
    <mergeCell ref="H1233:I1233"/>
    <mergeCell ref="H1228:I1228"/>
    <mergeCell ref="J1228:K1228"/>
    <mergeCell ref="N1228:O1228"/>
    <mergeCell ref="P1228:Q1228"/>
    <mergeCell ref="F1229:G1229"/>
    <mergeCell ref="H1229:I1229"/>
    <mergeCell ref="J1229:K1229"/>
    <mergeCell ref="N1229:O1229"/>
    <mergeCell ref="P1229:Q1229"/>
    <mergeCell ref="F1228:G1228"/>
    <mergeCell ref="Z1226:Z1229"/>
    <mergeCell ref="J1226:K1226"/>
    <mergeCell ref="N1226:O1226"/>
    <mergeCell ref="P1226:Q1226"/>
    <mergeCell ref="V1226:V1229"/>
    <mergeCell ref="X1226:X1229"/>
    <mergeCell ref="H1220:I1220"/>
    <mergeCell ref="J1220:K1220"/>
    <mergeCell ref="N1220:O1220"/>
    <mergeCell ref="P1220:Q1220"/>
    <mergeCell ref="F1221:G1221"/>
    <mergeCell ref="H1221:I1221"/>
    <mergeCell ref="J1221:K1221"/>
    <mergeCell ref="N1221:O1221"/>
    <mergeCell ref="P1221:Q1221"/>
    <mergeCell ref="F1219:G1219"/>
    <mergeCell ref="H1219:I1219"/>
    <mergeCell ref="J1219:K1219"/>
    <mergeCell ref="N1219:O1219"/>
    <mergeCell ref="P1219:Q1219"/>
    <mergeCell ref="F1220:G1220"/>
    <mergeCell ref="Z1218:Z1221"/>
    <mergeCell ref="J1218:K1218"/>
    <mergeCell ref="N1218:O1218"/>
    <mergeCell ref="P1218:Q1218"/>
    <mergeCell ref="V1218:V1221"/>
    <mergeCell ref="X1218:X1221"/>
    <mergeCell ref="J1217:K1217"/>
    <mergeCell ref="N1217:O1217"/>
    <mergeCell ref="P1217:Q1217"/>
    <mergeCell ref="A1218:A1221"/>
    <mergeCell ref="B1218:B1221"/>
    <mergeCell ref="C1218:C1221"/>
    <mergeCell ref="D1218:D1221"/>
    <mergeCell ref="F1218:G1218"/>
    <mergeCell ref="H1218:I1218"/>
    <mergeCell ref="F1227:G1227"/>
    <mergeCell ref="H1227:I1227"/>
    <mergeCell ref="J1227:K1227"/>
    <mergeCell ref="N1227:O1227"/>
    <mergeCell ref="P1227:Q1227"/>
    <mergeCell ref="J1225:K1225"/>
    <mergeCell ref="N1225:O1225"/>
    <mergeCell ref="P1225:Q1225"/>
    <mergeCell ref="A1226:A1229"/>
    <mergeCell ref="B1226:B1229"/>
    <mergeCell ref="C1226:C1229"/>
    <mergeCell ref="D1226:D1229"/>
    <mergeCell ref="F1226:G1226"/>
    <mergeCell ref="H1226:I1226"/>
    <mergeCell ref="F1223:G1223"/>
    <mergeCell ref="H1223:I1223"/>
    <mergeCell ref="J1223:K1223"/>
    <mergeCell ref="N1223:O1223"/>
    <mergeCell ref="P1223:Q1223"/>
    <mergeCell ref="F1224:G1224"/>
    <mergeCell ref="Z1222:Z1225"/>
    <mergeCell ref="J1222:K1222"/>
    <mergeCell ref="N1222:O1222"/>
    <mergeCell ref="P1222:Q1222"/>
    <mergeCell ref="V1222:V1225"/>
    <mergeCell ref="X1222:X1225"/>
    <mergeCell ref="J1224:K1224"/>
    <mergeCell ref="N1224:O1224"/>
    <mergeCell ref="P1224:Q1224"/>
    <mergeCell ref="A1222:A1225"/>
    <mergeCell ref="B1222:B1225"/>
    <mergeCell ref="C1222:C1225"/>
    <mergeCell ref="D1222:D1225"/>
    <mergeCell ref="F1222:G1222"/>
    <mergeCell ref="H1206:I1206"/>
    <mergeCell ref="H1208:I1208"/>
    <mergeCell ref="F1209:G1209"/>
    <mergeCell ref="H1209:I1209"/>
    <mergeCell ref="F1215:G1215"/>
    <mergeCell ref="H1215:I1215"/>
    <mergeCell ref="J1215:K1215"/>
    <mergeCell ref="N1215:O1215"/>
    <mergeCell ref="P1215:Q1215"/>
    <mergeCell ref="F1216:G1216"/>
    <mergeCell ref="Z1214:Z1217"/>
    <mergeCell ref="J1214:K1214"/>
    <mergeCell ref="N1214:O1214"/>
    <mergeCell ref="P1214:Q1214"/>
    <mergeCell ref="V1214:V1217"/>
    <mergeCell ref="X1214:X1217"/>
    <mergeCell ref="J1216:K1216"/>
    <mergeCell ref="N1216:O1216"/>
    <mergeCell ref="P1216:Q1216"/>
    <mergeCell ref="A1214:A1217"/>
    <mergeCell ref="B1214:B1217"/>
    <mergeCell ref="C1214:C1217"/>
    <mergeCell ref="D1214:D1217"/>
    <mergeCell ref="F1214:G1214"/>
    <mergeCell ref="H1214:I1214"/>
    <mergeCell ref="H1216:I1216"/>
    <mergeCell ref="F1217:G1217"/>
    <mergeCell ref="H1217:I1217"/>
    <mergeCell ref="H1212:I1212"/>
    <mergeCell ref="J1212:K1212"/>
    <mergeCell ref="N1212:O1212"/>
    <mergeCell ref="P1212:Q1212"/>
    <mergeCell ref="F1213:G1213"/>
    <mergeCell ref="H1213:I1213"/>
    <mergeCell ref="J1213:K1213"/>
    <mergeCell ref="N1213:O1213"/>
    <mergeCell ref="P1213:Q1213"/>
    <mergeCell ref="F1212:G1212"/>
    <mergeCell ref="Z1210:Z1213"/>
    <mergeCell ref="J1210:K1210"/>
    <mergeCell ref="N1210:O1210"/>
    <mergeCell ref="P1210:Q1210"/>
    <mergeCell ref="V1210:V1213"/>
    <mergeCell ref="X1210:X1213"/>
    <mergeCell ref="H1198:I1198"/>
    <mergeCell ref="J1198:K1198"/>
    <mergeCell ref="N1198:O1198"/>
    <mergeCell ref="P1198:Q1198"/>
    <mergeCell ref="F1199:G1199"/>
    <mergeCell ref="H1199:I1199"/>
    <mergeCell ref="J1199:K1199"/>
    <mergeCell ref="N1199:O1199"/>
    <mergeCell ref="P1199:Q1199"/>
    <mergeCell ref="F1197:G1197"/>
    <mergeCell ref="H1197:I1197"/>
    <mergeCell ref="J1197:K1197"/>
    <mergeCell ref="N1197:O1197"/>
    <mergeCell ref="P1197:Q1197"/>
    <mergeCell ref="F1198:G1198"/>
    <mergeCell ref="Z1196:Z1199"/>
    <mergeCell ref="J1196:K1196"/>
    <mergeCell ref="N1196:O1196"/>
    <mergeCell ref="P1196:Q1196"/>
    <mergeCell ref="V1196:V1199"/>
    <mergeCell ref="X1196:X1199"/>
    <mergeCell ref="J1195:K1195"/>
    <mergeCell ref="N1195:O1195"/>
    <mergeCell ref="P1195:Q1195"/>
    <mergeCell ref="A1196:A1199"/>
    <mergeCell ref="B1196:B1199"/>
    <mergeCell ref="C1196:C1199"/>
    <mergeCell ref="D1196:D1199"/>
    <mergeCell ref="F1196:G1196"/>
    <mergeCell ref="H1196:I1196"/>
    <mergeCell ref="F1211:G1211"/>
    <mergeCell ref="H1211:I1211"/>
    <mergeCell ref="J1211:K1211"/>
    <mergeCell ref="N1211:O1211"/>
    <mergeCell ref="P1211:Q1211"/>
    <mergeCell ref="J1209:K1209"/>
    <mergeCell ref="N1209:O1209"/>
    <mergeCell ref="P1209:Q1209"/>
    <mergeCell ref="A1210:A1213"/>
    <mergeCell ref="B1210:B1213"/>
    <mergeCell ref="C1210:C1213"/>
    <mergeCell ref="D1210:D1213"/>
    <mergeCell ref="F1210:G1210"/>
    <mergeCell ref="H1210:I1210"/>
    <mergeCell ref="F1207:G1207"/>
    <mergeCell ref="H1207:I1207"/>
    <mergeCell ref="J1207:K1207"/>
    <mergeCell ref="N1207:O1207"/>
    <mergeCell ref="P1207:Q1207"/>
    <mergeCell ref="F1208:G1208"/>
    <mergeCell ref="Z1206:Z1209"/>
    <mergeCell ref="J1206:K1206"/>
    <mergeCell ref="N1206:O1206"/>
    <mergeCell ref="P1206:Q1206"/>
    <mergeCell ref="V1206:V1209"/>
    <mergeCell ref="X1206:X1209"/>
    <mergeCell ref="J1208:K1208"/>
    <mergeCell ref="N1208:O1208"/>
    <mergeCell ref="P1208:Q1208"/>
    <mergeCell ref="A1206:A1209"/>
    <mergeCell ref="B1206:B1209"/>
    <mergeCell ref="C1206:C1209"/>
    <mergeCell ref="D1206:D1209"/>
    <mergeCell ref="F1206:G1206"/>
    <mergeCell ref="H1184:I1184"/>
    <mergeCell ref="H1186:I1186"/>
    <mergeCell ref="F1187:G1187"/>
    <mergeCell ref="H1187:I1187"/>
    <mergeCell ref="F1193:G1193"/>
    <mergeCell ref="H1193:I1193"/>
    <mergeCell ref="J1193:K1193"/>
    <mergeCell ref="N1193:O1193"/>
    <mergeCell ref="P1193:Q1193"/>
    <mergeCell ref="F1194:G1194"/>
    <mergeCell ref="Z1192:Z1195"/>
    <mergeCell ref="J1192:K1192"/>
    <mergeCell ref="N1192:O1192"/>
    <mergeCell ref="P1192:Q1192"/>
    <mergeCell ref="V1192:V1195"/>
    <mergeCell ref="X1192:X1195"/>
    <mergeCell ref="J1194:K1194"/>
    <mergeCell ref="N1194:O1194"/>
    <mergeCell ref="P1194:Q1194"/>
    <mergeCell ref="A1192:A1195"/>
    <mergeCell ref="B1192:B1195"/>
    <mergeCell ref="C1192:C1195"/>
    <mergeCell ref="D1192:D1195"/>
    <mergeCell ref="F1192:G1192"/>
    <mergeCell ref="H1192:I1192"/>
    <mergeCell ref="H1194:I1194"/>
    <mergeCell ref="F1195:G1195"/>
    <mergeCell ref="H1195:I1195"/>
    <mergeCell ref="H1190:I1190"/>
    <mergeCell ref="J1190:K1190"/>
    <mergeCell ref="N1190:O1190"/>
    <mergeCell ref="P1190:Q1190"/>
    <mergeCell ref="F1191:G1191"/>
    <mergeCell ref="H1191:I1191"/>
    <mergeCell ref="J1191:K1191"/>
    <mergeCell ref="N1191:O1191"/>
    <mergeCell ref="P1191:Q1191"/>
    <mergeCell ref="F1190:G1190"/>
    <mergeCell ref="Z1188:Z1191"/>
    <mergeCell ref="J1188:K1188"/>
    <mergeCell ref="N1188:O1188"/>
    <mergeCell ref="P1188:Q1188"/>
    <mergeCell ref="V1188:V1191"/>
    <mergeCell ref="X1188:X1191"/>
    <mergeCell ref="H1182:I1182"/>
    <mergeCell ref="J1182:K1182"/>
    <mergeCell ref="N1182:O1182"/>
    <mergeCell ref="P1182:Q1182"/>
    <mergeCell ref="F1183:G1183"/>
    <mergeCell ref="H1183:I1183"/>
    <mergeCell ref="J1183:K1183"/>
    <mergeCell ref="N1183:O1183"/>
    <mergeCell ref="P1183:Q1183"/>
    <mergeCell ref="F1181:G1181"/>
    <mergeCell ref="H1181:I1181"/>
    <mergeCell ref="J1181:K1181"/>
    <mergeCell ref="N1181:O1181"/>
    <mergeCell ref="P1181:Q1181"/>
    <mergeCell ref="F1182:G1182"/>
    <mergeCell ref="Z1180:Z1183"/>
    <mergeCell ref="J1180:K1180"/>
    <mergeCell ref="N1180:O1180"/>
    <mergeCell ref="P1180:Q1180"/>
    <mergeCell ref="V1180:V1183"/>
    <mergeCell ref="X1180:X1183"/>
    <mergeCell ref="J1179:K1179"/>
    <mergeCell ref="N1179:O1179"/>
    <mergeCell ref="P1179:Q1179"/>
    <mergeCell ref="A1180:A1183"/>
    <mergeCell ref="B1180:B1183"/>
    <mergeCell ref="C1180:C1183"/>
    <mergeCell ref="D1180:D1183"/>
    <mergeCell ref="F1180:G1180"/>
    <mergeCell ref="H1180:I1180"/>
    <mergeCell ref="F1189:G1189"/>
    <mergeCell ref="H1189:I1189"/>
    <mergeCell ref="J1189:K1189"/>
    <mergeCell ref="N1189:O1189"/>
    <mergeCell ref="P1189:Q1189"/>
    <mergeCell ref="J1187:K1187"/>
    <mergeCell ref="N1187:O1187"/>
    <mergeCell ref="P1187:Q1187"/>
    <mergeCell ref="A1188:A1191"/>
    <mergeCell ref="B1188:B1191"/>
    <mergeCell ref="C1188:C1191"/>
    <mergeCell ref="D1188:D1191"/>
    <mergeCell ref="F1188:G1188"/>
    <mergeCell ref="H1188:I1188"/>
    <mergeCell ref="F1185:G1185"/>
    <mergeCell ref="H1185:I1185"/>
    <mergeCell ref="J1185:K1185"/>
    <mergeCell ref="N1185:O1185"/>
    <mergeCell ref="P1185:Q1185"/>
    <mergeCell ref="F1186:G1186"/>
    <mergeCell ref="Z1184:Z1187"/>
    <mergeCell ref="J1184:K1184"/>
    <mergeCell ref="N1184:O1184"/>
    <mergeCell ref="P1184:Q1184"/>
    <mergeCell ref="V1184:V1187"/>
    <mergeCell ref="X1184:X1187"/>
    <mergeCell ref="J1186:K1186"/>
    <mergeCell ref="N1186:O1186"/>
    <mergeCell ref="P1186:Q1186"/>
    <mergeCell ref="A1184:A1187"/>
    <mergeCell ref="B1184:B1187"/>
    <mergeCell ref="C1184:C1187"/>
    <mergeCell ref="D1184:D1187"/>
    <mergeCell ref="F1184:G1184"/>
    <mergeCell ref="H1168:I1168"/>
    <mergeCell ref="H1170:I1170"/>
    <mergeCell ref="F1171:G1171"/>
    <mergeCell ref="H1171:I1171"/>
    <mergeCell ref="F1177:G1177"/>
    <mergeCell ref="H1177:I1177"/>
    <mergeCell ref="J1177:K1177"/>
    <mergeCell ref="N1177:O1177"/>
    <mergeCell ref="P1177:Q1177"/>
    <mergeCell ref="F1178:G1178"/>
    <mergeCell ref="Z1176:Z1179"/>
    <mergeCell ref="J1176:K1176"/>
    <mergeCell ref="N1176:O1176"/>
    <mergeCell ref="P1176:Q1176"/>
    <mergeCell ref="V1176:V1179"/>
    <mergeCell ref="X1176:X1179"/>
    <mergeCell ref="J1178:K1178"/>
    <mergeCell ref="N1178:O1178"/>
    <mergeCell ref="P1178:Q1178"/>
    <mergeCell ref="A1176:A1179"/>
    <mergeCell ref="B1176:B1179"/>
    <mergeCell ref="C1176:C1179"/>
    <mergeCell ref="D1176:D1179"/>
    <mergeCell ref="F1176:G1176"/>
    <mergeCell ref="H1176:I1176"/>
    <mergeCell ref="H1178:I1178"/>
    <mergeCell ref="F1179:G1179"/>
    <mergeCell ref="H1179:I1179"/>
    <mergeCell ref="H1174:I1174"/>
    <mergeCell ref="J1174:K1174"/>
    <mergeCell ref="N1174:O1174"/>
    <mergeCell ref="P1174:Q1174"/>
    <mergeCell ref="F1175:G1175"/>
    <mergeCell ref="H1175:I1175"/>
    <mergeCell ref="J1175:K1175"/>
    <mergeCell ref="N1175:O1175"/>
    <mergeCell ref="P1175:Q1175"/>
    <mergeCell ref="F1174:G1174"/>
    <mergeCell ref="Z1172:Z1175"/>
    <mergeCell ref="J1172:K1172"/>
    <mergeCell ref="N1172:O1172"/>
    <mergeCell ref="P1172:Q1172"/>
    <mergeCell ref="V1172:V1175"/>
    <mergeCell ref="X1172:X1175"/>
    <mergeCell ref="H1166:I1166"/>
    <mergeCell ref="J1166:K1166"/>
    <mergeCell ref="N1166:O1166"/>
    <mergeCell ref="P1166:Q1166"/>
    <mergeCell ref="F1167:G1167"/>
    <mergeCell ref="H1167:I1167"/>
    <mergeCell ref="J1167:K1167"/>
    <mergeCell ref="N1167:O1167"/>
    <mergeCell ref="P1167:Q1167"/>
    <mergeCell ref="F1165:G1165"/>
    <mergeCell ref="H1165:I1165"/>
    <mergeCell ref="J1165:K1165"/>
    <mergeCell ref="N1165:O1165"/>
    <mergeCell ref="P1165:Q1165"/>
    <mergeCell ref="F1166:G1166"/>
    <mergeCell ref="Z1164:Z1167"/>
    <mergeCell ref="J1164:K1164"/>
    <mergeCell ref="N1164:O1164"/>
    <mergeCell ref="P1164:Q1164"/>
    <mergeCell ref="V1164:V1167"/>
    <mergeCell ref="X1164:X1167"/>
    <mergeCell ref="J1163:K1163"/>
    <mergeCell ref="N1163:O1163"/>
    <mergeCell ref="P1163:Q1163"/>
    <mergeCell ref="A1164:A1167"/>
    <mergeCell ref="B1164:B1167"/>
    <mergeCell ref="C1164:C1167"/>
    <mergeCell ref="D1164:D1167"/>
    <mergeCell ref="F1164:G1164"/>
    <mergeCell ref="H1164:I1164"/>
    <mergeCell ref="F1173:G1173"/>
    <mergeCell ref="H1173:I1173"/>
    <mergeCell ref="J1173:K1173"/>
    <mergeCell ref="N1173:O1173"/>
    <mergeCell ref="P1173:Q1173"/>
    <mergeCell ref="J1171:K1171"/>
    <mergeCell ref="N1171:O1171"/>
    <mergeCell ref="P1171:Q1171"/>
    <mergeCell ref="A1172:A1175"/>
    <mergeCell ref="B1172:B1175"/>
    <mergeCell ref="C1172:C1175"/>
    <mergeCell ref="D1172:D1175"/>
    <mergeCell ref="F1172:G1172"/>
    <mergeCell ref="H1172:I1172"/>
    <mergeCell ref="F1169:G1169"/>
    <mergeCell ref="H1169:I1169"/>
    <mergeCell ref="J1169:K1169"/>
    <mergeCell ref="N1169:O1169"/>
    <mergeCell ref="P1169:Q1169"/>
    <mergeCell ref="F1170:G1170"/>
    <mergeCell ref="Z1168:Z1171"/>
    <mergeCell ref="J1168:K1168"/>
    <mergeCell ref="N1168:O1168"/>
    <mergeCell ref="P1168:Q1168"/>
    <mergeCell ref="V1168:V1171"/>
    <mergeCell ref="X1168:X1171"/>
    <mergeCell ref="J1170:K1170"/>
    <mergeCell ref="N1170:O1170"/>
    <mergeCell ref="P1170:Q1170"/>
    <mergeCell ref="A1168:A1171"/>
    <mergeCell ref="B1168:B1171"/>
    <mergeCell ref="C1168:C1171"/>
    <mergeCell ref="D1168:D1171"/>
    <mergeCell ref="F1168:G1168"/>
    <mergeCell ref="F1161:G1161"/>
    <mergeCell ref="H1161:I1161"/>
    <mergeCell ref="J1161:K1161"/>
    <mergeCell ref="N1161:O1161"/>
    <mergeCell ref="P1161:Q1161"/>
    <mergeCell ref="F1162:G1162"/>
    <mergeCell ref="Z1160:Z1163"/>
    <mergeCell ref="J1160:K1160"/>
    <mergeCell ref="N1160:O1160"/>
    <mergeCell ref="P1160:Q1160"/>
    <mergeCell ref="V1160:V1163"/>
    <mergeCell ref="X1160:X1163"/>
    <mergeCell ref="J1162:K1162"/>
    <mergeCell ref="N1162:O1162"/>
    <mergeCell ref="P1162:Q1162"/>
    <mergeCell ref="A1160:A1163"/>
    <mergeCell ref="B1160:B1163"/>
    <mergeCell ref="C1160:C1163"/>
    <mergeCell ref="D1160:D1163"/>
    <mergeCell ref="F1160:G1160"/>
    <mergeCell ref="H1160:I1160"/>
    <mergeCell ref="H1162:I1162"/>
    <mergeCell ref="F1163:G1163"/>
    <mergeCell ref="H1163:I1163"/>
    <mergeCell ref="Z1150:Z1153"/>
    <mergeCell ref="J1150:K1150"/>
    <mergeCell ref="N1150:O1150"/>
    <mergeCell ref="P1150:Q1150"/>
    <mergeCell ref="V1150:V1153"/>
    <mergeCell ref="X1150:X1153"/>
    <mergeCell ref="B1157:C1157"/>
    <mergeCell ref="F1157:O1157"/>
    <mergeCell ref="A1158:D1158"/>
    <mergeCell ref="E1158:Q1158"/>
    <mergeCell ref="A1155:C1155"/>
    <mergeCell ref="B1156:C1156"/>
    <mergeCell ref="F1156:O1156"/>
    <mergeCell ref="A1150:A1153"/>
    <mergeCell ref="B1150:B1153"/>
    <mergeCell ref="C1150:C1153"/>
    <mergeCell ref="D1150:D1153"/>
    <mergeCell ref="F1150:G1150"/>
    <mergeCell ref="H1150:I1150"/>
    <mergeCell ref="E1155:I1155"/>
    <mergeCell ref="Q1155:V1155"/>
    <mergeCell ref="Q1156:W1156"/>
    <mergeCell ref="L1150:M1150"/>
    <mergeCell ref="L1151:M1151"/>
    <mergeCell ref="L1152:M1152"/>
    <mergeCell ref="L1153:M1153"/>
    <mergeCell ref="L1160:M1160"/>
    <mergeCell ref="L1161:M1161"/>
    <mergeCell ref="L1162:M1162"/>
    <mergeCell ref="L1163:M1163"/>
    <mergeCell ref="Z1146:Z1149"/>
    <mergeCell ref="J1146:K1146"/>
    <mergeCell ref="N1146:O1146"/>
    <mergeCell ref="P1146:Q1146"/>
    <mergeCell ref="V1146:V1149"/>
    <mergeCell ref="X1146:X1149"/>
    <mergeCell ref="J1148:K1148"/>
    <mergeCell ref="N1148:O1148"/>
    <mergeCell ref="P1148:Q1148"/>
    <mergeCell ref="A1146:A1149"/>
    <mergeCell ref="B1146:B1149"/>
    <mergeCell ref="C1146:C1149"/>
    <mergeCell ref="D1146:D1149"/>
    <mergeCell ref="F1146:G1146"/>
    <mergeCell ref="H1146:I1146"/>
    <mergeCell ref="H1148:I1148"/>
    <mergeCell ref="F1149:G1149"/>
    <mergeCell ref="H1149:I1149"/>
    <mergeCell ref="H1143:I1143"/>
    <mergeCell ref="J1143:K1143"/>
    <mergeCell ref="N1143:O1143"/>
    <mergeCell ref="P1143:Q1143"/>
    <mergeCell ref="F1144:G1144"/>
    <mergeCell ref="Z1142:Z1145"/>
    <mergeCell ref="J1142:K1142"/>
    <mergeCell ref="N1142:O1142"/>
    <mergeCell ref="P1142:Q1142"/>
    <mergeCell ref="V1142:V1145"/>
    <mergeCell ref="X1142:X1145"/>
    <mergeCell ref="A1142:A1145"/>
    <mergeCell ref="B1142:B1145"/>
    <mergeCell ref="C1142:C1145"/>
    <mergeCell ref="D1142:D1145"/>
    <mergeCell ref="F1142:G1142"/>
    <mergeCell ref="H1142:I1142"/>
    <mergeCell ref="L1147:M1147"/>
    <mergeCell ref="L1148:M1148"/>
    <mergeCell ref="L1149:M1149"/>
    <mergeCell ref="L1142:M1142"/>
    <mergeCell ref="L1143:M1143"/>
    <mergeCell ref="L1144:M1144"/>
    <mergeCell ref="L1145:M1145"/>
    <mergeCell ref="L1146:M1146"/>
    <mergeCell ref="Z1138:Z1141"/>
    <mergeCell ref="J1138:K1138"/>
    <mergeCell ref="N1138:O1138"/>
    <mergeCell ref="P1138:Q1138"/>
    <mergeCell ref="V1138:V1141"/>
    <mergeCell ref="X1138:X1141"/>
    <mergeCell ref="J1140:K1140"/>
    <mergeCell ref="N1140:O1140"/>
    <mergeCell ref="P1140:Q1140"/>
    <mergeCell ref="A1138:A1141"/>
    <mergeCell ref="B1138:B1141"/>
    <mergeCell ref="C1138:C1141"/>
    <mergeCell ref="D1138:D1141"/>
    <mergeCell ref="F1138:G1138"/>
    <mergeCell ref="H1138:I1138"/>
    <mergeCell ref="H1140:I1140"/>
    <mergeCell ref="F1141:G1141"/>
    <mergeCell ref="H1141:I1141"/>
    <mergeCell ref="H1136:I1136"/>
    <mergeCell ref="J1136:K1136"/>
    <mergeCell ref="N1136:O1136"/>
    <mergeCell ref="P1136:Q1136"/>
    <mergeCell ref="F1137:G1137"/>
    <mergeCell ref="H1137:I1137"/>
    <mergeCell ref="J1137:K1137"/>
    <mergeCell ref="N1137:O1137"/>
    <mergeCell ref="P1137:Q1137"/>
    <mergeCell ref="F1135:G1135"/>
    <mergeCell ref="H1135:I1135"/>
    <mergeCell ref="J1135:K1135"/>
    <mergeCell ref="N1135:O1135"/>
    <mergeCell ref="P1135:Q1135"/>
    <mergeCell ref="F1136:G1136"/>
    <mergeCell ref="Z1134:Z1137"/>
    <mergeCell ref="J1134:K1134"/>
    <mergeCell ref="N1134:O1134"/>
    <mergeCell ref="P1134:Q1134"/>
    <mergeCell ref="V1134:V1137"/>
    <mergeCell ref="X1134:X1137"/>
    <mergeCell ref="P1139:Q1139"/>
    <mergeCell ref="L1134:M1134"/>
    <mergeCell ref="L1135:M1135"/>
    <mergeCell ref="L1136:M1136"/>
    <mergeCell ref="L1137:M1137"/>
    <mergeCell ref="L1138:M1138"/>
    <mergeCell ref="L1139:M1139"/>
    <mergeCell ref="L1140:M1140"/>
    <mergeCell ref="L1141:M1141"/>
    <mergeCell ref="H1127:I1127"/>
    <mergeCell ref="J1127:K1127"/>
    <mergeCell ref="N1127:O1127"/>
    <mergeCell ref="P1127:Q1127"/>
    <mergeCell ref="F1128:G1128"/>
    <mergeCell ref="Z1126:Z1129"/>
    <mergeCell ref="J1126:K1126"/>
    <mergeCell ref="N1126:O1126"/>
    <mergeCell ref="P1126:Q1126"/>
    <mergeCell ref="V1126:V1129"/>
    <mergeCell ref="X1126:X1129"/>
    <mergeCell ref="J1125:K1125"/>
    <mergeCell ref="N1125:O1125"/>
    <mergeCell ref="P1125:Q1125"/>
    <mergeCell ref="A1126:A1129"/>
    <mergeCell ref="B1126:B1129"/>
    <mergeCell ref="C1126:C1129"/>
    <mergeCell ref="D1126:D1129"/>
    <mergeCell ref="F1126:G1126"/>
    <mergeCell ref="H1126:I1126"/>
    <mergeCell ref="N1133:O1133"/>
    <mergeCell ref="P1133:Q1133"/>
    <mergeCell ref="A1134:A1137"/>
    <mergeCell ref="B1134:B1137"/>
    <mergeCell ref="C1134:C1137"/>
    <mergeCell ref="D1134:D1137"/>
    <mergeCell ref="F1134:G1134"/>
    <mergeCell ref="H1134:I1134"/>
    <mergeCell ref="F1131:G1131"/>
    <mergeCell ref="H1131:I1131"/>
    <mergeCell ref="J1131:K1131"/>
    <mergeCell ref="N1131:O1131"/>
    <mergeCell ref="P1131:Q1131"/>
    <mergeCell ref="F1132:G1132"/>
    <mergeCell ref="Z1130:Z1133"/>
    <mergeCell ref="J1130:K1130"/>
    <mergeCell ref="N1130:O1130"/>
    <mergeCell ref="P1130:Q1130"/>
    <mergeCell ref="V1130:V1133"/>
    <mergeCell ref="X1130:X1133"/>
    <mergeCell ref="J1132:K1132"/>
    <mergeCell ref="N1132:O1132"/>
    <mergeCell ref="P1132:Q1132"/>
    <mergeCell ref="A1130:A1133"/>
    <mergeCell ref="B1130:B1133"/>
    <mergeCell ref="C1130:C1133"/>
    <mergeCell ref="D1130:D1133"/>
    <mergeCell ref="F1130:G1130"/>
    <mergeCell ref="H1130:I1130"/>
    <mergeCell ref="H1132:I1132"/>
    <mergeCell ref="F1133:G1133"/>
    <mergeCell ref="H1133:I1133"/>
    <mergeCell ref="J1133:K1133"/>
    <mergeCell ref="L1130:M1130"/>
    <mergeCell ref="L1131:M1131"/>
    <mergeCell ref="L1132:M1132"/>
    <mergeCell ref="L1133:M1133"/>
    <mergeCell ref="F1123:G1123"/>
    <mergeCell ref="H1123:I1123"/>
    <mergeCell ref="J1123:K1123"/>
    <mergeCell ref="N1123:O1123"/>
    <mergeCell ref="P1123:Q1123"/>
    <mergeCell ref="F1124:G1124"/>
    <mergeCell ref="Z1122:Z1125"/>
    <mergeCell ref="J1122:K1122"/>
    <mergeCell ref="N1122:O1122"/>
    <mergeCell ref="P1122:Q1122"/>
    <mergeCell ref="V1122:V1125"/>
    <mergeCell ref="X1122:X1125"/>
    <mergeCell ref="J1124:K1124"/>
    <mergeCell ref="N1124:O1124"/>
    <mergeCell ref="P1124:Q1124"/>
    <mergeCell ref="A1122:A1125"/>
    <mergeCell ref="B1122:B1125"/>
    <mergeCell ref="C1122:C1125"/>
    <mergeCell ref="D1122:D1125"/>
    <mergeCell ref="F1122:G1122"/>
    <mergeCell ref="H1122:I1122"/>
    <mergeCell ref="H1124:I1124"/>
    <mergeCell ref="F1125:G1125"/>
    <mergeCell ref="H1125:I1125"/>
    <mergeCell ref="H1120:I1120"/>
    <mergeCell ref="J1120:K1120"/>
    <mergeCell ref="N1120:O1120"/>
    <mergeCell ref="P1120:Q1120"/>
    <mergeCell ref="F1121:G1121"/>
    <mergeCell ref="H1121:I1121"/>
    <mergeCell ref="J1121:K1121"/>
    <mergeCell ref="N1121:O1121"/>
    <mergeCell ref="P1121:Q1121"/>
    <mergeCell ref="S1112:W1112"/>
    <mergeCell ref="B1113:D1113"/>
    <mergeCell ref="E1113:Q1113"/>
    <mergeCell ref="B1111:C1111"/>
    <mergeCell ref="F1111:O1111"/>
    <mergeCell ref="A1112:D1112"/>
    <mergeCell ref="E1112:Q1112"/>
    <mergeCell ref="F1105:G1105"/>
    <mergeCell ref="H1105:I1105"/>
    <mergeCell ref="J1105:K1105"/>
    <mergeCell ref="N1105:O1105"/>
    <mergeCell ref="P1105:Q1105"/>
    <mergeCell ref="F1106:G1106"/>
    <mergeCell ref="Z1104:Z1107"/>
    <mergeCell ref="J1104:K1104"/>
    <mergeCell ref="N1104:O1104"/>
    <mergeCell ref="P1104:Q1104"/>
    <mergeCell ref="V1104:V1107"/>
    <mergeCell ref="X1104:X1107"/>
    <mergeCell ref="F1119:G1119"/>
    <mergeCell ref="H1119:I1119"/>
    <mergeCell ref="J1119:K1119"/>
    <mergeCell ref="N1119:O1119"/>
    <mergeCell ref="P1119:Q1119"/>
    <mergeCell ref="F1120:G1120"/>
    <mergeCell ref="Z1118:Z1121"/>
    <mergeCell ref="J1118:K1118"/>
    <mergeCell ref="N1118:O1118"/>
    <mergeCell ref="P1118:Q1118"/>
    <mergeCell ref="V1118:V1121"/>
    <mergeCell ref="X1118:X1121"/>
    <mergeCell ref="J1117:K1117"/>
    <mergeCell ref="N1117:O1117"/>
    <mergeCell ref="P1117:Q1117"/>
    <mergeCell ref="A1118:A1121"/>
    <mergeCell ref="B1118:B1121"/>
    <mergeCell ref="C1118:C1121"/>
    <mergeCell ref="D1118:D1121"/>
    <mergeCell ref="F1118:G1118"/>
    <mergeCell ref="H1118:I1118"/>
    <mergeCell ref="F1115:G1115"/>
    <mergeCell ref="H1115:I1115"/>
    <mergeCell ref="J1115:K1115"/>
    <mergeCell ref="N1115:O1115"/>
    <mergeCell ref="P1115:Q1115"/>
    <mergeCell ref="F1116:G1116"/>
    <mergeCell ref="Z1114:Z1117"/>
    <mergeCell ref="J1114:K1114"/>
    <mergeCell ref="N1114:O1114"/>
    <mergeCell ref="P1114:Q1114"/>
    <mergeCell ref="V1114:V1117"/>
    <mergeCell ref="X1114:X1117"/>
    <mergeCell ref="J1116:K1116"/>
    <mergeCell ref="N1116:O1116"/>
    <mergeCell ref="P1116:Q1116"/>
    <mergeCell ref="A1114:A1117"/>
    <mergeCell ref="B1114:B1117"/>
    <mergeCell ref="C1114:C1117"/>
    <mergeCell ref="D1114:D1117"/>
    <mergeCell ref="F1114:G1114"/>
    <mergeCell ref="H1114:I1114"/>
    <mergeCell ref="H1116:I1116"/>
    <mergeCell ref="F1117:G1117"/>
    <mergeCell ref="H1117:I1117"/>
    <mergeCell ref="A1104:A1107"/>
    <mergeCell ref="B1104:B1107"/>
    <mergeCell ref="C1104:C1107"/>
    <mergeCell ref="D1104:D1107"/>
    <mergeCell ref="F1104:G1104"/>
    <mergeCell ref="H1104:I1104"/>
    <mergeCell ref="F1101:G1101"/>
    <mergeCell ref="H1101:I1101"/>
    <mergeCell ref="J1101:K1101"/>
    <mergeCell ref="N1101:O1101"/>
    <mergeCell ref="P1101:Q1101"/>
    <mergeCell ref="F1102:G1102"/>
    <mergeCell ref="Z1100:Z1103"/>
    <mergeCell ref="J1100:K1100"/>
    <mergeCell ref="N1100:O1100"/>
    <mergeCell ref="P1100:Q1100"/>
    <mergeCell ref="V1100:V1103"/>
    <mergeCell ref="X1100:X1103"/>
    <mergeCell ref="J1102:K1102"/>
    <mergeCell ref="N1102:O1102"/>
    <mergeCell ref="P1102:Q1102"/>
    <mergeCell ref="A1100:A1103"/>
    <mergeCell ref="B1100:B1103"/>
    <mergeCell ref="C1100:C1103"/>
    <mergeCell ref="D1100:D1103"/>
    <mergeCell ref="F1100:G1100"/>
    <mergeCell ref="H1100:I1100"/>
    <mergeCell ref="H1102:I1102"/>
    <mergeCell ref="F1103:G1103"/>
    <mergeCell ref="H1103:I1103"/>
    <mergeCell ref="H1106:I1106"/>
    <mergeCell ref="J1106:K1106"/>
    <mergeCell ref="N1106:O1106"/>
    <mergeCell ref="P1106:Q1106"/>
    <mergeCell ref="F1107:G1107"/>
    <mergeCell ref="H1107:I1107"/>
    <mergeCell ref="J1107:K1107"/>
    <mergeCell ref="N1107:O1107"/>
    <mergeCell ref="P1107:Q1107"/>
    <mergeCell ref="L1100:M1100"/>
    <mergeCell ref="L1101:M1101"/>
    <mergeCell ref="L1102:M1102"/>
    <mergeCell ref="L1103:M1103"/>
    <mergeCell ref="L1104:M1104"/>
    <mergeCell ref="L1105:M1105"/>
    <mergeCell ref="L1106:M1106"/>
    <mergeCell ref="L1107:M1107"/>
    <mergeCell ref="H1098:I1098"/>
    <mergeCell ref="J1098:K1098"/>
    <mergeCell ref="N1098:O1098"/>
    <mergeCell ref="P1098:Q1098"/>
    <mergeCell ref="F1099:G1099"/>
    <mergeCell ref="H1099:I1099"/>
    <mergeCell ref="J1099:K1099"/>
    <mergeCell ref="N1099:O1099"/>
    <mergeCell ref="P1099:Q1099"/>
    <mergeCell ref="F1097:G1097"/>
    <mergeCell ref="H1097:I1097"/>
    <mergeCell ref="J1097:K1097"/>
    <mergeCell ref="N1097:O1097"/>
    <mergeCell ref="P1097:Q1097"/>
    <mergeCell ref="F1098:G1098"/>
    <mergeCell ref="Z1096:Z1099"/>
    <mergeCell ref="J1096:K1096"/>
    <mergeCell ref="N1096:O1096"/>
    <mergeCell ref="P1096:Q1096"/>
    <mergeCell ref="V1096:V1099"/>
    <mergeCell ref="X1096:X1099"/>
    <mergeCell ref="J1095:K1095"/>
    <mergeCell ref="N1095:O1095"/>
    <mergeCell ref="P1095:Q1095"/>
    <mergeCell ref="A1096:A1099"/>
    <mergeCell ref="B1096:B1099"/>
    <mergeCell ref="C1096:C1099"/>
    <mergeCell ref="D1096:D1099"/>
    <mergeCell ref="F1096:G1096"/>
    <mergeCell ref="H1096:I1096"/>
    <mergeCell ref="J1103:K1103"/>
    <mergeCell ref="N1103:O1103"/>
    <mergeCell ref="P1103:Q1103"/>
    <mergeCell ref="L1095:M1095"/>
    <mergeCell ref="L1096:M1096"/>
    <mergeCell ref="L1097:M1097"/>
    <mergeCell ref="L1098:M1098"/>
    <mergeCell ref="L1099:M1099"/>
    <mergeCell ref="H1084:I1084"/>
    <mergeCell ref="H1086:I1086"/>
    <mergeCell ref="F1087:G1087"/>
    <mergeCell ref="H1087:I1087"/>
    <mergeCell ref="F1093:G1093"/>
    <mergeCell ref="H1093:I1093"/>
    <mergeCell ref="J1093:K1093"/>
    <mergeCell ref="N1093:O1093"/>
    <mergeCell ref="P1093:Q1093"/>
    <mergeCell ref="F1094:G1094"/>
    <mergeCell ref="Z1092:Z1095"/>
    <mergeCell ref="J1092:K1092"/>
    <mergeCell ref="N1092:O1092"/>
    <mergeCell ref="P1092:Q1092"/>
    <mergeCell ref="V1092:V1095"/>
    <mergeCell ref="X1092:X1095"/>
    <mergeCell ref="J1094:K1094"/>
    <mergeCell ref="N1094:O1094"/>
    <mergeCell ref="P1094:Q1094"/>
    <mergeCell ref="A1092:A1095"/>
    <mergeCell ref="B1092:B1095"/>
    <mergeCell ref="C1092:C1095"/>
    <mergeCell ref="D1092:D1095"/>
    <mergeCell ref="F1092:G1092"/>
    <mergeCell ref="H1092:I1092"/>
    <mergeCell ref="H1094:I1094"/>
    <mergeCell ref="F1095:G1095"/>
    <mergeCell ref="H1095:I1095"/>
    <mergeCell ref="H1090:I1090"/>
    <mergeCell ref="J1090:K1090"/>
    <mergeCell ref="N1090:O1090"/>
    <mergeCell ref="P1090:Q1090"/>
    <mergeCell ref="F1091:G1091"/>
    <mergeCell ref="H1091:I1091"/>
    <mergeCell ref="J1091:K1091"/>
    <mergeCell ref="N1091:O1091"/>
    <mergeCell ref="P1091:Q1091"/>
    <mergeCell ref="F1090:G1090"/>
    <mergeCell ref="Z1088:Z1091"/>
    <mergeCell ref="J1088:K1088"/>
    <mergeCell ref="N1088:O1088"/>
    <mergeCell ref="P1088:Q1088"/>
    <mergeCell ref="V1088:V1091"/>
    <mergeCell ref="X1088:X1091"/>
    <mergeCell ref="L1084:M1084"/>
    <mergeCell ref="L1085:M1085"/>
    <mergeCell ref="L1086:M1086"/>
    <mergeCell ref="L1087:M1087"/>
    <mergeCell ref="L1088:M1088"/>
    <mergeCell ref="L1089:M1089"/>
    <mergeCell ref="L1090:M1090"/>
    <mergeCell ref="L1091:M1091"/>
    <mergeCell ref="L1092:M1092"/>
    <mergeCell ref="L1093:M1093"/>
    <mergeCell ref="L1094:M1094"/>
    <mergeCell ref="H1082:I1082"/>
    <mergeCell ref="J1082:K1082"/>
    <mergeCell ref="N1082:O1082"/>
    <mergeCell ref="P1082:Q1082"/>
    <mergeCell ref="F1083:G1083"/>
    <mergeCell ref="H1083:I1083"/>
    <mergeCell ref="J1083:K1083"/>
    <mergeCell ref="N1083:O1083"/>
    <mergeCell ref="P1083:Q1083"/>
    <mergeCell ref="F1081:G1081"/>
    <mergeCell ref="H1081:I1081"/>
    <mergeCell ref="J1081:K1081"/>
    <mergeCell ref="N1081:O1081"/>
    <mergeCell ref="P1081:Q1081"/>
    <mergeCell ref="F1082:G1082"/>
    <mergeCell ref="Z1080:Z1083"/>
    <mergeCell ref="J1080:K1080"/>
    <mergeCell ref="N1080:O1080"/>
    <mergeCell ref="P1080:Q1080"/>
    <mergeCell ref="V1080:V1083"/>
    <mergeCell ref="X1080:X1083"/>
    <mergeCell ref="J1079:K1079"/>
    <mergeCell ref="N1079:O1079"/>
    <mergeCell ref="P1079:Q1079"/>
    <mergeCell ref="A1080:A1083"/>
    <mergeCell ref="B1080:B1083"/>
    <mergeCell ref="C1080:C1083"/>
    <mergeCell ref="D1080:D1083"/>
    <mergeCell ref="F1080:G1080"/>
    <mergeCell ref="H1080:I1080"/>
    <mergeCell ref="F1089:G1089"/>
    <mergeCell ref="H1089:I1089"/>
    <mergeCell ref="J1089:K1089"/>
    <mergeCell ref="N1089:O1089"/>
    <mergeCell ref="P1089:Q1089"/>
    <mergeCell ref="J1087:K1087"/>
    <mergeCell ref="N1087:O1087"/>
    <mergeCell ref="P1087:Q1087"/>
    <mergeCell ref="A1088:A1091"/>
    <mergeCell ref="B1088:B1091"/>
    <mergeCell ref="C1088:C1091"/>
    <mergeCell ref="D1088:D1091"/>
    <mergeCell ref="F1088:G1088"/>
    <mergeCell ref="H1088:I1088"/>
    <mergeCell ref="F1085:G1085"/>
    <mergeCell ref="H1085:I1085"/>
    <mergeCell ref="J1085:K1085"/>
    <mergeCell ref="N1085:O1085"/>
    <mergeCell ref="P1085:Q1085"/>
    <mergeCell ref="F1086:G1086"/>
    <mergeCell ref="Z1084:Z1087"/>
    <mergeCell ref="J1084:K1084"/>
    <mergeCell ref="N1084:O1084"/>
    <mergeCell ref="P1084:Q1084"/>
    <mergeCell ref="V1084:V1087"/>
    <mergeCell ref="X1084:X1087"/>
    <mergeCell ref="J1086:K1086"/>
    <mergeCell ref="N1086:O1086"/>
    <mergeCell ref="P1086:Q1086"/>
    <mergeCell ref="A1084:A1087"/>
    <mergeCell ref="B1084:B1087"/>
    <mergeCell ref="C1084:C1087"/>
    <mergeCell ref="D1084:D1087"/>
    <mergeCell ref="F1084:G1084"/>
    <mergeCell ref="F1077:G1077"/>
    <mergeCell ref="H1077:I1077"/>
    <mergeCell ref="J1077:K1077"/>
    <mergeCell ref="N1077:O1077"/>
    <mergeCell ref="P1077:Q1077"/>
    <mergeCell ref="F1078:G1078"/>
    <mergeCell ref="Z1076:Z1079"/>
    <mergeCell ref="J1076:K1076"/>
    <mergeCell ref="N1076:O1076"/>
    <mergeCell ref="P1076:Q1076"/>
    <mergeCell ref="V1076:V1079"/>
    <mergeCell ref="X1076:X1079"/>
    <mergeCell ref="J1078:K1078"/>
    <mergeCell ref="N1078:O1078"/>
    <mergeCell ref="P1078:Q1078"/>
    <mergeCell ref="A1076:A1079"/>
    <mergeCell ref="B1076:B1079"/>
    <mergeCell ref="C1076:C1079"/>
    <mergeCell ref="D1076:D1079"/>
    <mergeCell ref="F1076:G1076"/>
    <mergeCell ref="H1076:I1076"/>
    <mergeCell ref="H1078:I1078"/>
    <mergeCell ref="F1079:G1079"/>
    <mergeCell ref="H1079:I1079"/>
    <mergeCell ref="H1074:I1074"/>
    <mergeCell ref="J1074:K1074"/>
    <mergeCell ref="N1074:O1074"/>
    <mergeCell ref="P1074:Q1074"/>
    <mergeCell ref="F1075:G1075"/>
    <mergeCell ref="H1075:I1075"/>
    <mergeCell ref="J1075:K1075"/>
    <mergeCell ref="N1075:O1075"/>
    <mergeCell ref="P1075:Q1075"/>
    <mergeCell ref="F1073:G1073"/>
    <mergeCell ref="H1073:I1073"/>
    <mergeCell ref="J1073:K1073"/>
    <mergeCell ref="N1073:O1073"/>
    <mergeCell ref="P1073:Q1073"/>
    <mergeCell ref="F1074:G1074"/>
    <mergeCell ref="Z1072:Z1075"/>
    <mergeCell ref="J1072:K1072"/>
    <mergeCell ref="N1072:O1072"/>
    <mergeCell ref="P1072:Q1072"/>
    <mergeCell ref="V1072:V1075"/>
    <mergeCell ref="X1072:X1075"/>
    <mergeCell ref="J1071:K1071"/>
    <mergeCell ref="N1071:O1071"/>
    <mergeCell ref="P1071:Q1071"/>
    <mergeCell ref="A1072:A1075"/>
    <mergeCell ref="B1072:B1075"/>
    <mergeCell ref="C1072:C1075"/>
    <mergeCell ref="D1072:D1075"/>
    <mergeCell ref="F1072:G1072"/>
    <mergeCell ref="H1072:I1072"/>
    <mergeCell ref="F1069:G1069"/>
    <mergeCell ref="H1069:I1069"/>
    <mergeCell ref="J1069:K1069"/>
    <mergeCell ref="N1069:O1069"/>
    <mergeCell ref="P1069:Q1069"/>
    <mergeCell ref="F1070:G1070"/>
    <mergeCell ref="Z1068:Z1071"/>
    <mergeCell ref="J1068:K1068"/>
    <mergeCell ref="N1068:O1068"/>
    <mergeCell ref="P1068:Q1068"/>
    <mergeCell ref="V1068:V1071"/>
    <mergeCell ref="X1068:X1071"/>
    <mergeCell ref="J1070:K1070"/>
    <mergeCell ref="N1070:O1070"/>
    <mergeCell ref="P1070:Q1070"/>
    <mergeCell ref="A1068:A1071"/>
    <mergeCell ref="B1068:B1071"/>
    <mergeCell ref="C1068:C1071"/>
    <mergeCell ref="D1068:D1071"/>
    <mergeCell ref="F1068:G1068"/>
    <mergeCell ref="H1068:I1068"/>
    <mergeCell ref="H1070:I1070"/>
    <mergeCell ref="F1071:G1071"/>
    <mergeCell ref="H1071:I1071"/>
    <mergeCell ref="H1049:I1049"/>
    <mergeCell ref="P1053:Q1053"/>
    <mergeCell ref="F1051:G1051"/>
    <mergeCell ref="Z1058:Z1061"/>
    <mergeCell ref="J1058:K1058"/>
    <mergeCell ref="N1058:O1058"/>
    <mergeCell ref="P1058:Q1058"/>
    <mergeCell ref="V1058:V1061"/>
    <mergeCell ref="X1058:X1061"/>
    <mergeCell ref="J1057:K1057"/>
    <mergeCell ref="N1057:O1057"/>
    <mergeCell ref="P1057:Q1057"/>
    <mergeCell ref="A1058:A1061"/>
    <mergeCell ref="B1058:B1061"/>
    <mergeCell ref="C1058:C1061"/>
    <mergeCell ref="D1058:D1061"/>
    <mergeCell ref="F1058:G1058"/>
    <mergeCell ref="H1058:I1058"/>
    <mergeCell ref="F1055:G1055"/>
    <mergeCell ref="H1055:I1055"/>
    <mergeCell ref="J1055:K1055"/>
    <mergeCell ref="N1055:O1055"/>
    <mergeCell ref="P1055:Q1055"/>
    <mergeCell ref="F1056:G1056"/>
    <mergeCell ref="Z1054:Z1057"/>
    <mergeCell ref="J1054:K1054"/>
    <mergeCell ref="N1054:O1054"/>
    <mergeCell ref="P1054:Q1054"/>
    <mergeCell ref="V1054:V1057"/>
    <mergeCell ref="X1054:X1057"/>
    <mergeCell ref="J1056:K1056"/>
    <mergeCell ref="N1056:O1056"/>
    <mergeCell ref="P1056:Q1056"/>
    <mergeCell ref="A1054:A1057"/>
    <mergeCell ref="B1054:B1057"/>
    <mergeCell ref="C1054:C1057"/>
    <mergeCell ref="D1054:D1057"/>
    <mergeCell ref="F1054:G1054"/>
    <mergeCell ref="H1054:I1054"/>
    <mergeCell ref="H1056:I1056"/>
    <mergeCell ref="F1057:G1057"/>
    <mergeCell ref="H1057:I1057"/>
    <mergeCell ref="B1046:B1049"/>
    <mergeCell ref="C1046:C1049"/>
    <mergeCell ref="D1046:D1049"/>
    <mergeCell ref="F1046:G1046"/>
    <mergeCell ref="H1046:I1046"/>
    <mergeCell ref="H1048:I1048"/>
    <mergeCell ref="F1049:G1049"/>
    <mergeCell ref="L1046:M1046"/>
    <mergeCell ref="L1047:M1047"/>
    <mergeCell ref="L1048:M1048"/>
    <mergeCell ref="L1049:M1049"/>
    <mergeCell ref="L1050:M1050"/>
    <mergeCell ref="L1051:M1051"/>
    <mergeCell ref="L1052:M1052"/>
    <mergeCell ref="L1053:M1053"/>
    <mergeCell ref="L1054:M1054"/>
    <mergeCell ref="L1055:M1055"/>
    <mergeCell ref="L1056:M1056"/>
    <mergeCell ref="L1057:M1057"/>
    <mergeCell ref="L1058:M1058"/>
    <mergeCell ref="L1059:M1059"/>
    <mergeCell ref="L1060:M1060"/>
    <mergeCell ref="H1044:I1044"/>
    <mergeCell ref="J1044:K1044"/>
    <mergeCell ref="N1044:O1044"/>
    <mergeCell ref="P1044:Q1044"/>
    <mergeCell ref="F1045:G1045"/>
    <mergeCell ref="H1045:I1045"/>
    <mergeCell ref="J1045:K1045"/>
    <mergeCell ref="N1045:O1045"/>
    <mergeCell ref="P1045:Q1045"/>
    <mergeCell ref="F1043:G1043"/>
    <mergeCell ref="H1043:I1043"/>
    <mergeCell ref="J1043:K1043"/>
    <mergeCell ref="N1043:O1043"/>
    <mergeCell ref="P1043:Q1043"/>
    <mergeCell ref="F1044:G1044"/>
    <mergeCell ref="Z1042:Z1045"/>
    <mergeCell ref="J1042:K1042"/>
    <mergeCell ref="N1042:O1042"/>
    <mergeCell ref="P1042:Q1042"/>
    <mergeCell ref="V1042:V1045"/>
    <mergeCell ref="X1042:X1045"/>
    <mergeCell ref="J1041:K1041"/>
    <mergeCell ref="N1041:O1041"/>
    <mergeCell ref="P1041:Q1041"/>
    <mergeCell ref="A1042:A1045"/>
    <mergeCell ref="B1042:B1045"/>
    <mergeCell ref="C1042:C1045"/>
    <mergeCell ref="D1042:D1045"/>
    <mergeCell ref="F1042:G1042"/>
    <mergeCell ref="H1042:I1042"/>
    <mergeCell ref="N1051:O1051"/>
    <mergeCell ref="P1051:Q1051"/>
    <mergeCell ref="F1052:G1052"/>
    <mergeCell ref="Z1050:Z1053"/>
    <mergeCell ref="J1050:K1050"/>
    <mergeCell ref="N1050:O1050"/>
    <mergeCell ref="P1050:Q1050"/>
    <mergeCell ref="V1050:V1053"/>
    <mergeCell ref="X1050:X1053"/>
    <mergeCell ref="J1049:K1049"/>
    <mergeCell ref="N1049:O1049"/>
    <mergeCell ref="P1049:Q1049"/>
    <mergeCell ref="A1050:A1053"/>
    <mergeCell ref="B1050:B1053"/>
    <mergeCell ref="C1050:C1053"/>
    <mergeCell ref="D1050:D1053"/>
    <mergeCell ref="F1050:G1050"/>
    <mergeCell ref="H1050:I1050"/>
    <mergeCell ref="F1047:G1047"/>
    <mergeCell ref="H1047:I1047"/>
    <mergeCell ref="J1047:K1047"/>
    <mergeCell ref="N1047:O1047"/>
    <mergeCell ref="P1047:Q1047"/>
    <mergeCell ref="F1048:G1048"/>
    <mergeCell ref="Z1046:Z1049"/>
    <mergeCell ref="J1046:K1046"/>
    <mergeCell ref="N1046:O1046"/>
    <mergeCell ref="P1046:Q1046"/>
    <mergeCell ref="V1046:V1049"/>
    <mergeCell ref="X1046:X1049"/>
    <mergeCell ref="J1048:K1048"/>
    <mergeCell ref="N1048:O1048"/>
    <mergeCell ref="P1048:Q1048"/>
    <mergeCell ref="A1046:A1049"/>
    <mergeCell ref="H1030:I1030"/>
    <mergeCell ref="H1032:I1032"/>
    <mergeCell ref="F1033:G1033"/>
    <mergeCell ref="H1033:I1033"/>
    <mergeCell ref="F1039:G1039"/>
    <mergeCell ref="H1039:I1039"/>
    <mergeCell ref="J1039:K1039"/>
    <mergeCell ref="N1039:O1039"/>
    <mergeCell ref="P1039:Q1039"/>
    <mergeCell ref="F1040:G1040"/>
    <mergeCell ref="Z1038:Z1041"/>
    <mergeCell ref="J1038:K1038"/>
    <mergeCell ref="N1038:O1038"/>
    <mergeCell ref="P1038:Q1038"/>
    <mergeCell ref="V1038:V1041"/>
    <mergeCell ref="X1038:X1041"/>
    <mergeCell ref="J1040:K1040"/>
    <mergeCell ref="N1040:O1040"/>
    <mergeCell ref="P1040:Q1040"/>
    <mergeCell ref="A1038:A1041"/>
    <mergeCell ref="B1038:B1041"/>
    <mergeCell ref="C1038:C1041"/>
    <mergeCell ref="D1038:D1041"/>
    <mergeCell ref="F1038:G1038"/>
    <mergeCell ref="H1038:I1038"/>
    <mergeCell ref="H1040:I1040"/>
    <mergeCell ref="F1041:G1041"/>
    <mergeCell ref="H1041:I1041"/>
    <mergeCell ref="H1036:I1036"/>
    <mergeCell ref="J1036:K1036"/>
    <mergeCell ref="N1036:O1036"/>
    <mergeCell ref="P1036:Q1036"/>
    <mergeCell ref="F1037:G1037"/>
    <mergeCell ref="H1037:I1037"/>
    <mergeCell ref="J1037:K1037"/>
    <mergeCell ref="N1037:O1037"/>
    <mergeCell ref="P1037:Q1037"/>
    <mergeCell ref="F1036:G1036"/>
    <mergeCell ref="Z1034:Z1037"/>
    <mergeCell ref="J1034:K1034"/>
    <mergeCell ref="N1034:O1034"/>
    <mergeCell ref="P1034:Q1034"/>
    <mergeCell ref="V1034:V1037"/>
    <mergeCell ref="X1034:X1037"/>
    <mergeCell ref="H1028:I1028"/>
    <mergeCell ref="J1028:K1028"/>
    <mergeCell ref="N1028:O1028"/>
    <mergeCell ref="P1028:Q1028"/>
    <mergeCell ref="F1029:G1029"/>
    <mergeCell ref="H1029:I1029"/>
    <mergeCell ref="J1029:K1029"/>
    <mergeCell ref="N1029:O1029"/>
    <mergeCell ref="P1029:Q1029"/>
    <mergeCell ref="F1027:G1027"/>
    <mergeCell ref="H1027:I1027"/>
    <mergeCell ref="J1027:K1027"/>
    <mergeCell ref="N1027:O1027"/>
    <mergeCell ref="P1027:Q1027"/>
    <mergeCell ref="F1028:G1028"/>
    <mergeCell ref="Z1026:Z1029"/>
    <mergeCell ref="J1026:K1026"/>
    <mergeCell ref="N1026:O1026"/>
    <mergeCell ref="P1026:Q1026"/>
    <mergeCell ref="V1026:V1029"/>
    <mergeCell ref="X1026:X1029"/>
    <mergeCell ref="J1025:K1025"/>
    <mergeCell ref="N1025:O1025"/>
    <mergeCell ref="P1025:Q1025"/>
    <mergeCell ref="A1026:A1029"/>
    <mergeCell ref="B1026:B1029"/>
    <mergeCell ref="C1026:C1029"/>
    <mergeCell ref="D1026:D1029"/>
    <mergeCell ref="F1026:G1026"/>
    <mergeCell ref="H1026:I1026"/>
    <mergeCell ref="F1035:G1035"/>
    <mergeCell ref="H1035:I1035"/>
    <mergeCell ref="J1035:K1035"/>
    <mergeCell ref="N1035:O1035"/>
    <mergeCell ref="P1035:Q1035"/>
    <mergeCell ref="J1033:K1033"/>
    <mergeCell ref="N1033:O1033"/>
    <mergeCell ref="P1033:Q1033"/>
    <mergeCell ref="A1034:A1037"/>
    <mergeCell ref="B1034:B1037"/>
    <mergeCell ref="C1034:C1037"/>
    <mergeCell ref="D1034:D1037"/>
    <mergeCell ref="F1034:G1034"/>
    <mergeCell ref="H1034:I1034"/>
    <mergeCell ref="F1031:G1031"/>
    <mergeCell ref="H1031:I1031"/>
    <mergeCell ref="J1031:K1031"/>
    <mergeCell ref="N1031:O1031"/>
    <mergeCell ref="P1031:Q1031"/>
    <mergeCell ref="F1032:G1032"/>
    <mergeCell ref="Z1030:Z1033"/>
    <mergeCell ref="J1030:K1030"/>
    <mergeCell ref="N1030:O1030"/>
    <mergeCell ref="P1030:Q1030"/>
    <mergeCell ref="V1030:V1033"/>
    <mergeCell ref="X1030:X1033"/>
    <mergeCell ref="J1032:K1032"/>
    <mergeCell ref="N1032:O1032"/>
    <mergeCell ref="P1032:Q1032"/>
    <mergeCell ref="A1030:A1033"/>
    <mergeCell ref="B1030:B1033"/>
    <mergeCell ref="C1030:C1033"/>
    <mergeCell ref="D1030:D1033"/>
    <mergeCell ref="F1030:G1030"/>
    <mergeCell ref="H1008:I1008"/>
    <mergeCell ref="H1010:I1010"/>
    <mergeCell ref="F1011:G1011"/>
    <mergeCell ref="H1011:I1011"/>
    <mergeCell ref="F1023:G1023"/>
    <mergeCell ref="H1023:I1023"/>
    <mergeCell ref="J1023:K1023"/>
    <mergeCell ref="N1023:O1023"/>
    <mergeCell ref="P1023:Q1023"/>
    <mergeCell ref="F1024:G1024"/>
    <mergeCell ref="Z1022:Z1025"/>
    <mergeCell ref="J1022:K1022"/>
    <mergeCell ref="N1022:O1022"/>
    <mergeCell ref="P1022:Q1022"/>
    <mergeCell ref="V1022:V1025"/>
    <mergeCell ref="X1022:X1025"/>
    <mergeCell ref="J1024:K1024"/>
    <mergeCell ref="N1024:O1024"/>
    <mergeCell ref="P1024:Q1024"/>
    <mergeCell ref="A1022:A1025"/>
    <mergeCell ref="B1022:B1025"/>
    <mergeCell ref="C1022:C1025"/>
    <mergeCell ref="D1022:D1025"/>
    <mergeCell ref="F1022:G1022"/>
    <mergeCell ref="H1022:I1022"/>
    <mergeCell ref="H1024:I1024"/>
    <mergeCell ref="F1025:G1025"/>
    <mergeCell ref="H1025:I1025"/>
    <mergeCell ref="H1014:I1014"/>
    <mergeCell ref="J1014:K1014"/>
    <mergeCell ref="N1014:O1014"/>
    <mergeCell ref="P1014:Q1014"/>
    <mergeCell ref="F1015:G1015"/>
    <mergeCell ref="H1015:I1015"/>
    <mergeCell ref="J1015:K1015"/>
    <mergeCell ref="N1015:O1015"/>
    <mergeCell ref="P1015:Q1015"/>
    <mergeCell ref="S1020:W1020"/>
    <mergeCell ref="B1021:D1021"/>
    <mergeCell ref="E1021:Q1021"/>
    <mergeCell ref="F1014:G1014"/>
    <mergeCell ref="Z1012:Z1015"/>
    <mergeCell ref="J1012:K1012"/>
    <mergeCell ref="N1012:O1012"/>
    <mergeCell ref="P1012:Q1012"/>
    <mergeCell ref="V1012:V1015"/>
    <mergeCell ref="X1012:X1015"/>
    <mergeCell ref="H1006:I1006"/>
    <mergeCell ref="J1006:K1006"/>
    <mergeCell ref="N1006:O1006"/>
    <mergeCell ref="P1006:Q1006"/>
    <mergeCell ref="F1007:G1007"/>
    <mergeCell ref="H1007:I1007"/>
    <mergeCell ref="J1007:K1007"/>
    <mergeCell ref="N1007:O1007"/>
    <mergeCell ref="P1007:Q1007"/>
    <mergeCell ref="F1005:G1005"/>
    <mergeCell ref="H1005:I1005"/>
    <mergeCell ref="J1005:K1005"/>
    <mergeCell ref="N1005:O1005"/>
    <mergeCell ref="P1005:Q1005"/>
    <mergeCell ref="F1006:G1006"/>
    <mergeCell ref="Z1004:Z1007"/>
    <mergeCell ref="J1004:K1004"/>
    <mergeCell ref="N1004:O1004"/>
    <mergeCell ref="P1004:Q1004"/>
    <mergeCell ref="V1004:V1007"/>
    <mergeCell ref="X1004:X1007"/>
    <mergeCell ref="J1003:K1003"/>
    <mergeCell ref="N1003:O1003"/>
    <mergeCell ref="P1003:Q1003"/>
    <mergeCell ref="A1004:A1007"/>
    <mergeCell ref="B1004:B1007"/>
    <mergeCell ref="C1004:C1007"/>
    <mergeCell ref="D1004:D1007"/>
    <mergeCell ref="F1004:G1004"/>
    <mergeCell ref="H1004:I1004"/>
    <mergeCell ref="F1013:G1013"/>
    <mergeCell ref="H1013:I1013"/>
    <mergeCell ref="J1013:K1013"/>
    <mergeCell ref="N1013:O1013"/>
    <mergeCell ref="P1013:Q1013"/>
    <mergeCell ref="J1011:K1011"/>
    <mergeCell ref="N1011:O1011"/>
    <mergeCell ref="P1011:Q1011"/>
    <mergeCell ref="A1012:A1015"/>
    <mergeCell ref="B1012:B1015"/>
    <mergeCell ref="C1012:C1015"/>
    <mergeCell ref="D1012:D1015"/>
    <mergeCell ref="F1012:G1012"/>
    <mergeCell ref="H1012:I1012"/>
    <mergeCell ref="F1009:G1009"/>
    <mergeCell ref="H1009:I1009"/>
    <mergeCell ref="J1009:K1009"/>
    <mergeCell ref="N1009:O1009"/>
    <mergeCell ref="P1009:Q1009"/>
    <mergeCell ref="F1010:G1010"/>
    <mergeCell ref="Z1008:Z1011"/>
    <mergeCell ref="J1008:K1008"/>
    <mergeCell ref="N1008:O1008"/>
    <mergeCell ref="P1008:Q1008"/>
    <mergeCell ref="V1008:V1011"/>
    <mergeCell ref="X1008:X1011"/>
    <mergeCell ref="J1010:K1010"/>
    <mergeCell ref="N1010:O1010"/>
    <mergeCell ref="P1010:Q1010"/>
    <mergeCell ref="A1008:A1011"/>
    <mergeCell ref="B1008:B1011"/>
    <mergeCell ref="C1008:C1011"/>
    <mergeCell ref="D1008:D1011"/>
    <mergeCell ref="F1008:G1008"/>
    <mergeCell ref="H992:I992"/>
    <mergeCell ref="H994:I994"/>
    <mergeCell ref="F995:G995"/>
    <mergeCell ref="H995:I995"/>
    <mergeCell ref="F1001:G1001"/>
    <mergeCell ref="H1001:I1001"/>
    <mergeCell ref="J1001:K1001"/>
    <mergeCell ref="N1001:O1001"/>
    <mergeCell ref="P1001:Q1001"/>
    <mergeCell ref="F1002:G1002"/>
    <mergeCell ref="Z1000:Z1003"/>
    <mergeCell ref="J1000:K1000"/>
    <mergeCell ref="N1000:O1000"/>
    <mergeCell ref="P1000:Q1000"/>
    <mergeCell ref="V1000:V1003"/>
    <mergeCell ref="X1000:X1003"/>
    <mergeCell ref="J1002:K1002"/>
    <mergeCell ref="N1002:O1002"/>
    <mergeCell ref="P1002:Q1002"/>
    <mergeCell ref="A1000:A1003"/>
    <mergeCell ref="B1000:B1003"/>
    <mergeCell ref="C1000:C1003"/>
    <mergeCell ref="D1000:D1003"/>
    <mergeCell ref="F1000:G1000"/>
    <mergeCell ref="H1000:I1000"/>
    <mergeCell ref="H1002:I1002"/>
    <mergeCell ref="F1003:G1003"/>
    <mergeCell ref="H1003:I1003"/>
    <mergeCell ref="H998:I998"/>
    <mergeCell ref="J998:K998"/>
    <mergeCell ref="N998:O998"/>
    <mergeCell ref="P998:Q998"/>
    <mergeCell ref="F999:G999"/>
    <mergeCell ref="H999:I999"/>
    <mergeCell ref="J999:K999"/>
    <mergeCell ref="N999:O999"/>
    <mergeCell ref="P999:Q999"/>
    <mergeCell ref="F998:G998"/>
    <mergeCell ref="Z996:Z999"/>
    <mergeCell ref="J996:K996"/>
    <mergeCell ref="N996:O996"/>
    <mergeCell ref="P996:Q996"/>
    <mergeCell ref="V996:V999"/>
    <mergeCell ref="X996:X999"/>
    <mergeCell ref="H990:I990"/>
    <mergeCell ref="J990:K990"/>
    <mergeCell ref="N990:O990"/>
    <mergeCell ref="P990:Q990"/>
    <mergeCell ref="F991:G991"/>
    <mergeCell ref="H991:I991"/>
    <mergeCell ref="J991:K991"/>
    <mergeCell ref="N991:O991"/>
    <mergeCell ref="P991:Q991"/>
    <mergeCell ref="F989:G989"/>
    <mergeCell ref="H989:I989"/>
    <mergeCell ref="J989:K989"/>
    <mergeCell ref="N989:O989"/>
    <mergeCell ref="P989:Q989"/>
    <mergeCell ref="F990:G990"/>
    <mergeCell ref="Z988:Z991"/>
    <mergeCell ref="J988:K988"/>
    <mergeCell ref="N988:O988"/>
    <mergeCell ref="P988:Q988"/>
    <mergeCell ref="V988:V991"/>
    <mergeCell ref="X988:X991"/>
    <mergeCell ref="J987:K987"/>
    <mergeCell ref="N987:O987"/>
    <mergeCell ref="P987:Q987"/>
    <mergeCell ref="A988:A991"/>
    <mergeCell ref="B988:B991"/>
    <mergeCell ref="C988:C991"/>
    <mergeCell ref="D988:D991"/>
    <mergeCell ref="F988:G988"/>
    <mergeCell ref="H988:I988"/>
    <mergeCell ref="F997:G997"/>
    <mergeCell ref="H997:I997"/>
    <mergeCell ref="J997:K997"/>
    <mergeCell ref="N997:O997"/>
    <mergeCell ref="P997:Q997"/>
    <mergeCell ref="J995:K995"/>
    <mergeCell ref="N995:O995"/>
    <mergeCell ref="P995:Q995"/>
    <mergeCell ref="A996:A999"/>
    <mergeCell ref="B996:B999"/>
    <mergeCell ref="C996:C999"/>
    <mergeCell ref="D996:D999"/>
    <mergeCell ref="F996:G996"/>
    <mergeCell ref="H996:I996"/>
    <mergeCell ref="F993:G993"/>
    <mergeCell ref="H993:I993"/>
    <mergeCell ref="J993:K993"/>
    <mergeCell ref="N993:O993"/>
    <mergeCell ref="P993:Q993"/>
    <mergeCell ref="F994:G994"/>
    <mergeCell ref="Z992:Z995"/>
    <mergeCell ref="J992:K992"/>
    <mergeCell ref="N992:O992"/>
    <mergeCell ref="P992:Q992"/>
    <mergeCell ref="V992:V995"/>
    <mergeCell ref="X992:X995"/>
    <mergeCell ref="J994:K994"/>
    <mergeCell ref="N994:O994"/>
    <mergeCell ref="P994:Q994"/>
    <mergeCell ref="A992:A995"/>
    <mergeCell ref="B992:B995"/>
    <mergeCell ref="C992:C995"/>
    <mergeCell ref="D992:D995"/>
    <mergeCell ref="F992:G992"/>
    <mergeCell ref="H976:I976"/>
    <mergeCell ref="H978:I978"/>
    <mergeCell ref="F979:G979"/>
    <mergeCell ref="H979:I979"/>
    <mergeCell ref="F985:G985"/>
    <mergeCell ref="H985:I985"/>
    <mergeCell ref="J985:K985"/>
    <mergeCell ref="N985:O985"/>
    <mergeCell ref="P985:Q985"/>
    <mergeCell ref="F986:G986"/>
    <mergeCell ref="Z984:Z987"/>
    <mergeCell ref="J984:K984"/>
    <mergeCell ref="N984:O984"/>
    <mergeCell ref="P984:Q984"/>
    <mergeCell ref="V984:V987"/>
    <mergeCell ref="X984:X987"/>
    <mergeCell ref="J986:K986"/>
    <mergeCell ref="N986:O986"/>
    <mergeCell ref="P986:Q986"/>
    <mergeCell ref="A984:A987"/>
    <mergeCell ref="B984:B987"/>
    <mergeCell ref="C984:C987"/>
    <mergeCell ref="D984:D987"/>
    <mergeCell ref="F984:G984"/>
    <mergeCell ref="H984:I984"/>
    <mergeCell ref="H986:I986"/>
    <mergeCell ref="F987:G987"/>
    <mergeCell ref="H987:I987"/>
    <mergeCell ref="H982:I982"/>
    <mergeCell ref="J982:K982"/>
    <mergeCell ref="N982:O982"/>
    <mergeCell ref="P982:Q982"/>
    <mergeCell ref="F983:G983"/>
    <mergeCell ref="H983:I983"/>
    <mergeCell ref="J983:K983"/>
    <mergeCell ref="N983:O983"/>
    <mergeCell ref="P983:Q983"/>
    <mergeCell ref="F982:G982"/>
    <mergeCell ref="Z980:Z983"/>
    <mergeCell ref="J980:K980"/>
    <mergeCell ref="N980:O980"/>
    <mergeCell ref="P980:Q980"/>
    <mergeCell ref="V980:V983"/>
    <mergeCell ref="X980:X983"/>
    <mergeCell ref="H968:I968"/>
    <mergeCell ref="J968:K968"/>
    <mergeCell ref="N968:O968"/>
    <mergeCell ref="P968:Q968"/>
    <mergeCell ref="F969:G969"/>
    <mergeCell ref="H969:I969"/>
    <mergeCell ref="J969:K969"/>
    <mergeCell ref="N969:O969"/>
    <mergeCell ref="P969:Q969"/>
    <mergeCell ref="F967:G967"/>
    <mergeCell ref="H967:I967"/>
    <mergeCell ref="J967:K967"/>
    <mergeCell ref="N967:O967"/>
    <mergeCell ref="P967:Q967"/>
    <mergeCell ref="F968:G968"/>
    <mergeCell ref="Z966:Z969"/>
    <mergeCell ref="J966:K966"/>
    <mergeCell ref="N966:O966"/>
    <mergeCell ref="P966:Q966"/>
    <mergeCell ref="V966:V969"/>
    <mergeCell ref="X966:X969"/>
    <mergeCell ref="J965:K965"/>
    <mergeCell ref="N965:O965"/>
    <mergeCell ref="P965:Q965"/>
    <mergeCell ref="A966:A969"/>
    <mergeCell ref="B966:B969"/>
    <mergeCell ref="C966:C969"/>
    <mergeCell ref="D966:D969"/>
    <mergeCell ref="F966:G966"/>
    <mergeCell ref="H966:I966"/>
    <mergeCell ref="F981:G981"/>
    <mergeCell ref="H981:I981"/>
    <mergeCell ref="J981:K981"/>
    <mergeCell ref="N981:O981"/>
    <mergeCell ref="P981:Q981"/>
    <mergeCell ref="J979:K979"/>
    <mergeCell ref="N979:O979"/>
    <mergeCell ref="P979:Q979"/>
    <mergeCell ref="A980:A983"/>
    <mergeCell ref="B980:B983"/>
    <mergeCell ref="C980:C983"/>
    <mergeCell ref="D980:D983"/>
    <mergeCell ref="F980:G980"/>
    <mergeCell ref="H980:I980"/>
    <mergeCell ref="F977:G977"/>
    <mergeCell ref="H977:I977"/>
    <mergeCell ref="J977:K977"/>
    <mergeCell ref="N977:O977"/>
    <mergeCell ref="P977:Q977"/>
    <mergeCell ref="F978:G978"/>
    <mergeCell ref="Z976:Z979"/>
    <mergeCell ref="J976:K976"/>
    <mergeCell ref="N976:O976"/>
    <mergeCell ref="P976:Q976"/>
    <mergeCell ref="V976:V979"/>
    <mergeCell ref="X976:X979"/>
    <mergeCell ref="J978:K978"/>
    <mergeCell ref="N978:O978"/>
    <mergeCell ref="P978:Q978"/>
    <mergeCell ref="A976:A979"/>
    <mergeCell ref="B976:B979"/>
    <mergeCell ref="C976:C979"/>
    <mergeCell ref="D976:D979"/>
    <mergeCell ref="F976:G976"/>
    <mergeCell ref="H954:I954"/>
    <mergeCell ref="H956:I956"/>
    <mergeCell ref="F957:G957"/>
    <mergeCell ref="H957:I957"/>
    <mergeCell ref="F963:G963"/>
    <mergeCell ref="H963:I963"/>
    <mergeCell ref="J963:K963"/>
    <mergeCell ref="N963:O963"/>
    <mergeCell ref="P963:Q963"/>
    <mergeCell ref="F964:G964"/>
    <mergeCell ref="Z962:Z965"/>
    <mergeCell ref="J962:K962"/>
    <mergeCell ref="N962:O962"/>
    <mergeCell ref="P962:Q962"/>
    <mergeCell ref="V962:V965"/>
    <mergeCell ref="X962:X965"/>
    <mergeCell ref="J964:K964"/>
    <mergeCell ref="N964:O964"/>
    <mergeCell ref="P964:Q964"/>
    <mergeCell ref="A962:A965"/>
    <mergeCell ref="B962:B965"/>
    <mergeCell ref="C962:C965"/>
    <mergeCell ref="D962:D965"/>
    <mergeCell ref="F962:G962"/>
    <mergeCell ref="H962:I962"/>
    <mergeCell ref="H964:I964"/>
    <mergeCell ref="F965:G965"/>
    <mergeCell ref="H965:I965"/>
    <mergeCell ref="H960:I960"/>
    <mergeCell ref="J960:K960"/>
    <mergeCell ref="N960:O960"/>
    <mergeCell ref="P960:Q960"/>
    <mergeCell ref="F961:G961"/>
    <mergeCell ref="H961:I961"/>
    <mergeCell ref="J961:K961"/>
    <mergeCell ref="N961:O961"/>
    <mergeCell ref="P961:Q961"/>
    <mergeCell ref="F960:G960"/>
    <mergeCell ref="Z958:Z961"/>
    <mergeCell ref="J958:K958"/>
    <mergeCell ref="N958:O958"/>
    <mergeCell ref="P958:Q958"/>
    <mergeCell ref="V958:V961"/>
    <mergeCell ref="X958:X961"/>
    <mergeCell ref="H952:I952"/>
    <mergeCell ref="J952:K952"/>
    <mergeCell ref="N952:O952"/>
    <mergeCell ref="P952:Q952"/>
    <mergeCell ref="F953:G953"/>
    <mergeCell ref="H953:I953"/>
    <mergeCell ref="J953:K953"/>
    <mergeCell ref="N953:O953"/>
    <mergeCell ref="P953:Q953"/>
    <mergeCell ref="F951:G951"/>
    <mergeCell ref="H951:I951"/>
    <mergeCell ref="J951:K951"/>
    <mergeCell ref="N951:O951"/>
    <mergeCell ref="P951:Q951"/>
    <mergeCell ref="F952:G952"/>
    <mergeCell ref="Z950:Z953"/>
    <mergeCell ref="J950:K950"/>
    <mergeCell ref="N950:O950"/>
    <mergeCell ref="P950:Q950"/>
    <mergeCell ref="V950:V953"/>
    <mergeCell ref="X950:X953"/>
    <mergeCell ref="J949:K949"/>
    <mergeCell ref="N949:O949"/>
    <mergeCell ref="P949:Q949"/>
    <mergeCell ref="A950:A953"/>
    <mergeCell ref="B950:B953"/>
    <mergeCell ref="C950:C953"/>
    <mergeCell ref="D950:D953"/>
    <mergeCell ref="F950:G950"/>
    <mergeCell ref="H950:I950"/>
    <mergeCell ref="F959:G959"/>
    <mergeCell ref="H959:I959"/>
    <mergeCell ref="J959:K959"/>
    <mergeCell ref="N959:O959"/>
    <mergeCell ref="P959:Q959"/>
    <mergeCell ref="J957:K957"/>
    <mergeCell ref="N957:O957"/>
    <mergeCell ref="P957:Q957"/>
    <mergeCell ref="A958:A961"/>
    <mergeCell ref="B958:B961"/>
    <mergeCell ref="C958:C961"/>
    <mergeCell ref="D958:D961"/>
    <mergeCell ref="F958:G958"/>
    <mergeCell ref="H958:I958"/>
    <mergeCell ref="F955:G955"/>
    <mergeCell ref="H955:I955"/>
    <mergeCell ref="J955:K955"/>
    <mergeCell ref="N955:O955"/>
    <mergeCell ref="P955:Q955"/>
    <mergeCell ref="F956:G956"/>
    <mergeCell ref="Z954:Z957"/>
    <mergeCell ref="J954:K954"/>
    <mergeCell ref="N954:O954"/>
    <mergeCell ref="P954:Q954"/>
    <mergeCell ref="V954:V957"/>
    <mergeCell ref="X954:X957"/>
    <mergeCell ref="J956:K956"/>
    <mergeCell ref="N956:O956"/>
    <mergeCell ref="P956:Q956"/>
    <mergeCell ref="A954:A957"/>
    <mergeCell ref="B954:B957"/>
    <mergeCell ref="C954:C957"/>
    <mergeCell ref="D954:D957"/>
    <mergeCell ref="F954:G954"/>
    <mergeCell ref="H938:I938"/>
    <mergeCell ref="H940:I940"/>
    <mergeCell ref="F941:G941"/>
    <mergeCell ref="H941:I941"/>
    <mergeCell ref="F947:G947"/>
    <mergeCell ref="H947:I947"/>
    <mergeCell ref="J947:K947"/>
    <mergeCell ref="N947:O947"/>
    <mergeCell ref="P947:Q947"/>
    <mergeCell ref="F948:G948"/>
    <mergeCell ref="Z946:Z949"/>
    <mergeCell ref="J946:K946"/>
    <mergeCell ref="N946:O946"/>
    <mergeCell ref="P946:Q946"/>
    <mergeCell ref="V946:V949"/>
    <mergeCell ref="X946:X949"/>
    <mergeCell ref="J948:K948"/>
    <mergeCell ref="N948:O948"/>
    <mergeCell ref="P948:Q948"/>
    <mergeCell ref="A946:A949"/>
    <mergeCell ref="B946:B949"/>
    <mergeCell ref="C946:C949"/>
    <mergeCell ref="D946:D949"/>
    <mergeCell ref="F946:G946"/>
    <mergeCell ref="H946:I946"/>
    <mergeCell ref="H948:I948"/>
    <mergeCell ref="F949:G949"/>
    <mergeCell ref="H949:I949"/>
    <mergeCell ref="H944:I944"/>
    <mergeCell ref="J944:K944"/>
    <mergeCell ref="N944:O944"/>
    <mergeCell ref="P944:Q944"/>
    <mergeCell ref="F945:G945"/>
    <mergeCell ref="H945:I945"/>
    <mergeCell ref="J945:K945"/>
    <mergeCell ref="N945:O945"/>
    <mergeCell ref="P945:Q945"/>
    <mergeCell ref="F944:G944"/>
    <mergeCell ref="Z942:Z945"/>
    <mergeCell ref="J942:K942"/>
    <mergeCell ref="N942:O942"/>
    <mergeCell ref="P942:Q942"/>
    <mergeCell ref="V942:V945"/>
    <mergeCell ref="X942:X945"/>
    <mergeCell ref="H936:I936"/>
    <mergeCell ref="J936:K936"/>
    <mergeCell ref="N936:O936"/>
    <mergeCell ref="P936:Q936"/>
    <mergeCell ref="F937:G937"/>
    <mergeCell ref="H937:I937"/>
    <mergeCell ref="J937:K937"/>
    <mergeCell ref="N937:O937"/>
    <mergeCell ref="P937:Q937"/>
    <mergeCell ref="F935:G935"/>
    <mergeCell ref="H935:I935"/>
    <mergeCell ref="J935:K935"/>
    <mergeCell ref="N935:O935"/>
    <mergeCell ref="P935:Q935"/>
    <mergeCell ref="F936:G936"/>
    <mergeCell ref="Z934:Z937"/>
    <mergeCell ref="J934:K934"/>
    <mergeCell ref="N934:O934"/>
    <mergeCell ref="P934:Q934"/>
    <mergeCell ref="V934:V937"/>
    <mergeCell ref="X934:X937"/>
    <mergeCell ref="J933:K933"/>
    <mergeCell ref="N933:O933"/>
    <mergeCell ref="P933:Q933"/>
    <mergeCell ref="A934:A937"/>
    <mergeCell ref="B934:B937"/>
    <mergeCell ref="C934:C937"/>
    <mergeCell ref="D934:D937"/>
    <mergeCell ref="F934:G934"/>
    <mergeCell ref="H934:I934"/>
    <mergeCell ref="F943:G943"/>
    <mergeCell ref="H943:I943"/>
    <mergeCell ref="J943:K943"/>
    <mergeCell ref="N943:O943"/>
    <mergeCell ref="P943:Q943"/>
    <mergeCell ref="J941:K941"/>
    <mergeCell ref="N941:O941"/>
    <mergeCell ref="P941:Q941"/>
    <mergeCell ref="A942:A945"/>
    <mergeCell ref="B942:B945"/>
    <mergeCell ref="C942:C945"/>
    <mergeCell ref="D942:D945"/>
    <mergeCell ref="F942:G942"/>
    <mergeCell ref="H942:I942"/>
    <mergeCell ref="F939:G939"/>
    <mergeCell ref="H939:I939"/>
    <mergeCell ref="J939:K939"/>
    <mergeCell ref="N939:O939"/>
    <mergeCell ref="P939:Q939"/>
    <mergeCell ref="F940:G940"/>
    <mergeCell ref="Z938:Z941"/>
    <mergeCell ref="J938:K938"/>
    <mergeCell ref="N938:O938"/>
    <mergeCell ref="P938:Q938"/>
    <mergeCell ref="V938:V941"/>
    <mergeCell ref="X938:X941"/>
    <mergeCell ref="J940:K940"/>
    <mergeCell ref="N940:O940"/>
    <mergeCell ref="P940:Q940"/>
    <mergeCell ref="A938:A941"/>
    <mergeCell ref="B938:B941"/>
    <mergeCell ref="C938:C941"/>
    <mergeCell ref="D938:D941"/>
    <mergeCell ref="F938:G938"/>
    <mergeCell ref="F931:G931"/>
    <mergeCell ref="H931:I931"/>
    <mergeCell ref="J931:K931"/>
    <mergeCell ref="N931:O931"/>
    <mergeCell ref="P931:Q931"/>
    <mergeCell ref="F932:G932"/>
    <mergeCell ref="Z930:Z933"/>
    <mergeCell ref="J930:K930"/>
    <mergeCell ref="N930:O930"/>
    <mergeCell ref="P930:Q930"/>
    <mergeCell ref="V930:V933"/>
    <mergeCell ref="X930:X933"/>
    <mergeCell ref="J932:K932"/>
    <mergeCell ref="N932:O932"/>
    <mergeCell ref="P932:Q932"/>
    <mergeCell ref="A930:A933"/>
    <mergeCell ref="B930:B933"/>
    <mergeCell ref="C930:C933"/>
    <mergeCell ref="D930:D933"/>
    <mergeCell ref="F930:G930"/>
    <mergeCell ref="H930:I930"/>
    <mergeCell ref="H932:I932"/>
    <mergeCell ref="F933:G933"/>
    <mergeCell ref="H933:I933"/>
    <mergeCell ref="H922:I922"/>
    <mergeCell ref="J922:K922"/>
    <mergeCell ref="N922:O922"/>
    <mergeCell ref="P922:Q922"/>
    <mergeCell ref="F923:G923"/>
    <mergeCell ref="H923:I923"/>
    <mergeCell ref="J923:K923"/>
    <mergeCell ref="N923:O923"/>
    <mergeCell ref="P923:Q923"/>
    <mergeCell ref="F922:G922"/>
    <mergeCell ref="Z920:Z923"/>
    <mergeCell ref="J920:K920"/>
    <mergeCell ref="N920:O920"/>
    <mergeCell ref="P920:Q920"/>
    <mergeCell ref="V920:V923"/>
    <mergeCell ref="X920:X923"/>
    <mergeCell ref="A920:A923"/>
    <mergeCell ref="B920:B923"/>
    <mergeCell ref="C920:C923"/>
    <mergeCell ref="D920:D923"/>
    <mergeCell ref="F920:G920"/>
    <mergeCell ref="H920:I920"/>
    <mergeCell ref="B927:C927"/>
    <mergeCell ref="F927:O927"/>
    <mergeCell ref="A928:D928"/>
    <mergeCell ref="E928:Q928"/>
    <mergeCell ref="A925:C925"/>
    <mergeCell ref="B926:C926"/>
    <mergeCell ref="F926:O926"/>
    <mergeCell ref="E925:I925"/>
    <mergeCell ref="Q925:V925"/>
    <mergeCell ref="Q926:W926"/>
    <mergeCell ref="L920:M920"/>
    <mergeCell ref="L921:M921"/>
    <mergeCell ref="L922:M922"/>
    <mergeCell ref="L923:M923"/>
    <mergeCell ref="L930:M930"/>
    <mergeCell ref="L931:M931"/>
    <mergeCell ref="L932:M932"/>
    <mergeCell ref="L933:M933"/>
    <mergeCell ref="Z916:Z919"/>
    <mergeCell ref="J916:K916"/>
    <mergeCell ref="N916:O916"/>
    <mergeCell ref="P916:Q916"/>
    <mergeCell ref="V916:V919"/>
    <mergeCell ref="X916:X919"/>
    <mergeCell ref="J918:K918"/>
    <mergeCell ref="N918:O918"/>
    <mergeCell ref="P918:Q918"/>
    <mergeCell ref="A916:A919"/>
    <mergeCell ref="B916:B919"/>
    <mergeCell ref="C916:C919"/>
    <mergeCell ref="D916:D919"/>
    <mergeCell ref="F916:G916"/>
    <mergeCell ref="H916:I916"/>
    <mergeCell ref="H918:I918"/>
    <mergeCell ref="F919:G919"/>
    <mergeCell ref="H919:I919"/>
    <mergeCell ref="H914:I914"/>
    <mergeCell ref="J914:K914"/>
    <mergeCell ref="N914:O914"/>
    <mergeCell ref="P914:Q914"/>
    <mergeCell ref="F915:G915"/>
    <mergeCell ref="H915:I915"/>
    <mergeCell ref="J915:K915"/>
    <mergeCell ref="N915:O915"/>
    <mergeCell ref="P915:Q915"/>
    <mergeCell ref="F913:G913"/>
    <mergeCell ref="H913:I913"/>
    <mergeCell ref="J913:K913"/>
    <mergeCell ref="N913:O913"/>
    <mergeCell ref="P913:Q913"/>
    <mergeCell ref="F914:G914"/>
    <mergeCell ref="Z912:Z915"/>
    <mergeCell ref="J912:K912"/>
    <mergeCell ref="N912:O912"/>
    <mergeCell ref="P912:Q912"/>
    <mergeCell ref="V912:V915"/>
    <mergeCell ref="X912:X915"/>
    <mergeCell ref="A912:A915"/>
    <mergeCell ref="B912:B915"/>
    <mergeCell ref="C912:C915"/>
    <mergeCell ref="D912:D915"/>
    <mergeCell ref="F912:G912"/>
    <mergeCell ref="H912:I912"/>
    <mergeCell ref="L912:M912"/>
    <mergeCell ref="L913:M913"/>
    <mergeCell ref="L914:M914"/>
    <mergeCell ref="L915:M915"/>
    <mergeCell ref="L916:M916"/>
    <mergeCell ref="L917:M917"/>
    <mergeCell ref="L918:M918"/>
    <mergeCell ref="L919:M919"/>
    <mergeCell ref="Z908:Z911"/>
    <mergeCell ref="J908:K908"/>
    <mergeCell ref="N908:O908"/>
    <mergeCell ref="P908:Q908"/>
    <mergeCell ref="V908:V911"/>
    <mergeCell ref="X908:X911"/>
    <mergeCell ref="J910:K910"/>
    <mergeCell ref="N910:O910"/>
    <mergeCell ref="P910:Q910"/>
    <mergeCell ref="A908:A911"/>
    <mergeCell ref="B908:B911"/>
    <mergeCell ref="C908:C911"/>
    <mergeCell ref="D908:D911"/>
    <mergeCell ref="F908:G908"/>
    <mergeCell ref="H908:I908"/>
    <mergeCell ref="H910:I910"/>
    <mergeCell ref="F911:G911"/>
    <mergeCell ref="H911:I911"/>
    <mergeCell ref="H906:I906"/>
    <mergeCell ref="J906:K906"/>
    <mergeCell ref="N906:O906"/>
    <mergeCell ref="P906:Q906"/>
    <mergeCell ref="F907:G907"/>
    <mergeCell ref="H907:I907"/>
    <mergeCell ref="J907:K907"/>
    <mergeCell ref="N907:O907"/>
    <mergeCell ref="P907:Q907"/>
    <mergeCell ref="F905:G905"/>
    <mergeCell ref="H905:I905"/>
    <mergeCell ref="J905:K905"/>
    <mergeCell ref="N905:O905"/>
    <mergeCell ref="P905:Q905"/>
    <mergeCell ref="F906:G906"/>
    <mergeCell ref="Z904:Z907"/>
    <mergeCell ref="J904:K904"/>
    <mergeCell ref="N904:O904"/>
    <mergeCell ref="P904:Q904"/>
    <mergeCell ref="V904:V907"/>
    <mergeCell ref="X904:X907"/>
    <mergeCell ref="A904:A907"/>
    <mergeCell ref="B904:B907"/>
    <mergeCell ref="C904:C907"/>
    <mergeCell ref="D904:D907"/>
    <mergeCell ref="F904:G904"/>
    <mergeCell ref="H904:I904"/>
    <mergeCell ref="L911:M911"/>
    <mergeCell ref="L907:M907"/>
    <mergeCell ref="L908:M908"/>
    <mergeCell ref="L909:M909"/>
    <mergeCell ref="L910:M910"/>
    <mergeCell ref="Z900:Z903"/>
    <mergeCell ref="J900:K900"/>
    <mergeCell ref="N900:O900"/>
    <mergeCell ref="P900:Q900"/>
    <mergeCell ref="V900:V903"/>
    <mergeCell ref="X900:X903"/>
    <mergeCell ref="J902:K902"/>
    <mergeCell ref="N902:O902"/>
    <mergeCell ref="P902:Q902"/>
    <mergeCell ref="A900:A903"/>
    <mergeCell ref="B900:B903"/>
    <mergeCell ref="C900:C903"/>
    <mergeCell ref="D900:D903"/>
    <mergeCell ref="F900:G900"/>
    <mergeCell ref="H900:I900"/>
    <mergeCell ref="H902:I902"/>
    <mergeCell ref="F903:G903"/>
    <mergeCell ref="H903:I903"/>
    <mergeCell ref="H898:I898"/>
    <mergeCell ref="J898:K898"/>
    <mergeCell ref="N898:O898"/>
    <mergeCell ref="P898:Q898"/>
    <mergeCell ref="F899:G899"/>
    <mergeCell ref="H899:I899"/>
    <mergeCell ref="J899:K899"/>
    <mergeCell ref="N899:O899"/>
    <mergeCell ref="P899:Q899"/>
    <mergeCell ref="F897:G897"/>
    <mergeCell ref="H897:I897"/>
    <mergeCell ref="J897:K897"/>
    <mergeCell ref="N897:O897"/>
    <mergeCell ref="P897:Q897"/>
    <mergeCell ref="F898:G898"/>
    <mergeCell ref="Z896:Z899"/>
    <mergeCell ref="J896:K896"/>
    <mergeCell ref="N896:O896"/>
    <mergeCell ref="P896:Q896"/>
    <mergeCell ref="V896:V899"/>
    <mergeCell ref="X896:X899"/>
    <mergeCell ref="A896:A899"/>
    <mergeCell ref="B896:B899"/>
    <mergeCell ref="C896:C899"/>
    <mergeCell ref="D896:D899"/>
    <mergeCell ref="F896:G896"/>
    <mergeCell ref="H896:I896"/>
    <mergeCell ref="Z892:Z895"/>
    <mergeCell ref="J892:K892"/>
    <mergeCell ref="N892:O892"/>
    <mergeCell ref="P892:Q892"/>
    <mergeCell ref="V892:V895"/>
    <mergeCell ref="X892:X895"/>
    <mergeCell ref="J894:K894"/>
    <mergeCell ref="N894:O894"/>
    <mergeCell ref="P894:Q894"/>
    <mergeCell ref="A892:A895"/>
    <mergeCell ref="B892:B895"/>
    <mergeCell ref="C892:C895"/>
    <mergeCell ref="D892:D895"/>
    <mergeCell ref="F892:G892"/>
    <mergeCell ref="H892:I892"/>
    <mergeCell ref="H894:I894"/>
    <mergeCell ref="F895:G895"/>
    <mergeCell ref="H895:I895"/>
    <mergeCell ref="H890:I890"/>
    <mergeCell ref="J890:K890"/>
    <mergeCell ref="N890:O890"/>
    <mergeCell ref="P890:Q890"/>
    <mergeCell ref="F891:G891"/>
    <mergeCell ref="H891:I891"/>
    <mergeCell ref="J891:K891"/>
    <mergeCell ref="N891:O891"/>
    <mergeCell ref="P891:Q891"/>
    <mergeCell ref="F889:G889"/>
    <mergeCell ref="H889:I889"/>
    <mergeCell ref="J889:K889"/>
    <mergeCell ref="N889:O889"/>
    <mergeCell ref="P889:Q889"/>
    <mergeCell ref="F890:G890"/>
    <mergeCell ref="Z888:Z891"/>
    <mergeCell ref="J888:K888"/>
    <mergeCell ref="N888:O888"/>
    <mergeCell ref="P888:Q888"/>
    <mergeCell ref="V888:V891"/>
    <mergeCell ref="X888:X891"/>
    <mergeCell ref="P893:Q893"/>
    <mergeCell ref="H876:I876"/>
    <mergeCell ref="J876:K876"/>
    <mergeCell ref="N876:O876"/>
    <mergeCell ref="P876:Q876"/>
    <mergeCell ref="F877:G877"/>
    <mergeCell ref="H877:I877"/>
    <mergeCell ref="J877:K877"/>
    <mergeCell ref="N877:O877"/>
    <mergeCell ref="P877:Q877"/>
    <mergeCell ref="Z874:Z877"/>
    <mergeCell ref="J874:K874"/>
    <mergeCell ref="N874:O874"/>
    <mergeCell ref="P874:Q874"/>
    <mergeCell ref="V874:V877"/>
    <mergeCell ref="X874:X877"/>
    <mergeCell ref="J887:K887"/>
    <mergeCell ref="N887:O887"/>
    <mergeCell ref="P887:Q887"/>
    <mergeCell ref="A888:A891"/>
    <mergeCell ref="B888:B891"/>
    <mergeCell ref="C888:C891"/>
    <mergeCell ref="D888:D891"/>
    <mergeCell ref="F888:G888"/>
    <mergeCell ref="H888:I888"/>
    <mergeCell ref="F885:G885"/>
    <mergeCell ref="H885:I885"/>
    <mergeCell ref="J885:K885"/>
    <mergeCell ref="N885:O885"/>
    <mergeCell ref="P885:Q885"/>
    <mergeCell ref="F886:G886"/>
    <mergeCell ref="Z884:Z887"/>
    <mergeCell ref="J884:K884"/>
    <mergeCell ref="N884:O884"/>
    <mergeCell ref="P884:Q884"/>
    <mergeCell ref="V884:V887"/>
    <mergeCell ref="X884:X887"/>
    <mergeCell ref="J886:K886"/>
    <mergeCell ref="N886:O886"/>
    <mergeCell ref="P886:Q886"/>
    <mergeCell ref="A884:A887"/>
    <mergeCell ref="B884:B887"/>
    <mergeCell ref="C884:C887"/>
    <mergeCell ref="D884:D887"/>
    <mergeCell ref="F884:G884"/>
    <mergeCell ref="H884:I884"/>
    <mergeCell ref="H886:I886"/>
    <mergeCell ref="F887:G887"/>
    <mergeCell ref="H887:I887"/>
    <mergeCell ref="A874:A877"/>
    <mergeCell ref="B874:B877"/>
    <mergeCell ref="C874:C877"/>
    <mergeCell ref="D874:D877"/>
    <mergeCell ref="F874:G874"/>
    <mergeCell ref="H874:I874"/>
    <mergeCell ref="F876:G876"/>
    <mergeCell ref="H868:I868"/>
    <mergeCell ref="J868:K868"/>
    <mergeCell ref="N868:O868"/>
    <mergeCell ref="P868:Q868"/>
    <mergeCell ref="F869:G869"/>
    <mergeCell ref="H869:I869"/>
    <mergeCell ref="J869:K869"/>
    <mergeCell ref="N869:O869"/>
    <mergeCell ref="P869:Q869"/>
    <mergeCell ref="F867:G867"/>
    <mergeCell ref="H867:I867"/>
    <mergeCell ref="J867:K867"/>
    <mergeCell ref="N867:O867"/>
    <mergeCell ref="P867:Q867"/>
    <mergeCell ref="F868:G868"/>
    <mergeCell ref="Z866:Z869"/>
    <mergeCell ref="J866:K866"/>
    <mergeCell ref="N866:O866"/>
    <mergeCell ref="P866:Q866"/>
    <mergeCell ref="V866:V869"/>
    <mergeCell ref="X866:X869"/>
    <mergeCell ref="J865:K865"/>
    <mergeCell ref="N865:O865"/>
    <mergeCell ref="P865:Q865"/>
    <mergeCell ref="A866:A869"/>
    <mergeCell ref="B866:B869"/>
    <mergeCell ref="C866:C869"/>
    <mergeCell ref="D866:D869"/>
    <mergeCell ref="F866:G866"/>
    <mergeCell ref="H866:I866"/>
    <mergeCell ref="J873:K873"/>
    <mergeCell ref="N873:O873"/>
    <mergeCell ref="P873:Q873"/>
    <mergeCell ref="F871:G871"/>
    <mergeCell ref="H871:I871"/>
    <mergeCell ref="J871:K871"/>
    <mergeCell ref="N871:O871"/>
    <mergeCell ref="P871:Q871"/>
    <mergeCell ref="F872:G872"/>
    <mergeCell ref="Z870:Z873"/>
    <mergeCell ref="J870:K870"/>
    <mergeCell ref="N870:O870"/>
    <mergeCell ref="P870:Q870"/>
    <mergeCell ref="V870:V873"/>
    <mergeCell ref="X870:X873"/>
    <mergeCell ref="J872:K872"/>
    <mergeCell ref="N872:O872"/>
    <mergeCell ref="P872:Q872"/>
    <mergeCell ref="A870:A873"/>
    <mergeCell ref="B870:B873"/>
    <mergeCell ref="C870:C873"/>
    <mergeCell ref="D870:D873"/>
    <mergeCell ref="F870:G870"/>
    <mergeCell ref="H870:I870"/>
    <mergeCell ref="H872:I872"/>
    <mergeCell ref="F873:G873"/>
    <mergeCell ref="H873:I873"/>
    <mergeCell ref="L865:M865"/>
    <mergeCell ref="L866:M866"/>
    <mergeCell ref="L867:M867"/>
    <mergeCell ref="L868:M868"/>
    <mergeCell ref="L869:M869"/>
    <mergeCell ref="L870:M870"/>
    <mergeCell ref="L871:M871"/>
    <mergeCell ref="H854:I854"/>
    <mergeCell ref="H856:I856"/>
    <mergeCell ref="F857:G857"/>
    <mergeCell ref="H857:I857"/>
    <mergeCell ref="F863:G863"/>
    <mergeCell ref="H863:I863"/>
    <mergeCell ref="J863:K863"/>
    <mergeCell ref="N863:O863"/>
    <mergeCell ref="P863:Q863"/>
    <mergeCell ref="F864:G864"/>
    <mergeCell ref="Z862:Z865"/>
    <mergeCell ref="J862:K862"/>
    <mergeCell ref="N862:O862"/>
    <mergeCell ref="P862:Q862"/>
    <mergeCell ref="V862:V865"/>
    <mergeCell ref="X862:X865"/>
    <mergeCell ref="J864:K864"/>
    <mergeCell ref="N864:O864"/>
    <mergeCell ref="P864:Q864"/>
    <mergeCell ref="A862:A865"/>
    <mergeCell ref="B862:B865"/>
    <mergeCell ref="C862:C865"/>
    <mergeCell ref="D862:D865"/>
    <mergeCell ref="F862:G862"/>
    <mergeCell ref="H862:I862"/>
    <mergeCell ref="H864:I864"/>
    <mergeCell ref="F865:G865"/>
    <mergeCell ref="H865:I865"/>
    <mergeCell ref="H860:I860"/>
    <mergeCell ref="J860:K860"/>
    <mergeCell ref="N860:O860"/>
    <mergeCell ref="P860:Q860"/>
    <mergeCell ref="F861:G861"/>
    <mergeCell ref="H861:I861"/>
    <mergeCell ref="J861:K861"/>
    <mergeCell ref="N861:O861"/>
    <mergeCell ref="P861:Q861"/>
    <mergeCell ref="F860:G860"/>
    <mergeCell ref="Z858:Z861"/>
    <mergeCell ref="J858:K858"/>
    <mergeCell ref="N858:O858"/>
    <mergeCell ref="P858:Q858"/>
    <mergeCell ref="V858:V861"/>
    <mergeCell ref="X858:X861"/>
    <mergeCell ref="L854:M854"/>
    <mergeCell ref="L855:M855"/>
    <mergeCell ref="L856:M856"/>
    <mergeCell ref="L857:M857"/>
    <mergeCell ref="L858:M858"/>
    <mergeCell ref="L859:M859"/>
    <mergeCell ref="L860:M860"/>
    <mergeCell ref="L861:M861"/>
    <mergeCell ref="L862:M862"/>
    <mergeCell ref="L863:M863"/>
    <mergeCell ref="L864:M864"/>
    <mergeCell ref="H852:I852"/>
    <mergeCell ref="J852:K852"/>
    <mergeCell ref="N852:O852"/>
    <mergeCell ref="P852:Q852"/>
    <mergeCell ref="F853:G853"/>
    <mergeCell ref="H853:I853"/>
    <mergeCell ref="J853:K853"/>
    <mergeCell ref="N853:O853"/>
    <mergeCell ref="P853:Q853"/>
    <mergeCell ref="F851:G851"/>
    <mergeCell ref="H851:I851"/>
    <mergeCell ref="J851:K851"/>
    <mergeCell ref="N851:O851"/>
    <mergeCell ref="P851:Q851"/>
    <mergeCell ref="F852:G852"/>
    <mergeCell ref="Z850:Z853"/>
    <mergeCell ref="J850:K850"/>
    <mergeCell ref="N850:O850"/>
    <mergeCell ref="P850:Q850"/>
    <mergeCell ref="V850:V853"/>
    <mergeCell ref="X850:X853"/>
    <mergeCell ref="J849:K849"/>
    <mergeCell ref="N849:O849"/>
    <mergeCell ref="P849:Q849"/>
    <mergeCell ref="A850:A853"/>
    <mergeCell ref="B850:B853"/>
    <mergeCell ref="C850:C853"/>
    <mergeCell ref="D850:D853"/>
    <mergeCell ref="F850:G850"/>
    <mergeCell ref="H850:I850"/>
    <mergeCell ref="F859:G859"/>
    <mergeCell ref="H859:I859"/>
    <mergeCell ref="J859:K859"/>
    <mergeCell ref="N859:O859"/>
    <mergeCell ref="P859:Q859"/>
    <mergeCell ref="J857:K857"/>
    <mergeCell ref="N857:O857"/>
    <mergeCell ref="P857:Q857"/>
    <mergeCell ref="A858:A861"/>
    <mergeCell ref="B858:B861"/>
    <mergeCell ref="C858:C861"/>
    <mergeCell ref="D858:D861"/>
    <mergeCell ref="F858:G858"/>
    <mergeCell ref="H858:I858"/>
    <mergeCell ref="F855:G855"/>
    <mergeCell ref="H855:I855"/>
    <mergeCell ref="J855:K855"/>
    <mergeCell ref="N855:O855"/>
    <mergeCell ref="P855:Q855"/>
    <mergeCell ref="F856:G856"/>
    <mergeCell ref="Z854:Z857"/>
    <mergeCell ref="J854:K854"/>
    <mergeCell ref="N854:O854"/>
    <mergeCell ref="P854:Q854"/>
    <mergeCell ref="V854:V857"/>
    <mergeCell ref="X854:X857"/>
    <mergeCell ref="J856:K856"/>
    <mergeCell ref="N856:O856"/>
    <mergeCell ref="P856:Q856"/>
    <mergeCell ref="A854:A857"/>
    <mergeCell ref="B854:B857"/>
    <mergeCell ref="C854:C857"/>
    <mergeCell ref="D854:D857"/>
    <mergeCell ref="F854:G854"/>
    <mergeCell ref="F847:G847"/>
    <mergeCell ref="H847:I847"/>
    <mergeCell ref="J847:K847"/>
    <mergeCell ref="N847:O847"/>
    <mergeCell ref="P847:Q847"/>
    <mergeCell ref="F848:G848"/>
    <mergeCell ref="Z846:Z849"/>
    <mergeCell ref="J846:K846"/>
    <mergeCell ref="N846:O846"/>
    <mergeCell ref="P846:Q846"/>
    <mergeCell ref="V846:V849"/>
    <mergeCell ref="X846:X849"/>
    <mergeCell ref="J848:K848"/>
    <mergeCell ref="N848:O848"/>
    <mergeCell ref="P848:Q848"/>
    <mergeCell ref="A846:A849"/>
    <mergeCell ref="B846:B849"/>
    <mergeCell ref="C846:C849"/>
    <mergeCell ref="D846:D849"/>
    <mergeCell ref="F846:G846"/>
    <mergeCell ref="H846:I846"/>
    <mergeCell ref="H848:I848"/>
    <mergeCell ref="F849:G849"/>
    <mergeCell ref="H849:I849"/>
    <mergeCell ref="H844:I844"/>
    <mergeCell ref="J844:K844"/>
    <mergeCell ref="N844:O844"/>
    <mergeCell ref="P844:Q844"/>
    <mergeCell ref="F845:G845"/>
    <mergeCell ref="H845:I845"/>
    <mergeCell ref="J845:K845"/>
    <mergeCell ref="N845:O845"/>
    <mergeCell ref="P845:Q845"/>
    <mergeCell ref="L844:M844"/>
    <mergeCell ref="L845:M845"/>
    <mergeCell ref="L846:M846"/>
    <mergeCell ref="L847:M847"/>
    <mergeCell ref="L848:M848"/>
    <mergeCell ref="L849:M849"/>
    <mergeCell ref="F843:G843"/>
    <mergeCell ref="H843:I843"/>
    <mergeCell ref="J843:K843"/>
    <mergeCell ref="N843:O843"/>
    <mergeCell ref="P843:Q843"/>
    <mergeCell ref="F844:G844"/>
    <mergeCell ref="Z842:Z845"/>
    <mergeCell ref="J842:K842"/>
    <mergeCell ref="N842:O842"/>
    <mergeCell ref="P842:Q842"/>
    <mergeCell ref="V842:V845"/>
    <mergeCell ref="X842:X845"/>
    <mergeCell ref="J841:K841"/>
    <mergeCell ref="N841:O841"/>
    <mergeCell ref="P841:Q841"/>
    <mergeCell ref="A842:A845"/>
    <mergeCell ref="B842:B845"/>
    <mergeCell ref="C842:C845"/>
    <mergeCell ref="D842:D845"/>
    <mergeCell ref="F842:G842"/>
    <mergeCell ref="H842:I842"/>
    <mergeCell ref="F839:G839"/>
    <mergeCell ref="H839:I839"/>
    <mergeCell ref="J839:K839"/>
    <mergeCell ref="N839:O839"/>
    <mergeCell ref="P839:Q839"/>
    <mergeCell ref="F840:G840"/>
    <mergeCell ref="Z838:Z841"/>
    <mergeCell ref="J838:K838"/>
    <mergeCell ref="N838:O838"/>
    <mergeCell ref="P838:Q838"/>
    <mergeCell ref="V838:V841"/>
    <mergeCell ref="X838:X841"/>
    <mergeCell ref="J840:K840"/>
    <mergeCell ref="N840:O840"/>
    <mergeCell ref="P840:Q840"/>
    <mergeCell ref="A838:A841"/>
    <mergeCell ref="B838:B841"/>
    <mergeCell ref="C838:C841"/>
    <mergeCell ref="D838:D841"/>
    <mergeCell ref="F838:G838"/>
    <mergeCell ref="H838:I838"/>
    <mergeCell ref="H840:I840"/>
    <mergeCell ref="F841:G841"/>
    <mergeCell ref="H841:I841"/>
    <mergeCell ref="L843:M843"/>
    <mergeCell ref="F816:G816"/>
    <mergeCell ref="H816:I816"/>
    <mergeCell ref="H818:I818"/>
    <mergeCell ref="F819:G819"/>
    <mergeCell ref="H819:I819"/>
    <mergeCell ref="Z828:Z831"/>
    <mergeCell ref="J828:K828"/>
    <mergeCell ref="N828:O828"/>
    <mergeCell ref="P828:Q828"/>
    <mergeCell ref="V828:V831"/>
    <mergeCell ref="X828:X831"/>
    <mergeCell ref="A828:A831"/>
    <mergeCell ref="B828:B831"/>
    <mergeCell ref="C828:C831"/>
    <mergeCell ref="D828:D831"/>
    <mergeCell ref="F828:G828"/>
    <mergeCell ref="H828:I828"/>
    <mergeCell ref="Z824:Z827"/>
    <mergeCell ref="J824:K824"/>
    <mergeCell ref="N824:O824"/>
    <mergeCell ref="P824:Q824"/>
    <mergeCell ref="V824:V827"/>
    <mergeCell ref="X824:X827"/>
    <mergeCell ref="J826:K826"/>
    <mergeCell ref="N826:O826"/>
    <mergeCell ref="P826:Q826"/>
    <mergeCell ref="A824:A827"/>
    <mergeCell ref="B824:B827"/>
    <mergeCell ref="C824:C827"/>
    <mergeCell ref="D824:D827"/>
    <mergeCell ref="F824:G824"/>
    <mergeCell ref="H824:I824"/>
    <mergeCell ref="H826:I826"/>
    <mergeCell ref="F827:G827"/>
    <mergeCell ref="H827:I827"/>
    <mergeCell ref="J830:K830"/>
    <mergeCell ref="N830:O830"/>
    <mergeCell ref="F823:G823"/>
    <mergeCell ref="H823:I823"/>
    <mergeCell ref="J823:K823"/>
    <mergeCell ref="N823:O823"/>
    <mergeCell ref="P823:Q823"/>
    <mergeCell ref="J821:K821"/>
    <mergeCell ref="L816:M816"/>
    <mergeCell ref="L817:M817"/>
    <mergeCell ref="L818:M818"/>
    <mergeCell ref="L819:M819"/>
    <mergeCell ref="L820:M820"/>
    <mergeCell ref="L821:M821"/>
    <mergeCell ref="L822:M822"/>
    <mergeCell ref="L823:M823"/>
    <mergeCell ref="L824:M824"/>
    <mergeCell ref="L825:M825"/>
    <mergeCell ref="L826:M826"/>
    <mergeCell ref="L827:M827"/>
    <mergeCell ref="L828:M828"/>
    <mergeCell ref="L829:M829"/>
    <mergeCell ref="L830:M830"/>
    <mergeCell ref="L831:M831"/>
    <mergeCell ref="H814:I814"/>
    <mergeCell ref="J814:K814"/>
    <mergeCell ref="N814:O814"/>
    <mergeCell ref="P814:Q814"/>
    <mergeCell ref="F815:G815"/>
    <mergeCell ref="H815:I815"/>
    <mergeCell ref="J815:K815"/>
    <mergeCell ref="N815:O815"/>
    <mergeCell ref="P815:Q815"/>
    <mergeCell ref="F813:G813"/>
    <mergeCell ref="H813:I813"/>
    <mergeCell ref="J813:K813"/>
    <mergeCell ref="N813:O813"/>
    <mergeCell ref="P813:Q813"/>
    <mergeCell ref="F814:G814"/>
    <mergeCell ref="Z812:Z815"/>
    <mergeCell ref="J812:K812"/>
    <mergeCell ref="N812:O812"/>
    <mergeCell ref="P812:Q812"/>
    <mergeCell ref="V812:V815"/>
    <mergeCell ref="X812:X815"/>
    <mergeCell ref="J811:K811"/>
    <mergeCell ref="N811:O811"/>
    <mergeCell ref="P811:Q811"/>
    <mergeCell ref="A812:A815"/>
    <mergeCell ref="B812:B815"/>
    <mergeCell ref="C812:C815"/>
    <mergeCell ref="D812:D815"/>
    <mergeCell ref="F812:G812"/>
    <mergeCell ref="H812:I812"/>
    <mergeCell ref="H822:I822"/>
    <mergeCell ref="J822:K822"/>
    <mergeCell ref="N822:O822"/>
    <mergeCell ref="P822:Q822"/>
    <mergeCell ref="N821:O821"/>
    <mergeCell ref="P821:Q821"/>
    <mergeCell ref="F822:G822"/>
    <mergeCell ref="Z820:Z823"/>
    <mergeCell ref="J820:K820"/>
    <mergeCell ref="N820:O820"/>
    <mergeCell ref="P820:Q820"/>
    <mergeCell ref="V820:V823"/>
    <mergeCell ref="X820:X823"/>
    <mergeCell ref="A820:A823"/>
    <mergeCell ref="B820:B823"/>
    <mergeCell ref="C820:C823"/>
    <mergeCell ref="D820:D823"/>
    <mergeCell ref="F820:G820"/>
    <mergeCell ref="H820:I820"/>
    <mergeCell ref="P817:Q817"/>
    <mergeCell ref="F818:G818"/>
    <mergeCell ref="Z816:Z819"/>
    <mergeCell ref="J816:K816"/>
    <mergeCell ref="N816:O816"/>
    <mergeCell ref="P816:Q816"/>
    <mergeCell ref="V816:V819"/>
    <mergeCell ref="X816:X819"/>
    <mergeCell ref="J818:K818"/>
    <mergeCell ref="N818:O818"/>
    <mergeCell ref="P818:Q818"/>
    <mergeCell ref="A816:A819"/>
    <mergeCell ref="B816:B819"/>
    <mergeCell ref="C816:C819"/>
    <mergeCell ref="D816:D819"/>
    <mergeCell ref="H800:I800"/>
    <mergeCell ref="H802:I802"/>
    <mergeCell ref="F803:G803"/>
    <mergeCell ref="H803:I803"/>
    <mergeCell ref="F809:G809"/>
    <mergeCell ref="H809:I809"/>
    <mergeCell ref="J809:K809"/>
    <mergeCell ref="N809:O809"/>
    <mergeCell ref="P809:Q809"/>
    <mergeCell ref="F810:G810"/>
    <mergeCell ref="Z808:Z811"/>
    <mergeCell ref="J808:K808"/>
    <mergeCell ref="N808:O808"/>
    <mergeCell ref="P808:Q808"/>
    <mergeCell ref="V808:V811"/>
    <mergeCell ref="X808:X811"/>
    <mergeCell ref="J810:K810"/>
    <mergeCell ref="N810:O810"/>
    <mergeCell ref="P810:Q810"/>
    <mergeCell ref="A808:A811"/>
    <mergeCell ref="B808:B811"/>
    <mergeCell ref="C808:C811"/>
    <mergeCell ref="D808:D811"/>
    <mergeCell ref="F808:G808"/>
    <mergeCell ref="H808:I808"/>
    <mergeCell ref="H810:I810"/>
    <mergeCell ref="F811:G811"/>
    <mergeCell ref="H811:I811"/>
    <mergeCell ref="H806:I806"/>
    <mergeCell ref="J806:K806"/>
    <mergeCell ref="N806:O806"/>
    <mergeCell ref="P806:Q806"/>
    <mergeCell ref="F807:G807"/>
    <mergeCell ref="H807:I807"/>
    <mergeCell ref="J807:K807"/>
    <mergeCell ref="N807:O807"/>
    <mergeCell ref="P807:Q807"/>
    <mergeCell ref="F806:G806"/>
    <mergeCell ref="Z804:Z807"/>
    <mergeCell ref="J804:K804"/>
    <mergeCell ref="N804:O804"/>
    <mergeCell ref="P804:Q804"/>
    <mergeCell ref="V804:V807"/>
    <mergeCell ref="X804:X807"/>
    <mergeCell ref="H798:I798"/>
    <mergeCell ref="J798:K798"/>
    <mergeCell ref="N798:O798"/>
    <mergeCell ref="P798:Q798"/>
    <mergeCell ref="F799:G799"/>
    <mergeCell ref="H799:I799"/>
    <mergeCell ref="J799:K799"/>
    <mergeCell ref="N799:O799"/>
    <mergeCell ref="P799:Q799"/>
    <mergeCell ref="F797:G797"/>
    <mergeCell ref="H797:I797"/>
    <mergeCell ref="J797:K797"/>
    <mergeCell ref="N797:O797"/>
    <mergeCell ref="P797:Q797"/>
    <mergeCell ref="F798:G798"/>
    <mergeCell ref="Z796:Z799"/>
    <mergeCell ref="J796:K796"/>
    <mergeCell ref="N796:O796"/>
    <mergeCell ref="P796:Q796"/>
    <mergeCell ref="V796:V799"/>
    <mergeCell ref="X796:X799"/>
    <mergeCell ref="J795:K795"/>
    <mergeCell ref="N795:O795"/>
    <mergeCell ref="P795:Q795"/>
    <mergeCell ref="A796:A799"/>
    <mergeCell ref="B796:B799"/>
    <mergeCell ref="C796:C799"/>
    <mergeCell ref="D796:D799"/>
    <mergeCell ref="F796:G796"/>
    <mergeCell ref="H796:I796"/>
    <mergeCell ref="F805:G805"/>
    <mergeCell ref="H805:I805"/>
    <mergeCell ref="J805:K805"/>
    <mergeCell ref="N805:O805"/>
    <mergeCell ref="P805:Q805"/>
    <mergeCell ref="J803:K803"/>
    <mergeCell ref="N803:O803"/>
    <mergeCell ref="P803:Q803"/>
    <mergeCell ref="A804:A807"/>
    <mergeCell ref="B804:B807"/>
    <mergeCell ref="C804:C807"/>
    <mergeCell ref="D804:D807"/>
    <mergeCell ref="F804:G804"/>
    <mergeCell ref="H804:I804"/>
    <mergeCell ref="F801:G801"/>
    <mergeCell ref="H801:I801"/>
    <mergeCell ref="J801:K801"/>
    <mergeCell ref="N801:O801"/>
    <mergeCell ref="P801:Q801"/>
    <mergeCell ref="F802:G802"/>
    <mergeCell ref="Z800:Z803"/>
    <mergeCell ref="J800:K800"/>
    <mergeCell ref="N800:O800"/>
    <mergeCell ref="P800:Q800"/>
    <mergeCell ref="V800:V803"/>
    <mergeCell ref="X800:X803"/>
    <mergeCell ref="J802:K802"/>
    <mergeCell ref="N802:O802"/>
    <mergeCell ref="P802:Q802"/>
    <mergeCell ref="A800:A803"/>
    <mergeCell ref="B800:B803"/>
    <mergeCell ref="C800:C803"/>
    <mergeCell ref="D800:D803"/>
    <mergeCell ref="F800:G800"/>
    <mergeCell ref="H778:I778"/>
    <mergeCell ref="H780:I780"/>
    <mergeCell ref="F781:G781"/>
    <mergeCell ref="H781:I781"/>
    <mergeCell ref="F793:G793"/>
    <mergeCell ref="H793:I793"/>
    <mergeCell ref="J793:K793"/>
    <mergeCell ref="N793:O793"/>
    <mergeCell ref="P793:Q793"/>
    <mergeCell ref="F794:G794"/>
    <mergeCell ref="Z792:Z795"/>
    <mergeCell ref="J792:K792"/>
    <mergeCell ref="N792:O792"/>
    <mergeCell ref="P792:Q792"/>
    <mergeCell ref="V792:V795"/>
    <mergeCell ref="X792:X795"/>
    <mergeCell ref="J794:K794"/>
    <mergeCell ref="N794:O794"/>
    <mergeCell ref="P794:Q794"/>
    <mergeCell ref="A792:A795"/>
    <mergeCell ref="B792:B795"/>
    <mergeCell ref="C792:C795"/>
    <mergeCell ref="D792:D795"/>
    <mergeCell ref="F792:G792"/>
    <mergeCell ref="H792:I792"/>
    <mergeCell ref="H794:I794"/>
    <mergeCell ref="F795:G795"/>
    <mergeCell ref="H795:I795"/>
    <mergeCell ref="H784:I784"/>
    <mergeCell ref="J784:K784"/>
    <mergeCell ref="N784:O784"/>
    <mergeCell ref="P784:Q784"/>
    <mergeCell ref="F785:G785"/>
    <mergeCell ref="H785:I785"/>
    <mergeCell ref="J785:K785"/>
    <mergeCell ref="N785:O785"/>
    <mergeCell ref="P785:Q785"/>
    <mergeCell ref="S790:W790"/>
    <mergeCell ref="B791:D791"/>
    <mergeCell ref="E791:Q791"/>
    <mergeCell ref="F784:G784"/>
    <mergeCell ref="Z782:Z785"/>
    <mergeCell ref="J782:K782"/>
    <mergeCell ref="N782:O782"/>
    <mergeCell ref="P782:Q782"/>
    <mergeCell ref="V782:V785"/>
    <mergeCell ref="X782:X785"/>
    <mergeCell ref="H776:I776"/>
    <mergeCell ref="J776:K776"/>
    <mergeCell ref="N776:O776"/>
    <mergeCell ref="P776:Q776"/>
    <mergeCell ref="F777:G777"/>
    <mergeCell ref="H777:I777"/>
    <mergeCell ref="J777:K777"/>
    <mergeCell ref="N777:O777"/>
    <mergeCell ref="P777:Q777"/>
    <mergeCell ref="F775:G775"/>
    <mergeCell ref="H775:I775"/>
    <mergeCell ref="J775:K775"/>
    <mergeCell ref="N775:O775"/>
    <mergeCell ref="P775:Q775"/>
    <mergeCell ref="F776:G776"/>
    <mergeCell ref="Z774:Z777"/>
    <mergeCell ref="J774:K774"/>
    <mergeCell ref="N774:O774"/>
    <mergeCell ref="P774:Q774"/>
    <mergeCell ref="V774:V777"/>
    <mergeCell ref="X774:X777"/>
    <mergeCell ref="J773:K773"/>
    <mergeCell ref="N773:O773"/>
    <mergeCell ref="P773:Q773"/>
    <mergeCell ref="A774:A777"/>
    <mergeCell ref="B774:B777"/>
    <mergeCell ref="C774:C777"/>
    <mergeCell ref="D774:D777"/>
    <mergeCell ref="F774:G774"/>
    <mergeCell ref="H774:I774"/>
    <mergeCell ref="F783:G783"/>
    <mergeCell ref="H783:I783"/>
    <mergeCell ref="J783:K783"/>
    <mergeCell ref="N783:O783"/>
    <mergeCell ref="P783:Q783"/>
    <mergeCell ref="J781:K781"/>
    <mergeCell ref="N781:O781"/>
    <mergeCell ref="P781:Q781"/>
    <mergeCell ref="A782:A785"/>
    <mergeCell ref="B782:B785"/>
    <mergeCell ref="C782:C785"/>
    <mergeCell ref="D782:D785"/>
    <mergeCell ref="F782:G782"/>
    <mergeCell ref="H782:I782"/>
    <mergeCell ref="F779:G779"/>
    <mergeCell ref="H779:I779"/>
    <mergeCell ref="J779:K779"/>
    <mergeCell ref="N779:O779"/>
    <mergeCell ref="P779:Q779"/>
    <mergeCell ref="F780:G780"/>
    <mergeCell ref="Z778:Z781"/>
    <mergeCell ref="J778:K778"/>
    <mergeCell ref="N778:O778"/>
    <mergeCell ref="P778:Q778"/>
    <mergeCell ref="V778:V781"/>
    <mergeCell ref="X778:X781"/>
    <mergeCell ref="J780:K780"/>
    <mergeCell ref="N780:O780"/>
    <mergeCell ref="P780:Q780"/>
    <mergeCell ref="A778:A781"/>
    <mergeCell ref="B778:B781"/>
    <mergeCell ref="C778:C781"/>
    <mergeCell ref="D778:D781"/>
    <mergeCell ref="F778:G778"/>
    <mergeCell ref="H762:I762"/>
    <mergeCell ref="H764:I764"/>
    <mergeCell ref="F765:G765"/>
    <mergeCell ref="H765:I765"/>
    <mergeCell ref="F771:G771"/>
    <mergeCell ref="H771:I771"/>
    <mergeCell ref="J771:K771"/>
    <mergeCell ref="N771:O771"/>
    <mergeCell ref="P771:Q771"/>
    <mergeCell ref="F772:G772"/>
    <mergeCell ref="Z770:Z773"/>
    <mergeCell ref="J770:K770"/>
    <mergeCell ref="N770:O770"/>
    <mergeCell ref="P770:Q770"/>
    <mergeCell ref="V770:V773"/>
    <mergeCell ref="X770:X773"/>
    <mergeCell ref="J772:K772"/>
    <mergeCell ref="N772:O772"/>
    <mergeCell ref="P772:Q772"/>
    <mergeCell ref="A770:A773"/>
    <mergeCell ref="B770:B773"/>
    <mergeCell ref="C770:C773"/>
    <mergeCell ref="D770:D773"/>
    <mergeCell ref="F770:G770"/>
    <mergeCell ref="H770:I770"/>
    <mergeCell ref="H772:I772"/>
    <mergeCell ref="F773:G773"/>
    <mergeCell ref="H773:I773"/>
    <mergeCell ref="H768:I768"/>
    <mergeCell ref="J768:K768"/>
    <mergeCell ref="N768:O768"/>
    <mergeCell ref="P768:Q768"/>
    <mergeCell ref="F769:G769"/>
    <mergeCell ref="H769:I769"/>
    <mergeCell ref="J769:K769"/>
    <mergeCell ref="N769:O769"/>
    <mergeCell ref="P769:Q769"/>
    <mergeCell ref="F768:G768"/>
    <mergeCell ref="Z766:Z769"/>
    <mergeCell ref="J766:K766"/>
    <mergeCell ref="N766:O766"/>
    <mergeCell ref="P766:Q766"/>
    <mergeCell ref="V766:V769"/>
    <mergeCell ref="X766:X769"/>
    <mergeCell ref="H760:I760"/>
    <mergeCell ref="J760:K760"/>
    <mergeCell ref="N760:O760"/>
    <mergeCell ref="P760:Q760"/>
    <mergeCell ref="F761:G761"/>
    <mergeCell ref="H761:I761"/>
    <mergeCell ref="J761:K761"/>
    <mergeCell ref="N761:O761"/>
    <mergeCell ref="P761:Q761"/>
    <mergeCell ref="F759:G759"/>
    <mergeCell ref="H759:I759"/>
    <mergeCell ref="J759:K759"/>
    <mergeCell ref="N759:O759"/>
    <mergeCell ref="P759:Q759"/>
    <mergeCell ref="F760:G760"/>
    <mergeCell ref="Z758:Z761"/>
    <mergeCell ref="J758:K758"/>
    <mergeCell ref="N758:O758"/>
    <mergeCell ref="P758:Q758"/>
    <mergeCell ref="V758:V761"/>
    <mergeCell ref="X758:X761"/>
    <mergeCell ref="J757:K757"/>
    <mergeCell ref="N757:O757"/>
    <mergeCell ref="P757:Q757"/>
    <mergeCell ref="A758:A761"/>
    <mergeCell ref="B758:B761"/>
    <mergeCell ref="C758:C761"/>
    <mergeCell ref="D758:D761"/>
    <mergeCell ref="F758:G758"/>
    <mergeCell ref="H758:I758"/>
    <mergeCell ref="F767:G767"/>
    <mergeCell ref="H767:I767"/>
    <mergeCell ref="J767:K767"/>
    <mergeCell ref="N767:O767"/>
    <mergeCell ref="P767:Q767"/>
    <mergeCell ref="J765:K765"/>
    <mergeCell ref="N765:O765"/>
    <mergeCell ref="P765:Q765"/>
    <mergeCell ref="A766:A769"/>
    <mergeCell ref="B766:B769"/>
    <mergeCell ref="C766:C769"/>
    <mergeCell ref="D766:D769"/>
    <mergeCell ref="F766:G766"/>
    <mergeCell ref="H766:I766"/>
    <mergeCell ref="F763:G763"/>
    <mergeCell ref="H763:I763"/>
    <mergeCell ref="J763:K763"/>
    <mergeCell ref="N763:O763"/>
    <mergeCell ref="P763:Q763"/>
    <mergeCell ref="F764:G764"/>
    <mergeCell ref="Z762:Z765"/>
    <mergeCell ref="J762:K762"/>
    <mergeCell ref="N762:O762"/>
    <mergeCell ref="P762:Q762"/>
    <mergeCell ref="V762:V765"/>
    <mergeCell ref="X762:X765"/>
    <mergeCell ref="J764:K764"/>
    <mergeCell ref="N764:O764"/>
    <mergeCell ref="P764:Q764"/>
    <mergeCell ref="A762:A765"/>
    <mergeCell ref="B762:B765"/>
    <mergeCell ref="C762:C765"/>
    <mergeCell ref="D762:D765"/>
    <mergeCell ref="F762:G762"/>
    <mergeCell ref="H746:I746"/>
    <mergeCell ref="H748:I748"/>
    <mergeCell ref="F749:G749"/>
    <mergeCell ref="H749:I749"/>
    <mergeCell ref="F755:G755"/>
    <mergeCell ref="H755:I755"/>
    <mergeCell ref="J755:K755"/>
    <mergeCell ref="N755:O755"/>
    <mergeCell ref="P755:Q755"/>
    <mergeCell ref="F756:G756"/>
    <mergeCell ref="Z754:Z757"/>
    <mergeCell ref="J754:K754"/>
    <mergeCell ref="N754:O754"/>
    <mergeCell ref="P754:Q754"/>
    <mergeCell ref="V754:V757"/>
    <mergeCell ref="X754:X757"/>
    <mergeCell ref="J756:K756"/>
    <mergeCell ref="N756:O756"/>
    <mergeCell ref="P756:Q756"/>
    <mergeCell ref="A754:A757"/>
    <mergeCell ref="B754:B757"/>
    <mergeCell ref="C754:C757"/>
    <mergeCell ref="D754:D757"/>
    <mergeCell ref="F754:G754"/>
    <mergeCell ref="H754:I754"/>
    <mergeCell ref="H756:I756"/>
    <mergeCell ref="F757:G757"/>
    <mergeCell ref="H757:I757"/>
    <mergeCell ref="H752:I752"/>
    <mergeCell ref="J752:K752"/>
    <mergeCell ref="N752:O752"/>
    <mergeCell ref="P752:Q752"/>
    <mergeCell ref="F753:G753"/>
    <mergeCell ref="H753:I753"/>
    <mergeCell ref="J753:K753"/>
    <mergeCell ref="N753:O753"/>
    <mergeCell ref="P753:Q753"/>
    <mergeCell ref="F752:G752"/>
    <mergeCell ref="Z750:Z753"/>
    <mergeCell ref="J750:K750"/>
    <mergeCell ref="N750:O750"/>
    <mergeCell ref="P750:Q750"/>
    <mergeCell ref="V750:V753"/>
    <mergeCell ref="X750:X753"/>
    <mergeCell ref="H738:I738"/>
    <mergeCell ref="J738:K738"/>
    <mergeCell ref="N738:O738"/>
    <mergeCell ref="P738:Q738"/>
    <mergeCell ref="F739:G739"/>
    <mergeCell ref="H739:I739"/>
    <mergeCell ref="J739:K739"/>
    <mergeCell ref="N739:O739"/>
    <mergeCell ref="P739:Q739"/>
    <mergeCell ref="F737:G737"/>
    <mergeCell ref="H737:I737"/>
    <mergeCell ref="J737:K737"/>
    <mergeCell ref="N737:O737"/>
    <mergeCell ref="P737:Q737"/>
    <mergeCell ref="F738:G738"/>
    <mergeCell ref="Z736:Z739"/>
    <mergeCell ref="J736:K736"/>
    <mergeCell ref="N736:O736"/>
    <mergeCell ref="P736:Q736"/>
    <mergeCell ref="V736:V739"/>
    <mergeCell ref="X736:X739"/>
    <mergeCell ref="J735:K735"/>
    <mergeCell ref="N735:O735"/>
    <mergeCell ref="P735:Q735"/>
    <mergeCell ref="A736:A739"/>
    <mergeCell ref="B736:B739"/>
    <mergeCell ref="C736:C739"/>
    <mergeCell ref="D736:D739"/>
    <mergeCell ref="F736:G736"/>
    <mergeCell ref="H736:I736"/>
    <mergeCell ref="F751:G751"/>
    <mergeCell ref="H751:I751"/>
    <mergeCell ref="J751:K751"/>
    <mergeCell ref="N751:O751"/>
    <mergeCell ref="P751:Q751"/>
    <mergeCell ref="J749:K749"/>
    <mergeCell ref="N749:O749"/>
    <mergeCell ref="P749:Q749"/>
    <mergeCell ref="A750:A753"/>
    <mergeCell ref="B750:B753"/>
    <mergeCell ref="C750:C753"/>
    <mergeCell ref="D750:D753"/>
    <mergeCell ref="F750:G750"/>
    <mergeCell ref="H750:I750"/>
    <mergeCell ref="F747:G747"/>
    <mergeCell ref="H747:I747"/>
    <mergeCell ref="J747:K747"/>
    <mergeCell ref="N747:O747"/>
    <mergeCell ref="P747:Q747"/>
    <mergeCell ref="F748:G748"/>
    <mergeCell ref="Z746:Z749"/>
    <mergeCell ref="J746:K746"/>
    <mergeCell ref="N746:O746"/>
    <mergeCell ref="P746:Q746"/>
    <mergeCell ref="V746:V749"/>
    <mergeCell ref="X746:X749"/>
    <mergeCell ref="J748:K748"/>
    <mergeCell ref="N748:O748"/>
    <mergeCell ref="P748:Q748"/>
    <mergeCell ref="A746:A749"/>
    <mergeCell ref="B746:B749"/>
    <mergeCell ref="C746:C749"/>
    <mergeCell ref="D746:D749"/>
    <mergeCell ref="F746:G746"/>
    <mergeCell ref="H724:I724"/>
    <mergeCell ref="H726:I726"/>
    <mergeCell ref="F727:G727"/>
    <mergeCell ref="H727:I727"/>
    <mergeCell ref="F733:G733"/>
    <mergeCell ref="H733:I733"/>
    <mergeCell ref="J733:K733"/>
    <mergeCell ref="N733:O733"/>
    <mergeCell ref="P733:Q733"/>
    <mergeCell ref="F734:G734"/>
    <mergeCell ref="Z732:Z735"/>
    <mergeCell ref="J732:K732"/>
    <mergeCell ref="N732:O732"/>
    <mergeCell ref="P732:Q732"/>
    <mergeCell ref="V732:V735"/>
    <mergeCell ref="X732:X735"/>
    <mergeCell ref="J734:K734"/>
    <mergeCell ref="N734:O734"/>
    <mergeCell ref="P734:Q734"/>
    <mergeCell ref="A732:A735"/>
    <mergeCell ref="B732:B735"/>
    <mergeCell ref="C732:C735"/>
    <mergeCell ref="D732:D735"/>
    <mergeCell ref="F732:G732"/>
    <mergeCell ref="H732:I732"/>
    <mergeCell ref="H734:I734"/>
    <mergeCell ref="F735:G735"/>
    <mergeCell ref="H735:I735"/>
    <mergeCell ref="H730:I730"/>
    <mergeCell ref="J730:K730"/>
    <mergeCell ref="N730:O730"/>
    <mergeCell ref="P730:Q730"/>
    <mergeCell ref="F731:G731"/>
    <mergeCell ref="H731:I731"/>
    <mergeCell ref="J731:K731"/>
    <mergeCell ref="N731:O731"/>
    <mergeCell ref="P731:Q731"/>
    <mergeCell ref="F730:G730"/>
    <mergeCell ref="Z728:Z731"/>
    <mergeCell ref="J728:K728"/>
    <mergeCell ref="N728:O728"/>
    <mergeCell ref="P728:Q728"/>
    <mergeCell ref="V728:V731"/>
    <mergeCell ref="X728:X731"/>
    <mergeCell ref="H722:I722"/>
    <mergeCell ref="J722:K722"/>
    <mergeCell ref="N722:O722"/>
    <mergeCell ref="P722:Q722"/>
    <mergeCell ref="F723:G723"/>
    <mergeCell ref="H723:I723"/>
    <mergeCell ref="J723:K723"/>
    <mergeCell ref="N723:O723"/>
    <mergeCell ref="P723:Q723"/>
    <mergeCell ref="F721:G721"/>
    <mergeCell ref="H721:I721"/>
    <mergeCell ref="J721:K721"/>
    <mergeCell ref="N721:O721"/>
    <mergeCell ref="P721:Q721"/>
    <mergeCell ref="F722:G722"/>
    <mergeCell ref="Z720:Z723"/>
    <mergeCell ref="J720:K720"/>
    <mergeCell ref="N720:O720"/>
    <mergeCell ref="P720:Q720"/>
    <mergeCell ref="V720:V723"/>
    <mergeCell ref="X720:X723"/>
    <mergeCell ref="J719:K719"/>
    <mergeCell ref="N719:O719"/>
    <mergeCell ref="P719:Q719"/>
    <mergeCell ref="A720:A723"/>
    <mergeCell ref="B720:B723"/>
    <mergeCell ref="C720:C723"/>
    <mergeCell ref="D720:D723"/>
    <mergeCell ref="F720:G720"/>
    <mergeCell ref="H720:I720"/>
    <mergeCell ref="F729:G729"/>
    <mergeCell ref="H729:I729"/>
    <mergeCell ref="J729:K729"/>
    <mergeCell ref="N729:O729"/>
    <mergeCell ref="P729:Q729"/>
    <mergeCell ref="J727:K727"/>
    <mergeCell ref="N727:O727"/>
    <mergeCell ref="P727:Q727"/>
    <mergeCell ref="A728:A731"/>
    <mergeCell ref="B728:B731"/>
    <mergeCell ref="C728:C731"/>
    <mergeCell ref="D728:D731"/>
    <mergeCell ref="F728:G728"/>
    <mergeCell ref="H728:I728"/>
    <mergeCell ref="F725:G725"/>
    <mergeCell ref="H725:I725"/>
    <mergeCell ref="J725:K725"/>
    <mergeCell ref="N725:O725"/>
    <mergeCell ref="P725:Q725"/>
    <mergeCell ref="F726:G726"/>
    <mergeCell ref="Z724:Z727"/>
    <mergeCell ref="J724:K724"/>
    <mergeCell ref="N724:O724"/>
    <mergeCell ref="P724:Q724"/>
    <mergeCell ref="V724:V727"/>
    <mergeCell ref="X724:X727"/>
    <mergeCell ref="J726:K726"/>
    <mergeCell ref="N726:O726"/>
    <mergeCell ref="P726:Q726"/>
    <mergeCell ref="A724:A727"/>
    <mergeCell ref="B724:B727"/>
    <mergeCell ref="C724:C727"/>
    <mergeCell ref="D724:D727"/>
    <mergeCell ref="F724:G724"/>
    <mergeCell ref="H708:I708"/>
    <mergeCell ref="H710:I710"/>
    <mergeCell ref="F711:G711"/>
    <mergeCell ref="H711:I711"/>
    <mergeCell ref="F717:G717"/>
    <mergeCell ref="H717:I717"/>
    <mergeCell ref="J717:K717"/>
    <mergeCell ref="N717:O717"/>
    <mergeCell ref="P717:Q717"/>
    <mergeCell ref="F718:G718"/>
    <mergeCell ref="Z716:Z719"/>
    <mergeCell ref="J716:K716"/>
    <mergeCell ref="N716:O716"/>
    <mergeCell ref="P716:Q716"/>
    <mergeCell ref="V716:V719"/>
    <mergeCell ref="X716:X719"/>
    <mergeCell ref="J718:K718"/>
    <mergeCell ref="N718:O718"/>
    <mergeCell ref="P718:Q718"/>
    <mergeCell ref="A716:A719"/>
    <mergeCell ref="B716:B719"/>
    <mergeCell ref="C716:C719"/>
    <mergeCell ref="D716:D719"/>
    <mergeCell ref="F716:G716"/>
    <mergeCell ref="H716:I716"/>
    <mergeCell ref="H718:I718"/>
    <mergeCell ref="F719:G719"/>
    <mergeCell ref="H719:I719"/>
    <mergeCell ref="H714:I714"/>
    <mergeCell ref="J714:K714"/>
    <mergeCell ref="N714:O714"/>
    <mergeCell ref="P714:Q714"/>
    <mergeCell ref="F715:G715"/>
    <mergeCell ref="H715:I715"/>
    <mergeCell ref="J715:K715"/>
    <mergeCell ref="N715:O715"/>
    <mergeCell ref="P715:Q715"/>
    <mergeCell ref="F714:G714"/>
    <mergeCell ref="Z712:Z715"/>
    <mergeCell ref="J712:K712"/>
    <mergeCell ref="N712:O712"/>
    <mergeCell ref="P712:Q712"/>
    <mergeCell ref="V712:V715"/>
    <mergeCell ref="X712:X715"/>
    <mergeCell ref="H706:I706"/>
    <mergeCell ref="J706:K706"/>
    <mergeCell ref="N706:O706"/>
    <mergeCell ref="P706:Q706"/>
    <mergeCell ref="F707:G707"/>
    <mergeCell ref="H707:I707"/>
    <mergeCell ref="J707:K707"/>
    <mergeCell ref="N707:O707"/>
    <mergeCell ref="P707:Q707"/>
    <mergeCell ref="F705:G705"/>
    <mergeCell ref="H705:I705"/>
    <mergeCell ref="J705:K705"/>
    <mergeCell ref="N705:O705"/>
    <mergeCell ref="P705:Q705"/>
    <mergeCell ref="F706:G706"/>
    <mergeCell ref="Z704:Z707"/>
    <mergeCell ref="J704:K704"/>
    <mergeCell ref="N704:O704"/>
    <mergeCell ref="P704:Q704"/>
    <mergeCell ref="V704:V707"/>
    <mergeCell ref="X704:X707"/>
    <mergeCell ref="J703:K703"/>
    <mergeCell ref="N703:O703"/>
    <mergeCell ref="P703:Q703"/>
    <mergeCell ref="A704:A707"/>
    <mergeCell ref="B704:B707"/>
    <mergeCell ref="C704:C707"/>
    <mergeCell ref="D704:D707"/>
    <mergeCell ref="F704:G704"/>
    <mergeCell ref="H704:I704"/>
    <mergeCell ref="F713:G713"/>
    <mergeCell ref="H713:I713"/>
    <mergeCell ref="J713:K713"/>
    <mergeCell ref="N713:O713"/>
    <mergeCell ref="P713:Q713"/>
    <mergeCell ref="J711:K711"/>
    <mergeCell ref="N711:O711"/>
    <mergeCell ref="P711:Q711"/>
    <mergeCell ref="A712:A715"/>
    <mergeCell ref="B712:B715"/>
    <mergeCell ref="C712:C715"/>
    <mergeCell ref="D712:D715"/>
    <mergeCell ref="F712:G712"/>
    <mergeCell ref="H712:I712"/>
    <mergeCell ref="F709:G709"/>
    <mergeCell ref="H709:I709"/>
    <mergeCell ref="J709:K709"/>
    <mergeCell ref="N709:O709"/>
    <mergeCell ref="P709:Q709"/>
    <mergeCell ref="F710:G710"/>
    <mergeCell ref="Z708:Z711"/>
    <mergeCell ref="J708:K708"/>
    <mergeCell ref="N708:O708"/>
    <mergeCell ref="P708:Q708"/>
    <mergeCell ref="V708:V711"/>
    <mergeCell ref="X708:X711"/>
    <mergeCell ref="J710:K710"/>
    <mergeCell ref="N710:O710"/>
    <mergeCell ref="P710:Q710"/>
    <mergeCell ref="A708:A711"/>
    <mergeCell ref="B708:B711"/>
    <mergeCell ref="C708:C711"/>
    <mergeCell ref="D708:D711"/>
    <mergeCell ref="F708:G708"/>
    <mergeCell ref="F701:G701"/>
    <mergeCell ref="H701:I701"/>
    <mergeCell ref="J701:K701"/>
    <mergeCell ref="N701:O701"/>
    <mergeCell ref="P701:Q701"/>
    <mergeCell ref="F702:G702"/>
    <mergeCell ref="Z700:Z703"/>
    <mergeCell ref="J700:K700"/>
    <mergeCell ref="N700:O700"/>
    <mergeCell ref="P700:Q700"/>
    <mergeCell ref="V700:V703"/>
    <mergeCell ref="X700:X703"/>
    <mergeCell ref="J702:K702"/>
    <mergeCell ref="N702:O702"/>
    <mergeCell ref="P702:Q702"/>
    <mergeCell ref="A700:A703"/>
    <mergeCell ref="B700:B703"/>
    <mergeCell ref="C700:C703"/>
    <mergeCell ref="D700:D703"/>
    <mergeCell ref="F700:G700"/>
    <mergeCell ref="H700:I700"/>
    <mergeCell ref="H702:I702"/>
    <mergeCell ref="F703:G703"/>
    <mergeCell ref="H703:I703"/>
    <mergeCell ref="Z690:Z693"/>
    <mergeCell ref="J690:K690"/>
    <mergeCell ref="N690:O690"/>
    <mergeCell ref="P690:Q690"/>
    <mergeCell ref="V690:V693"/>
    <mergeCell ref="X690:X693"/>
    <mergeCell ref="B697:C697"/>
    <mergeCell ref="F697:O697"/>
    <mergeCell ref="A698:D698"/>
    <mergeCell ref="E698:Q698"/>
    <mergeCell ref="A695:C695"/>
    <mergeCell ref="B696:C696"/>
    <mergeCell ref="F696:O696"/>
    <mergeCell ref="A690:A693"/>
    <mergeCell ref="B690:B693"/>
    <mergeCell ref="C690:C693"/>
    <mergeCell ref="D690:D693"/>
    <mergeCell ref="F690:G690"/>
    <mergeCell ref="H690:I690"/>
    <mergeCell ref="E695:I695"/>
    <mergeCell ref="Q695:V695"/>
    <mergeCell ref="Q696:W696"/>
    <mergeCell ref="L690:M690"/>
    <mergeCell ref="L691:M691"/>
    <mergeCell ref="L692:M692"/>
    <mergeCell ref="L693:M693"/>
    <mergeCell ref="L700:M700"/>
    <mergeCell ref="L701:M701"/>
    <mergeCell ref="L702:M702"/>
    <mergeCell ref="L703:M703"/>
    <mergeCell ref="Z686:Z689"/>
    <mergeCell ref="J686:K686"/>
    <mergeCell ref="N686:O686"/>
    <mergeCell ref="P686:Q686"/>
    <mergeCell ref="V686:V689"/>
    <mergeCell ref="X686:X689"/>
    <mergeCell ref="J688:K688"/>
    <mergeCell ref="N688:O688"/>
    <mergeCell ref="P688:Q688"/>
    <mergeCell ref="A686:A689"/>
    <mergeCell ref="B686:B689"/>
    <mergeCell ref="C686:C689"/>
    <mergeCell ref="D686:D689"/>
    <mergeCell ref="F686:G686"/>
    <mergeCell ref="H686:I686"/>
    <mergeCell ref="H688:I688"/>
    <mergeCell ref="F689:G689"/>
    <mergeCell ref="H689:I689"/>
    <mergeCell ref="H683:I683"/>
    <mergeCell ref="J683:K683"/>
    <mergeCell ref="N683:O683"/>
    <mergeCell ref="P683:Q683"/>
    <mergeCell ref="F684:G684"/>
    <mergeCell ref="Z682:Z685"/>
    <mergeCell ref="J682:K682"/>
    <mergeCell ref="N682:O682"/>
    <mergeCell ref="P682:Q682"/>
    <mergeCell ref="V682:V685"/>
    <mergeCell ref="X682:X685"/>
    <mergeCell ref="A682:A685"/>
    <mergeCell ref="B682:B685"/>
    <mergeCell ref="C682:C685"/>
    <mergeCell ref="D682:D685"/>
    <mergeCell ref="F682:G682"/>
    <mergeCell ref="H682:I682"/>
    <mergeCell ref="L687:M687"/>
    <mergeCell ref="L688:M688"/>
    <mergeCell ref="L689:M689"/>
    <mergeCell ref="Z678:Z681"/>
    <mergeCell ref="J678:K678"/>
    <mergeCell ref="N678:O678"/>
    <mergeCell ref="P678:Q678"/>
    <mergeCell ref="V678:V681"/>
    <mergeCell ref="X678:X681"/>
    <mergeCell ref="J680:K680"/>
    <mergeCell ref="N680:O680"/>
    <mergeCell ref="P680:Q680"/>
    <mergeCell ref="A678:A681"/>
    <mergeCell ref="B678:B681"/>
    <mergeCell ref="C678:C681"/>
    <mergeCell ref="D678:D681"/>
    <mergeCell ref="F678:G678"/>
    <mergeCell ref="H678:I678"/>
    <mergeCell ref="H680:I680"/>
    <mergeCell ref="F681:G681"/>
    <mergeCell ref="H681:I681"/>
    <mergeCell ref="H676:I676"/>
    <mergeCell ref="J676:K676"/>
    <mergeCell ref="N676:O676"/>
    <mergeCell ref="P676:Q676"/>
    <mergeCell ref="F677:G677"/>
    <mergeCell ref="H677:I677"/>
    <mergeCell ref="J677:K677"/>
    <mergeCell ref="N677:O677"/>
    <mergeCell ref="P677:Q677"/>
    <mergeCell ref="F675:G675"/>
    <mergeCell ref="H675:I675"/>
    <mergeCell ref="J675:K675"/>
    <mergeCell ref="N675:O675"/>
    <mergeCell ref="P675:Q675"/>
    <mergeCell ref="F676:G676"/>
    <mergeCell ref="Z674:Z677"/>
    <mergeCell ref="J674:K674"/>
    <mergeCell ref="N674:O674"/>
    <mergeCell ref="P674:Q674"/>
    <mergeCell ref="V674:V677"/>
    <mergeCell ref="X674:X677"/>
    <mergeCell ref="P679:Q679"/>
    <mergeCell ref="F667:G667"/>
    <mergeCell ref="H667:I667"/>
    <mergeCell ref="J667:K667"/>
    <mergeCell ref="N667:O667"/>
    <mergeCell ref="P667:Q667"/>
    <mergeCell ref="F668:G668"/>
    <mergeCell ref="Z666:Z669"/>
    <mergeCell ref="J666:K666"/>
    <mergeCell ref="N666:O666"/>
    <mergeCell ref="P666:Q666"/>
    <mergeCell ref="V666:V669"/>
    <mergeCell ref="X666:X669"/>
    <mergeCell ref="J665:K665"/>
    <mergeCell ref="N665:O665"/>
    <mergeCell ref="P665:Q665"/>
    <mergeCell ref="A666:A669"/>
    <mergeCell ref="B666:B669"/>
    <mergeCell ref="C666:C669"/>
    <mergeCell ref="D666:D669"/>
    <mergeCell ref="F666:G666"/>
    <mergeCell ref="H666:I666"/>
    <mergeCell ref="N673:O673"/>
    <mergeCell ref="P673:Q673"/>
    <mergeCell ref="A674:A677"/>
    <mergeCell ref="B674:B677"/>
    <mergeCell ref="C674:C677"/>
    <mergeCell ref="D674:D677"/>
    <mergeCell ref="F674:G674"/>
    <mergeCell ref="H674:I674"/>
    <mergeCell ref="F671:G671"/>
    <mergeCell ref="H671:I671"/>
    <mergeCell ref="J671:K671"/>
    <mergeCell ref="N671:O671"/>
    <mergeCell ref="P671:Q671"/>
    <mergeCell ref="F672:G672"/>
    <mergeCell ref="Z670:Z673"/>
    <mergeCell ref="J670:K670"/>
    <mergeCell ref="N670:O670"/>
    <mergeCell ref="P670:Q670"/>
    <mergeCell ref="V670:V673"/>
    <mergeCell ref="X670:X673"/>
    <mergeCell ref="J672:K672"/>
    <mergeCell ref="N672:O672"/>
    <mergeCell ref="P672:Q672"/>
    <mergeCell ref="A670:A673"/>
    <mergeCell ref="B670:B673"/>
    <mergeCell ref="C670:C673"/>
    <mergeCell ref="D670:D673"/>
    <mergeCell ref="F670:G670"/>
    <mergeCell ref="H670:I670"/>
    <mergeCell ref="H672:I672"/>
    <mergeCell ref="F673:G673"/>
    <mergeCell ref="H673:I673"/>
    <mergeCell ref="P669:Q669"/>
    <mergeCell ref="F663:G663"/>
    <mergeCell ref="H663:I663"/>
    <mergeCell ref="J663:K663"/>
    <mergeCell ref="N663:O663"/>
    <mergeCell ref="P663:Q663"/>
    <mergeCell ref="F664:G664"/>
    <mergeCell ref="Z662:Z665"/>
    <mergeCell ref="J662:K662"/>
    <mergeCell ref="N662:O662"/>
    <mergeCell ref="P662:Q662"/>
    <mergeCell ref="V662:V665"/>
    <mergeCell ref="X662:X665"/>
    <mergeCell ref="J664:K664"/>
    <mergeCell ref="N664:O664"/>
    <mergeCell ref="P664:Q664"/>
    <mergeCell ref="A662:A665"/>
    <mergeCell ref="B662:B665"/>
    <mergeCell ref="C662:C665"/>
    <mergeCell ref="D662:D665"/>
    <mergeCell ref="F662:G662"/>
    <mergeCell ref="H662:I662"/>
    <mergeCell ref="H664:I664"/>
    <mergeCell ref="F665:G665"/>
    <mergeCell ref="H665:I665"/>
    <mergeCell ref="H660:I660"/>
    <mergeCell ref="J660:K660"/>
    <mergeCell ref="N660:O660"/>
    <mergeCell ref="P660:Q660"/>
    <mergeCell ref="F661:G661"/>
    <mergeCell ref="H661:I661"/>
    <mergeCell ref="J661:K661"/>
    <mergeCell ref="N661:O661"/>
    <mergeCell ref="P661:Q661"/>
    <mergeCell ref="S652:W652"/>
    <mergeCell ref="B653:D653"/>
    <mergeCell ref="E653:Q653"/>
    <mergeCell ref="B651:C651"/>
    <mergeCell ref="F651:O651"/>
    <mergeCell ref="A652:D652"/>
    <mergeCell ref="E652:Q652"/>
    <mergeCell ref="F645:G645"/>
    <mergeCell ref="H645:I645"/>
    <mergeCell ref="J645:K645"/>
    <mergeCell ref="N645:O645"/>
    <mergeCell ref="P645:Q645"/>
    <mergeCell ref="F646:G646"/>
    <mergeCell ref="Z644:Z647"/>
    <mergeCell ref="J644:K644"/>
    <mergeCell ref="N644:O644"/>
    <mergeCell ref="P644:Q644"/>
    <mergeCell ref="V644:V647"/>
    <mergeCell ref="X644:X647"/>
    <mergeCell ref="F659:G659"/>
    <mergeCell ref="H659:I659"/>
    <mergeCell ref="J659:K659"/>
    <mergeCell ref="N659:O659"/>
    <mergeCell ref="P659:Q659"/>
    <mergeCell ref="F660:G660"/>
    <mergeCell ref="Z658:Z661"/>
    <mergeCell ref="J658:K658"/>
    <mergeCell ref="N658:O658"/>
    <mergeCell ref="P658:Q658"/>
    <mergeCell ref="V658:V661"/>
    <mergeCell ref="X658:X661"/>
    <mergeCell ref="J657:K657"/>
    <mergeCell ref="N657:O657"/>
    <mergeCell ref="P657:Q657"/>
    <mergeCell ref="A658:A661"/>
    <mergeCell ref="B658:B661"/>
    <mergeCell ref="C658:C661"/>
    <mergeCell ref="D658:D661"/>
    <mergeCell ref="F658:G658"/>
    <mergeCell ref="H658:I658"/>
    <mergeCell ref="F655:G655"/>
    <mergeCell ref="H655:I655"/>
    <mergeCell ref="J655:K655"/>
    <mergeCell ref="N655:O655"/>
    <mergeCell ref="P655:Q655"/>
    <mergeCell ref="F656:G656"/>
    <mergeCell ref="Z654:Z657"/>
    <mergeCell ref="J654:K654"/>
    <mergeCell ref="N654:O654"/>
    <mergeCell ref="P654:Q654"/>
    <mergeCell ref="V654:V657"/>
    <mergeCell ref="X654:X657"/>
    <mergeCell ref="J656:K656"/>
    <mergeCell ref="N656:O656"/>
    <mergeCell ref="P656:Q656"/>
    <mergeCell ref="A654:A657"/>
    <mergeCell ref="B654:B657"/>
    <mergeCell ref="C654:C657"/>
    <mergeCell ref="D654:D657"/>
    <mergeCell ref="F654:G654"/>
    <mergeCell ref="H654:I654"/>
    <mergeCell ref="H656:I656"/>
    <mergeCell ref="F657:G657"/>
    <mergeCell ref="H657:I657"/>
    <mergeCell ref="A644:A647"/>
    <mergeCell ref="B644:B647"/>
    <mergeCell ref="C644:C647"/>
    <mergeCell ref="D644:D647"/>
    <mergeCell ref="F644:G644"/>
    <mergeCell ref="H644:I644"/>
    <mergeCell ref="F641:G641"/>
    <mergeCell ref="H641:I641"/>
    <mergeCell ref="J641:K641"/>
    <mergeCell ref="N641:O641"/>
    <mergeCell ref="P641:Q641"/>
    <mergeCell ref="F642:G642"/>
    <mergeCell ref="Z640:Z643"/>
    <mergeCell ref="J640:K640"/>
    <mergeCell ref="N640:O640"/>
    <mergeCell ref="P640:Q640"/>
    <mergeCell ref="V640:V643"/>
    <mergeCell ref="X640:X643"/>
    <mergeCell ref="J642:K642"/>
    <mergeCell ref="N642:O642"/>
    <mergeCell ref="P642:Q642"/>
    <mergeCell ref="A640:A643"/>
    <mergeCell ref="B640:B643"/>
    <mergeCell ref="C640:C643"/>
    <mergeCell ref="D640:D643"/>
    <mergeCell ref="F640:G640"/>
    <mergeCell ref="H640:I640"/>
    <mergeCell ref="H642:I642"/>
    <mergeCell ref="F643:G643"/>
    <mergeCell ref="H643:I643"/>
    <mergeCell ref="H646:I646"/>
    <mergeCell ref="J646:K646"/>
    <mergeCell ref="N646:O646"/>
    <mergeCell ref="P646:Q646"/>
    <mergeCell ref="F647:G647"/>
    <mergeCell ref="H647:I647"/>
    <mergeCell ref="J647:K647"/>
    <mergeCell ref="N647:O647"/>
    <mergeCell ref="P647:Q647"/>
    <mergeCell ref="L640:M640"/>
    <mergeCell ref="L641:M641"/>
    <mergeCell ref="L642:M642"/>
    <mergeCell ref="L643:M643"/>
    <mergeCell ref="L644:M644"/>
    <mergeCell ref="L645:M645"/>
    <mergeCell ref="L646:M646"/>
    <mergeCell ref="L647:M647"/>
    <mergeCell ref="H638:I638"/>
    <mergeCell ref="J638:K638"/>
    <mergeCell ref="N638:O638"/>
    <mergeCell ref="P638:Q638"/>
    <mergeCell ref="F639:G639"/>
    <mergeCell ref="H639:I639"/>
    <mergeCell ref="J639:K639"/>
    <mergeCell ref="N639:O639"/>
    <mergeCell ref="P639:Q639"/>
    <mergeCell ref="F637:G637"/>
    <mergeCell ref="H637:I637"/>
    <mergeCell ref="J637:K637"/>
    <mergeCell ref="N637:O637"/>
    <mergeCell ref="P637:Q637"/>
    <mergeCell ref="F638:G638"/>
    <mergeCell ref="Z636:Z639"/>
    <mergeCell ref="J636:K636"/>
    <mergeCell ref="N636:O636"/>
    <mergeCell ref="P636:Q636"/>
    <mergeCell ref="V636:V639"/>
    <mergeCell ref="X636:X639"/>
    <mergeCell ref="J635:K635"/>
    <mergeCell ref="N635:O635"/>
    <mergeCell ref="P635:Q635"/>
    <mergeCell ref="A636:A639"/>
    <mergeCell ref="B636:B639"/>
    <mergeCell ref="C636:C639"/>
    <mergeCell ref="D636:D639"/>
    <mergeCell ref="F636:G636"/>
    <mergeCell ref="H636:I636"/>
    <mergeCell ref="J643:K643"/>
    <mergeCell ref="N643:O643"/>
    <mergeCell ref="P643:Q643"/>
    <mergeCell ref="L635:M635"/>
    <mergeCell ref="L636:M636"/>
    <mergeCell ref="L637:M637"/>
    <mergeCell ref="L638:M638"/>
    <mergeCell ref="L639:M639"/>
    <mergeCell ref="H624:I624"/>
    <mergeCell ref="H626:I626"/>
    <mergeCell ref="F627:G627"/>
    <mergeCell ref="H627:I627"/>
    <mergeCell ref="F633:G633"/>
    <mergeCell ref="H633:I633"/>
    <mergeCell ref="J633:K633"/>
    <mergeCell ref="N633:O633"/>
    <mergeCell ref="P633:Q633"/>
    <mergeCell ref="F634:G634"/>
    <mergeCell ref="Z632:Z635"/>
    <mergeCell ref="J632:K632"/>
    <mergeCell ref="N632:O632"/>
    <mergeCell ref="P632:Q632"/>
    <mergeCell ref="V632:V635"/>
    <mergeCell ref="X632:X635"/>
    <mergeCell ref="J634:K634"/>
    <mergeCell ref="N634:O634"/>
    <mergeCell ref="P634:Q634"/>
    <mergeCell ref="A632:A635"/>
    <mergeCell ref="B632:B635"/>
    <mergeCell ref="C632:C635"/>
    <mergeCell ref="D632:D635"/>
    <mergeCell ref="F632:G632"/>
    <mergeCell ref="H632:I632"/>
    <mergeCell ref="H634:I634"/>
    <mergeCell ref="F635:G635"/>
    <mergeCell ref="H635:I635"/>
    <mergeCell ref="H630:I630"/>
    <mergeCell ref="J630:K630"/>
    <mergeCell ref="N630:O630"/>
    <mergeCell ref="P630:Q630"/>
    <mergeCell ref="F631:G631"/>
    <mergeCell ref="H631:I631"/>
    <mergeCell ref="J631:K631"/>
    <mergeCell ref="N631:O631"/>
    <mergeCell ref="P631:Q631"/>
    <mergeCell ref="F630:G630"/>
    <mergeCell ref="Z628:Z631"/>
    <mergeCell ref="J628:K628"/>
    <mergeCell ref="N628:O628"/>
    <mergeCell ref="P628:Q628"/>
    <mergeCell ref="V628:V631"/>
    <mergeCell ref="X628:X631"/>
    <mergeCell ref="L630:M630"/>
    <mergeCell ref="L631:M631"/>
    <mergeCell ref="L632:M632"/>
    <mergeCell ref="L633:M633"/>
    <mergeCell ref="L634:M634"/>
    <mergeCell ref="H622:I622"/>
    <mergeCell ref="J622:K622"/>
    <mergeCell ref="N622:O622"/>
    <mergeCell ref="P622:Q622"/>
    <mergeCell ref="F623:G623"/>
    <mergeCell ref="H623:I623"/>
    <mergeCell ref="J623:K623"/>
    <mergeCell ref="N623:O623"/>
    <mergeCell ref="P623:Q623"/>
    <mergeCell ref="F621:G621"/>
    <mergeCell ref="H621:I621"/>
    <mergeCell ref="J621:K621"/>
    <mergeCell ref="N621:O621"/>
    <mergeCell ref="P621:Q621"/>
    <mergeCell ref="F622:G622"/>
    <mergeCell ref="Z620:Z623"/>
    <mergeCell ref="J620:K620"/>
    <mergeCell ref="N620:O620"/>
    <mergeCell ref="P620:Q620"/>
    <mergeCell ref="V620:V623"/>
    <mergeCell ref="X620:X623"/>
    <mergeCell ref="J619:K619"/>
    <mergeCell ref="N619:O619"/>
    <mergeCell ref="P619:Q619"/>
    <mergeCell ref="A620:A623"/>
    <mergeCell ref="B620:B623"/>
    <mergeCell ref="C620:C623"/>
    <mergeCell ref="D620:D623"/>
    <mergeCell ref="F620:G620"/>
    <mergeCell ref="H620:I620"/>
    <mergeCell ref="F629:G629"/>
    <mergeCell ref="H629:I629"/>
    <mergeCell ref="J629:K629"/>
    <mergeCell ref="N629:O629"/>
    <mergeCell ref="P629:Q629"/>
    <mergeCell ref="J627:K627"/>
    <mergeCell ref="N627:O627"/>
    <mergeCell ref="P627:Q627"/>
    <mergeCell ref="A628:A631"/>
    <mergeCell ref="B628:B631"/>
    <mergeCell ref="C628:C631"/>
    <mergeCell ref="D628:D631"/>
    <mergeCell ref="F628:G628"/>
    <mergeCell ref="H628:I628"/>
    <mergeCell ref="F625:G625"/>
    <mergeCell ref="H625:I625"/>
    <mergeCell ref="J625:K625"/>
    <mergeCell ref="N625:O625"/>
    <mergeCell ref="P625:Q625"/>
    <mergeCell ref="F626:G626"/>
    <mergeCell ref="Z624:Z627"/>
    <mergeCell ref="J624:K624"/>
    <mergeCell ref="N624:O624"/>
    <mergeCell ref="P624:Q624"/>
    <mergeCell ref="V624:V627"/>
    <mergeCell ref="X624:X627"/>
    <mergeCell ref="J626:K626"/>
    <mergeCell ref="N626:O626"/>
    <mergeCell ref="P626:Q626"/>
    <mergeCell ref="A624:A627"/>
    <mergeCell ref="B624:B627"/>
    <mergeCell ref="C624:C627"/>
    <mergeCell ref="D624:D627"/>
    <mergeCell ref="F624:G624"/>
    <mergeCell ref="F617:G617"/>
    <mergeCell ref="H617:I617"/>
    <mergeCell ref="J617:K617"/>
    <mergeCell ref="N617:O617"/>
    <mergeCell ref="P617:Q617"/>
    <mergeCell ref="F618:G618"/>
    <mergeCell ref="Z616:Z619"/>
    <mergeCell ref="J616:K616"/>
    <mergeCell ref="N616:O616"/>
    <mergeCell ref="P616:Q616"/>
    <mergeCell ref="V616:V619"/>
    <mergeCell ref="X616:X619"/>
    <mergeCell ref="J618:K618"/>
    <mergeCell ref="N618:O618"/>
    <mergeCell ref="P618:Q618"/>
    <mergeCell ref="A616:A619"/>
    <mergeCell ref="B616:B619"/>
    <mergeCell ref="C616:C619"/>
    <mergeCell ref="D616:D619"/>
    <mergeCell ref="F616:G616"/>
    <mergeCell ref="H616:I616"/>
    <mergeCell ref="H618:I618"/>
    <mergeCell ref="F619:G619"/>
    <mergeCell ref="H619:I619"/>
    <mergeCell ref="H614:I614"/>
    <mergeCell ref="J614:K614"/>
    <mergeCell ref="N614:O614"/>
    <mergeCell ref="P614:Q614"/>
    <mergeCell ref="F615:G615"/>
    <mergeCell ref="H615:I615"/>
    <mergeCell ref="J615:K615"/>
    <mergeCell ref="N615:O615"/>
    <mergeCell ref="P615:Q615"/>
    <mergeCell ref="F613:G613"/>
    <mergeCell ref="H613:I613"/>
    <mergeCell ref="J613:K613"/>
    <mergeCell ref="N613:O613"/>
    <mergeCell ref="P613:Q613"/>
    <mergeCell ref="F614:G614"/>
    <mergeCell ref="Z612:Z615"/>
    <mergeCell ref="J612:K612"/>
    <mergeCell ref="N612:O612"/>
    <mergeCell ref="P612:Q612"/>
    <mergeCell ref="V612:V615"/>
    <mergeCell ref="X612:X615"/>
    <mergeCell ref="J611:K611"/>
    <mergeCell ref="N611:O611"/>
    <mergeCell ref="P611:Q611"/>
    <mergeCell ref="A612:A615"/>
    <mergeCell ref="B612:B615"/>
    <mergeCell ref="C612:C615"/>
    <mergeCell ref="D612:D615"/>
    <mergeCell ref="F612:G612"/>
    <mergeCell ref="H612:I612"/>
    <mergeCell ref="F609:G609"/>
    <mergeCell ref="H609:I609"/>
    <mergeCell ref="J609:K609"/>
    <mergeCell ref="N609:O609"/>
    <mergeCell ref="P609:Q609"/>
    <mergeCell ref="F610:G610"/>
    <mergeCell ref="Z608:Z611"/>
    <mergeCell ref="J608:K608"/>
    <mergeCell ref="N608:O608"/>
    <mergeCell ref="P608:Q608"/>
    <mergeCell ref="V608:V611"/>
    <mergeCell ref="X608:X611"/>
    <mergeCell ref="J610:K610"/>
    <mergeCell ref="N610:O610"/>
    <mergeCell ref="P610:Q610"/>
    <mergeCell ref="A608:A611"/>
    <mergeCell ref="B608:B611"/>
    <mergeCell ref="C608:C611"/>
    <mergeCell ref="D608:D611"/>
    <mergeCell ref="F608:G608"/>
    <mergeCell ref="H608:I608"/>
    <mergeCell ref="H610:I610"/>
    <mergeCell ref="F611:G611"/>
    <mergeCell ref="H611:I611"/>
    <mergeCell ref="Z598:Z601"/>
    <mergeCell ref="J598:K598"/>
    <mergeCell ref="N598:O598"/>
    <mergeCell ref="P598:Q598"/>
    <mergeCell ref="V598:V601"/>
    <mergeCell ref="X598:X601"/>
    <mergeCell ref="J597:K597"/>
    <mergeCell ref="N597:O597"/>
    <mergeCell ref="P597:Q597"/>
    <mergeCell ref="A598:A601"/>
    <mergeCell ref="B598:B601"/>
    <mergeCell ref="C598:C601"/>
    <mergeCell ref="D598:D601"/>
    <mergeCell ref="F598:G598"/>
    <mergeCell ref="H598:I598"/>
    <mergeCell ref="F595:G595"/>
    <mergeCell ref="H595:I595"/>
    <mergeCell ref="J595:K595"/>
    <mergeCell ref="N595:O595"/>
    <mergeCell ref="P595:Q595"/>
    <mergeCell ref="F596:G596"/>
    <mergeCell ref="Z594:Z597"/>
    <mergeCell ref="J594:K594"/>
    <mergeCell ref="N594:O594"/>
    <mergeCell ref="P594:Q594"/>
    <mergeCell ref="V594:V597"/>
    <mergeCell ref="X594:X597"/>
    <mergeCell ref="J596:K596"/>
    <mergeCell ref="N596:O596"/>
    <mergeCell ref="P596:Q596"/>
    <mergeCell ref="A594:A597"/>
    <mergeCell ref="B594:B597"/>
    <mergeCell ref="C594:C597"/>
    <mergeCell ref="D594:D597"/>
    <mergeCell ref="F594:G594"/>
    <mergeCell ref="H594:I594"/>
    <mergeCell ref="H596:I596"/>
    <mergeCell ref="F597:G597"/>
    <mergeCell ref="H597:I597"/>
    <mergeCell ref="J585:K585"/>
    <mergeCell ref="N585:O585"/>
    <mergeCell ref="P585:Q585"/>
    <mergeCell ref="F583:G583"/>
    <mergeCell ref="H583:I583"/>
    <mergeCell ref="J583:K583"/>
    <mergeCell ref="N583:O583"/>
    <mergeCell ref="P583:Q583"/>
    <mergeCell ref="F584:G584"/>
    <mergeCell ref="Z582:Z585"/>
    <mergeCell ref="J582:K582"/>
    <mergeCell ref="N582:O582"/>
    <mergeCell ref="P582:Q582"/>
    <mergeCell ref="V582:V585"/>
    <mergeCell ref="X582:X585"/>
    <mergeCell ref="J581:K581"/>
    <mergeCell ref="N581:O581"/>
    <mergeCell ref="P581:Q581"/>
    <mergeCell ref="A582:A585"/>
    <mergeCell ref="B582:B585"/>
    <mergeCell ref="C582:C585"/>
    <mergeCell ref="D582:D585"/>
    <mergeCell ref="F582:G582"/>
    <mergeCell ref="H582:I582"/>
    <mergeCell ref="N591:O591"/>
    <mergeCell ref="P591:Q591"/>
    <mergeCell ref="F592:G592"/>
    <mergeCell ref="Z590:Z593"/>
    <mergeCell ref="J590:K590"/>
    <mergeCell ref="N590:O590"/>
    <mergeCell ref="P590:Q590"/>
    <mergeCell ref="V590:V593"/>
    <mergeCell ref="X590:X593"/>
    <mergeCell ref="J589:K589"/>
    <mergeCell ref="N589:O589"/>
    <mergeCell ref="P589:Q589"/>
    <mergeCell ref="A590:A593"/>
    <mergeCell ref="B590:B593"/>
    <mergeCell ref="C590:C593"/>
    <mergeCell ref="D590:D593"/>
    <mergeCell ref="F590:G590"/>
    <mergeCell ref="H590:I590"/>
    <mergeCell ref="F587:G587"/>
    <mergeCell ref="H587:I587"/>
    <mergeCell ref="J587:K587"/>
    <mergeCell ref="N587:O587"/>
    <mergeCell ref="P587:Q587"/>
    <mergeCell ref="F588:G588"/>
    <mergeCell ref="Z586:Z589"/>
    <mergeCell ref="J586:K586"/>
    <mergeCell ref="N586:O586"/>
    <mergeCell ref="P586:Q586"/>
    <mergeCell ref="V586:V589"/>
    <mergeCell ref="X586:X589"/>
    <mergeCell ref="J588:K588"/>
    <mergeCell ref="N588:O588"/>
    <mergeCell ref="P588:Q588"/>
    <mergeCell ref="A586:A589"/>
    <mergeCell ref="L585:M585"/>
    <mergeCell ref="L586:M586"/>
    <mergeCell ref="L587:M587"/>
    <mergeCell ref="L588:M588"/>
    <mergeCell ref="L589:M589"/>
    <mergeCell ref="L590:M590"/>
    <mergeCell ref="H570:I570"/>
    <mergeCell ref="H572:I572"/>
    <mergeCell ref="F573:G573"/>
    <mergeCell ref="H573:I573"/>
    <mergeCell ref="F579:G579"/>
    <mergeCell ref="H579:I579"/>
    <mergeCell ref="J579:K579"/>
    <mergeCell ref="N579:O579"/>
    <mergeCell ref="P579:Q579"/>
    <mergeCell ref="F580:G580"/>
    <mergeCell ref="Z578:Z581"/>
    <mergeCell ref="J578:K578"/>
    <mergeCell ref="N578:O578"/>
    <mergeCell ref="P578:Q578"/>
    <mergeCell ref="V578:V581"/>
    <mergeCell ref="X578:X581"/>
    <mergeCell ref="J580:K580"/>
    <mergeCell ref="N580:O580"/>
    <mergeCell ref="P580:Q580"/>
    <mergeCell ref="A578:A581"/>
    <mergeCell ref="B578:B581"/>
    <mergeCell ref="C578:C581"/>
    <mergeCell ref="D578:D581"/>
    <mergeCell ref="F578:G578"/>
    <mergeCell ref="H578:I578"/>
    <mergeCell ref="H580:I580"/>
    <mergeCell ref="F581:G581"/>
    <mergeCell ref="H581:I581"/>
    <mergeCell ref="H576:I576"/>
    <mergeCell ref="J576:K576"/>
    <mergeCell ref="N576:O576"/>
    <mergeCell ref="P576:Q576"/>
    <mergeCell ref="F577:G577"/>
    <mergeCell ref="H577:I577"/>
    <mergeCell ref="J577:K577"/>
    <mergeCell ref="N577:O577"/>
    <mergeCell ref="P577:Q577"/>
    <mergeCell ref="F576:G576"/>
    <mergeCell ref="Z574:Z577"/>
    <mergeCell ref="J574:K574"/>
    <mergeCell ref="N574:O574"/>
    <mergeCell ref="P574:Q574"/>
    <mergeCell ref="V574:V577"/>
    <mergeCell ref="X574:X577"/>
    <mergeCell ref="H568:I568"/>
    <mergeCell ref="J568:K568"/>
    <mergeCell ref="N568:O568"/>
    <mergeCell ref="P568:Q568"/>
    <mergeCell ref="F569:G569"/>
    <mergeCell ref="H569:I569"/>
    <mergeCell ref="J569:K569"/>
    <mergeCell ref="N569:O569"/>
    <mergeCell ref="P569:Q569"/>
    <mergeCell ref="F567:G567"/>
    <mergeCell ref="H567:I567"/>
    <mergeCell ref="J567:K567"/>
    <mergeCell ref="N567:O567"/>
    <mergeCell ref="P567:Q567"/>
    <mergeCell ref="F568:G568"/>
    <mergeCell ref="Z566:Z569"/>
    <mergeCell ref="J566:K566"/>
    <mergeCell ref="N566:O566"/>
    <mergeCell ref="P566:Q566"/>
    <mergeCell ref="V566:V569"/>
    <mergeCell ref="X566:X569"/>
    <mergeCell ref="J565:K565"/>
    <mergeCell ref="N565:O565"/>
    <mergeCell ref="P565:Q565"/>
    <mergeCell ref="A566:A569"/>
    <mergeCell ref="B566:B569"/>
    <mergeCell ref="C566:C569"/>
    <mergeCell ref="D566:D569"/>
    <mergeCell ref="F566:G566"/>
    <mergeCell ref="H566:I566"/>
    <mergeCell ref="F575:G575"/>
    <mergeCell ref="H575:I575"/>
    <mergeCell ref="J575:K575"/>
    <mergeCell ref="N575:O575"/>
    <mergeCell ref="P575:Q575"/>
    <mergeCell ref="J573:K573"/>
    <mergeCell ref="N573:O573"/>
    <mergeCell ref="P573:Q573"/>
    <mergeCell ref="A574:A577"/>
    <mergeCell ref="B574:B577"/>
    <mergeCell ref="C574:C577"/>
    <mergeCell ref="D574:D577"/>
    <mergeCell ref="F574:G574"/>
    <mergeCell ref="H574:I574"/>
    <mergeCell ref="F571:G571"/>
    <mergeCell ref="H571:I571"/>
    <mergeCell ref="J571:K571"/>
    <mergeCell ref="N571:O571"/>
    <mergeCell ref="P571:Q571"/>
    <mergeCell ref="F572:G572"/>
    <mergeCell ref="Z570:Z573"/>
    <mergeCell ref="J570:K570"/>
    <mergeCell ref="N570:O570"/>
    <mergeCell ref="P570:Q570"/>
    <mergeCell ref="V570:V573"/>
    <mergeCell ref="X570:X573"/>
    <mergeCell ref="J572:K572"/>
    <mergeCell ref="N572:O572"/>
    <mergeCell ref="P572:Q572"/>
    <mergeCell ref="A570:A573"/>
    <mergeCell ref="B570:B573"/>
    <mergeCell ref="C570:C573"/>
    <mergeCell ref="D570:D573"/>
    <mergeCell ref="F570:G570"/>
    <mergeCell ref="H548:I548"/>
    <mergeCell ref="H550:I550"/>
    <mergeCell ref="F551:G551"/>
    <mergeCell ref="H551:I551"/>
    <mergeCell ref="F563:G563"/>
    <mergeCell ref="H563:I563"/>
    <mergeCell ref="J563:K563"/>
    <mergeCell ref="N563:O563"/>
    <mergeCell ref="P563:Q563"/>
    <mergeCell ref="F564:G564"/>
    <mergeCell ref="Z562:Z565"/>
    <mergeCell ref="J562:K562"/>
    <mergeCell ref="N562:O562"/>
    <mergeCell ref="P562:Q562"/>
    <mergeCell ref="V562:V565"/>
    <mergeCell ref="X562:X565"/>
    <mergeCell ref="J564:K564"/>
    <mergeCell ref="N564:O564"/>
    <mergeCell ref="P564:Q564"/>
    <mergeCell ref="A562:A565"/>
    <mergeCell ref="B562:B565"/>
    <mergeCell ref="C562:C565"/>
    <mergeCell ref="D562:D565"/>
    <mergeCell ref="F562:G562"/>
    <mergeCell ref="H562:I562"/>
    <mergeCell ref="H564:I564"/>
    <mergeCell ref="F565:G565"/>
    <mergeCell ref="H565:I565"/>
    <mergeCell ref="H554:I554"/>
    <mergeCell ref="J554:K554"/>
    <mergeCell ref="N554:O554"/>
    <mergeCell ref="P554:Q554"/>
    <mergeCell ref="F555:G555"/>
    <mergeCell ref="H555:I555"/>
    <mergeCell ref="J555:K555"/>
    <mergeCell ref="N555:O555"/>
    <mergeCell ref="P555:Q555"/>
    <mergeCell ref="S560:W560"/>
    <mergeCell ref="B561:D561"/>
    <mergeCell ref="E561:Q561"/>
    <mergeCell ref="F554:G554"/>
    <mergeCell ref="Z552:Z555"/>
    <mergeCell ref="J552:K552"/>
    <mergeCell ref="N552:O552"/>
    <mergeCell ref="P552:Q552"/>
    <mergeCell ref="V552:V555"/>
    <mergeCell ref="X552:X555"/>
    <mergeCell ref="H546:I546"/>
    <mergeCell ref="J546:K546"/>
    <mergeCell ref="N546:O546"/>
    <mergeCell ref="P546:Q546"/>
    <mergeCell ref="F547:G547"/>
    <mergeCell ref="H547:I547"/>
    <mergeCell ref="J547:K547"/>
    <mergeCell ref="N547:O547"/>
    <mergeCell ref="P547:Q547"/>
    <mergeCell ref="F545:G545"/>
    <mergeCell ref="H545:I545"/>
    <mergeCell ref="J545:K545"/>
    <mergeCell ref="N545:O545"/>
    <mergeCell ref="P545:Q545"/>
    <mergeCell ref="F546:G546"/>
    <mergeCell ref="Z544:Z547"/>
    <mergeCell ref="J544:K544"/>
    <mergeCell ref="N544:O544"/>
    <mergeCell ref="P544:Q544"/>
    <mergeCell ref="V544:V547"/>
    <mergeCell ref="X544:X547"/>
    <mergeCell ref="J543:K543"/>
    <mergeCell ref="N543:O543"/>
    <mergeCell ref="P543:Q543"/>
    <mergeCell ref="A544:A547"/>
    <mergeCell ref="B544:B547"/>
    <mergeCell ref="C544:C547"/>
    <mergeCell ref="D544:D547"/>
    <mergeCell ref="F544:G544"/>
    <mergeCell ref="H544:I544"/>
    <mergeCell ref="F553:G553"/>
    <mergeCell ref="H553:I553"/>
    <mergeCell ref="J553:K553"/>
    <mergeCell ref="N553:O553"/>
    <mergeCell ref="P553:Q553"/>
    <mergeCell ref="J551:K551"/>
    <mergeCell ref="N551:O551"/>
    <mergeCell ref="P551:Q551"/>
    <mergeCell ref="A552:A555"/>
    <mergeCell ref="B552:B555"/>
    <mergeCell ref="C552:C555"/>
    <mergeCell ref="D552:D555"/>
    <mergeCell ref="F552:G552"/>
    <mergeCell ref="H552:I552"/>
    <mergeCell ref="F549:G549"/>
    <mergeCell ref="H549:I549"/>
    <mergeCell ref="J549:K549"/>
    <mergeCell ref="N549:O549"/>
    <mergeCell ref="P549:Q549"/>
    <mergeCell ref="F550:G550"/>
    <mergeCell ref="Z548:Z551"/>
    <mergeCell ref="J548:K548"/>
    <mergeCell ref="N548:O548"/>
    <mergeCell ref="P548:Q548"/>
    <mergeCell ref="V548:V551"/>
    <mergeCell ref="X548:X551"/>
    <mergeCell ref="J550:K550"/>
    <mergeCell ref="N550:O550"/>
    <mergeCell ref="P550:Q550"/>
    <mergeCell ref="A548:A551"/>
    <mergeCell ref="B548:B551"/>
    <mergeCell ref="C548:C551"/>
    <mergeCell ref="D548:D551"/>
    <mergeCell ref="F548:G548"/>
    <mergeCell ref="H532:I532"/>
    <mergeCell ref="H534:I534"/>
    <mergeCell ref="F535:G535"/>
    <mergeCell ref="H535:I535"/>
    <mergeCell ref="F541:G541"/>
    <mergeCell ref="H541:I541"/>
    <mergeCell ref="J541:K541"/>
    <mergeCell ref="N541:O541"/>
    <mergeCell ref="P541:Q541"/>
    <mergeCell ref="F542:G542"/>
    <mergeCell ref="Z540:Z543"/>
    <mergeCell ref="J540:K540"/>
    <mergeCell ref="N540:O540"/>
    <mergeCell ref="P540:Q540"/>
    <mergeCell ref="V540:V543"/>
    <mergeCell ref="X540:X543"/>
    <mergeCell ref="J542:K542"/>
    <mergeCell ref="N542:O542"/>
    <mergeCell ref="P542:Q542"/>
    <mergeCell ref="A540:A543"/>
    <mergeCell ref="B540:B543"/>
    <mergeCell ref="C540:C543"/>
    <mergeCell ref="D540:D543"/>
    <mergeCell ref="F540:G540"/>
    <mergeCell ref="H540:I540"/>
    <mergeCell ref="H542:I542"/>
    <mergeCell ref="F543:G543"/>
    <mergeCell ref="H543:I543"/>
    <mergeCell ref="H538:I538"/>
    <mergeCell ref="J538:K538"/>
    <mergeCell ref="N538:O538"/>
    <mergeCell ref="P538:Q538"/>
    <mergeCell ref="F539:G539"/>
    <mergeCell ref="H539:I539"/>
    <mergeCell ref="J539:K539"/>
    <mergeCell ref="N539:O539"/>
    <mergeCell ref="P539:Q539"/>
    <mergeCell ref="F538:G538"/>
    <mergeCell ref="Z536:Z539"/>
    <mergeCell ref="J536:K536"/>
    <mergeCell ref="N536:O536"/>
    <mergeCell ref="P536:Q536"/>
    <mergeCell ref="V536:V539"/>
    <mergeCell ref="X536:X539"/>
    <mergeCell ref="H530:I530"/>
    <mergeCell ref="J530:K530"/>
    <mergeCell ref="N530:O530"/>
    <mergeCell ref="P530:Q530"/>
    <mergeCell ref="F531:G531"/>
    <mergeCell ref="H531:I531"/>
    <mergeCell ref="J531:K531"/>
    <mergeCell ref="N531:O531"/>
    <mergeCell ref="P531:Q531"/>
    <mergeCell ref="F529:G529"/>
    <mergeCell ref="H529:I529"/>
    <mergeCell ref="J529:K529"/>
    <mergeCell ref="N529:O529"/>
    <mergeCell ref="P529:Q529"/>
    <mergeCell ref="F530:G530"/>
    <mergeCell ref="Z528:Z531"/>
    <mergeCell ref="J528:K528"/>
    <mergeCell ref="N528:O528"/>
    <mergeCell ref="P528:Q528"/>
    <mergeCell ref="V528:V531"/>
    <mergeCell ref="X528:X531"/>
    <mergeCell ref="J527:K527"/>
    <mergeCell ref="N527:O527"/>
    <mergeCell ref="P527:Q527"/>
    <mergeCell ref="A528:A531"/>
    <mergeCell ref="B528:B531"/>
    <mergeCell ref="C528:C531"/>
    <mergeCell ref="D528:D531"/>
    <mergeCell ref="F528:G528"/>
    <mergeCell ref="H528:I528"/>
    <mergeCell ref="F537:G537"/>
    <mergeCell ref="H537:I537"/>
    <mergeCell ref="J537:K537"/>
    <mergeCell ref="N537:O537"/>
    <mergeCell ref="P537:Q537"/>
    <mergeCell ref="J535:K535"/>
    <mergeCell ref="N535:O535"/>
    <mergeCell ref="P535:Q535"/>
    <mergeCell ref="A536:A539"/>
    <mergeCell ref="B536:B539"/>
    <mergeCell ref="C536:C539"/>
    <mergeCell ref="D536:D539"/>
    <mergeCell ref="F536:G536"/>
    <mergeCell ref="H536:I536"/>
    <mergeCell ref="F533:G533"/>
    <mergeCell ref="H533:I533"/>
    <mergeCell ref="J533:K533"/>
    <mergeCell ref="N533:O533"/>
    <mergeCell ref="P533:Q533"/>
    <mergeCell ref="F534:G534"/>
    <mergeCell ref="Z532:Z535"/>
    <mergeCell ref="J532:K532"/>
    <mergeCell ref="N532:O532"/>
    <mergeCell ref="P532:Q532"/>
    <mergeCell ref="V532:V535"/>
    <mergeCell ref="X532:X535"/>
    <mergeCell ref="J534:K534"/>
    <mergeCell ref="N534:O534"/>
    <mergeCell ref="P534:Q534"/>
    <mergeCell ref="A532:A535"/>
    <mergeCell ref="B532:B535"/>
    <mergeCell ref="C532:C535"/>
    <mergeCell ref="D532:D535"/>
    <mergeCell ref="F532:G532"/>
    <mergeCell ref="H516:I516"/>
    <mergeCell ref="H518:I518"/>
    <mergeCell ref="F519:G519"/>
    <mergeCell ref="H519:I519"/>
    <mergeCell ref="F525:G525"/>
    <mergeCell ref="H525:I525"/>
    <mergeCell ref="J525:K525"/>
    <mergeCell ref="N525:O525"/>
    <mergeCell ref="P525:Q525"/>
    <mergeCell ref="F526:G526"/>
    <mergeCell ref="Z524:Z527"/>
    <mergeCell ref="J524:K524"/>
    <mergeCell ref="N524:O524"/>
    <mergeCell ref="P524:Q524"/>
    <mergeCell ref="V524:V527"/>
    <mergeCell ref="X524:X527"/>
    <mergeCell ref="J526:K526"/>
    <mergeCell ref="N526:O526"/>
    <mergeCell ref="P526:Q526"/>
    <mergeCell ref="A524:A527"/>
    <mergeCell ref="B524:B527"/>
    <mergeCell ref="C524:C527"/>
    <mergeCell ref="D524:D527"/>
    <mergeCell ref="F524:G524"/>
    <mergeCell ref="H524:I524"/>
    <mergeCell ref="H526:I526"/>
    <mergeCell ref="F527:G527"/>
    <mergeCell ref="H527:I527"/>
    <mergeCell ref="H522:I522"/>
    <mergeCell ref="J522:K522"/>
    <mergeCell ref="N522:O522"/>
    <mergeCell ref="P522:Q522"/>
    <mergeCell ref="F523:G523"/>
    <mergeCell ref="H523:I523"/>
    <mergeCell ref="J523:K523"/>
    <mergeCell ref="N523:O523"/>
    <mergeCell ref="P523:Q523"/>
    <mergeCell ref="F522:G522"/>
    <mergeCell ref="Z520:Z523"/>
    <mergeCell ref="J520:K520"/>
    <mergeCell ref="N520:O520"/>
    <mergeCell ref="P520:Q520"/>
    <mergeCell ref="V520:V523"/>
    <mergeCell ref="X520:X523"/>
    <mergeCell ref="H508:I508"/>
    <mergeCell ref="J508:K508"/>
    <mergeCell ref="N508:O508"/>
    <mergeCell ref="P508:Q508"/>
    <mergeCell ref="F509:G509"/>
    <mergeCell ref="H509:I509"/>
    <mergeCell ref="J509:K509"/>
    <mergeCell ref="N509:O509"/>
    <mergeCell ref="P509:Q509"/>
    <mergeCell ref="F507:G507"/>
    <mergeCell ref="H507:I507"/>
    <mergeCell ref="J507:K507"/>
    <mergeCell ref="N507:O507"/>
    <mergeCell ref="P507:Q507"/>
    <mergeCell ref="F508:G508"/>
    <mergeCell ref="Z506:Z509"/>
    <mergeCell ref="J506:K506"/>
    <mergeCell ref="N506:O506"/>
    <mergeCell ref="P506:Q506"/>
    <mergeCell ref="V506:V509"/>
    <mergeCell ref="X506:X509"/>
    <mergeCell ref="J505:K505"/>
    <mergeCell ref="N505:O505"/>
    <mergeCell ref="P505:Q505"/>
    <mergeCell ref="A506:A509"/>
    <mergeCell ref="B506:B509"/>
    <mergeCell ref="C506:C509"/>
    <mergeCell ref="D506:D509"/>
    <mergeCell ref="F506:G506"/>
    <mergeCell ref="H506:I506"/>
    <mergeCell ref="F521:G521"/>
    <mergeCell ref="H521:I521"/>
    <mergeCell ref="J521:K521"/>
    <mergeCell ref="N521:O521"/>
    <mergeCell ref="P521:Q521"/>
    <mergeCell ref="J519:K519"/>
    <mergeCell ref="N519:O519"/>
    <mergeCell ref="P519:Q519"/>
    <mergeCell ref="A520:A523"/>
    <mergeCell ref="B520:B523"/>
    <mergeCell ref="C520:C523"/>
    <mergeCell ref="D520:D523"/>
    <mergeCell ref="F520:G520"/>
    <mergeCell ref="H520:I520"/>
    <mergeCell ref="F517:G517"/>
    <mergeCell ref="H517:I517"/>
    <mergeCell ref="J517:K517"/>
    <mergeCell ref="N517:O517"/>
    <mergeCell ref="P517:Q517"/>
    <mergeCell ref="F518:G518"/>
    <mergeCell ref="Z516:Z519"/>
    <mergeCell ref="J516:K516"/>
    <mergeCell ref="N516:O516"/>
    <mergeCell ref="P516:Q516"/>
    <mergeCell ref="V516:V519"/>
    <mergeCell ref="X516:X519"/>
    <mergeCell ref="J518:K518"/>
    <mergeCell ref="N518:O518"/>
    <mergeCell ref="P518:Q518"/>
    <mergeCell ref="A516:A519"/>
    <mergeCell ref="B516:B519"/>
    <mergeCell ref="C516:C519"/>
    <mergeCell ref="D516:D519"/>
    <mergeCell ref="F516:G516"/>
    <mergeCell ref="H494:I494"/>
    <mergeCell ref="H496:I496"/>
    <mergeCell ref="F497:G497"/>
    <mergeCell ref="H497:I497"/>
    <mergeCell ref="F503:G503"/>
    <mergeCell ref="H503:I503"/>
    <mergeCell ref="J503:K503"/>
    <mergeCell ref="N503:O503"/>
    <mergeCell ref="P503:Q503"/>
    <mergeCell ref="F504:G504"/>
    <mergeCell ref="Z502:Z505"/>
    <mergeCell ref="J502:K502"/>
    <mergeCell ref="N502:O502"/>
    <mergeCell ref="P502:Q502"/>
    <mergeCell ref="V502:V505"/>
    <mergeCell ref="X502:X505"/>
    <mergeCell ref="J504:K504"/>
    <mergeCell ref="N504:O504"/>
    <mergeCell ref="P504:Q504"/>
    <mergeCell ref="A502:A505"/>
    <mergeCell ref="B502:B505"/>
    <mergeCell ref="C502:C505"/>
    <mergeCell ref="D502:D505"/>
    <mergeCell ref="F502:G502"/>
    <mergeCell ref="H502:I502"/>
    <mergeCell ref="H504:I504"/>
    <mergeCell ref="F505:G505"/>
    <mergeCell ref="H505:I505"/>
    <mergeCell ref="H500:I500"/>
    <mergeCell ref="J500:K500"/>
    <mergeCell ref="N500:O500"/>
    <mergeCell ref="P500:Q500"/>
    <mergeCell ref="F501:G501"/>
    <mergeCell ref="H501:I501"/>
    <mergeCell ref="J501:K501"/>
    <mergeCell ref="N501:O501"/>
    <mergeCell ref="P501:Q501"/>
    <mergeCell ref="F500:G500"/>
    <mergeCell ref="Z498:Z501"/>
    <mergeCell ref="J498:K498"/>
    <mergeCell ref="N498:O498"/>
    <mergeCell ref="P498:Q498"/>
    <mergeCell ref="V498:V501"/>
    <mergeCell ref="X498:X501"/>
    <mergeCell ref="H492:I492"/>
    <mergeCell ref="J492:K492"/>
    <mergeCell ref="N492:O492"/>
    <mergeCell ref="P492:Q492"/>
    <mergeCell ref="F493:G493"/>
    <mergeCell ref="H493:I493"/>
    <mergeCell ref="J493:K493"/>
    <mergeCell ref="N493:O493"/>
    <mergeCell ref="P493:Q493"/>
    <mergeCell ref="F491:G491"/>
    <mergeCell ref="H491:I491"/>
    <mergeCell ref="J491:K491"/>
    <mergeCell ref="N491:O491"/>
    <mergeCell ref="P491:Q491"/>
    <mergeCell ref="F492:G492"/>
    <mergeCell ref="Z490:Z493"/>
    <mergeCell ref="J490:K490"/>
    <mergeCell ref="N490:O490"/>
    <mergeCell ref="P490:Q490"/>
    <mergeCell ref="V490:V493"/>
    <mergeCell ref="X490:X493"/>
    <mergeCell ref="J489:K489"/>
    <mergeCell ref="N489:O489"/>
    <mergeCell ref="P489:Q489"/>
    <mergeCell ref="A490:A493"/>
    <mergeCell ref="B490:B493"/>
    <mergeCell ref="C490:C493"/>
    <mergeCell ref="D490:D493"/>
    <mergeCell ref="F490:G490"/>
    <mergeCell ref="H490:I490"/>
    <mergeCell ref="F499:G499"/>
    <mergeCell ref="H499:I499"/>
    <mergeCell ref="J499:K499"/>
    <mergeCell ref="N499:O499"/>
    <mergeCell ref="P499:Q499"/>
    <mergeCell ref="J497:K497"/>
    <mergeCell ref="N497:O497"/>
    <mergeCell ref="P497:Q497"/>
    <mergeCell ref="A498:A501"/>
    <mergeCell ref="B498:B501"/>
    <mergeCell ref="C498:C501"/>
    <mergeCell ref="D498:D501"/>
    <mergeCell ref="F498:G498"/>
    <mergeCell ref="H498:I498"/>
    <mergeCell ref="F495:G495"/>
    <mergeCell ref="H495:I495"/>
    <mergeCell ref="J495:K495"/>
    <mergeCell ref="N495:O495"/>
    <mergeCell ref="P495:Q495"/>
    <mergeCell ref="F496:G496"/>
    <mergeCell ref="Z494:Z497"/>
    <mergeCell ref="J494:K494"/>
    <mergeCell ref="N494:O494"/>
    <mergeCell ref="P494:Q494"/>
    <mergeCell ref="V494:V497"/>
    <mergeCell ref="X494:X497"/>
    <mergeCell ref="J496:K496"/>
    <mergeCell ref="N496:O496"/>
    <mergeCell ref="P496:Q496"/>
    <mergeCell ref="A494:A497"/>
    <mergeCell ref="B494:B497"/>
    <mergeCell ref="C494:C497"/>
    <mergeCell ref="D494:D497"/>
    <mergeCell ref="F494:G494"/>
    <mergeCell ref="H478:I478"/>
    <mergeCell ref="H480:I480"/>
    <mergeCell ref="F481:G481"/>
    <mergeCell ref="H481:I481"/>
    <mergeCell ref="F487:G487"/>
    <mergeCell ref="H487:I487"/>
    <mergeCell ref="J487:K487"/>
    <mergeCell ref="N487:O487"/>
    <mergeCell ref="P487:Q487"/>
    <mergeCell ref="F488:G488"/>
    <mergeCell ref="Z486:Z489"/>
    <mergeCell ref="J486:K486"/>
    <mergeCell ref="N486:O486"/>
    <mergeCell ref="P486:Q486"/>
    <mergeCell ref="V486:V489"/>
    <mergeCell ref="X486:X489"/>
    <mergeCell ref="J488:K488"/>
    <mergeCell ref="N488:O488"/>
    <mergeCell ref="P488:Q488"/>
    <mergeCell ref="A486:A489"/>
    <mergeCell ref="B486:B489"/>
    <mergeCell ref="C486:C489"/>
    <mergeCell ref="D486:D489"/>
    <mergeCell ref="F486:G486"/>
    <mergeCell ref="H486:I486"/>
    <mergeCell ref="H488:I488"/>
    <mergeCell ref="F489:G489"/>
    <mergeCell ref="H489:I489"/>
    <mergeCell ref="H484:I484"/>
    <mergeCell ref="J484:K484"/>
    <mergeCell ref="N484:O484"/>
    <mergeCell ref="P484:Q484"/>
    <mergeCell ref="F485:G485"/>
    <mergeCell ref="H485:I485"/>
    <mergeCell ref="J485:K485"/>
    <mergeCell ref="N485:O485"/>
    <mergeCell ref="P485:Q485"/>
    <mergeCell ref="F484:G484"/>
    <mergeCell ref="Z482:Z485"/>
    <mergeCell ref="J482:K482"/>
    <mergeCell ref="N482:O482"/>
    <mergeCell ref="P482:Q482"/>
    <mergeCell ref="V482:V485"/>
    <mergeCell ref="X482:X485"/>
    <mergeCell ref="H476:I476"/>
    <mergeCell ref="J476:K476"/>
    <mergeCell ref="N476:O476"/>
    <mergeCell ref="P476:Q476"/>
    <mergeCell ref="F477:G477"/>
    <mergeCell ref="H477:I477"/>
    <mergeCell ref="J477:K477"/>
    <mergeCell ref="N477:O477"/>
    <mergeCell ref="P477:Q477"/>
    <mergeCell ref="F475:G475"/>
    <mergeCell ref="H475:I475"/>
    <mergeCell ref="J475:K475"/>
    <mergeCell ref="N475:O475"/>
    <mergeCell ref="P475:Q475"/>
    <mergeCell ref="F476:G476"/>
    <mergeCell ref="Z474:Z477"/>
    <mergeCell ref="J474:K474"/>
    <mergeCell ref="N474:O474"/>
    <mergeCell ref="P474:Q474"/>
    <mergeCell ref="V474:V477"/>
    <mergeCell ref="X474:X477"/>
    <mergeCell ref="J473:K473"/>
    <mergeCell ref="N473:O473"/>
    <mergeCell ref="P473:Q473"/>
    <mergeCell ref="A474:A477"/>
    <mergeCell ref="B474:B477"/>
    <mergeCell ref="C474:C477"/>
    <mergeCell ref="D474:D477"/>
    <mergeCell ref="F474:G474"/>
    <mergeCell ref="H474:I474"/>
    <mergeCell ref="F483:G483"/>
    <mergeCell ref="H483:I483"/>
    <mergeCell ref="J483:K483"/>
    <mergeCell ref="N483:O483"/>
    <mergeCell ref="P483:Q483"/>
    <mergeCell ref="J481:K481"/>
    <mergeCell ref="N481:O481"/>
    <mergeCell ref="P481:Q481"/>
    <mergeCell ref="A482:A485"/>
    <mergeCell ref="B482:B485"/>
    <mergeCell ref="C482:C485"/>
    <mergeCell ref="D482:D485"/>
    <mergeCell ref="F482:G482"/>
    <mergeCell ref="H482:I482"/>
    <mergeCell ref="F479:G479"/>
    <mergeCell ref="H479:I479"/>
    <mergeCell ref="J479:K479"/>
    <mergeCell ref="N479:O479"/>
    <mergeCell ref="P479:Q479"/>
    <mergeCell ref="F480:G480"/>
    <mergeCell ref="Z478:Z481"/>
    <mergeCell ref="J478:K478"/>
    <mergeCell ref="N478:O478"/>
    <mergeCell ref="P478:Q478"/>
    <mergeCell ref="V478:V481"/>
    <mergeCell ref="X478:X481"/>
    <mergeCell ref="J480:K480"/>
    <mergeCell ref="N480:O480"/>
    <mergeCell ref="P480:Q480"/>
    <mergeCell ref="A478:A481"/>
    <mergeCell ref="B478:B481"/>
    <mergeCell ref="C478:C481"/>
    <mergeCell ref="D478:D481"/>
    <mergeCell ref="F478:G478"/>
    <mergeCell ref="F471:G471"/>
    <mergeCell ref="H471:I471"/>
    <mergeCell ref="J471:K471"/>
    <mergeCell ref="N471:O471"/>
    <mergeCell ref="P471:Q471"/>
    <mergeCell ref="F472:G472"/>
    <mergeCell ref="Z470:Z473"/>
    <mergeCell ref="J470:K470"/>
    <mergeCell ref="N470:O470"/>
    <mergeCell ref="P470:Q470"/>
    <mergeCell ref="V470:V473"/>
    <mergeCell ref="X470:X473"/>
    <mergeCell ref="J472:K472"/>
    <mergeCell ref="N472:O472"/>
    <mergeCell ref="P472:Q472"/>
    <mergeCell ref="A470:A473"/>
    <mergeCell ref="B470:B473"/>
    <mergeCell ref="C470:C473"/>
    <mergeCell ref="D470:D473"/>
    <mergeCell ref="F470:G470"/>
    <mergeCell ref="H470:I470"/>
    <mergeCell ref="H472:I472"/>
    <mergeCell ref="F473:G473"/>
    <mergeCell ref="H473:I473"/>
    <mergeCell ref="H462:I462"/>
    <mergeCell ref="J462:K462"/>
    <mergeCell ref="N462:O462"/>
    <mergeCell ref="P462:Q462"/>
    <mergeCell ref="F463:G463"/>
    <mergeCell ref="H463:I463"/>
    <mergeCell ref="J463:K463"/>
    <mergeCell ref="N463:O463"/>
    <mergeCell ref="P463:Q463"/>
    <mergeCell ref="F462:G462"/>
    <mergeCell ref="Z460:Z463"/>
    <mergeCell ref="J460:K460"/>
    <mergeCell ref="N460:O460"/>
    <mergeCell ref="P460:Q460"/>
    <mergeCell ref="V460:V463"/>
    <mergeCell ref="X460:X463"/>
    <mergeCell ref="A460:A463"/>
    <mergeCell ref="B460:B463"/>
    <mergeCell ref="C460:C463"/>
    <mergeCell ref="D460:D463"/>
    <mergeCell ref="F460:G460"/>
    <mergeCell ref="H460:I460"/>
    <mergeCell ref="B467:C467"/>
    <mergeCell ref="F467:O467"/>
    <mergeCell ref="A468:D468"/>
    <mergeCell ref="E468:Q468"/>
    <mergeCell ref="A465:C465"/>
    <mergeCell ref="B466:C466"/>
    <mergeCell ref="F466:O466"/>
    <mergeCell ref="L460:M460"/>
    <mergeCell ref="L461:M461"/>
    <mergeCell ref="L462:M462"/>
    <mergeCell ref="L463:M463"/>
    <mergeCell ref="L470:M470"/>
    <mergeCell ref="L471:M471"/>
    <mergeCell ref="L472:M472"/>
    <mergeCell ref="L473:M473"/>
    <mergeCell ref="E465:I465"/>
    <mergeCell ref="Q465:V465"/>
    <mergeCell ref="Q466:W466"/>
    <mergeCell ref="Z456:Z459"/>
    <mergeCell ref="J456:K456"/>
    <mergeCell ref="N456:O456"/>
    <mergeCell ref="P456:Q456"/>
    <mergeCell ref="V456:V459"/>
    <mergeCell ref="X456:X459"/>
    <mergeCell ref="J458:K458"/>
    <mergeCell ref="N458:O458"/>
    <mergeCell ref="P458:Q458"/>
    <mergeCell ref="A456:A459"/>
    <mergeCell ref="B456:B459"/>
    <mergeCell ref="C456:C459"/>
    <mergeCell ref="D456:D459"/>
    <mergeCell ref="F456:G456"/>
    <mergeCell ref="H456:I456"/>
    <mergeCell ref="H458:I458"/>
    <mergeCell ref="F459:G459"/>
    <mergeCell ref="H459:I459"/>
    <mergeCell ref="H454:I454"/>
    <mergeCell ref="J454:K454"/>
    <mergeCell ref="N454:O454"/>
    <mergeCell ref="P454:Q454"/>
    <mergeCell ref="F455:G455"/>
    <mergeCell ref="H455:I455"/>
    <mergeCell ref="J455:K455"/>
    <mergeCell ref="N455:O455"/>
    <mergeCell ref="P455:Q455"/>
    <mergeCell ref="F453:G453"/>
    <mergeCell ref="H453:I453"/>
    <mergeCell ref="J453:K453"/>
    <mergeCell ref="N453:O453"/>
    <mergeCell ref="P453:Q453"/>
    <mergeCell ref="F454:G454"/>
    <mergeCell ref="Z452:Z455"/>
    <mergeCell ref="J452:K452"/>
    <mergeCell ref="N452:O452"/>
    <mergeCell ref="P452:Q452"/>
    <mergeCell ref="V452:V455"/>
    <mergeCell ref="X452:X455"/>
    <mergeCell ref="A452:A455"/>
    <mergeCell ref="B452:B455"/>
    <mergeCell ref="C452:C455"/>
    <mergeCell ref="D452:D455"/>
    <mergeCell ref="F452:G452"/>
    <mergeCell ref="H452:I452"/>
    <mergeCell ref="L452:M452"/>
    <mergeCell ref="L453:M453"/>
    <mergeCell ref="L454:M454"/>
    <mergeCell ref="L455:M455"/>
    <mergeCell ref="L456:M456"/>
    <mergeCell ref="L457:M457"/>
    <mergeCell ref="L458:M458"/>
    <mergeCell ref="L459:M459"/>
    <mergeCell ref="Z448:Z451"/>
    <mergeCell ref="J448:K448"/>
    <mergeCell ref="N448:O448"/>
    <mergeCell ref="P448:Q448"/>
    <mergeCell ref="V448:V451"/>
    <mergeCell ref="X448:X451"/>
    <mergeCell ref="J450:K450"/>
    <mergeCell ref="N450:O450"/>
    <mergeCell ref="P450:Q450"/>
    <mergeCell ref="A448:A451"/>
    <mergeCell ref="B448:B451"/>
    <mergeCell ref="C448:C451"/>
    <mergeCell ref="D448:D451"/>
    <mergeCell ref="F448:G448"/>
    <mergeCell ref="H448:I448"/>
    <mergeCell ref="H450:I450"/>
    <mergeCell ref="F451:G451"/>
    <mergeCell ref="H451:I451"/>
    <mergeCell ref="H446:I446"/>
    <mergeCell ref="J446:K446"/>
    <mergeCell ref="N446:O446"/>
    <mergeCell ref="P446:Q446"/>
    <mergeCell ref="F447:G447"/>
    <mergeCell ref="H447:I447"/>
    <mergeCell ref="J447:K447"/>
    <mergeCell ref="N447:O447"/>
    <mergeCell ref="P447:Q447"/>
    <mergeCell ref="F445:G445"/>
    <mergeCell ref="H445:I445"/>
    <mergeCell ref="J445:K445"/>
    <mergeCell ref="N445:O445"/>
    <mergeCell ref="P445:Q445"/>
    <mergeCell ref="F446:G446"/>
    <mergeCell ref="Z444:Z447"/>
    <mergeCell ref="J444:K444"/>
    <mergeCell ref="N444:O444"/>
    <mergeCell ref="P444:Q444"/>
    <mergeCell ref="V444:V447"/>
    <mergeCell ref="X444:X447"/>
    <mergeCell ref="A444:A447"/>
    <mergeCell ref="B444:B447"/>
    <mergeCell ref="C444:C447"/>
    <mergeCell ref="D444:D447"/>
    <mergeCell ref="F444:G444"/>
    <mergeCell ref="H444:I444"/>
    <mergeCell ref="L444:M444"/>
    <mergeCell ref="L445:M445"/>
    <mergeCell ref="L446:M446"/>
    <mergeCell ref="L447:M447"/>
    <mergeCell ref="L448:M448"/>
    <mergeCell ref="L449:M449"/>
    <mergeCell ref="L450:M450"/>
    <mergeCell ref="L451:M451"/>
    <mergeCell ref="Z440:Z443"/>
    <mergeCell ref="J440:K440"/>
    <mergeCell ref="N440:O440"/>
    <mergeCell ref="P440:Q440"/>
    <mergeCell ref="V440:V443"/>
    <mergeCell ref="X440:X443"/>
    <mergeCell ref="J442:K442"/>
    <mergeCell ref="N442:O442"/>
    <mergeCell ref="P442:Q442"/>
    <mergeCell ref="A440:A443"/>
    <mergeCell ref="B440:B443"/>
    <mergeCell ref="C440:C443"/>
    <mergeCell ref="D440:D443"/>
    <mergeCell ref="F440:G440"/>
    <mergeCell ref="H440:I440"/>
    <mergeCell ref="H442:I442"/>
    <mergeCell ref="F443:G443"/>
    <mergeCell ref="H443:I443"/>
    <mergeCell ref="H438:I438"/>
    <mergeCell ref="J438:K438"/>
    <mergeCell ref="N438:O438"/>
    <mergeCell ref="P438:Q438"/>
    <mergeCell ref="F439:G439"/>
    <mergeCell ref="H439:I439"/>
    <mergeCell ref="J439:K439"/>
    <mergeCell ref="N439:O439"/>
    <mergeCell ref="P439:Q439"/>
    <mergeCell ref="F437:G437"/>
    <mergeCell ref="H437:I437"/>
    <mergeCell ref="J437:K437"/>
    <mergeCell ref="N437:O437"/>
    <mergeCell ref="P437:Q437"/>
    <mergeCell ref="F438:G438"/>
    <mergeCell ref="Z436:Z439"/>
    <mergeCell ref="J436:K436"/>
    <mergeCell ref="N436:O436"/>
    <mergeCell ref="P436:Q436"/>
    <mergeCell ref="V436:V439"/>
    <mergeCell ref="X436:X439"/>
    <mergeCell ref="A436:A439"/>
    <mergeCell ref="B436:B439"/>
    <mergeCell ref="C436:C439"/>
    <mergeCell ref="D436:D439"/>
    <mergeCell ref="F436:G436"/>
    <mergeCell ref="H436:I436"/>
    <mergeCell ref="L441:M441"/>
    <mergeCell ref="L442:M442"/>
    <mergeCell ref="L443:M443"/>
    <mergeCell ref="Z432:Z435"/>
    <mergeCell ref="J432:K432"/>
    <mergeCell ref="N432:O432"/>
    <mergeCell ref="P432:Q432"/>
    <mergeCell ref="V432:V435"/>
    <mergeCell ref="X432:X435"/>
    <mergeCell ref="J434:K434"/>
    <mergeCell ref="N434:O434"/>
    <mergeCell ref="P434:Q434"/>
    <mergeCell ref="A432:A435"/>
    <mergeCell ref="B432:B435"/>
    <mergeCell ref="C432:C435"/>
    <mergeCell ref="D432:D435"/>
    <mergeCell ref="F432:G432"/>
    <mergeCell ref="H432:I432"/>
    <mergeCell ref="H434:I434"/>
    <mergeCell ref="F435:G435"/>
    <mergeCell ref="H435:I435"/>
    <mergeCell ref="H430:I430"/>
    <mergeCell ref="J430:K430"/>
    <mergeCell ref="N430:O430"/>
    <mergeCell ref="P430:Q430"/>
    <mergeCell ref="F431:G431"/>
    <mergeCell ref="H431:I431"/>
    <mergeCell ref="J431:K431"/>
    <mergeCell ref="N431:O431"/>
    <mergeCell ref="P431:Q431"/>
    <mergeCell ref="F429:G429"/>
    <mergeCell ref="H429:I429"/>
    <mergeCell ref="J429:K429"/>
    <mergeCell ref="N429:O429"/>
    <mergeCell ref="P429:Q429"/>
    <mergeCell ref="F430:G430"/>
    <mergeCell ref="Z428:Z431"/>
    <mergeCell ref="J428:K428"/>
    <mergeCell ref="N428:O428"/>
    <mergeCell ref="P428:Q428"/>
    <mergeCell ref="V428:V431"/>
    <mergeCell ref="X428:X431"/>
    <mergeCell ref="P433:Q433"/>
    <mergeCell ref="N433:O433"/>
    <mergeCell ref="F434:G434"/>
    <mergeCell ref="J416:K416"/>
    <mergeCell ref="N416:O416"/>
    <mergeCell ref="P416:Q416"/>
    <mergeCell ref="F417:G417"/>
    <mergeCell ref="H417:I417"/>
    <mergeCell ref="J417:K417"/>
    <mergeCell ref="N417:O417"/>
    <mergeCell ref="P417:Q417"/>
    <mergeCell ref="H408:I408"/>
    <mergeCell ref="J408:K408"/>
    <mergeCell ref="N408:O408"/>
    <mergeCell ref="P408:Q408"/>
    <mergeCell ref="F409:G409"/>
    <mergeCell ref="H409:I409"/>
    <mergeCell ref="J409:K409"/>
    <mergeCell ref="N409:O409"/>
    <mergeCell ref="P409:Q409"/>
    <mergeCell ref="Z414:Z417"/>
    <mergeCell ref="J414:K414"/>
    <mergeCell ref="N414:O414"/>
    <mergeCell ref="P414:Q414"/>
    <mergeCell ref="V414:V417"/>
    <mergeCell ref="X414:X417"/>
    <mergeCell ref="J427:K427"/>
    <mergeCell ref="N427:O427"/>
    <mergeCell ref="P427:Q427"/>
    <mergeCell ref="A428:A431"/>
    <mergeCell ref="B428:B431"/>
    <mergeCell ref="C428:C431"/>
    <mergeCell ref="D428:D431"/>
    <mergeCell ref="F428:G428"/>
    <mergeCell ref="H428:I428"/>
    <mergeCell ref="F425:G425"/>
    <mergeCell ref="H425:I425"/>
    <mergeCell ref="J425:K425"/>
    <mergeCell ref="N425:O425"/>
    <mergeCell ref="P425:Q425"/>
    <mergeCell ref="F426:G426"/>
    <mergeCell ref="Z424:Z427"/>
    <mergeCell ref="J424:K424"/>
    <mergeCell ref="N424:O424"/>
    <mergeCell ref="P424:Q424"/>
    <mergeCell ref="V424:V427"/>
    <mergeCell ref="X424:X427"/>
    <mergeCell ref="J426:K426"/>
    <mergeCell ref="N426:O426"/>
    <mergeCell ref="P426:Q426"/>
    <mergeCell ref="A424:A427"/>
    <mergeCell ref="B424:B427"/>
    <mergeCell ref="C424:C427"/>
    <mergeCell ref="D424:D427"/>
    <mergeCell ref="F424:G424"/>
    <mergeCell ref="H424:I424"/>
    <mergeCell ref="H426:I426"/>
    <mergeCell ref="F427:G427"/>
    <mergeCell ref="H427:I427"/>
    <mergeCell ref="S422:W422"/>
    <mergeCell ref="A414:A417"/>
    <mergeCell ref="B414:B417"/>
    <mergeCell ref="C414:C417"/>
    <mergeCell ref="H416:I416"/>
    <mergeCell ref="Q419:V419"/>
    <mergeCell ref="Q420:W420"/>
    <mergeCell ref="F407:G407"/>
    <mergeCell ref="H407:I407"/>
    <mergeCell ref="J407:K407"/>
    <mergeCell ref="N407:O407"/>
    <mergeCell ref="P407:Q407"/>
    <mergeCell ref="F408:G408"/>
    <mergeCell ref="Z406:Z409"/>
    <mergeCell ref="J406:K406"/>
    <mergeCell ref="N406:O406"/>
    <mergeCell ref="P406:Q406"/>
    <mergeCell ref="V406:V409"/>
    <mergeCell ref="X406:X409"/>
    <mergeCell ref="J405:K405"/>
    <mergeCell ref="N405:O405"/>
    <mergeCell ref="P405:Q405"/>
    <mergeCell ref="A406:A409"/>
    <mergeCell ref="B406:B409"/>
    <mergeCell ref="C406:C409"/>
    <mergeCell ref="D406:D409"/>
    <mergeCell ref="F406:G406"/>
    <mergeCell ref="H406:I406"/>
    <mergeCell ref="J413:K413"/>
    <mergeCell ref="N413:O413"/>
    <mergeCell ref="P413:Q413"/>
    <mergeCell ref="F403:G403"/>
    <mergeCell ref="H403:I403"/>
    <mergeCell ref="J403:K403"/>
    <mergeCell ref="N403:O403"/>
    <mergeCell ref="P403:Q403"/>
    <mergeCell ref="F404:G404"/>
    <mergeCell ref="Z402:Z405"/>
    <mergeCell ref="J402:K402"/>
    <mergeCell ref="N402:O402"/>
    <mergeCell ref="P402:Q402"/>
    <mergeCell ref="V402:V405"/>
    <mergeCell ref="X402:X405"/>
    <mergeCell ref="J404:K404"/>
    <mergeCell ref="N404:O404"/>
    <mergeCell ref="P404:Q404"/>
    <mergeCell ref="A402:A405"/>
    <mergeCell ref="B402:B405"/>
    <mergeCell ref="C402:C405"/>
    <mergeCell ref="D402:D405"/>
    <mergeCell ref="F402:G402"/>
    <mergeCell ref="H402:I402"/>
    <mergeCell ref="H404:I404"/>
    <mergeCell ref="F405:G405"/>
    <mergeCell ref="H405:I405"/>
    <mergeCell ref="F412:G412"/>
    <mergeCell ref="Z410:Z413"/>
    <mergeCell ref="J410:K410"/>
    <mergeCell ref="N410:O410"/>
    <mergeCell ref="P410:Q410"/>
    <mergeCell ref="V410:V413"/>
    <mergeCell ref="X410:X413"/>
    <mergeCell ref="J412:K412"/>
    <mergeCell ref="N412:O412"/>
    <mergeCell ref="P412:Q412"/>
    <mergeCell ref="A410:A413"/>
    <mergeCell ref="B410:B413"/>
    <mergeCell ref="C410:C413"/>
    <mergeCell ref="D410:D413"/>
    <mergeCell ref="F410:G410"/>
    <mergeCell ref="H410:I410"/>
    <mergeCell ref="H400:I400"/>
    <mergeCell ref="J400:K400"/>
    <mergeCell ref="N400:O400"/>
    <mergeCell ref="P400:Q400"/>
    <mergeCell ref="F401:G401"/>
    <mergeCell ref="H401:I401"/>
    <mergeCell ref="J401:K401"/>
    <mergeCell ref="N401:O401"/>
    <mergeCell ref="P401:Q401"/>
    <mergeCell ref="F400:G400"/>
    <mergeCell ref="Z398:Z401"/>
    <mergeCell ref="J398:K398"/>
    <mergeCell ref="N398:O398"/>
    <mergeCell ref="P398:Q398"/>
    <mergeCell ref="V398:V401"/>
    <mergeCell ref="X398:X401"/>
    <mergeCell ref="J397:K397"/>
    <mergeCell ref="N397:O397"/>
    <mergeCell ref="P397:Q397"/>
    <mergeCell ref="A398:A401"/>
    <mergeCell ref="B398:B401"/>
    <mergeCell ref="C398:C401"/>
    <mergeCell ref="D398:D401"/>
    <mergeCell ref="F398:G398"/>
    <mergeCell ref="H398:I398"/>
    <mergeCell ref="F395:G395"/>
    <mergeCell ref="H395:I395"/>
    <mergeCell ref="J395:K395"/>
    <mergeCell ref="N395:O395"/>
    <mergeCell ref="P395:Q395"/>
    <mergeCell ref="F396:G396"/>
    <mergeCell ref="Z394:Z397"/>
    <mergeCell ref="J394:K394"/>
    <mergeCell ref="N394:O394"/>
    <mergeCell ref="P394:Q394"/>
    <mergeCell ref="V394:V397"/>
    <mergeCell ref="X394:X397"/>
    <mergeCell ref="J396:K396"/>
    <mergeCell ref="N396:O396"/>
    <mergeCell ref="P396:Q396"/>
    <mergeCell ref="A394:A397"/>
    <mergeCell ref="B394:B397"/>
    <mergeCell ref="C394:C397"/>
    <mergeCell ref="D394:D397"/>
    <mergeCell ref="F394:G394"/>
    <mergeCell ref="H394:I394"/>
    <mergeCell ref="H396:I396"/>
    <mergeCell ref="F397:G397"/>
    <mergeCell ref="H397:I397"/>
    <mergeCell ref="L394:M394"/>
    <mergeCell ref="L395:M395"/>
    <mergeCell ref="L396:M396"/>
    <mergeCell ref="L397:M397"/>
    <mergeCell ref="L398:M398"/>
    <mergeCell ref="L399:M399"/>
    <mergeCell ref="L400:M400"/>
    <mergeCell ref="L401:M401"/>
    <mergeCell ref="H392:I392"/>
    <mergeCell ref="J392:K392"/>
    <mergeCell ref="N392:O392"/>
    <mergeCell ref="P392:Q392"/>
    <mergeCell ref="F393:G393"/>
    <mergeCell ref="H393:I393"/>
    <mergeCell ref="J393:K393"/>
    <mergeCell ref="N393:O393"/>
    <mergeCell ref="P393:Q393"/>
    <mergeCell ref="F391:G391"/>
    <mergeCell ref="H391:I391"/>
    <mergeCell ref="J391:K391"/>
    <mergeCell ref="N391:O391"/>
    <mergeCell ref="P391:Q391"/>
    <mergeCell ref="F392:G392"/>
    <mergeCell ref="Z390:Z393"/>
    <mergeCell ref="J390:K390"/>
    <mergeCell ref="N390:O390"/>
    <mergeCell ref="P390:Q390"/>
    <mergeCell ref="V390:V393"/>
    <mergeCell ref="X390:X393"/>
    <mergeCell ref="J389:K389"/>
    <mergeCell ref="N389:O389"/>
    <mergeCell ref="P389:Q389"/>
    <mergeCell ref="A390:A393"/>
    <mergeCell ref="B390:B393"/>
    <mergeCell ref="C390:C393"/>
    <mergeCell ref="D390:D393"/>
    <mergeCell ref="F390:G390"/>
    <mergeCell ref="H390:I390"/>
    <mergeCell ref="F399:G399"/>
    <mergeCell ref="H399:I399"/>
    <mergeCell ref="J399:K399"/>
    <mergeCell ref="N399:O399"/>
    <mergeCell ref="P399:Q399"/>
    <mergeCell ref="L389:M389"/>
    <mergeCell ref="L390:M390"/>
    <mergeCell ref="L391:M391"/>
    <mergeCell ref="L392:M392"/>
    <mergeCell ref="L393:M393"/>
    <mergeCell ref="F387:G387"/>
    <mergeCell ref="H387:I387"/>
    <mergeCell ref="J387:K387"/>
    <mergeCell ref="N387:O387"/>
    <mergeCell ref="P387:Q387"/>
    <mergeCell ref="F388:G388"/>
    <mergeCell ref="Z386:Z389"/>
    <mergeCell ref="J386:K386"/>
    <mergeCell ref="N386:O386"/>
    <mergeCell ref="P386:Q386"/>
    <mergeCell ref="V386:V389"/>
    <mergeCell ref="X386:X389"/>
    <mergeCell ref="J388:K388"/>
    <mergeCell ref="N388:O388"/>
    <mergeCell ref="P388:Q388"/>
    <mergeCell ref="A386:A389"/>
    <mergeCell ref="B386:B389"/>
    <mergeCell ref="C386:C389"/>
    <mergeCell ref="D386:D389"/>
    <mergeCell ref="F386:G386"/>
    <mergeCell ref="H386:I386"/>
    <mergeCell ref="H388:I388"/>
    <mergeCell ref="F389:G389"/>
    <mergeCell ref="H389:I389"/>
    <mergeCell ref="H384:I384"/>
    <mergeCell ref="J384:K384"/>
    <mergeCell ref="N384:O384"/>
    <mergeCell ref="P384:Q384"/>
    <mergeCell ref="F385:G385"/>
    <mergeCell ref="H385:I385"/>
    <mergeCell ref="J385:K385"/>
    <mergeCell ref="N385:O385"/>
    <mergeCell ref="P385:Q385"/>
    <mergeCell ref="L384:M384"/>
    <mergeCell ref="L385:M385"/>
    <mergeCell ref="L386:M386"/>
    <mergeCell ref="L387:M387"/>
    <mergeCell ref="L388:M388"/>
    <mergeCell ref="F383:G383"/>
    <mergeCell ref="H383:I383"/>
    <mergeCell ref="J383:K383"/>
    <mergeCell ref="N383:O383"/>
    <mergeCell ref="P383:Q383"/>
    <mergeCell ref="F384:G384"/>
    <mergeCell ref="Z382:Z385"/>
    <mergeCell ref="J382:K382"/>
    <mergeCell ref="N382:O382"/>
    <mergeCell ref="P382:Q382"/>
    <mergeCell ref="V382:V385"/>
    <mergeCell ref="X382:X385"/>
    <mergeCell ref="J381:K381"/>
    <mergeCell ref="N381:O381"/>
    <mergeCell ref="P381:Q381"/>
    <mergeCell ref="A382:A385"/>
    <mergeCell ref="B382:B385"/>
    <mergeCell ref="C382:C385"/>
    <mergeCell ref="D382:D385"/>
    <mergeCell ref="F382:G382"/>
    <mergeCell ref="H382:I382"/>
    <mergeCell ref="F379:G379"/>
    <mergeCell ref="H379:I379"/>
    <mergeCell ref="J379:K379"/>
    <mergeCell ref="N379:O379"/>
    <mergeCell ref="P379:Q379"/>
    <mergeCell ref="F380:G380"/>
    <mergeCell ref="Z378:Z381"/>
    <mergeCell ref="J378:K378"/>
    <mergeCell ref="N378:O378"/>
    <mergeCell ref="P378:Q378"/>
    <mergeCell ref="V378:V381"/>
    <mergeCell ref="X378:X381"/>
    <mergeCell ref="J380:K380"/>
    <mergeCell ref="N380:O380"/>
    <mergeCell ref="P380:Q380"/>
    <mergeCell ref="A378:A381"/>
    <mergeCell ref="B378:B381"/>
    <mergeCell ref="C378:C381"/>
    <mergeCell ref="D378:D381"/>
    <mergeCell ref="F378:G378"/>
    <mergeCell ref="H378:I378"/>
    <mergeCell ref="H380:I380"/>
    <mergeCell ref="F381:G381"/>
    <mergeCell ref="H381:I381"/>
    <mergeCell ref="L378:M378"/>
    <mergeCell ref="L379:M379"/>
    <mergeCell ref="L380:M380"/>
    <mergeCell ref="L381:M381"/>
    <mergeCell ref="L382:M382"/>
    <mergeCell ref="L383:M383"/>
    <mergeCell ref="H362:I362"/>
    <mergeCell ref="J362:K362"/>
    <mergeCell ref="N362:O362"/>
    <mergeCell ref="P362:Q362"/>
    <mergeCell ref="F363:G363"/>
    <mergeCell ref="H363:I363"/>
    <mergeCell ref="J363:K363"/>
    <mergeCell ref="N363:O363"/>
    <mergeCell ref="P363:Q363"/>
    <mergeCell ref="F361:G361"/>
    <mergeCell ref="H361:I361"/>
    <mergeCell ref="J361:K361"/>
    <mergeCell ref="N361:O361"/>
    <mergeCell ref="Z368:Z371"/>
    <mergeCell ref="J368:K368"/>
    <mergeCell ref="N368:O368"/>
    <mergeCell ref="P368:Q368"/>
    <mergeCell ref="V368:V371"/>
    <mergeCell ref="X368:X371"/>
    <mergeCell ref="A368:A371"/>
    <mergeCell ref="B368:B371"/>
    <mergeCell ref="C368:C371"/>
    <mergeCell ref="D368:D371"/>
    <mergeCell ref="F368:G368"/>
    <mergeCell ref="H368:I368"/>
    <mergeCell ref="Z364:Z367"/>
    <mergeCell ref="J364:K364"/>
    <mergeCell ref="N364:O364"/>
    <mergeCell ref="P364:Q364"/>
    <mergeCell ref="V364:V367"/>
    <mergeCell ref="X364:X367"/>
    <mergeCell ref="J366:K366"/>
    <mergeCell ref="N366:O366"/>
    <mergeCell ref="P366:Q366"/>
    <mergeCell ref="A364:A367"/>
    <mergeCell ref="B364:B367"/>
    <mergeCell ref="C364:C367"/>
    <mergeCell ref="D364:D367"/>
    <mergeCell ref="F364:G364"/>
    <mergeCell ref="H364:I364"/>
    <mergeCell ref="H366:I366"/>
    <mergeCell ref="F367:G367"/>
    <mergeCell ref="H367:I367"/>
    <mergeCell ref="J370:K370"/>
    <mergeCell ref="N370:O370"/>
    <mergeCell ref="P370:Q370"/>
    <mergeCell ref="F369:G369"/>
    <mergeCell ref="H369:I369"/>
    <mergeCell ref="J369:K369"/>
    <mergeCell ref="N369:O369"/>
    <mergeCell ref="P369:Q369"/>
    <mergeCell ref="J367:K367"/>
    <mergeCell ref="N367:O367"/>
    <mergeCell ref="P367:Q367"/>
    <mergeCell ref="F365:G365"/>
    <mergeCell ref="H365:I365"/>
    <mergeCell ref="J365:K365"/>
    <mergeCell ref="N365:O365"/>
    <mergeCell ref="P365:Q365"/>
    <mergeCell ref="F366:G366"/>
    <mergeCell ref="L371:M371"/>
    <mergeCell ref="H354:I354"/>
    <mergeCell ref="J354:K354"/>
    <mergeCell ref="N354:O354"/>
    <mergeCell ref="P354:Q354"/>
    <mergeCell ref="F355:G355"/>
    <mergeCell ref="H355:I355"/>
    <mergeCell ref="J355:K355"/>
    <mergeCell ref="N355:O355"/>
    <mergeCell ref="P355:Q355"/>
    <mergeCell ref="F353:G353"/>
    <mergeCell ref="H353:I353"/>
    <mergeCell ref="J353:K353"/>
    <mergeCell ref="N353:O353"/>
    <mergeCell ref="P353:Q353"/>
    <mergeCell ref="F354:G354"/>
    <mergeCell ref="Z352:Z355"/>
    <mergeCell ref="J352:K352"/>
    <mergeCell ref="N352:O352"/>
    <mergeCell ref="P352:Q352"/>
    <mergeCell ref="V352:V355"/>
    <mergeCell ref="X352:X355"/>
    <mergeCell ref="J351:K351"/>
    <mergeCell ref="N351:O351"/>
    <mergeCell ref="P351:Q351"/>
    <mergeCell ref="A352:A355"/>
    <mergeCell ref="B352:B355"/>
    <mergeCell ref="C352:C355"/>
    <mergeCell ref="D352:D355"/>
    <mergeCell ref="F352:G352"/>
    <mergeCell ref="H352:I352"/>
    <mergeCell ref="P361:Q361"/>
    <mergeCell ref="F362:G362"/>
    <mergeCell ref="Z360:Z363"/>
    <mergeCell ref="J360:K360"/>
    <mergeCell ref="N360:O360"/>
    <mergeCell ref="P360:Q360"/>
    <mergeCell ref="V360:V363"/>
    <mergeCell ref="X360:X363"/>
    <mergeCell ref="A360:A363"/>
    <mergeCell ref="B360:B363"/>
    <mergeCell ref="C360:C363"/>
    <mergeCell ref="D360:D363"/>
    <mergeCell ref="F360:G360"/>
    <mergeCell ref="H360:I360"/>
    <mergeCell ref="P357:Q357"/>
    <mergeCell ref="F358:G358"/>
    <mergeCell ref="Z356:Z359"/>
    <mergeCell ref="J356:K356"/>
    <mergeCell ref="N356:O356"/>
    <mergeCell ref="P356:Q356"/>
    <mergeCell ref="V356:V359"/>
    <mergeCell ref="X356:X359"/>
    <mergeCell ref="J358:K358"/>
    <mergeCell ref="N358:O358"/>
    <mergeCell ref="P358:Q358"/>
    <mergeCell ref="A356:A359"/>
    <mergeCell ref="B356:B359"/>
    <mergeCell ref="C356:C359"/>
    <mergeCell ref="D356:D359"/>
    <mergeCell ref="F356:G356"/>
    <mergeCell ref="H356:I356"/>
    <mergeCell ref="H358:I358"/>
    <mergeCell ref="F359:G359"/>
    <mergeCell ref="H359:I359"/>
    <mergeCell ref="H340:I340"/>
    <mergeCell ref="H342:I342"/>
    <mergeCell ref="F343:G343"/>
    <mergeCell ref="H343:I343"/>
    <mergeCell ref="F349:G349"/>
    <mergeCell ref="H349:I349"/>
    <mergeCell ref="J349:K349"/>
    <mergeCell ref="N349:O349"/>
    <mergeCell ref="P349:Q349"/>
    <mergeCell ref="F350:G350"/>
    <mergeCell ref="Z348:Z351"/>
    <mergeCell ref="J348:K348"/>
    <mergeCell ref="N348:O348"/>
    <mergeCell ref="P348:Q348"/>
    <mergeCell ref="V348:V351"/>
    <mergeCell ref="X348:X351"/>
    <mergeCell ref="J350:K350"/>
    <mergeCell ref="N350:O350"/>
    <mergeCell ref="P350:Q350"/>
    <mergeCell ref="A348:A351"/>
    <mergeCell ref="B348:B351"/>
    <mergeCell ref="C348:C351"/>
    <mergeCell ref="D348:D351"/>
    <mergeCell ref="F348:G348"/>
    <mergeCell ref="H348:I348"/>
    <mergeCell ref="H350:I350"/>
    <mergeCell ref="F351:G351"/>
    <mergeCell ref="H351:I351"/>
    <mergeCell ref="H346:I346"/>
    <mergeCell ref="J346:K346"/>
    <mergeCell ref="N346:O346"/>
    <mergeCell ref="P346:Q346"/>
    <mergeCell ref="F347:G347"/>
    <mergeCell ref="H347:I347"/>
    <mergeCell ref="J347:K347"/>
    <mergeCell ref="N347:O347"/>
    <mergeCell ref="P347:Q347"/>
    <mergeCell ref="F346:G346"/>
    <mergeCell ref="Z344:Z347"/>
    <mergeCell ref="J344:K344"/>
    <mergeCell ref="N344:O344"/>
    <mergeCell ref="P344:Q344"/>
    <mergeCell ref="V344:V347"/>
    <mergeCell ref="X344:X347"/>
    <mergeCell ref="H338:I338"/>
    <mergeCell ref="J338:K338"/>
    <mergeCell ref="N338:O338"/>
    <mergeCell ref="P338:Q338"/>
    <mergeCell ref="F339:G339"/>
    <mergeCell ref="H339:I339"/>
    <mergeCell ref="J339:K339"/>
    <mergeCell ref="N339:O339"/>
    <mergeCell ref="P339:Q339"/>
    <mergeCell ref="F337:G337"/>
    <mergeCell ref="H337:I337"/>
    <mergeCell ref="J337:K337"/>
    <mergeCell ref="N337:O337"/>
    <mergeCell ref="P337:Q337"/>
    <mergeCell ref="F338:G338"/>
    <mergeCell ref="Z336:Z339"/>
    <mergeCell ref="J336:K336"/>
    <mergeCell ref="N336:O336"/>
    <mergeCell ref="P336:Q336"/>
    <mergeCell ref="V336:V339"/>
    <mergeCell ref="X336:X339"/>
    <mergeCell ref="J335:K335"/>
    <mergeCell ref="N335:O335"/>
    <mergeCell ref="P335:Q335"/>
    <mergeCell ref="A336:A339"/>
    <mergeCell ref="B336:B339"/>
    <mergeCell ref="C336:C339"/>
    <mergeCell ref="D336:D339"/>
    <mergeCell ref="F336:G336"/>
    <mergeCell ref="H336:I336"/>
    <mergeCell ref="F345:G345"/>
    <mergeCell ref="H345:I345"/>
    <mergeCell ref="J345:K345"/>
    <mergeCell ref="N345:O345"/>
    <mergeCell ref="P345:Q345"/>
    <mergeCell ref="J343:K343"/>
    <mergeCell ref="N343:O343"/>
    <mergeCell ref="P343:Q343"/>
    <mergeCell ref="A344:A347"/>
    <mergeCell ref="B344:B347"/>
    <mergeCell ref="C344:C347"/>
    <mergeCell ref="D344:D347"/>
    <mergeCell ref="F344:G344"/>
    <mergeCell ref="H344:I344"/>
    <mergeCell ref="F341:G341"/>
    <mergeCell ref="H341:I341"/>
    <mergeCell ref="J341:K341"/>
    <mergeCell ref="N341:O341"/>
    <mergeCell ref="P341:Q341"/>
    <mergeCell ref="F342:G342"/>
    <mergeCell ref="Z340:Z343"/>
    <mergeCell ref="J340:K340"/>
    <mergeCell ref="N340:O340"/>
    <mergeCell ref="P340:Q340"/>
    <mergeCell ref="V340:V343"/>
    <mergeCell ref="X340:X343"/>
    <mergeCell ref="J342:K342"/>
    <mergeCell ref="N342:O342"/>
    <mergeCell ref="P342:Q342"/>
    <mergeCell ref="A340:A343"/>
    <mergeCell ref="B340:B343"/>
    <mergeCell ref="C340:C343"/>
    <mergeCell ref="D340:D343"/>
    <mergeCell ref="F340:G340"/>
    <mergeCell ref="H318:I318"/>
    <mergeCell ref="H320:I320"/>
    <mergeCell ref="F321:G321"/>
    <mergeCell ref="H321:I321"/>
    <mergeCell ref="F333:G333"/>
    <mergeCell ref="H333:I333"/>
    <mergeCell ref="J333:K333"/>
    <mergeCell ref="N333:O333"/>
    <mergeCell ref="P333:Q333"/>
    <mergeCell ref="F334:G334"/>
    <mergeCell ref="Z332:Z335"/>
    <mergeCell ref="J332:K332"/>
    <mergeCell ref="N332:O332"/>
    <mergeCell ref="P332:Q332"/>
    <mergeCell ref="V332:V335"/>
    <mergeCell ref="X332:X335"/>
    <mergeCell ref="J334:K334"/>
    <mergeCell ref="N334:O334"/>
    <mergeCell ref="P334:Q334"/>
    <mergeCell ref="A332:A335"/>
    <mergeCell ref="B332:B335"/>
    <mergeCell ref="C332:C335"/>
    <mergeCell ref="D332:D335"/>
    <mergeCell ref="F332:G332"/>
    <mergeCell ref="H332:I332"/>
    <mergeCell ref="H334:I334"/>
    <mergeCell ref="F335:G335"/>
    <mergeCell ref="H335:I335"/>
    <mergeCell ref="H324:I324"/>
    <mergeCell ref="J324:K324"/>
    <mergeCell ref="N324:O324"/>
    <mergeCell ref="P324:Q324"/>
    <mergeCell ref="F325:G325"/>
    <mergeCell ref="H325:I325"/>
    <mergeCell ref="J325:K325"/>
    <mergeCell ref="N325:O325"/>
    <mergeCell ref="P325:Q325"/>
    <mergeCell ref="S330:W330"/>
    <mergeCell ref="B331:D331"/>
    <mergeCell ref="E331:Q331"/>
    <mergeCell ref="F324:G324"/>
    <mergeCell ref="Z322:Z325"/>
    <mergeCell ref="J322:K322"/>
    <mergeCell ref="N322:O322"/>
    <mergeCell ref="P322:Q322"/>
    <mergeCell ref="V322:V325"/>
    <mergeCell ref="X322:X325"/>
    <mergeCell ref="H316:I316"/>
    <mergeCell ref="J316:K316"/>
    <mergeCell ref="N316:O316"/>
    <mergeCell ref="P316:Q316"/>
    <mergeCell ref="F317:G317"/>
    <mergeCell ref="H317:I317"/>
    <mergeCell ref="J317:K317"/>
    <mergeCell ref="N317:O317"/>
    <mergeCell ref="P317:Q317"/>
    <mergeCell ref="F315:G315"/>
    <mergeCell ref="H315:I315"/>
    <mergeCell ref="J315:K315"/>
    <mergeCell ref="N315:O315"/>
    <mergeCell ref="P315:Q315"/>
    <mergeCell ref="F316:G316"/>
    <mergeCell ref="Z314:Z317"/>
    <mergeCell ref="J314:K314"/>
    <mergeCell ref="N314:O314"/>
    <mergeCell ref="P314:Q314"/>
    <mergeCell ref="V314:V317"/>
    <mergeCell ref="X314:X317"/>
    <mergeCell ref="J313:K313"/>
    <mergeCell ref="N313:O313"/>
    <mergeCell ref="P313:Q313"/>
    <mergeCell ref="A314:A317"/>
    <mergeCell ref="B314:B317"/>
    <mergeCell ref="C314:C317"/>
    <mergeCell ref="D314:D317"/>
    <mergeCell ref="F314:G314"/>
    <mergeCell ref="H314:I314"/>
    <mergeCell ref="F323:G323"/>
    <mergeCell ref="H323:I323"/>
    <mergeCell ref="J323:K323"/>
    <mergeCell ref="N323:O323"/>
    <mergeCell ref="P323:Q323"/>
    <mergeCell ref="J321:K321"/>
    <mergeCell ref="N321:O321"/>
    <mergeCell ref="P321:Q321"/>
    <mergeCell ref="A322:A325"/>
    <mergeCell ref="B322:B325"/>
    <mergeCell ref="C322:C325"/>
    <mergeCell ref="D322:D325"/>
    <mergeCell ref="F322:G322"/>
    <mergeCell ref="H322:I322"/>
    <mergeCell ref="F319:G319"/>
    <mergeCell ref="H319:I319"/>
    <mergeCell ref="J319:K319"/>
    <mergeCell ref="N319:O319"/>
    <mergeCell ref="P319:Q319"/>
    <mergeCell ref="F320:G320"/>
    <mergeCell ref="Z318:Z321"/>
    <mergeCell ref="J318:K318"/>
    <mergeCell ref="N318:O318"/>
    <mergeCell ref="P318:Q318"/>
    <mergeCell ref="V318:V321"/>
    <mergeCell ref="X318:X321"/>
    <mergeCell ref="J320:K320"/>
    <mergeCell ref="N320:O320"/>
    <mergeCell ref="P320:Q320"/>
    <mergeCell ref="A318:A321"/>
    <mergeCell ref="B318:B321"/>
    <mergeCell ref="C318:C321"/>
    <mergeCell ref="D318:D321"/>
    <mergeCell ref="F318:G318"/>
    <mergeCell ref="H302:I302"/>
    <mergeCell ref="H304:I304"/>
    <mergeCell ref="F305:G305"/>
    <mergeCell ref="H305:I305"/>
    <mergeCell ref="F311:G311"/>
    <mergeCell ref="H311:I311"/>
    <mergeCell ref="J311:K311"/>
    <mergeCell ref="N311:O311"/>
    <mergeCell ref="P311:Q311"/>
    <mergeCell ref="F312:G312"/>
    <mergeCell ref="Z310:Z313"/>
    <mergeCell ref="J310:K310"/>
    <mergeCell ref="N310:O310"/>
    <mergeCell ref="P310:Q310"/>
    <mergeCell ref="V310:V313"/>
    <mergeCell ref="X310:X313"/>
    <mergeCell ref="J312:K312"/>
    <mergeCell ref="N312:O312"/>
    <mergeCell ref="P312:Q312"/>
    <mergeCell ref="A310:A313"/>
    <mergeCell ref="B310:B313"/>
    <mergeCell ref="C310:C313"/>
    <mergeCell ref="D310:D313"/>
    <mergeCell ref="F310:G310"/>
    <mergeCell ref="H310:I310"/>
    <mergeCell ref="H312:I312"/>
    <mergeCell ref="F313:G313"/>
    <mergeCell ref="H313:I313"/>
    <mergeCell ref="H308:I308"/>
    <mergeCell ref="J308:K308"/>
    <mergeCell ref="N308:O308"/>
    <mergeCell ref="P308:Q308"/>
    <mergeCell ref="F309:G309"/>
    <mergeCell ref="H309:I309"/>
    <mergeCell ref="J309:K309"/>
    <mergeCell ref="N309:O309"/>
    <mergeCell ref="P309:Q309"/>
    <mergeCell ref="F308:G308"/>
    <mergeCell ref="Z306:Z309"/>
    <mergeCell ref="J306:K306"/>
    <mergeCell ref="N306:O306"/>
    <mergeCell ref="P306:Q306"/>
    <mergeCell ref="V306:V309"/>
    <mergeCell ref="X306:X309"/>
    <mergeCell ref="H300:I300"/>
    <mergeCell ref="J300:K300"/>
    <mergeCell ref="N300:O300"/>
    <mergeCell ref="P300:Q300"/>
    <mergeCell ref="F301:G301"/>
    <mergeCell ref="H301:I301"/>
    <mergeCell ref="J301:K301"/>
    <mergeCell ref="N301:O301"/>
    <mergeCell ref="P301:Q301"/>
    <mergeCell ref="F299:G299"/>
    <mergeCell ref="H299:I299"/>
    <mergeCell ref="J299:K299"/>
    <mergeCell ref="N299:O299"/>
    <mergeCell ref="P299:Q299"/>
    <mergeCell ref="F300:G300"/>
    <mergeCell ref="Z298:Z301"/>
    <mergeCell ref="J298:K298"/>
    <mergeCell ref="N298:O298"/>
    <mergeCell ref="P298:Q298"/>
    <mergeCell ref="V298:V301"/>
    <mergeCell ref="X298:X301"/>
    <mergeCell ref="J297:K297"/>
    <mergeCell ref="N297:O297"/>
    <mergeCell ref="P297:Q297"/>
    <mergeCell ref="A298:A301"/>
    <mergeCell ref="B298:B301"/>
    <mergeCell ref="C298:C301"/>
    <mergeCell ref="D298:D301"/>
    <mergeCell ref="F298:G298"/>
    <mergeCell ref="H298:I298"/>
    <mergeCell ref="F307:G307"/>
    <mergeCell ref="H307:I307"/>
    <mergeCell ref="J307:K307"/>
    <mergeCell ref="N307:O307"/>
    <mergeCell ref="P307:Q307"/>
    <mergeCell ref="J305:K305"/>
    <mergeCell ref="N305:O305"/>
    <mergeCell ref="P305:Q305"/>
    <mergeCell ref="A306:A309"/>
    <mergeCell ref="B306:B309"/>
    <mergeCell ref="C306:C309"/>
    <mergeCell ref="D306:D309"/>
    <mergeCell ref="F306:G306"/>
    <mergeCell ref="H306:I306"/>
    <mergeCell ref="F303:G303"/>
    <mergeCell ref="H303:I303"/>
    <mergeCell ref="J303:K303"/>
    <mergeCell ref="N303:O303"/>
    <mergeCell ref="P303:Q303"/>
    <mergeCell ref="F304:G304"/>
    <mergeCell ref="Z302:Z305"/>
    <mergeCell ref="J302:K302"/>
    <mergeCell ref="N302:O302"/>
    <mergeCell ref="P302:Q302"/>
    <mergeCell ref="V302:V305"/>
    <mergeCell ref="X302:X305"/>
    <mergeCell ref="J304:K304"/>
    <mergeCell ref="N304:O304"/>
    <mergeCell ref="P304:Q304"/>
    <mergeCell ref="A302:A305"/>
    <mergeCell ref="B302:B305"/>
    <mergeCell ref="C302:C305"/>
    <mergeCell ref="D302:D305"/>
    <mergeCell ref="F302:G302"/>
    <mergeCell ref="P288:Q288"/>
    <mergeCell ref="A286:A289"/>
    <mergeCell ref="B286:B289"/>
    <mergeCell ref="C286:C289"/>
    <mergeCell ref="D286:D289"/>
    <mergeCell ref="F286:G286"/>
    <mergeCell ref="H286:I286"/>
    <mergeCell ref="H288:I288"/>
    <mergeCell ref="F289:G289"/>
    <mergeCell ref="H289:I289"/>
    <mergeCell ref="F295:G295"/>
    <mergeCell ref="H295:I295"/>
    <mergeCell ref="J295:K295"/>
    <mergeCell ref="N295:O295"/>
    <mergeCell ref="P295:Q295"/>
    <mergeCell ref="F296:G296"/>
    <mergeCell ref="Z294:Z297"/>
    <mergeCell ref="J294:K294"/>
    <mergeCell ref="N294:O294"/>
    <mergeCell ref="P294:Q294"/>
    <mergeCell ref="V294:V297"/>
    <mergeCell ref="X294:X297"/>
    <mergeCell ref="J296:K296"/>
    <mergeCell ref="N296:O296"/>
    <mergeCell ref="P296:Q296"/>
    <mergeCell ref="A294:A297"/>
    <mergeCell ref="B294:B297"/>
    <mergeCell ref="C294:C297"/>
    <mergeCell ref="D294:D297"/>
    <mergeCell ref="F294:G294"/>
    <mergeCell ref="H294:I294"/>
    <mergeCell ref="H296:I296"/>
    <mergeCell ref="F297:G297"/>
    <mergeCell ref="H297:I297"/>
    <mergeCell ref="H292:I292"/>
    <mergeCell ref="J292:K292"/>
    <mergeCell ref="N292:O292"/>
    <mergeCell ref="P292:Q292"/>
    <mergeCell ref="F293:G293"/>
    <mergeCell ref="H293:I293"/>
    <mergeCell ref="J293:K293"/>
    <mergeCell ref="N293:O293"/>
    <mergeCell ref="P293:Q293"/>
    <mergeCell ref="F292:G292"/>
    <mergeCell ref="Z290:Z293"/>
    <mergeCell ref="J290:K290"/>
    <mergeCell ref="N290:O290"/>
    <mergeCell ref="P290:Q290"/>
    <mergeCell ref="V290:V293"/>
    <mergeCell ref="X290:X293"/>
    <mergeCell ref="H278:I278"/>
    <mergeCell ref="J278:K278"/>
    <mergeCell ref="N278:O278"/>
    <mergeCell ref="P278:Q278"/>
    <mergeCell ref="F279:G279"/>
    <mergeCell ref="H279:I279"/>
    <mergeCell ref="J279:K279"/>
    <mergeCell ref="N279:O279"/>
    <mergeCell ref="P279:Q279"/>
    <mergeCell ref="F277:G277"/>
    <mergeCell ref="H277:I277"/>
    <mergeCell ref="J277:K277"/>
    <mergeCell ref="N277:O277"/>
    <mergeCell ref="P277:Q277"/>
    <mergeCell ref="F278:G278"/>
    <mergeCell ref="Z276:Z279"/>
    <mergeCell ref="J276:K276"/>
    <mergeCell ref="N276:O276"/>
    <mergeCell ref="P276:Q276"/>
    <mergeCell ref="V276:V279"/>
    <mergeCell ref="X276:X279"/>
    <mergeCell ref="J275:K275"/>
    <mergeCell ref="N275:O275"/>
    <mergeCell ref="P275:Q275"/>
    <mergeCell ref="A276:A279"/>
    <mergeCell ref="B276:B279"/>
    <mergeCell ref="C276:C279"/>
    <mergeCell ref="D276:D279"/>
    <mergeCell ref="F276:G276"/>
    <mergeCell ref="H276:I276"/>
    <mergeCell ref="F291:G291"/>
    <mergeCell ref="H291:I291"/>
    <mergeCell ref="J291:K291"/>
    <mergeCell ref="N291:O291"/>
    <mergeCell ref="P291:Q291"/>
    <mergeCell ref="F283:O283"/>
    <mergeCell ref="A284:D284"/>
    <mergeCell ref="E284:Q284"/>
    <mergeCell ref="A281:C281"/>
    <mergeCell ref="B282:C282"/>
    <mergeCell ref="F282:O282"/>
    <mergeCell ref="J289:K289"/>
    <mergeCell ref="N289:O289"/>
    <mergeCell ref="P289:Q289"/>
    <mergeCell ref="A290:A293"/>
    <mergeCell ref="B290:B293"/>
    <mergeCell ref="C290:C293"/>
    <mergeCell ref="D290:D293"/>
    <mergeCell ref="F290:G290"/>
    <mergeCell ref="H290:I290"/>
    <mergeCell ref="F287:G287"/>
    <mergeCell ref="H287:I287"/>
    <mergeCell ref="J287:K287"/>
    <mergeCell ref="N287:O287"/>
    <mergeCell ref="P287:Q287"/>
    <mergeCell ref="F288:G288"/>
    <mergeCell ref="Z286:Z289"/>
    <mergeCell ref="J286:K286"/>
    <mergeCell ref="N286:O286"/>
    <mergeCell ref="P286:Q286"/>
    <mergeCell ref="V286:V289"/>
    <mergeCell ref="X286:X289"/>
    <mergeCell ref="J288:K288"/>
    <mergeCell ref="N288:O288"/>
    <mergeCell ref="H264:I264"/>
    <mergeCell ref="H266:I266"/>
    <mergeCell ref="F267:G267"/>
    <mergeCell ref="H267:I267"/>
    <mergeCell ref="F273:G273"/>
    <mergeCell ref="H273:I273"/>
    <mergeCell ref="J273:K273"/>
    <mergeCell ref="N273:O273"/>
    <mergeCell ref="P273:Q273"/>
    <mergeCell ref="F274:G274"/>
    <mergeCell ref="Z272:Z275"/>
    <mergeCell ref="J272:K272"/>
    <mergeCell ref="N272:O272"/>
    <mergeCell ref="P272:Q272"/>
    <mergeCell ref="V272:V275"/>
    <mergeCell ref="X272:X275"/>
    <mergeCell ref="J274:K274"/>
    <mergeCell ref="N274:O274"/>
    <mergeCell ref="P274:Q274"/>
    <mergeCell ref="A272:A275"/>
    <mergeCell ref="B272:B275"/>
    <mergeCell ref="C272:C275"/>
    <mergeCell ref="D272:D275"/>
    <mergeCell ref="F272:G272"/>
    <mergeCell ref="H272:I272"/>
    <mergeCell ref="H274:I274"/>
    <mergeCell ref="F275:G275"/>
    <mergeCell ref="H275:I275"/>
    <mergeCell ref="H270:I270"/>
    <mergeCell ref="J270:K270"/>
    <mergeCell ref="N270:O270"/>
    <mergeCell ref="P270:Q270"/>
    <mergeCell ref="F271:G271"/>
    <mergeCell ref="H271:I271"/>
    <mergeCell ref="J271:K271"/>
    <mergeCell ref="N271:O271"/>
    <mergeCell ref="P271:Q271"/>
    <mergeCell ref="F270:G270"/>
    <mergeCell ref="Z268:Z271"/>
    <mergeCell ref="J268:K268"/>
    <mergeCell ref="N268:O268"/>
    <mergeCell ref="P268:Q268"/>
    <mergeCell ref="V268:V271"/>
    <mergeCell ref="X268:X271"/>
    <mergeCell ref="H262:I262"/>
    <mergeCell ref="J262:K262"/>
    <mergeCell ref="N262:O262"/>
    <mergeCell ref="P262:Q262"/>
    <mergeCell ref="F263:G263"/>
    <mergeCell ref="H263:I263"/>
    <mergeCell ref="J263:K263"/>
    <mergeCell ref="N263:O263"/>
    <mergeCell ref="P263:Q263"/>
    <mergeCell ref="F261:G261"/>
    <mergeCell ref="H261:I261"/>
    <mergeCell ref="J261:K261"/>
    <mergeCell ref="N261:O261"/>
    <mergeCell ref="P261:Q261"/>
    <mergeCell ref="F262:G262"/>
    <mergeCell ref="Z260:Z263"/>
    <mergeCell ref="J260:K260"/>
    <mergeCell ref="N260:O260"/>
    <mergeCell ref="P260:Q260"/>
    <mergeCell ref="V260:V263"/>
    <mergeCell ref="X260:X263"/>
    <mergeCell ref="J259:K259"/>
    <mergeCell ref="N259:O259"/>
    <mergeCell ref="P259:Q259"/>
    <mergeCell ref="A260:A263"/>
    <mergeCell ref="B260:B263"/>
    <mergeCell ref="C260:C263"/>
    <mergeCell ref="D260:D263"/>
    <mergeCell ref="F260:G260"/>
    <mergeCell ref="H260:I260"/>
    <mergeCell ref="F269:G269"/>
    <mergeCell ref="H269:I269"/>
    <mergeCell ref="J269:K269"/>
    <mergeCell ref="N269:O269"/>
    <mergeCell ref="P269:Q269"/>
    <mergeCell ref="J267:K267"/>
    <mergeCell ref="N267:O267"/>
    <mergeCell ref="P267:Q267"/>
    <mergeCell ref="A268:A271"/>
    <mergeCell ref="B268:B271"/>
    <mergeCell ref="C268:C271"/>
    <mergeCell ref="D268:D271"/>
    <mergeCell ref="F268:G268"/>
    <mergeCell ref="H268:I268"/>
    <mergeCell ref="F265:G265"/>
    <mergeCell ref="H265:I265"/>
    <mergeCell ref="J265:K265"/>
    <mergeCell ref="N265:O265"/>
    <mergeCell ref="P265:Q265"/>
    <mergeCell ref="F266:G266"/>
    <mergeCell ref="Z264:Z267"/>
    <mergeCell ref="J264:K264"/>
    <mergeCell ref="N264:O264"/>
    <mergeCell ref="P264:Q264"/>
    <mergeCell ref="V264:V267"/>
    <mergeCell ref="X264:X267"/>
    <mergeCell ref="J266:K266"/>
    <mergeCell ref="N266:O266"/>
    <mergeCell ref="P266:Q266"/>
    <mergeCell ref="A264:A267"/>
    <mergeCell ref="B264:B267"/>
    <mergeCell ref="C264:C267"/>
    <mergeCell ref="D264:D267"/>
    <mergeCell ref="F264:G264"/>
    <mergeCell ref="H248:I248"/>
    <mergeCell ref="H250:I250"/>
    <mergeCell ref="F251:G251"/>
    <mergeCell ref="H251:I251"/>
    <mergeCell ref="F257:G257"/>
    <mergeCell ref="H257:I257"/>
    <mergeCell ref="J257:K257"/>
    <mergeCell ref="N257:O257"/>
    <mergeCell ref="P257:Q257"/>
    <mergeCell ref="F258:G258"/>
    <mergeCell ref="Z256:Z259"/>
    <mergeCell ref="J256:K256"/>
    <mergeCell ref="N256:O256"/>
    <mergeCell ref="P256:Q256"/>
    <mergeCell ref="V256:V259"/>
    <mergeCell ref="X256:X259"/>
    <mergeCell ref="J258:K258"/>
    <mergeCell ref="N258:O258"/>
    <mergeCell ref="P258:Q258"/>
    <mergeCell ref="A256:A259"/>
    <mergeCell ref="B256:B259"/>
    <mergeCell ref="C256:C259"/>
    <mergeCell ref="D256:D259"/>
    <mergeCell ref="F256:G256"/>
    <mergeCell ref="H256:I256"/>
    <mergeCell ref="H258:I258"/>
    <mergeCell ref="F259:G259"/>
    <mergeCell ref="H259:I259"/>
    <mergeCell ref="H254:I254"/>
    <mergeCell ref="J254:K254"/>
    <mergeCell ref="N254:O254"/>
    <mergeCell ref="P254:Q254"/>
    <mergeCell ref="F255:G255"/>
    <mergeCell ref="H255:I255"/>
    <mergeCell ref="J255:K255"/>
    <mergeCell ref="N255:O255"/>
    <mergeCell ref="P255:Q255"/>
    <mergeCell ref="F254:G254"/>
    <mergeCell ref="Z252:Z255"/>
    <mergeCell ref="J252:K252"/>
    <mergeCell ref="N252:O252"/>
    <mergeCell ref="P252:Q252"/>
    <mergeCell ref="V252:V255"/>
    <mergeCell ref="X252:X255"/>
    <mergeCell ref="L259:M259"/>
    <mergeCell ref="H246:I246"/>
    <mergeCell ref="J246:K246"/>
    <mergeCell ref="N246:O246"/>
    <mergeCell ref="P246:Q246"/>
    <mergeCell ref="F247:G247"/>
    <mergeCell ref="H247:I247"/>
    <mergeCell ref="J247:K247"/>
    <mergeCell ref="N247:O247"/>
    <mergeCell ref="P247:Q247"/>
    <mergeCell ref="F245:G245"/>
    <mergeCell ref="H245:I245"/>
    <mergeCell ref="J245:K245"/>
    <mergeCell ref="N245:O245"/>
    <mergeCell ref="P245:Q245"/>
    <mergeCell ref="F246:G246"/>
    <mergeCell ref="Z244:Z247"/>
    <mergeCell ref="J244:K244"/>
    <mergeCell ref="N244:O244"/>
    <mergeCell ref="P244:Q244"/>
    <mergeCell ref="V244:V247"/>
    <mergeCell ref="X244:X247"/>
    <mergeCell ref="J243:K243"/>
    <mergeCell ref="N243:O243"/>
    <mergeCell ref="P243:Q243"/>
    <mergeCell ref="A244:A247"/>
    <mergeCell ref="B244:B247"/>
    <mergeCell ref="C244:C247"/>
    <mergeCell ref="D244:D247"/>
    <mergeCell ref="F244:G244"/>
    <mergeCell ref="H244:I244"/>
    <mergeCell ref="F253:G253"/>
    <mergeCell ref="H253:I253"/>
    <mergeCell ref="J253:K253"/>
    <mergeCell ref="N253:O253"/>
    <mergeCell ref="P253:Q253"/>
    <mergeCell ref="J251:K251"/>
    <mergeCell ref="N251:O251"/>
    <mergeCell ref="P251:Q251"/>
    <mergeCell ref="A252:A255"/>
    <mergeCell ref="B252:B255"/>
    <mergeCell ref="C252:C255"/>
    <mergeCell ref="D252:D255"/>
    <mergeCell ref="F252:G252"/>
    <mergeCell ref="H252:I252"/>
    <mergeCell ref="F249:G249"/>
    <mergeCell ref="H249:I249"/>
    <mergeCell ref="J249:K249"/>
    <mergeCell ref="N249:O249"/>
    <mergeCell ref="P249:Q249"/>
    <mergeCell ref="F250:G250"/>
    <mergeCell ref="Z248:Z251"/>
    <mergeCell ref="J248:K248"/>
    <mergeCell ref="N248:O248"/>
    <mergeCell ref="P248:Q248"/>
    <mergeCell ref="V248:V251"/>
    <mergeCell ref="X248:X251"/>
    <mergeCell ref="J250:K250"/>
    <mergeCell ref="N250:O250"/>
    <mergeCell ref="P250:Q250"/>
    <mergeCell ref="A248:A251"/>
    <mergeCell ref="B248:B251"/>
    <mergeCell ref="C248:C251"/>
    <mergeCell ref="D248:D251"/>
    <mergeCell ref="F248:G248"/>
    <mergeCell ref="J227:K227"/>
    <mergeCell ref="N227:O227"/>
    <mergeCell ref="P227:Q227"/>
    <mergeCell ref="F228:G228"/>
    <mergeCell ref="F241:G241"/>
    <mergeCell ref="H241:I241"/>
    <mergeCell ref="J241:K241"/>
    <mergeCell ref="N241:O241"/>
    <mergeCell ref="P241:Q241"/>
    <mergeCell ref="F242:G242"/>
    <mergeCell ref="Z240:Z243"/>
    <mergeCell ref="J240:K240"/>
    <mergeCell ref="N240:O240"/>
    <mergeCell ref="P240:Q240"/>
    <mergeCell ref="V240:V243"/>
    <mergeCell ref="X240:X243"/>
    <mergeCell ref="J242:K242"/>
    <mergeCell ref="N242:O242"/>
    <mergeCell ref="P242:Q242"/>
    <mergeCell ref="A240:A243"/>
    <mergeCell ref="B240:B243"/>
    <mergeCell ref="C240:C243"/>
    <mergeCell ref="D240:D243"/>
    <mergeCell ref="F240:G240"/>
    <mergeCell ref="H240:I240"/>
    <mergeCell ref="H242:I242"/>
    <mergeCell ref="F243:G243"/>
    <mergeCell ref="H243:I243"/>
    <mergeCell ref="Z230:Z233"/>
    <mergeCell ref="J230:K230"/>
    <mergeCell ref="N230:O230"/>
    <mergeCell ref="P230:Q230"/>
    <mergeCell ref="V230:V233"/>
    <mergeCell ref="X230:X233"/>
    <mergeCell ref="B237:C237"/>
    <mergeCell ref="F237:O237"/>
    <mergeCell ref="A238:D238"/>
    <mergeCell ref="E238:Q238"/>
    <mergeCell ref="A235:C235"/>
    <mergeCell ref="B236:C236"/>
    <mergeCell ref="F236:O236"/>
    <mergeCell ref="A230:A233"/>
    <mergeCell ref="B230:B233"/>
    <mergeCell ref="C230:C233"/>
    <mergeCell ref="D230:D233"/>
    <mergeCell ref="F230:G230"/>
    <mergeCell ref="H230:I230"/>
    <mergeCell ref="J231:K231"/>
    <mergeCell ref="N231:O231"/>
    <mergeCell ref="P231:Q231"/>
    <mergeCell ref="F232:G232"/>
    <mergeCell ref="S238:W238"/>
    <mergeCell ref="B239:D239"/>
    <mergeCell ref="E239:Q239"/>
    <mergeCell ref="L232:M232"/>
    <mergeCell ref="L233:M233"/>
    <mergeCell ref="L240:M240"/>
    <mergeCell ref="L241:M241"/>
    <mergeCell ref="L242:M242"/>
    <mergeCell ref="L243:M243"/>
    <mergeCell ref="Z214:Z217"/>
    <mergeCell ref="J214:K214"/>
    <mergeCell ref="N214:O214"/>
    <mergeCell ref="P214:Q214"/>
    <mergeCell ref="V214:V217"/>
    <mergeCell ref="X214:X217"/>
    <mergeCell ref="J221:K221"/>
    <mergeCell ref="N221:O221"/>
    <mergeCell ref="P221:Q221"/>
    <mergeCell ref="F219:G219"/>
    <mergeCell ref="H219:I219"/>
    <mergeCell ref="J219:K219"/>
    <mergeCell ref="N219:O219"/>
    <mergeCell ref="P219:Q219"/>
    <mergeCell ref="Z226:Z229"/>
    <mergeCell ref="J226:K226"/>
    <mergeCell ref="N226:O226"/>
    <mergeCell ref="P226:Q226"/>
    <mergeCell ref="V226:V229"/>
    <mergeCell ref="X226:X229"/>
    <mergeCell ref="J228:K228"/>
    <mergeCell ref="N228:O228"/>
    <mergeCell ref="P228:Q228"/>
    <mergeCell ref="A226:A229"/>
    <mergeCell ref="B226:B229"/>
    <mergeCell ref="C226:C229"/>
    <mergeCell ref="D226:D229"/>
    <mergeCell ref="F226:G226"/>
    <mergeCell ref="H226:I226"/>
    <mergeCell ref="H228:I228"/>
    <mergeCell ref="F229:G229"/>
    <mergeCell ref="H229:I229"/>
    <mergeCell ref="H223:I223"/>
    <mergeCell ref="J223:K223"/>
    <mergeCell ref="N223:O223"/>
    <mergeCell ref="P223:Q223"/>
    <mergeCell ref="F224:G224"/>
    <mergeCell ref="Z222:Z225"/>
    <mergeCell ref="J222:K222"/>
    <mergeCell ref="N222:O222"/>
    <mergeCell ref="P222:Q222"/>
    <mergeCell ref="V222:V225"/>
    <mergeCell ref="X222:X225"/>
    <mergeCell ref="A222:A225"/>
    <mergeCell ref="B222:B225"/>
    <mergeCell ref="C222:C225"/>
    <mergeCell ref="D222:D225"/>
    <mergeCell ref="F222:G222"/>
    <mergeCell ref="H222:I222"/>
    <mergeCell ref="H224:I224"/>
    <mergeCell ref="J224:K224"/>
    <mergeCell ref="N224:O224"/>
    <mergeCell ref="P224:Q224"/>
    <mergeCell ref="F225:G225"/>
    <mergeCell ref="H225:I225"/>
    <mergeCell ref="J225:K225"/>
    <mergeCell ref="N225:O225"/>
    <mergeCell ref="P225:Q225"/>
    <mergeCell ref="F223:G223"/>
    <mergeCell ref="J229:K229"/>
    <mergeCell ref="N229:O229"/>
    <mergeCell ref="P229:Q229"/>
    <mergeCell ref="F227:G227"/>
    <mergeCell ref="H227:I227"/>
    <mergeCell ref="A214:A217"/>
    <mergeCell ref="B214:B217"/>
    <mergeCell ref="C214:C217"/>
    <mergeCell ref="D214:D217"/>
    <mergeCell ref="F214:G214"/>
    <mergeCell ref="H214:I214"/>
    <mergeCell ref="F211:G211"/>
    <mergeCell ref="H211:I211"/>
    <mergeCell ref="J211:K211"/>
    <mergeCell ref="N211:O211"/>
    <mergeCell ref="P211:Q211"/>
    <mergeCell ref="F212:G212"/>
    <mergeCell ref="Z210:Z213"/>
    <mergeCell ref="J210:K210"/>
    <mergeCell ref="N210:O210"/>
    <mergeCell ref="P210:Q210"/>
    <mergeCell ref="V210:V213"/>
    <mergeCell ref="X210:X213"/>
    <mergeCell ref="J212:K212"/>
    <mergeCell ref="N212:O212"/>
    <mergeCell ref="P212:Q212"/>
    <mergeCell ref="A210:A213"/>
    <mergeCell ref="B210:B213"/>
    <mergeCell ref="C210:C213"/>
    <mergeCell ref="D210:D213"/>
    <mergeCell ref="F210:G210"/>
    <mergeCell ref="H210:I210"/>
    <mergeCell ref="H212:I212"/>
    <mergeCell ref="F213:G213"/>
    <mergeCell ref="H213:I213"/>
    <mergeCell ref="F220:G220"/>
    <mergeCell ref="Z218:Z221"/>
    <mergeCell ref="J218:K218"/>
    <mergeCell ref="N218:O218"/>
    <mergeCell ref="P218:Q218"/>
    <mergeCell ref="V218:V221"/>
    <mergeCell ref="X218:X221"/>
    <mergeCell ref="J220:K220"/>
    <mergeCell ref="N220:O220"/>
    <mergeCell ref="P220:Q220"/>
    <mergeCell ref="A218:A221"/>
    <mergeCell ref="B218:B221"/>
    <mergeCell ref="C218:C221"/>
    <mergeCell ref="D218:D221"/>
    <mergeCell ref="F218:G218"/>
    <mergeCell ref="H218:I218"/>
    <mergeCell ref="H220:I220"/>
    <mergeCell ref="F221:G221"/>
    <mergeCell ref="H221:I221"/>
    <mergeCell ref="H216:I216"/>
    <mergeCell ref="J216:K216"/>
    <mergeCell ref="N216:O216"/>
    <mergeCell ref="P216:Q216"/>
    <mergeCell ref="F217:G217"/>
    <mergeCell ref="H217:I217"/>
    <mergeCell ref="J217:K217"/>
    <mergeCell ref="N217:O217"/>
    <mergeCell ref="P217:Q217"/>
    <mergeCell ref="F215:G215"/>
    <mergeCell ref="H215:I215"/>
    <mergeCell ref="J215:K215"/>
    <mergeCell ref="N215:O215"/>
    <mergeCell ref="P215:Q215"/>
    <mergeCell ref="F216:G216"/>
    <mergeCell ref="H208:I208"/>
    <mergeCell ref="J208:K208"/>
    <mergeCell ref="N208:O208"/>
    <mergeCell ref="P208:Q208"/>
    <mergeCell ref="F209:G209"/>
    <mergeCell ref="H209:I209"/>
    <mergeCell ref="J209:K209"/>
    <mergeCell ref="N209:O209"/>
    <mergeCell ref="P209:Q209"/>
    <mergeCell ref="F207:G207"/>
    <mergeCell ref="H207:I207"/>
    <mergeCell ref="J207:K207"/>
    <mergeCell ref="N207:O207"/>
    <mergeCell ref="P207:Q207"/>
    <mergeCell ref="F208:G208"/>
    <mergeCell ref="Z206:Z209"/>
    <mergeCell ref="J206:K206"/>
    <mergeCell ref="N206:O206"/>
    <mergeCell ref="P206:Q206"/>
    <mergeCell ref="V206:V209"/>
    <mergeCell ref="X206:X209"/>
    <mergeCell ref="J205:K205"/>
    <mergeCell ref="N205:O205"/>
    <mergeCell ref="P205:Q205"/>
    <mergeCell ref="A206:A209"/>
    <mergeCell ref="B206:B209"/>
    <mergeCell ref="C206:C209"/>
    <mergeCell ref="D206:D209"/>
    <mergeCell ref="F206:G206"/>
    <mergeCell ref="H206:I206"/>
    <mergeCell ref="J213:K213"/>
    <mergeCell ref="N213:O213"/>
    <mergeCell ref="P213:Q213"/>
    <mergeCell ref="L212:M212"/>
    <mergeCell ref="L213:M213"/>
    <mergeCell ref="F203:G203"/>
    <mergeCell ref="H203:I203"/>
    <mergeCell ref="J203:K203"/>
    <mergeCell ref="N203:O203"/>
    <mergeCell ref="P203:Q203"/>
    <mergeCell ref="F204:G204"/>
    <mergeCell ref="Z202:Z205"/>
    <mergeCell ref="J202:K202"/>
    <mergeCell ref="N202:O202"/>
    <mergeCell ref="P202:Q202"/>
    <mergeCell ref="V202:V205"/>
    <mergeCell ref="X202:X205"/>
    <mergeCell ref="J204:K204"/>
    <mergeCell ref="N204:O204"/>
    <mergeCell ref="P204:Q204"/>
    <mergeCell ref="A202:A205"/>
    <mergeCell ref="B202:B205"/>
    <mergeCell ref="C202:C205"/>
    <mergeCell ref="D202:D205"/>
    <mergeCell ref="F202:G202"/>
    <mergeCell ref="H202:I202"/>
    <mergeCell ref="H204:I204"/>
    <mergeCell ref="F205:G205"/>
    <mergeCell ref="H205:I205"/>
    <mergeCell ref="H200:I200"/>
    <mergeCell ref="J200:K200"/>
    <mergeCell ref="N200:O200"/>
    <mergeCell ref="P200:Q200"/>
    <mergeCell ref="F201:G201"/>
    <mergeCell ref="H201:I201"/>
    <mergeCell ref="J201:K201"/>
    <mergeCell ref="N201:O201"/>
    <mergeCell ref="P201:Q201"/>
    <mergeCell ref="S192:W192"/>
    <mergeCell ref="B193:D193"/>
    <mergeCell ref="E193:Q193"/>
    <mergeCell ref="B191:C191"/>
    <mergeCell ref="F191:O191"/>
    <mergeCell ref="A192:D192"/>
    <mergeCell ref="E192:Q192"/>
    <mergeCell ref="F185:G185"/>
    <mergeCell ref="H185:I185"/>
    <mergeCell ref="J185:K185"/>
    <mergeCell ref="N185:O185"/>
    <mergeCell ref="P185:Q185"/>
    <mergeCell ref="F186:G186"/>
    <mergeCell ref="Z184:Z187"/>
    <mergeCell ref="J184:K184"/>
    <mergeCell ref="N184:O184"/>
    <mergeCell ref="P184:Q184"/>
    <mergeCell ref="V184:V187"/>
    <mergeCell ref="X184:X187"/>
    <mergeCell ref="F199:G199"/>
    <mergeCell ref="H199:I199"/>
    <mergeCell ref="J199:K199"/>
    <mergeCell ref="N199:O199"/>
    <mergeCell ref="P199:Q199"/>
    <mergeCell ref="F200:G200"/>
    <mergeCell ref="Z198:Z201"/>
    <mergeCell ref="J198:K198"/>
    <mergeCell ref="N198:O198"/>
    <mergeCell ref="P198:Q198"/>
    <mergeCell ref="V198:V201"/>
    <mergeCell ref="X198:X201"/>
    <mergeCell ref="J197:K197"/>
    <mergeCell ref="N197:O197"/>
    <mergeCell ref="P197:Q197"/>
    <mergeCell ref="A198:A201"/>
    <mergeCell ref="B198:B201"/>
    <mergeCell ref="C198:C201"/>
    <mergeCell ref="D198:D201"/>
    <mergeCell ref="F198:G198"/>
    <mergeCell ref="H198:I198"/>
    <mergeCell ref="F195:G195"/>
    <mergeCell ref="H195:I195"/>
    <mergeCell ref="J195:K195"/>
    <mergeCell ref="N195:O195"/>
    <mergeCell ref="P195:Q195"/>
    <mergeCell ref="F196:G196"/>
    <mergeCell ref="Z194:Z197"/>
    <mergeCell ref="J194:K194"/>
    <mergeCell ref="N194:O194"/>
    <mergeCell ref="P194:Q194"/>
    <mergeCell ref="V194:V197"/>
    <mergeCell ref="X194:X197"/>
    <mergeCell ref="J196:K196"/>
    <mergeCell ref="N196:O196"/>
    <mergeCell ref="P196:Q196"/>
    <mergeCell ref="A194:A197"/>
    <mergeCell ref="B194:B197"/>
    <mergeCell ref="C194:C197"/>
    <mergeCell ref="D194:D197"/>
    <mergeCell ref="F194:G194"/>
    <mergeCell ref="H194:I194"/>
    <mergeCell ref="H196:I196"/>
    <mergeCell ref="F197:G197"/>
    <mergeCell ref="H197:I197"/>
    <mergeCell ref="A184:A187"/>
    <mergeCell ref="B184:B187"/>
    <mergeCell ref="C184:C187"/>
    <mergeCell ref="D184:D187"/>
    <mergeCell ref="F184:G184"/>
    <mergeCell ref="H184:I184"/>
    <mergeCell ref="F181:G181"/>
    <mergeCell ref="H181:I181"/>
    <mergeCell ref="J181:K181"/>
    <mergeCell ref="N181:O181"/>
    <mergeCell ref="P181:Q181"/>
    <mergeCell ref="F182:G182"/>
    <mergeCell ref="Z180:Z183"/>
    <mergeCell ref="J180:K180"/>
    <mergeCell ref="N180:O180"/>
    <mergeCell ref="P180:Q180"/>
    <mergeCell ref="V180:V183"/>
    <mergeCell ref="X180:X183"/>
    <mergeCell ref="J182:K182"/>
    <mergeCell ref="N182:O182"/>
    <mergeCell ref="P182:Q182"/>
    <mergeCell ref="A180:A183"/>
    <mergeCell ref="B180:B183"/>
    <mergeCell ref="C180:C183"/>
    <mergeCell ref="D180:D183"/>
    <mergeCell ref="F180:G180"/>
    <mergeCell ref="H180:I180"/>
    <mergeCell ref="H182:I182"/>
    <mergeCell ref="F183:G183"/>
    <mergeCell ref="H183:I183"/>
    <mergeCell ref="H186:I186"/>
    <mergeCell ref="J186:K186"/>
    <mergeCell ref="N186:O186"/>
    <mergeCell ref="P186:Q186"/>
    <mergeCell ref="F187:G187"/>
    <mergeCell ref="H187:I187"/>
    <mergeCell ref="J187:K187"/>
    <mergeCell ref="N187:O187"/>
    <mergeCell ref="P187:Q187"/>
    <mergeCell ref="H178:I178"/>
    <mergeCell ref="J178:K178"/>
    <mergeCell ref="N178:O178"/>
    <mergeCell ref="P178:Q178"/>
    <mergeCell ref="F179:G179"/>
    <mergeCell ref="H179:I179"/>
    <mergeCell ref="J179:K179"/>
    <mergeCell ref="N179:O179"/>
    <mergeCell ref="P179:Q179"/>
    <mergeCell ref="F177:G177"/>
    <mergeCell ref="H177:I177"/>
    <mergeCell ref="J177:K177"/>
    <mergeCell ref="N177:O177"/>
    <mergeCell ref="P177:Q177"/>
    <mergeCell ref="F178:G178"/>
    <mergeCell ref="Z176:Z179"/>
    <mergeCell ref="J176:K176"/>
    <mergeCell ref="N176:O176"/>
    <mergeCell ref="P176:Q176"/>
    <mergeCell ref="V176:V179"/>
    <mergeCell ref="X176:X179"/>
    <mergeCell ref="J175:K175"/>
    <mergeCell ref="N175:O175"/>
    <mergeCell ref="P175:Q175"/>
    <mergeCell ref="A176:A179"/>
    <mergeCell ref="B176:B179"/>
    <mergeCell ref="C176:C179"/>
    <mergeCell ref="D176:D179"/>
    <mergeCell ref="F176:G176"/>
    <mergeCell ref="H176:I176"/>
    <mergeCell ref="J183:K183"/>
    <mergeCell ref="N183:O183"/>
    <mergeCell ref="P183:Q183"/>
    <mergeCell ref="H164:I164"/>
    <mergeCell ref="H166:I166"/>
    <mergeCell ref="F167:G167"/>
    <mergeCell ref="H167:I167"/>
    <mergeCell ref="F173:G173"/>
    <mergeCell ref="H173:I173"/>
    <mergeCell ref="J173:K173"/>
    <mergeCell ref="N173:O173"/>
    <mergeCell ref="P173:Q173"/>
    <mergeCell ref="F174:G174"/>
    <mergeCell ref="Z172:Z175"/>
    <mergeCell ref="J172:K172"/>
    <mergeCell ref="N172:O172"/>
    <mergeCell ref="P172:Q172"/>
    <mergeCell ref="V172:V175"/>
    <mergeCell ref="X172:X175"/>
    <mergeCell ref="J174:K174"/>
    <mergeCell ref="N174:O174"/>
    <mergeCell ref="P174:Q174"/>
    <mergeCell ref="A172:A175"/>
    <mergeCell ref="B172:B175"/>
    <mergeCell ref="C172:C175"/>
    <mergeCell ref="D172:D175"/>
    <mergeCell ref="F172:G172"/>
    <mergeCell ref="H172:I172"/>
    <mergeCell ref="H174:I174"/>
    <mergeCell ref="F175:G175"/>
    <mergeCell ref="H175:I175"/>
    <mergeCell ref="H170:I170"/>
    <mergeCell ref="J170:K170"/>
    <mergeCell ref="N170:O170"/>
    <mergeCell ref="P170:Q170"/>
    <mergeCell ref="F171:G171"/>
    <mergeCell ref="H171:I171"/>
    <mergeCell ref="J171:K171"/>
    <mergeCell ref="N171:O171"/>
    <mergeCell ref="P171:Q171"/>
    <mergeCell ref="F170:G170"/>
    <mergeCell ref="Z168:Z171"/>
    <mergeCell ref="J168:K168"/>
    <mergeCell ref="N168:O168"/>
    <mergeCell ref="P168:Q168"/>
    <mergeCell ref="V168:V171"/>
    <mergeCell ref="X168:X171"/>
    <mergeCell ref="H162:I162"/>
    <mergeCell ref="J162:K162"/>
    <mergeCell ref="N162:O162"/>
    <mergeCell ref="P162:Q162"/>
    <mergeCell ref="F163:G163"/>
    <mergeCell ref="H163:I163"/>
    <mergeCell ref="J163:K163"/>
    <mergeCell ref="N163:O163"/>
    <mergeCell ref="P163:Q163"/>
    <mergeCell ref="F161:G161"/>
    <mergeCell ref="H161:I161"/>
    <mergeCell ref="J161:K161"/>
    <mergeCell ref="N161:O161"/>
    <mergeCell ref="P161:Q161"/>
    <mergeCell ref="F162:G162"/>
    <mergeCell ref="Z160:Z163"/>
    <mergeCell ref="J160:K160"/>
    <mergeCell ref="N160:O160"/>
    <mergeCell ref="P160:Q160"/>
    <mergeCell ref="V160:V163"/>
    <mergeCell ref="X160:X163"/>
    <mergeCell ref="J159:K159"/>
    <mergeCell ref="N159:O159"/>
    <mergeCell ref="P159:Q159"/>
    <mergeCell ref="A160:A163"/>
    <mergeCell ref="B160:B163"/>
    <mergeCell ref="C160:C163"/>
    <mergeCell ref="D160:D163"/>
    <mergeCell ref="F160:G160"/>
    <mergeCell ref="H160:I160"/>
    <mergeCell ref="F169:G169"/>
    <mergeCell ref="H169:I169"/>
    <mergeCell ref="J169:K169"/>
    <mergeCell ref="N169:O169"/>
    <mergeCell ref="P169:Q169"/>
    <mergeCell ref="J167:K167"/>
    <mergeCell ref="N167:O167"/>
    <mergeCell ref="P167:Q167"/>
    <mergeCell ref="A168:A171"/>
    <mergeCell ref="B168:B171"/>
    <mergeCell ref="C168:C171"/>
    <mergeCell ref="D168:D171"/>
    <mergeCell ref="F168:G168"/>
    <mergeCell ref="H168:I168"/>
    <mergeCell ref="F165:G165"/>
    <mergeCell ref="H165:I165"/>
    <mergeCell ref="J165:K165"/>
    <mergeCell ref="N165:O165"/>
    <mergeCell ref="P165:Q165"/>
    <mergeCell ref="F166:G166"/>
    <mergeCell ref="Z164:Z167"/>
    <mergeCell ref="J164:K164"/>
    <mergeCell ref="N164:O164"/>
    <mergeCell ref="P164:Q164"/>
    <mergeCell ref="V164:V167"/>
    <mergeCell ref="X164:X167"/>
    <mergeCell ref="J166:K166"/>
    <mergeCell ref="N166:O166"/>
    <mergeCell ref="P166:Q166"/>
    <mergeCell ref="A164:A167"/>
    <mergeCell ref="B164:B167"/>
    <mergeCell ref="C164:C167"/>
    <mergeCell ref="D164:D167"/>
    <mergeCell ref="F164:G164"/>
    <mergeCell ref="F157:G157"/>
    <mergeCell ref="H157:I157"/>
    <mergeCell ref="J157:K157"/>
    <mergeCell ref="N157:O157"/>
    <mergeCell ref="P157:Q157"/>
    <mergeCell ref="F158:G158"/>
    <mergeCell ref="Z156:Z159"/>
    <mergeCell ref="J156:K156"/>
    <mergeCell ref="N156:O156"/>
    <mergeCell ref="P156:Q156"/>
    <mergeCell ref="V156:V159"/>
    <mergeCell ref="X156:X159"/>
    <mergeCell ref="J158:K158"/>
    <mergeCell ref="N158:O158"/>
    <mergeCell ref="P158:Q158"/>
    <mergeCell ref="A156:A159"/>
    <mergeCell ref="B156:B159"/>
    <mergeCell ref="C156:C159"/>
    <mergeCell ref="D156:D159"/>
    <mergeCell ref="F156:G156"/>
    <mergeCell ref="H156:I156"/>
    <mergeCell ref="H158:I158"/>
    <mergeCell ref="F159:G159"/>
    <mergeCell ref="H159:I159"/>
    <mergeCell ref="H154:I154"/>
    <mergeCell ref="J154:K154"/>
    <mergeCell ref="N154:O154"/>
    <mergeCell ref="P154:Q154"/>
    <mergeCell ref="F155:G155"/>
    <mergeCell ref="H155:I155"/>
    <mergeCell ref="J155:K155"/>
    <mergeCell ref="N155:O155"/>
    <mergeCell ref="P155:Q155"/>
    <mergeCell ref="L154:M154"/>
    <mergeCell ref="L155:M155"/>
    <mergeCell ref="L156:M156"/>
    <mergeCell ref="L157:M157"/>
    <mergeCell ref="L158:M158"/>
    <mergeCell ref="L159:M159"/>
    <mergeCell ref="F153:G153"/>
    <mergeCell ref="H153:I153"/>
    <mergeCell ref="J153:K153"/>
    <mergeCell ref="N153:O153"/>
    <mergeCell ref="P153:Q153"/>
    <mergeCell ref="F154:G154"/>
    <mergeCell ref="Z152:Z155"/>
    <mergeCell ref="J152:K152"/>
    <mergeCell ref="N152:O152"/>
    <mergeCell ref="P152:Q152"/>
    <mergeCell ref="V152:V155"/>
    <mergeCell ref="X152:X155"/>
    <mergeCell ref="J151:K151"/>
    <mergeCell ref="N151:O151"/>
    <mergeCell ref="P151:Q151"/>
    <mergeCell ref="A152:A155"/>
    <mergeCell ref="B152:B155"/>
    <mergeCell ref="C152:C155"/>
    <mergeCell ref="D152:D155"/>
    <mergeCell ref="F152:G152"/>
    <mergeCell ref="H152:I152"/>
    <mergeCell ref="F149:G149"/>
    <mergeCell ref="H149:I149"/>
    <mergeCell ref="J149:K149"/>
    <mergeCell ref="N149:O149"/>
    <mergeCell ref="P149:Q149"/>
    <mergeCell ref="F150:G150"/>
    <mergeCell ref="Z148:Z151"/>
    <mergeCell ref="J148:K148"/>
    <mergeCell ref="N148:O148"/>
    <mergeCell ref="P148:Q148"/>
    <mergeCell ref="V148:V151"/>
    <mergeCell ref="X148:X151"/>
    <mergeCell ref="J150:K150"/>
    <mergeCell ref="N150:O150"/>
    <mergeCell ref="P150:Q150"/>
    <mergeCell ref="A148:A151"/>
    <mergeCell ref="B148:B151"/>
    <mergeCell ref="C148:C151"/>
    <mergeCell ref="D148:D151"/>
    <mergeCell ref="F148:G148"/>
    <mergeCell ref="H148:I148"/>
    <mergeCell ref="H150:I150"/>
    <mergeCell ref="F151:G151"/>
    <mergeCell ref="H151:I151"/>
    <mergeCell ref="L153:M153"/>
    <mergeCell ref="H133:I133"/>
    <mergeCell ref="J133:K133"/>
    <mergeCell ref="N133:O133"/>
    <mergeCell ref="P133:Q133"/>
    <mergeCell ref="F131:G131"/>
    <mergeCell ref="H131:I131"/>
    <mergeCell ref="J131:K131"/>
    <mergeCell ref="N131:O131"/>
    <mergeCell ref="P131:Q131"/>
    <mergeCell ref="F132:G132"/>
    <mergeCell ref="Z138:Z141"/>
    <mergeCell ref="J138:K138"/>
    <mergeCell ref="N138:O138"/>
    <mergeCell ref="P138:Q138"/>
    <mergeCell ref="V138:V141"/>
    <mergeCell ref="X138:X141"/>
    <mergeCell ref="J137:K137"/>
    <mergeCell ref="N137:O137"/>
    <mergeCell ref="P137:Q137"/>
    <mergeCell ref="A138:A141"/>
    <mergeCell ref="B138:B141"/>
    <mergeCell ref="C138:C141"/>
    <mergeCell ref="D138:D141"/>
    <mergeCell ref="F138:G138"/>
    <mergeCell ref="H138:I138"/>
    <mergeCell ref="F135:G135"/>
    <mergeCell ref="H135:I135"/>
    <mergeCell ref="J135:K135"/>
    <mergeCell ref="N135:O135"/>
    <mergeCell ref="P135:Q135"/>
    <mergeCell ref="F136:G136"/>
    <mergeCell ref="Z134:Z137"/>
    <mergeCell ref="J134:K134"/>
    <mergeCell ref="N134:O134"/>
    <mergeCell ref="P134:Q134"/>
    <mergeCell ref="V134:V137"/>
    <mergeCell ref="X134:X137"/>
    <mergeCell ref="J136:K136"/>
    <mergeCell ref="N136:O136"/>
    <mergeCell ref="P136:Q136"/>
    <mergeCell ref="A134:A137"/>
    <mergeCell ref="B134:B137"/>
    <mergeCell ref="C134:C137"/>
    <mergeCell ref="D134:D137"/>
    <mergeCell ref="F134:G134"/>
    <mergeCell ref="H134:I134"/>
    <mergeCell ref="H136:I136"/>
    <mergeCell ref="F137:G137"/>
    <mergeCell ref="H137:I137"/>
    <mergeCell ref="H140:I140"/>
    <mergeCell ref="J140:K140"/>
    <mergeCell ref="N140:O140"/>
    <mergeCell ref="P140:Q140"/>
    <mergeCell ref="F141:G141"/>
    <mergeCell ref="H141:I141"/>
    <mergeCell ref="J141:K141"/>
    <mergeCell ref="N141:O141"/>
    <mergeCell ref="P141:Q141"/>
    <mergeCell ref="F139:G139"/>
    <mergeCell ref="H139:I139"/>
    <mergeCell ref="J139:K139"/>
    <mergeCell ref="N139:O139"/>
    <mergeCell ref="P139:Q139"/>
    <mergeCell ref="F140:G140"/>
    <mergeCell ref="D118:D121"/>
    <mergeCell ref="F118:G118"/>
    <mergeCell ref="H118:I118"/>
    <mergeCell ref="H120:I120"/>
    <mergeCell ref="F121:G121"/>
    <mergeCell ref="H121:I121"/>
    <mergeCell ref="H124:I124"/>
    <mergeCell ref="J124:K124"/>
    <mergeCell ref="N124:O124"/>
    <mergeCell ref="P124:Q124"/>
    <mergeCell ref="F125:G125"/>
    <mergeCell ref="H125:I125"/>
    <mergeCell ref="J125:K125"/>
    <mergeCell ref="N125:O125"/>
    <mergeCell ref="P125:Q125"/>
    <mergeCell ref="F123:G123"/>
    <mergeCell ref="H123:I123"/>
    <mergeCell ref="J123:K123"/>
    <mergeCell ref="N123:O123"/>
    <mergeCell ref="P123:Q123"/>
    <mergeCell ref="Z130:Z133"/>
    <mergeCell ref="J130:K130"/>
    <mergeCell ref="N130:O130"/>
    <mergeCell ref="P130:Q130"/>
    <mergeCell ref="V130:V133"/>
    <mergeCell ref="X130:X133"/>
    <mergeCell ref="J129:K129"/>
    <mergeCell ref="N129:O129"/>
    <mergeCell ref="P129:Q129"/>
    <mergeCell ref="A130:A133"/>
    <mergeCell ref="B130:B133"/>
    <mergeCell ref="C130:C133"/>
    <mergeCell ref="D130:D133"/>
    <mergeCell ref="F130:G130"/>
    <mergeCell ref="H130:I130"/>
    <mergeCell ref="F127:G127"/>
    <mergeCell ref="H127:I127"/>
    <mergeCell ref="J127:K127"/>
    <mergeCell ref="N127:O127"/>
    <mergeCell ref="P127:Q127"/>
    <mergeCell ref="F128:G128"/>
    <mergeCell ref="Z126:Z129"/>
    <mergeCell ref="J126:K126"/>
    <mergeCell ref="N126:O126"/>
    <mergeCell ref="P126:Q126"/>
    <mergeCell ref="V126:V129"/>
    <mergeCell ref="X126:X129"/>
    <mergeCell ref="J128:K128"/>
    <mergeCell ref="N128:O128"/>
    <mergeCell ref="P128:Q128"/>
    <mergeCell ref="A126:A129"/>
    <mergeCell ref="B126:B129"/>
    <mergeCell ref="C126:C129"/>
    <mergeCell ref="D126:D129"/>
    <mergeCell ref="F126:G126"/>
    <mergeCell ref="H126:I126"/>
    <mergeCell ref="H128:I128"/>
    <mergeCell ref="F129:G129"/>
    <mergeCell ref="H129:I129"/>
    <mergeCell ref="H132:I132"/>
    <mergeCell ref="J132:K132"/>
    <mergeCell ref="N132:O132"/>
    <mergeCell ref="P132:Q132"/>
    <mergeCell ref="F133:G133"/>
    <mergeCell ref="H116:I116"/>
    <mergeCell ref="J116:K116"/>
    <mergeCell ref="N116:O116"/>
    <mergeCell ref="P116:Q116"/>
    <mergeCell ref="F117:G117"/>
    <mergeCell ref="H117:I117"/>
    <mergeCell ref="J117:K117"/>
    <mergeCell ref="N117:O117"/>
    <mergeCell ref="P117:Q117"/>
    <mergeCell ref="F115:G115"/>
    <mergeCell ref="H115:I115"/>
    <mergeCell ref="J115:K115"/>
    <mergeCell ref="N115:O115"/>
    <mergeCell ref="P115:Q115"/>
    <mergeCell ref="F116:G116"/>
    <mergeCell ref="Z114:Z117"/>
    <mergeCell ref="J114:K114"/>
    <mergeCell ref="N114:O114"/>
    <mergeCell ref="P114:Q114"/>
    <mergeCell ref="V114:V117"/>
    <mergeCell ref="X114:X117"/>
    <mergeCell ref="J113:K113"/>
    <mergeCell ref="N113:O113"/>
    <mergeCell ref="P113:Q113"/>
    <mergeCell ref="A114:A117"/>
    <mergeCell ref="B114:B117"/>
    <mergeCell ref="C114:C117"/>
    <mergeCell ref="D114:D117"/>
    <mergeCell ref="F114:G114"/>
    <mergeCell ref="H114:I114"/>
    <mergeCell ref="F124:G124"/>
    <mergeCell ref="Z122:Z125"/>
    <mergeCell ref="J122:K122"/>
    <mergeCell ref="N122:O122"/>
    <mergeCell ref="P122:Q122"/>
    <mergeCell ref="V122:V125"/>
    <mergeCell ref="X122:X125"/>
    <mergeCell ref="J121:K121"/>
    <mergeCell ref="N121:O121"/>
    <mergeCell ref="P121:Q121"/>
    <mergeCell ref="A122:A125"/>
    <mergeCell ref="B122:B125"/>
    <mergeCell ref="C122:C125"/>
    <mergeCell ref="D122:D125"/>
    <mergeCell ref="F122:G122"/>
    <mergeCell ref="H122:I122"/>
    <mergeCell ref="F119:G119"/>
    <mergeCell ref="H119:I119"/>
    <mergeCell ref="J119:K119"/>
    <mergeCell ref="N119:O119"/>
    <mergeCell ref="P119:Q119"/>
    <mergeCell ref="F120:G120"/>
    <mergeCell ref="Z118:Z121"/>
    <mergeCell ref="J118:K118"/>
    <mergeCell ref="N118:O118"/>
    <mergeCell ref="P118:Q118"/>
    <mergeCell ref="V118:V121"/>
    <mergeCell ref="X118:X121"/>
    <mergeCell ref="J120:K120"/>
    <mergeCell ref="N120:O120"/>
    <mergeCell ref="P120:Q120"/>
    <mergeCell ref="A118:A121"/>
    <mergeCell ref="B118:B121"/>
    <mergeCell ref="C118:C121"/>
    <mergeCell ref="F111:G111"/>
    <mergeCell ref="H111:I111"/>
    <mergeCell ref="J111:K111"/>
    <mergeCell ref="N111:O111"/>
    <mergeCell ref="P111:Q111"/>
    <mergeCell ref="F112:G112"/>
    <mergeCell ref="Z110:Z113"/>
    <mergeCell ref="J110:K110"/>
    <mergeCell ref="N110:O110"/>
    <mergeCell ref="P110:Q110"/>
    <mergeCell ref="V110:V113"/>
    <mergeCell ref="X110:X113"/>
    <mergeCell ref="J112:K112"/>
    <mergeCell ref="N112:O112"/>
    <mergeCell ref="P112:Q112"/>
    <mergeCell ref="A110:A113"/>
    <mergeCell ref="B110:B113"/>
    <mergeCell ref="C110:C113"/>
    <mergeCell ref="D110:D113"/>
    <mergeCell ref="F110:G110"/>
    <mergeCell ref="H110:I110"/>
    <mergeCell ref="H112:I112"/>
    <mergeCell ref="F113:G113"/>
    <mergeCell ref="H113:I113"/>
    <mergeCell ref="H108:I108"/>
    <mergeCell ref="J108:K108"/>
    <mergeCell ref="N108:O108"/>
    <mergeCell ref="P108:Q108"/>
    <mergeCell ref="F109:G109"/>
    <mergeCell ref="H109:I109"/>
    <mergeCell ref="J109:K109"/>
    <mergeCell ref="N109:O109"/>
    <mergeCell ref="P109:Q109"/>
    <mergeCell ref="L108:M108"/>
    <mergeCell ref="L109:M109"/>
    <mergeCell ref="L110:M110"/>
    <mergeCell ref="L111:M111"/>
    <mergeCell ref="L112:M112"/>
    <mergeCell ref="L113:M113"/>
    <mergeCell ref="F107:G107"/>
    <mergeCell ref="H107:I107"/>
    <mergeCell ref="J107:K107"/>
    <mergeCell ref="N107:O107"/>
    <mergeCell ref="P107:Q107"/>
    <mergeCell ref="F108:G108"/>
    <mergeCell ref="Z106:Z109"/>
    <mergeCell ref="J106:K106"/>
    <mergeCell ref="N106:O106"/>
    <mergeCell ref="P106:Q106"/>
    <mergeCell ref="V106:V109"/>
    <mergeCell ref="X106:X109"/>
    <mergeCell ref="J105:K105"/>
    <mergeCell ref="N105:O105"/>
    <mergeCell ref="P105:Q105"/>
    <mergeCell ref="A106:A109"/>
    <mergeCell ref="B106:B109"/>
    <mergeCell ref="C106:C109"/>
    <mergeCell ref="D106:D109"/>
    <mergeCell ref="F106:G106"/>
    <mergeCell ref="H106:I106"/>
    <mergeCell ref="F103:G103"/>
    <mergeCell ref="H103:I103"/>
    <mergeCell ref="J103:K103"/>
    <mergeCell ref="N103:O103"/>
    <mergeCell ref="P103:Q103"/>
    <mergeCell ref="F104:G104"/>
    <mergeCell ref="Z102:Z105"/>
    <mergeCell ref="J102:K102"/>
    <mergeCell ref="N102:O102"/>
    <mergeCell ref="P102:Q102"/>
    <mergeCell ref="V102:V105"/>
    <mergeCell ref="X102:X105"/>
    <mergeCell ref="J104:K104"/>
    <mergeCell ref="N104:O104"/>
    <mergeCell ref="P104:Q104"/>
    <mergeCell ref="A102:A105"/>
    <mergeCell ref="B102:B105"/>
    <mergeCell ref="C102:C105"/>
    <mergeCell ref="D102:D105"/>
    <mergeCell ref="F102:G102"/>
    <mergeCell ref="H102:I102"/>
    <mergeCell ref="H104:I104"/>
    <mergeCell ref="F105:G105"/>
    <mergeCell ref="H105:I105"/>
    <mergeCell ref="L102:M102"/>
    <mergeCell ref="L103:M103"/>
    <mergeCell ref="L104:M104"/>
    <mergeCell ref="L105:M105"/>
    <mergeCell ref="L106:M106"/>
    <mergeCell ref="L107:M107"/>
    <mergeCell ref="H94:I94"/>
    <mergeCell ref="J94:K94"/>
    <mergeCell ref="N94:O94"/>
    <mergeCell ref="P94:Q94"/>
    <mergeCell ref="F95:G95"/>
    <mergeCell ref="H95:I95"/>
    <mergeCell ref="J95:K95"/>
    <mergeCell ref="N95:O95"/>
    <mergeCell ref="P95:Q95"/>
    <mergeCell ref="S100:W100"/>
    <mergeCell ref="B101:D101"/>
    <mergeCell ref="E101:Q101"/>
    <mergeCell ref="F93:G93"/>
    <mergeCell ref="H93:I93"/>
    <mergeCell ref="J93:K93"/>
    <mergeCell ref="N93:O93"/>
    <mergeCell ref="P93:Q93"/>
    <mergeCell ref="F94:G94"/>
    <mergeCell ref="Z92:Z95"/>
    <mergeCell ref="J92:K92"/>
    <mergeCell ref="N92:O92"/>
    <mergeCell ref="P92:Q92"/>
    <mergeCell ref="V92:V95"/>
    <mergeCell ref="X92:X95"/>
    <mergeCell ref="J91:K91"/>
    <mergeCell ref="N91:O91"/>
    <mergeCell ref="P91:Q91"/>
    <mergeCell ref="A92:A95"/>
    <mergeCell ref="B92:B95"/>
    <mergeCell ref="C92:C95"/>
    <mergeCell ref="D92:D95"/>
    <mergeCell ref="F92:G92"/>
    <mergeCell ref="H92:I92"/>
    <mergeCell ref="B99:C99"/>
    <mergeCell ref="F99:O99"/>
    <mergeCell ref="A100:D100"/>
    <mergeCell ref="E100:Q100"/>
    <mergeCell ref="A97:C97"/>
    <mergeCell ref="B98:C98"/>
    <mergeCell ref="F98:O98"/>
    <mergeCell ref="E97:I97"/>
    <mergeCell ref="Q97:V97"/>
    <mergeCell ref="Q98:W98"/>
    <mergeCell ref="L94:M94"/>
    <mergeCell ref="L95:M95"/>
    <mergeCell ref="H80:I80"/>
    <mergeCell ref="H82:I82"/>
    <mergeCell ref="F83:G83"/>
    <mergeCell ref="H83:I83"/>
    <mergeCell ref="F89:G89"/>
    <mergeCell ref="H89:I89"/>
    <mergeCell ref="J89:K89"/>
    <mergeCell ref="N89:O89"/>
    <mergeCell ref="P89:Q89"/>
    <mergeCell ref="F90:G90"/>
    <mergeCell ref="Z88:Z91"/>
    <mergeCell ref="J88:K88"/>
    <mergeCell ref="N88:O88"/>
    <mergeCell ref="P88:Q88"/>
    <mergeCell ref="V88:V91"/>
    <mergeCell ref="X88:X91"/>
    <mergeCell ref="J90:K90"/>
    <mergeCell ref="N90:O90"/>
    <mergeCell ref="P90:Q90"/>
    <mergeCell ref="A88:A91"/>
    <mergeCell ref="B88:B91"/>
    <mergeCell ref="C88:C91"/>
    <mergeCell ref="D88:D91"/>
    <mergeCell ref="F88:G88"/>
    <mergeCell ref="H88:I88"/>
    <mergeCell ref="H90:I90"/>
    <mergeCell ref="F91:G91"/>
    <mergeCell ref="H91:I91"/>
    <mergeCell ref="H86:I86"/>
    <mergeCell ref="J86:K86"/>
    <mergeCell ref="N86:O86"/>
    <mergeCell ref="P86:Q86"/>
    <mergeCell ref="F87:G87"/>
    <mergeCell ref="H87:I87"/>
    <mergeCell ref="J87:K87"/>
    <mergeCell ref="N87:O87"/>
    <mergeCell ref="P87:Q87"/>
    <mergeCell ref="F86:G86"/>
    <mergeCell ref="Z84:Z87"/>
    <mergeCell ref="J84:K84"/>
    <mergeCell ref="N84:O84"/>
    <mergeCell ref="P84:Q84"/>
    <mergeCell ref="V84:V87"/>
    <mergeCell ref="X84:X87"/>
    <mergeCell ref="H78:I78"/>
    <mergeCell ref="J78:K78"/>
    <mergeCell ref="N78:O78"/>
    <mergeCell ref="P78:Q78"/>
    <mergeCell ref="F79:G79"/>
    <mergeCell ref="H79:I79"/>
    <mergeCell ref="J79:K79"/>
    <mergeCell ref="N79:O79"/>
    <mergeCell ref="P79:Q79"/>
    <mergeCell ref="F77:G77"/>
    <mergeCell ref="H77:I77"/>
    <mergeCell ref="J77:K77"/>
    <mergeCell ref="N77:O77"/>
    <mergeCell ref="P77:Q77"/>
    <mergeCell ref="F78:G78"/>
    <mergeCell ref="Z76:Z79"/>
    <mergeCell ref="J76:K76"/>
    <mergeCell ref="N76:O76"/>
    <mergeCell ref="P76:Q76"/>
    <mergeCell ref="V76:V79"/>
    <mergeCell ref="X76:X79"/>
    <mergeCell ref="J75:K75"/>
    <mergeCell ref="N75:O75"/>
    <mergeCell ref="P75:Q75"/>
    <mergeCell ref="A76:A79"/>
    <mergeCell ref="B76:B79"/>
    <mergeCell ref="C76:C79"/>
    <mergeCell ref="D76:D79"/>
    <mergeCell ref="F76:G76"/>
    <mergeCell ref="H76:I76"/>
    <mergeCell ref="F85:G85"/>
    <mergeCell ref="H85:I85"/>
    <mergeCell ref="J85:K85"/>
    <mergeCell ref="N85:O85"/>
    <mergeCell ref="P85:Q85"/>
    <mergeCell ref="J83:K83"/>
    <mergeCell ref="N83:O83"/>
    <mergeCell ref="P83:Q83"/>
    <mergeCell ref="A84:A87"/>
    <mergeCell ref="B84:B87"/>
    <mergeCell ref="C84:C87"/>
    <mergeCell ref="D84:D87"/>
    <mergeCell ref="F84:G84"/>
    <mergeCell ref="H84:I84"/>
    <mergeCell ref="F81:G81"/>
    <mergeCell ref="H81:I81"/>
    <mergeCell ref="J81:K81"/>
    <mergeCell ref="N81:O81"/>
    <mergeCell ref="P81:Q81"/>
    <mergeCell ref="F82:G82"/>
    <mergeCell ref="Z80:Z83"/>
    <mergeCell ref="J80:K80"/>
    <mergeCell ref="N80:O80"/>
    <mergeCell ref="P80:Q80"/>
    <mergeCell ref="V80:V83"/>
    <mergeCell ref="X80:X83"/>
    <mergeCell ref="J82:K82"/>
    <mergeCell ref="N82:O82"/>
    <mergeCell ref="P82:Q82"/>
    <mergeCell ref="A80:A83"/>
    <mergeCell ref="B80:B83"/>
    <mergeCell ref="C80:C83"/>
    <mergeCell ref="D80:D83"/>
    <mergeCell ref="F80:G80"/>
    <mergeCell ref="H64:I64"/>
    <mergeCell ref="H66:I66"/>
    <mergeCell ref="F67:G67"/>
    <mergeCell ref="H67:I67"/>
    <mergeCell ref="F73:G73"/>
    <mergeCell ref="H73:I73"/>
    <mergeCell ref="J73:K73"/>
    <mergeCell ref="N73:O73"/>
    <mergeCell ref="P73:Q73"/>
    <mergeCell ref="F74:G74"/>
    <mergeCell ref="Z72:Z75"/>
    <mergeCell ref="J72:K72"/>
    <mergeCell ref="N72:O72"/>
    <mergeCell ref="P72:Q72"/>
    <mergeCell ref="V72:V75"/>
    <mergeCell ref="X72:X75"/>
    <mergeCell ref="J74:K74"/>
    <mergeCell ref="N74:O74"/>
    <mergeCell ref="P74:Q74"/>
    <mergeCell ref="A72:A75"/>
    <mergeCell ref="B72:B75"/>
    <mergeCell ref="C72:C75"/>
    <mergeCell ref="D72:D75"/>
    <mergeCell ref="F72:G72"/>
    <mergeCell ref="H72:I72"/>
    <mergeCell ref="H74:I74"/>
    <mergeCell ref="F75:G75"/>
    <mergeCell ref="H75:I75"/>
    <mergeCell ref="H70:I70"/>
    <mergeCell ref="J70:K70"/>
    <mergeCell ref="N70:O70"/>
    <mergeCell ref="P70:Q70"/>
    <mergeCell ref="F71:G71"/>
    <mergeCell ref="H71:I71"/>
    <mergeCell ref="J71:K71"/>
    <mergeCell ref="N71:O71"/>
    <mergeCell ref="P71:Q71"/>
    <mergeCell ref="F70:G70"/>
    <mergeCell ref="Z68:Z71"/>
    <mergeCell ref="J68:K68"/>
    <mergeCell ref="N68:O68"/>
    <mergeCell ref="P68:Q68"/>
    <mergeCell ref="V68:V71"/>
    <mergeCell ref="X68:X71"/>
    <mergeCell ref="L72:M72"/>
    <mergeCell ref="L73:M73"/>
    <mergeCell ref="L74:M74"/>
    <mergeCell ref="L75:M75"/>
    <mergeCell ref="H62:I62"/>
    <mergeCell ref="J62:K62"/>
    <mergeCell ref="N62:O62"/>
    <mergeCell ref="P62:Q62"/>
    <mergeCell ref="F63:G63"/>
    <mergeCell ref="H63:I63"/>
    <mergeCell ref="J63:K63"/>
    <mergeCell ref="N63:O63"/>
    <mergeCell ref="P63:Q63"/>
    <mergeCell ref="F61:G61"/>
    <mergeCell ref="H61:I61"/>
    <mergeCell ref="J61:K61"/>
    <mergeCell ref="N61:O61"/>
    <mergeCell ref="P61:Q61"/>
    <mergeCell ref="F62:G62"/>
    <mergeCell ref="Z60:Z63"/>
    <mergeCell ref="J60:K60"/>
    <mergeCell ref="N60:O60"/>
    <mergeCell ref="P60:Q60"/>
    <mergeCell ref="V60:V63"/>
    <mergeCell ref="X60:X63"/>
    <mergeCell ref="J59:K59"/>
    <mergeCell ref="N59:O59"/>
    <mergeCell ref="P59:Q59"/>
    <mergeCell ref="A60:A63"/>
    <mergeCell ref="B60:B63"/>
    <mergeCell ref="C60:C63"/>
    <mergeCell ref="D60:D63"/>
    <mergeCell ref="F60:G60"/>
    <mergeCell ref="H60:I60"/>
    <mergeCell ref="F69:G69"/>
    <mergeCell ref="H69:I69"/>
    <mergeCell ref="J69:K69"/>
    <mergeCell ref="N69:O69"/>
    <mergeCell ref="P69:Q69"/>
    <mergeCell ref="J67:K67"/>
    <mergeCell ref="N67:O67"/>
    <mergeCell ref="P67:Q67"/>
    <mergeCell ref="A68:A71"/>
    <mergeCell ref="B68:B71"/>
    <mergeCell ref="C68:C71"/>
    <mergeCell ref="D68:D71"/>
    <mergeCell ref="F68:G68"/>
    <mergeCell ref="H68:I68"/>
    <mergeCell ref="F65:G65"/>
    <mergeCell ref="H65:I65"/>
    <mergeCell ref="J65:K65"/>
    <mergeCell ref="N65:O65"/>
    <mergeCell ref="P65:Q65"/>
    <mergeCell ref="F66:G66"/>
    <mergeCell ref="Z64:Z67"/>
    <mergeCell ref="J64:K64"/>
    <mergeCell ref="N64:O64"/>
    <mergeCell ref="P64:Q64"/>
    <mergeCell ref="V64:V67"/>
    <mergeCell ref="X64:X67"/>
    <mergeCell ref="J66:K66"/>
    <mergeCell ref="N66:O66"/>
    <mergeCell ref="P66:Q66"/>
    <mergeCell ref="A64:A67"/>
    <mergeCell ref="B64:B67"/>
    <mergeCell ref="C64:C67"/>
    <mergeCell ref="D64:D67"/>
    <mergeCell ref="F64:G64"/>
    <mergeCell ref="H42:I42"/>
    <mergeCell ref="H44:I44"/>
    <mergeCell ref="F45:G45"/>
    <mergeCell ref="H45:I45"/>
    <mergeCell ref="F57:G57"/>
    <mergeCell ref="H57:I57"/>
    <mergeCell ref="J57:K57"/>
    <mergeCell ref="N57:O57"/>
    <mergeCell ref="P57:Q57"/>
    <mergeCell ref="F58:G58"/>
    <mergeCell ref="Z56:Z59"/>
    <mergeCell ref="J56:K56"/>
    <mergeCell ref="N56:O56"/>
    <mergeCell ref="P56:Q56"/>
    <mergeCell ref="V56:V59"/>
    <mergeCell ref="X56:X59"/>
    <mergeCell ref="J58:K58"/>
    <mergeCell ref="N58:O58"/>
    <mergeCell ref="P58:Q58"/>
    <mergeCell ref="A56:A59"/>
    <mergeCell ref="B56:B59"/>
    <mergeCell ref="C56:C59"/>
    <mergeCell ref="D56:D59"/>
    <mergeCell ref="F56:G56"/>
    <mergeCell ref="H56:I56"/>
    <mergeCell ref="H58:I58"/>
    <mergeCell ref="F59:G59"/>
    <mergeCell ref="H59:I59"/>
    <mergeCell ref="H48:I48"/>
    <mergeCell ref="J48:K48"/>
    <mergeCell ref="N48:O48"/>
    <mergeCell ref="P48:Q48"/>
    <mergeCell ref="F49:G49"/>
    <mergeCell ref="H49:I49"/>
    <mergeCell ref="J49:K49"/>
    <mergeCell ref="N49:O49"/>
    <mergeCell ref="P49:Q49"/>
    <mergeCell ref="B55:D55"/>
    <mergeCell ref="E55:Q55"/>
    <mergeCell ref="S54:W54"/>
    <mergeCell ref="B53:C53"/>
    <mergeCell ref="F53:O53"/>
    <mergeCell ref="A54:D54"/>
    <mergeCell ref="E54:Q54"/>
    <mergeCell ref="A51:C51"/>
    <mergeCell ref="B52:C52"/>
    <mergeCell ref="F52:O52"/>
    <mergeCell ref="E51:I51"/>
    <mergeCell ref="Q51:V51"/>
    <mergeCell ref="Q52:W52"/>
    <mergeCell ref="F48:G48"/>
    <mergeCell ref="Z46:Z49"/>
    <mergeCell ref="J46:K46"/>
    <mergeCell ref="N46:O46"/>
    <mergeCell ref="P46:Q46"/>
    <mergeCell ref="V46:V49"/>
    <mergeCell ref="X46:X49"/>
    <mergeCell ref="H40:I40"/>
    <mergeCell ref="J40:K40"/>
    <mergeCell ref="N40:O40"/>
    <mergeCell ref="P40:Q40"/>
    <mergeCell ref="F41:G41"/>
    <mergeCell ref="H41:I41"/>
    <mergeCell ref="J41:K41"/>
    <mergeCell ref="N41:O41"/>
    <mergeCell ref="P41:Q41"/>
    <mergeCell ref="F39:G39"/>
    <mergeCell ref="H39:I39"/>
    <mergeCell ref="J39:K39"/>
    <mergeCell ref="N39:O39"/>
    <mergeCell ref="P39:Q39"/>
    <mergeCell ref="F40:G40"/>
    <mergeCell ref="Z38:Z41"/>
    <mergeCell ref="J38:K38"/>
    <mergeCell ref="N38:O38"/>
    <mergeCell ref="P38:Q38"/>
    <mergeCell ref="V38:V41"/>
    <mergeCell ref="X38:X41"/>
    <mergeCell ref="J37:K37"/>
    <mergeCell ref="N37:O37"/>
    <mergeCell ref="P37:Q37"/>
    <mergeCell ref="A38:A41"/>
    <mergeCell ref="B38:B41"/>
    <mergeCell ref="C38:C41"/>
    <mergeCell ref="D38:D41"/>
    <mergeCell ref="F38:G38"/>
    <mergeCell ref="H38:I38"/>
    <mergeCell ref="F47:G47"/>
    <mergeCell ref="H47:I47"/>
    <mergeCell ref="J47:K47"/>
    <mergeCell ref="N47:O47"/>
    <mergeCell ref="P47:Q47"/>
    <mergeCell ref="J45:K45"/>
    <mergeCell ref="N45:O45"/>
    <mergeCell ref="P45:Q45"/>
    <mergeCell ref="A46:A49"/>
    <mergeCell ref="B46:B49"/>
    <mergeCell ref="C46:C49"/>
    <mergeCell ref="D46:D49"/>
    <mergeCell ref="F46:G46"/>
    <mergeCell ref="H46:I46"/>
    <mergeCell ref="F43:G43"/>
    <mergeCell ref="H43:I43"/>
    <mergeCell ref="J43:K43"/>
    <mergeCell ref="N43:O43"/>
    <mergeCell ref="P43:Q43"/>
    <mergeCell ref="F44:G44"/>
    <mergeCell ref="Z42:Z45"/>
    <mergeCell ref="J42:K42"/>
    <mergeCell ref="N42:O42"/>
    <mergeCell ref="P42:Q42"/>
    <mergeCell ref="V42:V45"/>
    <mergeCell ref="X42:X45"/>
    <mergeCell ref="J44:K44"/>
    <mergeCell ref="N44:O44"/>
    <mergeCell ref="P44:Q44"/>
    <mergeCell ref="A42:A45"/>
    <mergeCell ref="B42:B45"/>
    <mergeCell ref="C42:C45"/>
    <mergeCell ref="D42:D45"/>
    <mergeCell ref="F42:G42"/>
    <mergeCell ref="F35:G35"/>
    <mergeCell ref="H35:I35"/>
    <mergeCell ref="J35:K35"/>
    <mergeCell ref="N35:O35"/>
    <mergeCell ref="P35:Q35"/>
    <mergeCell ref="F36:G36"/>
    <mergeCell ref="Z34:Z37"/>
    <mergeCell ref="J34:K34"/>
    <mergeCell ref="N34:O34"/>
    <mergeCell ref="P34:Q34"/>
    <mergeCell ref="V34:V37"/>
    <mergeCell ref="X34:X37"/>
    <mergeCell ref="J36:K36"/>
    <mergeCell ref="N36:O36"/>
    <mergeCell ref="P36:Q36"/>
    <mergeCell ref="A34:A37"/>
    <mergeCell ref="B34:B37"/>
    <mergeCell ref="C34:C37"/>
    <mergeCell ref="D34:D37"/>
    <mergeCell ref="F34:G34"/>
    <mergeCell ref="H34:I34"/>
    <mergeCell ref="H36:I36"/>
    <mergeCell ref="F37:G37"/>
    <mergeCell ref="H37:I37"/>
    <mergeCell ref="H32:I32"/>
    <mergeCell ref="J32:K32"/>
    <mergeCell ref="N32:O32"/>
    <mergeCell ref="P32:Q32"/>
    <mergeCell ref="F33:G33"/>
    <mergeCell ref="H33:I33"/>
    <mergeCell ref="J33:K33"/>
    <mergeCell ref="N33:O33"/>
    <mergeCell ref="P33:Q33"/>
    <mergeCell ref="F31:G31"/>
    <mergeCell ref="H31:I31"/>
    <mergeCell ref="J31:K31"/>
    <mergeCell ref="N31:O31"/>
    <mergeCell ref="P31:Q31"/>
    <mergeCell ref="F32:G32"/>
    <mergeCell ref="Z30:Z33"/>
    <mergeCell ref="J30:K30"/>
    <mergeCell ref="N30:O30"/>
    <mergeCell ref="P30:Q30"/>
    <mergeCell ref="V30:V33"/>
    <mergeCell ref="X30:X33"/>
    <mergeCell ref="J29:K29"/>
    <mergeCell ref="N29:O29"/>
    <mergeCell ref="P29:Q29"/>
    <mergeCell ref="A30:A33"/>
    <mergeCell ref="B30:B33"/>
    <mergeCell ref="C30:C33"/>
    <mergeCell ref="D30:D33"/>
    <mergeCell ref="F30:G30"/>
    <mergeCell ref="H30:I30"/>
    <mergeCell ref="F27:G27"/>
    <mergeCell ref="H27:I27"/>
    <mergeCell ref="J27:K27"/>
    <mergeCell ref="N27:O27"/>
    <mergeCell ref="P27:Q27"/>
    <mergeCell ref="F28:G28"/>
    <mergeCell ref="Z26:Z29"/>
    <mergeCell ref="J26:K26"/>
    <mergeCell ref="N26:O26"/>
    <mergeCell ref="P26:Q26"/>
    <mergeCell ref="V26:V29"/>
    <mergeCell ref="X26:X29"/>
    <mergeCell ref="J28:K28"/>
    <mergeCell ref="N28:O28"/>
    <mergeCell ref="P28:Q28"/>
    <mergeCell ref="A26:A29"/>
    <mergeCell ref="B26:B29"/>
    <mergeCell ref="C26:C29"/>
    <mergeCell ref="D26:D29"/>
    <mergeCell ref="F26:G26"/>
    <mergeCell ref="H26:I26"/>
    <mergeCell ref="H28:I28"/>
    <mergeCell ref="F29:G29"/>
    <mergeCell ref="H29:I29"/>
    <mergeCell ref="F20:G20"/>
    <mergeCell ref="Z18:Z21"/>
    <mergeCell ref="J18:K18"/>
    <mergeCell ref="N18:O18"/>
    <mergeCell ref="P18:Q18"/>
    <mergeCell ref="V18:V21"/>
    <mergeCell ref="X18:X21"/>
    <mergeCell ref="J20:K20"/>
    <mergeCell ref="N20:O20"/>
    <mergeCell ref="P20:Q20"/>
    <mergeCell ref="A18:A21"/>
    <mergeCell ref="B18:B21"/>
    <mergeCell ref="C18:C21"/>
    <mergeCell ref="D18:D21"/>
    <mergeCell ref="F18:G18"/>
    <mergeCell ref="H18:I18"/>
    <mergeCell ref="H20:I20"/>
    <mergeCell ref="F21:G21"/>
    <mergeCell ref="H21:I21"/>
    <mergeCell ref="H16:I16"/>
    <mergeCell ref="J16:K16"/>
    <mergeCell ref="N16:O16"/>
    <mergeCell ref="P16:Q16"/>
    <mergeCell ref="F17:G17"/>
    <mergeCell ref="H17:I17"/>
    <mergeCell ref="J17:K17"/>
    <mergeCell ref="N17:O17"/>
    <mergeCell ref="P17:Q17"/>
    <mergeCell ref="H24:I24"/>
    <mergeCell ref="J24:K24"/>
    <mergeCell ref="N24:O24"/>
    <mergeCell ref="P24:Q24"/>
    <mergeCell ref="F25:G25"/>
    <mergeCell ref="H25:I25"/>
    <mergeCell ref="J25:K25"/>
    <mergeCell ref="N25:O25"/>
    <mergeCell ref="P25:Q25"/>
    <mergeCell ref="F23:G23"/>
    <mergeCell ref="H23:I23"/>
    <mergeCell ref="J23:K23"/>
    <mergeCell ref="N23:O23"/>
    <mergeCell ref="P23:Q23"/>
    <mergeCell ref="F24:G24"/>
    <mergeCell ref="Z22:Z25"/>
    <mergeCell ref="J22:K22"/>
    <mergeCell ref="N22:O22"/>
    <mergeCell ref="P22:Q22"/>
    <mergeCell ref="V22:V25"/>
    <mergeCell ref="X22:X25"/>
    <mergeCell ref="J21:K21"/>
    <mergeCell ref="N21:O21"/>
    <mergeCell ref="P21:Q21"/>
    <mergeCell ref="A22:A25"/>
    <mergeCell ref="B22:B25"/>
    <mergeCell ref="C22:C25"/>
    <mergeCell ref="D22:D25"/>
    <mergeCell ref="F22:G22"/>
    <mergeCell ref="H22:I22"/>
    <mergeCell ref="L16:M16"/>
    <mergeCell ref="L17:M17"/>
    <mergeCell ref="L18:M18"/>
    <mergeCell ref="L19:M19"/>
    <mergeCell ref="L20:M20"/>
    <mergeCell ref="L21:M21"/>
    <mergeCell ref="F15:G15"/>
    <mergeCell ref="H15:I15"/>
    <mergeCell ref="J15:K15"/>
    <mergeCell ref="N15:O15"/>
    <mergeCell ref="P15:Q15"/>
    <mergeCell ref="F16:G16"/>
    <mergeCell ref="Z14:Z17"/>
    <mergeCell ref="J14:K14"/>
    <mergeCell ref="N14:O14"/>
    <mergeCell ref="P14:Q14"/>
    <mergeCell ref="V14:V17"/>
    <mergeCell ref="X14:X17"/>
    <mergeCell ref="J13:K13"/>
    <mergeCell ref="N13:O13"/>
    <mergeCell ref="P13:Q13"/>
    <mergeCell ref="A14:A17"/>
    <mergeCell ref="B14:B17"/>
    <mergeCell ref="C14:C17"/>
    <mergeCell ref="D14:D17"/>
    <mergeCell ref="F14:G14"/>
    <mergeCell ref="H14:I14"/>
    <mergeCell ref="B4:D4"/>
    <mergeCell ref="E4:X4"/>
    <mergeCell ref="A5:A9"/>
    <mergeCell ref="B5:B9"/>
    <mergeCell ref="C5:C9"/>
    <mergeCell ref="D5:D9"/>
    <mergeCell ref="F5:T5"/>
    <mergeCell ref="F7:F9"/>
    <mergeCell ref="H7:H9"/>
    <mergeCell ref="J7:J9"/>
    <mergeCell ref="F19:G19"/>
    <mergeCell ref="H19:I19"/>
    <mergeCell ref="J19:K19"/>
    <mergeCell ref="N19:O19"/>
    <mergeCell ref="P19:Q19"/>
    <mergeCell ref="L7:L9"/>
    <mergeCell ref="L10:M10"/>
    <mergeCell ref="L11:M11"/>
    <mergeCell ref="L12:M12"/>
    <mergeCell ref="L13:M13"/>
    <mergeCell ref="L14:M14"/>
    <mergeCell ref="L15:M15"/>
    <mergeCell ref="U7:U8"/>
    <mergeCell ref="A1:C1"/>
    <mergeCell ref="D1:X1"/>
    <mergeCell ref="A2:C2"/>
    <mergeCell ref="S2:X2"/>
    <mergeCell ref="A3:C3"/>
    <mergeCell ref="D3:E3"/>
    <mergeCell ref="F3:I3"/>
    <mergeCell ref="R3:T3"/>
    <mergeCell ref="V3:W3"/>
    <mergeCell ref="F11:G11"/>
    <mergeCell ref="H11:I11"/>
    <mergeCell ref="J11:K11"/>
    <mergeCell ref="N11:O11"/>
    <mergeCell ref="P11:Q11"/>
    <mergeCell ref="F12:G12"/>
    <mergeCell ref="Z10:Z13"/>
    <mergeCell ref="J10:K10"/>
    <mergeCell ref="N10:O10"/>
    <mergeCell ref="P10:Q10"/>
    <mergeCell ref="V10:V13"/>
    <mergeCell ref="X10:X13"/>
    <mergeCell ref="J12:K12"/>
    <mergeCell ref="N12:O12"/>
    <mergeCell ref="P12:Q12"/>
    <mergeCell ref="A10:A13"/>
    <mergeCell ref="B10:B13"/>
    <mergeCell ref="C10:C13"/>
    <mergeCell ref="D10:D13"/>
    <mergeCell ref="F10:G10"/>
    <mergeCell ref="H10:I10"/>
    <mergeCell ref="H12:I12"/>
    <mergeCell ref="F13:G13"/>
    <mergeCell ref="H13:I13"/>
    <mergeCell ref="N7:N9"/>
    <mergeCell ref="P7:P9"/>
    <mergeCell ref="S7:S8"/>
    <mergeCell ref="T7:T8"/>
    <mergeCell ref="Z5:Z9"/>
    <mergeCell ref="R6:R9"/>
    <mergeCell ref="V6:V9"/>
    <mergeCell ref="W6:W9"/>
    <mergeCell ref="X6:X9"/>
  </mergeCells>
  <conditionalFormatting sqref="F13:G13">
    <cfRule type="cellIs" dxfId="299" priority="3511" operator="lessThan">
      <formula>$G$8</formula>
    </cfRule>
  </conditionalFormatting>
  <conditionalFormatting sqref="F17:G17 F21:G21 F25:G25 F29:G29 F33:G33 F37:G37 F41:G41 F45:G45 F49:G49">
    <cfRule type="cellIs" dxfId="298" priority="2142" operator="lessThan">
      <formula>$G$8</formula>
    </cfRule>
  </conditionalFormatting>
  <conditionalFormatting sqref="F59:G59">
    <cfRule type="cellIs" dxfId="297" priority="348" operator="lessThan">
      <formula>$G$8</formula>
    </cfRule>
  </conditionalFormatting>
  <conditionalFormatting sqref="F63:G63 F67:G67 F71:G71 F75:G75 F79:G79 F83:G83 F87:G87 F91:G91 F95:G95">
    <cfRule type="cellIs" dxfId="296" priority="342" operator="lessThan">
      <formula>$G$8</formula>
    </cfRule>
  </conditionalFormatting>
  <conditionalFormatting sqref="F105:G105">
    <cfRule type="cellIs" dxfId="295" priority="336" operator="lessThan">
      <formula>$G$8</formula>
    </cfRule>
  </conditionalFormatting>
  <conditionalFormatting sqref="F109:G109 F113:G113 F117:G117 F121:G121 F125:G125 F129:G129 F133:G133 F137:G137 F141:G141">
    <cfRule type="cellIs" dxfId="294" priority="330" operator="lessThan">
      <formula>$G$8</formula>
    </cfRule>
  </conditionalFormatting>
  <conditionalFormatting sqref="F151:G151">
    <cfRule type="cellIs" dxfId="293" priority="324" operator="lessThan">
      <formula>$G$8</formula>
    </cfRule>
  </conditionalFormatting>
  <conditionalFormatting sqref="F155:G155 F159:G159 F163:G163 F167:G167 F171:G171 F175:G175 F179:G179 F183:G183 F187:G187">
    <cfRule type="cellIs" dxfId="292" priority="318" operator="lessThan">
      <formula>$G$8</formula>
    </cfRule>
  </conditionalFormatting>
  <conditionalFormatting sqref="F197:G197">
    <cfRule type="cellIs" dxfId="291" priority="312" operator="lessThan">
      <formula>$G$8</formula>
    </cfRule>
  </conditionalFormatting>
  <conditionalFormatting sqref="F201:G201 F205:G205 F209:G209 F213:G213 F217:G217 F221:G221 F225:G225 F229:G229 F233:G233">
    <cfRule type="cellIs" dxfId="290" priority="306" operator="lessThan">
      <formula>$G$8</formula>
    </cfRule>
  </conditionalFormatting>
  <conditionalFormatting sqref="F243:G243">
    <cfRule type="cellIs" dxfId="289" priority="300" operator="lessThan">
      <formula>$G$8</formula>
    </cfRule>
  </conditionalFormatting>
  <conditionalFormatting sqref="F247:G247 F251:G251 F255:G255 F259:G259 F263:G263 F267:G267 F271:G271 F275:G275 F279:G279">
    <cfRule type="cellIs" dxfId="288" priority="294" operator="lessThan">
      <formula>$G$8</formula>
    </cfRule>
  </conditionalFormatting>
  <conditionalFormatting sqref="F289:G289">
    <cfRule type="cellIs" dxfId="287" priority="288" operator="lessThan">
      <formula>$G$8</formula>
    </cfRule>
  </conditionalFormatting>
  <conditionalFormatting sqref="F293:G293 F297:G297 F301:G301 F305:G305 F309:G309 F313:G313 F317:G317 F321:G321 F325:G325">
    <cfRule type="cellIs" dxfId="286" priority="282" operator="lessThan">
      <formula>$G$8</formula>
    </cfRule>
  </conditionalFormatting>
  <conditionalFormatting sqref="F335:G335">
    <cfRule type="cellIs" dxfId="285" priority="276" operator="lessThan">
      <formula>$G$8</formula>
    </cfRule>
  </conditionalFormatting>
  <conditionalFormatting sqref="F339:G339 F343:G343 F347:G347 F351:G351 F355:G355 F359:G359 F363:G363 F367:G367 F371:G371">
    <cfRule type="cellIs" dxfId="284" priority="270" operator="lessThan">
      <formula>$G$8</formula>
    </cfRule>
  </conditionalFormatting>
  <conditionalFormatting sqref="F381:G381">
    <cfRule type="cellIs" dxfId="283" priority="264" operator="lessThan">
      <formula>$G$8</formula>
    </cfRule>
  </conditionalFormatting>
  <conditionalFormatting sqref="F385:G385 F389:G389 F393:G393 F397:G397 F401:G401 F405:G405 F409:G409 F413:G413 F417:G417">
    <cfRule type="cellIs" dxfId="282" priority="258" operator="lessThan">
      <formula>$G$8</formula>
    </cfRule>
  </conditionalFormatting>
  <conditionalFormatting sqref="F427:G427">
    <cfRule type="cellIs" dxfId="281" priority="252" operator="lessThan">
      <formula>$G$8</formula>
    </cfRule>
  </conditionalFormatting>
  <conditionalFormatting sqref="F431:G431 F435:G435 F439:G439 F443:G443 F447:G447 F451:G451 F455:G455 F459:G459 F463:G463">
    <cfRule type="cellIs" dxfId="280" priority="246" operator="lessThan">
      <formula>$G$8</formula>
    </cfRule>
  </conditionalFormatting>
  <conditionalFormatting sqref="F473:G473">
    <cfRule type="cellIs" dxfId="279" priority="240" operator="lessThan">
      <formula>$G$8</formula>
    </cfRule>
  </conditionalFormatting>
  <conditionalFormatting sqref="F477:G477 F481:G481 F485:G485 F489:G489 F493:G493 F497:G497 F501:G501 F505:G505 F509:G509">
    <cfRule type="cellIs" dxfId="278" priority="234" operator="lessThan">
      <formula>$G$8</formula>
    </cfRule>
  </conditionalFormatting>
  <conditionalFormatting sqref="F519:G519">
    <cfRule type="cellIs" dxfId="277" priority="228" operator="lessThan">
      <formula>$G$8</formula>
    </cfRule>
  </conditionalFormatting>
  <conditionalFormatting sqref="F523:G523 F527:G527 F531:G531 F535:G535 F539:G539 F543:G543 F547:G547 F551:G551 F555:G555">
    <cfRule type="cellIs" dxfId="276" priority="222" operator="lessThan">
      <formula>$G$8</formula>
    </cfRule>
  </conditionalFormatting>
  <conditionalFormatting sqref="F565:G565">
    <cfRule type="cellIs" dxfId="275" priority="216" operator="lessThan">
      <formula>$G$8</formula>
    </cfRule>
  </conditionalFormatting>
  <conditionalFormatting sqref="F569:G569 F573:G573 F577:G577 F581:G581 F585:G585 F589:G589 F593:G593 F597:G597 F601:G601">
    <cfRule type="cellIs" dxfId="274" priority="210" operator="lessThan">
      <formula>$G$8</formula>
    </cfRule>
  </conditionalFormatting>
  <conditionalFormatting sqref="F611:G611">
    <cfRule type="cellIs" dxfId="273" priority="204" operator="lessThan">
      <formula>$G$8</formula>
    </cfRule>
  </conditionalFormatting>
  <conditionalFormatting sqref="F615:G615 F619:G619 F623:G623 F627:G627 F631:G631 F635:G635 F639:G639 F643:G643 F647:G647">
    <cfRule type="cellIs" dxfId="272" priority="198" operator="lessThan">
      <formula>$G$8</formula>
    </cfRule>
  </conditionalFormatting>
  <conditionalFormatting sqref="F657:G657">
    <cfRule type="cellIs" dxfId="271" priority="192" operator="lessThan">
      <formula>$G$8</formula>
    </cfRule>
  </conditionalFormatting>
  <conditionalFormatting sqref="F661:G661 F665:G665 F669:G669 F673:G673 F677:G677 F681:G681 F685:G685 F689:G689 F693:G693">
    <cfRule type="cellIs" dxfId="270" priority="186" operator="lessThan">
      <formula>$G$8</formula>
    </cfRule>
  </conditionalFormatting>
  <conditionalFormatting sqref="F703:G703">
    <cfRule type="cellIs" dxfId="269" priority="180" operator="lessThan">
      <formula>$G$8</formula>
    </cfRule>
  </conditionalFormatting>
  <conditionalFormatting sqref="F707:G707 F711:G711 F715:G715 F719:G719 F723:G723 F727:G727 F731:G731 F735:G735 F739:G739">
    <cfRule type="cellIs" dxfId="268" priority="174" operator="lessThan">
      <formula>$G$8</formula>
    </cfRule>
  </conditionalFormatting>
  <conditionalFormatting sqref="F749:G749">
    <cfRule type="cellIs" dxfId="267" priority="168" operator="lessThan">
      <formula>$G$8</formula>
    </cfRule>
  </conditionalFormatting>
  <conditionalFormatting sqref="F753:G753 F757:G757 F761:G761 F765:G765 F769:G769 F773:G773 F777:G777 F781:G781 F785:G785">
    <cfRule type="cellIs" dxfId="266" priority="162" operator="lessThan">
      <formula>$G$8</formula>
    </cfRule>
  </conditionalFormatting>
  <conditionalFormatting sqref="F795:G795">
    <cfRule type="cellIs" dxfId="265" priority="156" operator="lessThan">
      <formula>$G$8</formula>
    </cfRule>
  </conditionalFormatting>
  <conditionalFormatting sqref="F799:G799 F803:G803 F807:G807 F811:G811 F815:G815 F819:G819 F823:G823 F827:G827 F831:G831">
    <cfRule type="cellIs" dxfId="264" priority="150" operator="lessThan">
      <formula>$G$8</formula>
    </cfRule>
  </conditionalFormatting>
  <conditionalFormatting sqref="F841:G841">
    <cfRule type="cellIs" dxfId="263" priority="144" operator="lessThan">
      <formula>$G$8</formula>
    </cfRule>
  </conditionalFormatting>
  <conditionalFormatting sqref="F845:G845 F849:G849 F853:G853 F857:G857 F861:G861 F865:G865 F869:G869 F873:G873 F877:G877">
    <cfRule type="cellIs" dxfId="262" priority="138" operator="lessThan">
      <formula>$G$8</formula>
    </cfRule>
  </conditionalFormatting>
  <conditionalFormatting sqref="F887:G887">
    <cfRule type="cellIs" dxfId="261" priority="132" operator="lessThan">
      <formula>$G$8</formula>
    </cfRule>
  </conditionalFormatting>
  <conditionalFormatting sqref="F891:G891 F895:G895 F899:G899 F903:G903 F907:G907 F911:G911 F915:G915 F919:G919 F923:G923">
    <cfRule type="cellIs" dxfId="260" priority="126" operator="lessThan">
      <formula>$G$8</formula>
    </cfRule>
  </conditionalFormatting>
  <conditionalFormatting sqref="F933:G933">
    <cfRule type="cellIs" dxfId="259" priority="120" operator="lessThan">
      <formula>$G$8</formula>
    </cfRule>
  </conditionalFormatting>
  <conditionalFormatting sqref="F937:G937 F941:G941 F945:G945 F949:G949 F953:G953 F957:G957 F961:G961 F965:G965 F969:G969">
    <cfRule type="cellIs" dxfId="258" priority="114" operator="lessThan">
      <formula>$G$8</formula>
    </cfRule>
  </conditionalFormatting>
  <conditionalFormatting sqref="F979:G979">
    <cfRule type="cellIs" dxfId="257" priority="108" operator="lessThan">
      <formula>$G$8</formula>
    </cfRule>
  </conditionalFormatting>
  <conditionalFormatting sqref="F983:G983 F987:G987 F991:G991 F995:G995 F999:G999 F1003:G1003 F1007:G1007 F1011:G1011 F1015:G1015">
    <cfRule type="cellIs" dxfId="256" priority="102" operator="lessThan">
      <formula>$G$8</formula>
    </cfRule>
  </conditionalFormatting>
  <conditionalFormatting sqref="F1025:G1025">
    <cfRule type="cellIs" dxfId="255" priority="96" operator="lessThan">
      <formula>$G$8</formula>
    </cfRule>
  </conditionalFormatting>
  <conditionalFormatting sqref="F1029:G1029 F1033:G1033 F1037:G1037 F1041:G1041 F1045:G1045 F1049:G1049 F1053:G1053 F1057:G1057 F1061:G1061">
    <cfRule type="cellIs" dxfId="254" priority="90" operator="lessThan">
      <formula>$G$8</formula>
    </cfRule>
  </conditionalFormatting>
  <conditionalFormatting sqref="F1071:G1071">
    <cfRule type="cellIs" dxfId="253" priority="84" operator="lessThan">
      <formula>$G$8</formula>
    </cfRule>
  </conditionalFormatting>
  <conditionalFormatting sqref="F1075:G1075 F1079:G1079 F1083:G1083 F1087:G1087 F1091:G1091 F1095:G1095 F1099:G1099 F1103:G1103 F1107:G1107">
    <cfRule type="cellIs" dxfId="252" priority="78" operator="lessThan">
      <formula>$G$8</formula>
    </cfRule>
  </conditionalFormatting>
  <conditionalFormatting sqref="F1117:G1117">
    <cfRule type="cellIs" dxfId="251" priority="72" operator="lessThan">
      <formula>$G$8</formula>
    </cfRule>
  </conditionalFormatting>
  <conditionalFormatting sqref="F1121:G1121 F1125:G1125 F1129:G1129 F1133:G1133 F1137:G1137 F1141:G1141 F1145:G1145 F1149:G1149 F1153:G1153">
    <cfRule type="cellIs" dxfId="250" priority="66" operator="lessThan">
      <formula>$G$8</formula>
    </cfRule>
  </conditionalFormatting>
  <conditionalFormatting sqref="F1163:G1163">
    <cfRule type="cellIs" dxfId="249" priority="60" operator="lessThan">
      <formula>$G$8</formula>
    </cfRule>
  </conditionalFormatting>
  <conditionalFormatting sqref="F1167:G1167 F1171:G1171 F1175:G1175 F1179:G1179 F1183:G1183 F1187:G1187 F1191:G1191 F1195:G1195 F1199:G1199">
    <cfRule type="cellIs" dxfId="248" priority="54" operator="lessThan">
      <formula>$G$8</formula>
    </cfRule>
  </conditionalFormatting>
  <conditionalFormatting sqref="F1209:G1209">
    <cfRule type="cellIs" dxfId="247" priority="48" operator="lessThan">
      <formula>$G$8</formula>
    </cfRule>
  </conditionalFormatting>
  <conditionalFormatting sqref="F1213:G1213 F1217:G1217 F1221:G1221 F1225:G1225 F1229:G1229 F1233:G1233 F1237:G1237 F1241:G1241 F1245:G1245">
    <cfRule type="cellIs" dxfId="246" priority="42" operator="lessThan">
      <formula>$G$8</formula>
    </cfRule>
  </conditionalFormatting>
  <conditionalFormatting sqref="F1255:G1255">
    <cfRule type="cellIs" dxfId="245" priority="36" operator="lessThan">
      <formula>$G$8</formula>
    </cfRule>
  </conditionalFormatting>
  <conditionalFormatting sqref="F1259:G1259 F1263:G1263 F1267:G1267 F1271:G1271 F1275:G1275 F1279:G1279 F1283:G1283 F1287:G1287 F1291:G1291">
    <cfRule type="cellIs" dxfId="244" priority="30" operator="lessThan">
      <formula>$G$8</formula>
    </cfRule>
  </conditionalFormatting>
  <conditionalFormatting sqref="F1301:G1301">
    <cfRule type="cellIs" dxfId="243" priority="24" operator="lessThan">
      <formula>$G$8</formula>
    </cfRule>
  </conditionalFormatting>
  <conditionalFormatting sqref="F1305:G1305 F1309:G1309 F1313:G1313 F1317:G1317 F1321:G1321 F1325:G1325 F1329:G1329 F1333:G1333 F1337:G1337">
    <cfRule type="cellIs" dxfId="242" priority="18" operator="lessThan">
      <formula>$G$8</formula>
    </cfRule>
  </conditionalFormatting>
  <conditionalFormatting sqref="F1347:G1347">
    <cfRule type="cellIs" dxfId="241" priority="12" operator="lessThan">
      <formula>$G$8</formula>
    </cfRule>
  </conditionalFormatting>
  <conditionalFormatting sqref="F1351:G1351 F1355:G1355 F1359:G1359 F1363:G1363 F1367:G1367 F1371:G1371 F1375:G1375 F1379:G1379 F1383:G1383">
    <cfRule type="cellIs" dxfId="240" priority="6" operator="lessThan">
      <formula>$G$8</formula>
    </cfRule>
  </conditionalFormatting>
  <conditionalFormatting sqref="H13:I13">
    <cfRule type="cellIs" dxfId="239" priority="3510" operator="lessThan">
      <formula>$I$8</formula>
    </cfRule>
  </conditionalFormatting>
  <conditionalFormatting sqref="H17:I17 H21:I21 H25:I25 H29:I29 H33:I33 H37:I37 H41:I41 H45:I45 H49:I49">
    <cfRule type="cellIs" dxfId="238" priority="2141" operator="lessThan">
      <formula>$I$8</formula>
    </cfRule>
  </conditionalFormatting>
  <conditionalFormatting sqref="H59:I59">
    <cfRule type="cellIs" dxfId="237" priority="347" operator="lessThan">
      <formula>$I$8</formula>
    </cfRule>
  </conditionalFormatting>
  <conditionalFormatting sqref="H63:I63 H67:I67 H71:I71 H75:I75 H79:I79 H83:I83 H87:I87 H91:I91 H95:I95">
    <cfRule type="cellIs" dxfId="236" priority="341" operator="lessThan">
      <formula>$I$8</formula>
    </cfRule>
  </conditionalFormatting>
  <conditionalFormatting sqref="H105:I105">
    <cfRule type="cellIs" dxfId="235" priority="335" operator="lessThan">
      <formula>$I$8</formula>
    </cfRule>
  </conditionalFormatting>
  <conditionalFormatting sqref="H109:I109 H113:I113 H117:I117 H121:I121 H125:I125 H129:I129 H133:I133 H137:I137 H141:I141">
    <cfRule type="cellIs" dxfId="234" priority="329" operator="lessThan">
      <formula>$I$8</formula>
    </cfRule>
  </conditionalFormatting>
  <conditionalFormatting sqref="H151:I151">
    <cfRule type="cellIs" dxfId="233" priority="323" operator="lessThan">
      <formula>$I$8</formula>
    </cfRule>
  </conditionalFormatting>
  <conditionalFormatting sqref="H155:I155 H159:I159 H163:I163 H167:I167 H171:I171 H175:I175 H179:I179 H183:I183 H187:I187">
    <cfRule type="cellIs" dxfId="232" priority="317" operator="lessThan">
      <formula>$I$8</formula>
    </cfRule>
  </conditionalFormatting>
  <conditionalFormatting sqref="H197:I197">
    <cfRule type="cellIs" dxfId="231" priority="311" operator="lessThan">
      <formula>$I$8</formula>
    </cfRule>
  </conditionalFormatting>
  <conditionalFormatting sqref="H201:I201 H205:I205 H209:I209 H213:I213 H217:I217 H221:I221 H225:I225 H229:I229 H233:I233">
    <cfRule type="cellIs" dxfId="230" priority="305" operator="lessThan">
      <formula>$I$8</formula>
    </cfRule>
  </conditionalFormatting>
  <conditionalFormatting sqref="H243:I243">
    <cfRule type="cellIs" dxfId="229" priority="299" operator="lessThan">
      <formula>$I$8</formula>
    </cfRule>
  </conditionalFormatting>
  <conditionalFormatting sqref="H247:I247 H251:I251 H255:I255 H259:I259 H263:I263 H267:I267 H271:I271 H275:I275 H279:I279">
    <cfRule type="cellIs" dxfId="228" priority="293" operator="lessThan">
      <formula>$I$8</formula>
    </cfRule>
  </conditionalFormatting>
  <conditionalFormatting sqref="H289:I289">
    <cfRule type="cellIs" dxfId="227" priority="287" operator="lessThan">
      <formula>$I$8</formula>
    </cfRule>
  </conditionalFormatting>
  <conditionalFormatting sqref="H293:I293 H297:I297 H301:I301 H305:I305 H309:I309 H313:I313 H317:I317 H321:I321 H325:I325">
    <cfRule type="cellIs" dxfId="226" priority="281" operator="lessThan">
      <formula>$I$8</formula>
    </cfRule>
  </conditionalFormatting>
  <conditionalFormatting sqref="H335:I335">
    <cfRule type="cellIs" dxfId="225" priority="275" operator="lessThan">
      <formula>$I$8</formula>
    </cfRule>
  </conditionalFormatting>
  <conditionalFormatting sqref="H339:I339 H343:I343 H347:I347 H351:I351 H355:I355 H359:I359 H363:I363 H367:I367 H371:I371">
    <cfRule type="cellIs" dxfId="224" priority="269" operator="lessThan">
      <formula>$I$8</formula>
    </cfRule>
  </conditionalFormatting>
  <conditionalFormatting sqref="H381:I381">
    <cfRule type="cellIs" dxfId="223" priority="263" operator="lessThan">
      <formula>$I$8</formula>
    </cfRule>
  </conditionalFormatting>
  <conditionalFormatting sqref="H385:I385 H389:I389 H393:I393 H397:I397 H401:I401 H405:I405 H409:I409 H413:I413 H417:I417">
    <cfRule type="cellIs" dxfId="222" priority="257" operator="lessThan">
      <formula>$I$8</formula>
    </cfRule>
  </conditionalFormatting>
  <conditionalFormatting sqref="H427:I427">
    <cfRule type="cellIs" dxfId="221" priority="251" operator="lessThan">
      <formula>$I$8</formula>
    </cfRule>
  </conditionalFormatting>
  <conditionalFormatting sqref="H431:I431 H435:I435 H439:I439 H443:I443 H447:I447 H451:I451 H455:I455 H459:I459 H463:I463">
    <cfRule type="cellIs" dxfId="220" priority="245" operator="lessThan">
      <formula>$I$8</formula>
    </cfRule>
  </conditionalFormatting>
  <conditionalFormatting sqref="H473:I473">
    <cfRule type="cellIs" dxfId="219" priority="239" operator="lessThan">
      <formula>$I$8</formula>
    </cfRule>
  </conditionalFormatting>
  <conditionalFormatting sqref="H477:I477 H481:I481 H485:I485 H489:I489 H493:I493 H497:I497 H501:I501 H505:I505 H509:I509">
    <cfRule type="cellIs" dxfId="218" priority="233" operator="lessThan">
      <formula>$I$8</formula>
    </cfRule>
  </conditionalFormatting>
  <conditionalFormatting sqref="H519:I519">
    <cfRule type="cellIs" dxfId="217" priority="227" operator="lessThan">
      <formula>$I$8</formula>
    </cfRule>
  </conditionalFormatting>
  <conditionalFormatting sqref="H523:I523 H527:I527 H531:I531 H535:I535 H539:I539 H543:I543 H547:I547 H551:I551 H555:I555">
    <cfRule type="cellIs" dxfId="216" priority="221" operator="lessThan">
      <formula>$I$8</formula>
    </cfRule>
  </conditionalFormatting>
  <conditionalFormatting sqref="H565:I565">
    <cfRule type="cellIs" dxfId="215" priority="215" operator="lessThan">
      <formula>$I$8</formula>
    </cfRule>
  </conditionalFormatting>
  <conditionalFormatting sqref="H569:I569 H573:I573 H577:I577 H581:I581 H585:I585 H589:I589 H593:I593 H597:I597 H601:I601">
    <cfRule type="cellIs" dxfId="214" priority="209" operator="lessThan">
      <formula>$I$8</formula>
    </cfRule>
  </conditionalFormatting>
  <conditionalFormatting sqref="H611:I611">
    <cfRule type="cellIs" dxfId="213" priority="203" operator="lessThan">
      <formula>$I$8</formula>
    </cfRule>
  </conditionalFormatting>
  <conditionalFormatting sqref="H615:I615 H619:I619 H623:I623 H627:I627 H631:I631 H635:I635 H639:I639 H643:I643 H647:I647">
    <cfRule type="cellIs" dxfId="212" priority="197" operator="lessThan">
      <formula>$I$8</formula>
    </cfRule>
  </conditionalFormatting>
  <conditionalFormatting sqref="H657:I657">
    <cfRule type="cellIs" dxfId="211" priority="191" operator="lessThan">
      <formula>$I$8</formula>
    </cfRule>
  </conditionalFormatting>
  <conditionalFormatting sqref="H661:I661 H665:I665 H669:I669 H673:I673 H677:I677 H681:I681 H685:I685 H689:I689 H693:I693">
    <cfRule type="cellIs" dxfId="210" priority="185" operator="lessThan">
      <formula>$I$8</formula>
    </cfRule>
  </conditionalFormatting>
  <conditionalFormatting sqref="H703:I703">
    <cfRule type="cellIs" dxfId="209" priority="179" operator="lessThan">
      <formula>$I$8</formula>
    </cfRule>
  </conditionalFormatting>
  <conditionalFormatting sqref="H707:I707 H711:I711 H715:I715 H719:I719 H723:I723 H727:I727 H731:I731 H735:I735 H739:I739">
    <cfRule type="cellIs" dxfId="208" priority="173" operator="lessThan">
      <formula>$I$8</formula>
    </cfRule>
  </conditionalFormatting>
  <conditionalFormatting sqref="H749:I749">
    <cfRule type="cellIs" dxfId="207" priority="167" operator="lessThan">
      <formula>$I$8</formula>
    </cfRule>
  </conditionalFormatting>
  <conditionalFormatting sqref="H753:I753 H757:I757 H761:I761 H765:I765 H769:I769 H773:I773 H777:I777 H781:I781 H785:I785">
    <cfRule type="cellIs" dxfId="206" priority="161" operator="lessThan">
      <formula>$I$8</formula>
    </cfRule>
  </conditionalFormatting>
  <conditionalFormatting sqref="H795:I795">
    <cfRule type="cellIs" dxfId="205" priority="155" operator="lessThan">
      <formula>$I$8</formula>
    </cfRule>
  </conditionalFormatting>
  <conditionalFormatting sqref="H799:I799 H803:I803 H807:I807 H811:I811 H815:I815 H819:I819 H823:I823 H827:I827 H831:I831">
    <cfRule type="cellIs" dxfId="204" priority="149" operator="lessThan">
      <formula>$I$8</formula>
    </cfRule>
  </conditionalFormatting>
  <conditionalFormatting sqref="H841:I841">
    <cfRule type="cellIs" dxfId="203" priority="143" operator="lessThan">
      <formula>$I$8</formula>
    </cfRule>
  </conditionalFormatting>
  <conditionalFormatting sqref="H845:I845 H849:I849 H853:I853 H857:I857 H861:I861 H865:I865 H869:I869 H873:I873 H877:I877">
    <cfRule type="cellIs" dxfId="202" priority="137" operator="lessThan">
      <formula>$I$8</formula>
    </cfRule>
  </conditionalFormatting>
  <conditionalFormatting sqref="H887:I887">
    <cfRule type="cellIs" dxfId="201" priority="131" operator="lessThan">
      <formula>$I$8</formula>
    </cfRule>
  </conditionalFormatting>
  <conditionalFormatting sqref="H891:I891 H895:I895 H899:I899 H903:I903 H907:I907 H911:I911 H915:I915 H919:I919 H923:I923">
    <cfRule type="cellIs" dxfId="200" priority="125" operator="lessThan">
      <formula>$I$8</formula>
    </cfRule>
  </conditionalFormatting>
  <conditionalFormatting sqref="H933:I933">
    <cfRule type="cellIs" dxfId="199" priority="119" operator="lessThan">
      <formula>$I$8</formula>
    </cfRule>
  </conditionalFormatting>
  <conditionalFormatting sqref="H937:I937 H941:I941 H945:I945 H949:I949 H953:I953 H957:I957 H961:I961 H965:I965 H969:I969">
    <cfRule type="cellIs" dxfId="198" priority="113" operator="lessThan">
      <formula>$I$8</formula>
    </cfRule>
  </conditionalFormatting>
  <conditionalFormatting sqref="H979:I979">
    <cfRule type="cellIs" dxfId="197" priority="107" operator="lessThan">
      <formula>$I$8</formula>
    </cfRule>
  </conditionalFormatting>
  <conditionalFormatting sqref="H983:I983 H987:I987 H991:I991 H995:I995 H999:I999 H1003:I1003 H1007:I1007 H1011:I1011 H1015:I1015">
    <cfRule type="cellIs" dxfId="196" priority="101" operator="lessThan">
      <formula>$I$8</formula>
    </cfRule>
  </conditionalFormatting>
  <conditionalFormatting sqref="H1025:I1025">
    <cfRule type="cellIs" dxfId="195" priority="95" operator="lessThan">
      <formula>$I$8</formula>
    </cfRule>
  </conditionalFormatting>
  <conditionalFormatting sqref="H1029:I1029 H1033:I1033 H1037:I1037 H1041:I1041 H1045:I1045 H1049:I1049 H1053:I1053 H1057:I1057 H1061:I1061">
    <cfRule type="cellIs" dxfId="194" priority="89" operator="lessThan">
      <formula>$I$8</formula>
    </cfRule>
  </conditionalFormatting>
  <conditionalFormatting sqref="H1071:I1071">
    <cfRule type="cellIs" dxfId="193" priority="83" operator="lessThan">
      <formula>$I$8</formula>
    </cfRule>
  </conditionalFormatting>
  <conditionalFormatting sqref="H1075:I1075 H1079:I1079 H1083:I1083 H1087:I1087 H1091:I1091 H1095:I1095 H1099:I1099 H1103:I1103 H1107:I1107">
    <cfRule type="cellIs" dxfId="192" priority="77" operator="lessThan">
      <formula>$I$8</formula>
    </cfRule>
  </conditionalFormatting>
  <conditionalFormatting sqref="H1117:I1117">
    <cfRule type="cellIs" dxfId="191" priority="71" operator="lessThan">
      <formula>$I$8</formula>
    </cfRule>
  </conditionalFormatting>
  <conditionalFormatting sqref="H1121:I1121 H1125:I1125 H1129:I1129 H1133:I1133 H1137:I1137 H1141:I1141 H1145:I1145 H1149:I1149 H1153:I1153">
    <cfRule type="cellIs" dxfId="190" priority="65" operator="lessThan">
      <formula>$I$8</formula>
    </cfRule>
  </conditionalFormatting>
  <conditionalFormatting sqref="H1163:I1163">
    <cfRule type="cellIs" dxfId="189" priority="59" operator="lessThan">
      <formula>$I$8</formula>
    </cfRule>
  </conditionalFormatting>
  <conditionalFormatting sqref="H1167:I1167 H1171:I1171 H1175:I1175 H1179:I1179 H1183:I1183 H1187:I1187 H1191:I1191 H1195:I1195 H1199:I1199">
    <cfRule type="cellIs" dxfId="188" priority="53" operator="lessThan">
      <formula>$I$8</formula>
    </cfRule>
  </conditionalFormatting>
  <conditionalFormatting sqref="H1209:I1209">
    <cfRule type="cellIs" dxfId="187" priority="47" operator="lessThan">
      <formula>$I$8</formula>
    </cfRule>
  </conditionalFormatting>
  <conditionalFormatting sqref="H1213:I1213 H1217:I1217 H1221:I1221 H1225:I1225 H1229:I1229 H1233:I1233 H1237:I1237 H1241:I1241 H1245:I1245">
    <cfRule type="cellIs" dxfId="186" priority="41" operator="lessThan">
      <formula>$I$8</formula>
    </cfRule>
  </conditionalFormatting>
  <conditionalFormatting sqref="H1255:I1255">
    <cfRule type="cellIs" dxfId="185" priority="35" operator="lessThan">
      <formula>$I$8</formula>
    </cfRule>
  </conditionalFormatting>
  <conditionalFormatting sqref="H1259:I1259 H1263:I1263 H1267:I1267 H1271:I1271 H1275:I1275 H1279:I1279 H1283:I1283 H1287:I1287 H1291:I1291">
    <cfRule type="cellIs" dxfId="184" priority="29" operator="lessThan">
      <formula>$I$8</formula>
    </cfRule>
  </conditionalFormatting>
  <conditionalFormatting sqref="H1301:I1301">
    <cfRule type="cellIs" dxfId="183" priority="23" operator="lessThan">
      <formula>$I$8</formula>
    </cfRule>
  </conditionalFormatting>
  <conditionalFormatting sqref="H1305:I1305 H1309:I1309 H1313:I1313 H1317:I1317 H1321:I1321 H1325:I1325 H1329:I1329 H1333:I1333 H1337:I1337">
    <cfRule type="cellIs" dxfId="182" priority="17" operator="lessThan">
      <formula>$I$8</formula>
    </cfRule>
  </conditionalFormatting>
  <conditionalFormatting sqref="H1347:I1347">
    <cfRule type="cellIs" dxfId="181" priority="11" operator="lessThan">
      <formula>$I$8</formula>
    </cfRule>
  </conditionalFormatting>
  <conditionalFormatting sqref="H1351:I1351 H1355:I1355 H1359:I1359 H1363:I1363 H1367:I1367 H1371:I1371 H1375:I1375 H1379:I1379 H1383:I1383">
    <cfRule type="cellIs" dxfId="180" priority="5" operator="lessThan">
      <formula>$I$8</formula>
    </cfRule>
  </conditionalFormatting>
  <conditionalFormatting sqref="J13:K13">
    <cfRule type="cellIs" dxfId="179" priority="3509" operator="lessThan">
      <formula>$K$8</formula>
    </cfRule>
  </conditionalFormatting>
  <conditionalFormatting sqref="J17:K17 J21:K21 J25:K25 J29:K29 J33:K33 J37:K37 J41:K41 J45:K45 J49:K49">
    <cfRule type="cellIs" dxfId="178" priority="2140" operator="lessThan">
      <formula>$K$8</formula>
    </cfRule>
  </conditionalFormatting>
  <conditionalFormatting sqref="J59:K59">
    <cfRule type="cellIs" dxfId="177" priority="346" operator="lessThan">
      <formula>$K$8</formula>
    </cfRule>
  </conditionalFormatting>
  <conditionalFormatting sqref="J63:K63 J67:K67 J71:K71 J75:K75 J79:K79 J83:K83 J87:K87 J91:K91 J95:K95">
    <cfRule type="cellIs" dxfId="176" priority="340" operator="lessThan">
      <formula>$K$8</formula>
    </cfRule>
  </conditionalFormatting>
  <conditionalFormatting sqref="J105:K105">
    <cfRule type="cellIs" dxfId="175" priority="334" operator="lessThan">
      <formula>$K$8</formula>
    </cfRule>
  </conditionalFormatting>
  <conditionalFormatting sqref="J109:K109 J113:K113 J117:K117 J121:K121 J125:K125 J129:K129 J133:K133 J137:K137 J141:K141">
    <cfRule type="cellIs" dxfId="174" priority="328" operator="lessThan">
      <formula>$K$8</formula>
    </cfRule>
  </conditionalFormatting>
  <conditionalFormatting sqref="J151:K151">
    <cfRule type="cellIs" dxfId="173" priority="322" operator="lessThan">
      <formula>$K$8</formula>
    </cfRule>
  </conditionalFormatting>
  <conditionalFormatting sqref="J155:K155 J159:K159 J163:K163 J167:K167 J171:K171 J175:K175 J179:K179 J183:K183 J187:K187">
    <cfRule type="cellIs" dxfId="172" priority="316" operator="lessThan">
      <formula>$K$8</formula>
    </cfRule>
  </conditionalFormatting>
  <conditionalFormatting sqref="J197:K197">
    <cfRule type="cellIs" dxfId="171" priority="310" operator="lessThan">
      <formula>$K$8</formula>
    </cfRule>
  </conditionalFormatting>
  <conditionalFormatting sqref="J201:K201 J205:K205 J209:K209 J213:K213 J217:K217 J221:K221 J225:K225 J229:K229 J233:K233">
    <cfRule type="cellIs" dxfId="170" priority="304" operator="lessThan">
      <formula>$K$8</formula>
    </cfRule>
  </conditionalFormatting>
  <conditionalFormatting sqref="J243:K243">
    <cfRule type="cellIs" dxfId="169" priority="298" operator="lessThan">
      <formula>$K$8</formula>
    </cfRule>
  </conditionalFormatting>
  <conditionalFormatting sqref="J247:K247 J251:K251 J255:K255 J259:K259 J263:K263 J267:K267 J271:K271 J275:K275 J279:K279">
    <cfRule type="cellIs" dxfId="168" priority="292" operator="lessThan">
      <formula>$K$8</formula>
    </cfRule>
  </conditionalFormatting>
  <conditionalFormatting sqref="J289:K289">
    <cfRule type="cellIs" dxfId="167" priority="286" operator="lessThan">
      <formula>$K$8</formula>
    </cfRule>
  </conditionalFormatting>
  <conditionalFormatting sqref="J293:K293 J297:K297 J301:K301 J305:K305 J309:K309 J313:K313 J317:K317 J321:K321 J325:K325">
    <cfRule type="cellIs" dxfId="166" priority="280" operator="lessThan">
      <formula>$K$8</formula>
    </cfRule>
  </conditionalFormatting>
  <conditionalFormatting sqref="J335:K335">
    <cfRule type="cellIs" dxfId="165" priority="274" operator="lessThan">
      <formula>$K$8</formula>
    </cfRule>
  </conditionalFormatting>
  <conditionalFormatting sqref="J339:K339 J343:K343 J347:K347 J351:K351 J355:K355 J359:K359 J363:K363 J367:K367 J371:K371">
    <cfRule type="cellIs" dxfId="164" priority="268" operator="lessThan">
      <formula>$K$8</formula>
    </cfRule>
  </conditionalFormatting>
  <conditionalFormatting sqref="J381:K381">
    <cfRule type="cellIs" dxfId="163" priority="262" operator="lessThan">
      <formula>$K$8</formula>
    </cfRule>
  </conditionalFormatting>
  <conditionalFormatting sqref="J385:K385 J389:K389 J393:K393 J397:K397 J401:K401 J405:K405 J409:K409 J413:K413 J417:K417">
    <cfRule type="cellIs" dxfId="162" priority="256" operator="lessThan">
      <formula>$K$8</formula>
    </cfRule>
  </conditionalFormatting>
  <conditionalFormatting sqref="J427:K427">
    <cfRule type="cellIs" dxfId="161" priority="250" operator="lessThan">
      <formula>$K$8</formula>
    </cfRule>
  </conditionalFormatting>
  <conditionalFormatting sqref="J431:K431 J435:K435 J439:K439 J443:K443 J447:K447 J451:K451 J455:K455 J459:K459 J463:K463">
    <cfRule type="cellIs" dxfId="160" priority="244" operator="lessThan">
      <formula>$K$8</formula>
    </cfRule>
  </conditionalFormatting>
  <conditionalFormatting sqref="J473:K473">
    <cfRule type="cellIs" dxfId="159" priority="238" operator="lessThan">
      <formula>$K$8</formula>
    </cfRule>
  </conditionalFormatting>
  <conditionalFormatting sqref="J477:K477 J481:K481 J485:K485 J489:K489 J493:K493 J497:K497 J501:K501 J505:K505 J509:K509">
    <cfRule type="cellIs" dxfId="158" priority="232" operator="lessThan">
      <formula>$K$8</formula>
    </cfRule>
  </conditionalFormatting>
  <conditionalFormatting sqref="J519:K519">
    <cfRule type="cellIs" dxfId="157" priority="226" operator="lessThan">
      <formula>$K$8</formula>
    </cfRule>
  </conditionalFormatting>
  <conditionalFormatting sqref="J523:K523 J527:K527 J531:K531 J535:K535 J539:K539 J543:K543 J547:K547 J551:K551 J555:K555">
    <cfRule type="cellIs" dxfId="156" priority="220" operator="lessThan">
      <formula>$K$8</formula>
    </cfRule>
  </conditionalFormatting>
  <conditionalFormatting sqref="J565:K565">
    <cfRule type="cellIs" dxfId="155" priority="214" operator="lessThan">
      <formula>$K$8</formula>
    </cfRule>
  </conditionalFormatting>
  <conditionalFormatting sqref="J569:K569 J573:K573 J577:K577 J581:K581 J585:K585 J589:K589 J593:K593 J597:K597 J601:K601">
    <cfRule type="cellIs" dxfId="154" priority="208" operator="lessThan">
      <formula>$K$8</formula>
    </cfRule>
  </conditionalFormatting>
  <conditionalFormatting sqref="J611:K611">
    <cfRule type="cellIs" dxfId="153" priority="202" operator="lessThan">
      <formula>$K$8</formula>
    </cfRule>
  </conditionalFormatting>
  <conditionalFormatting sqref="J615:K615 J619:K619 J623:K623 J627:K627 J631:K631 J635:K635 J639:K639 J643:K643 J647:K647">
    <cfRule type="cellIs" dxfId="152" priority="196" operator="lessThan">
      <formula>$K$8</formula>
    </cfRule>
  </conditionalFormatting>
  <conditionalFormatting sqref="J657:K657">
    <cfRule type="cellIs" dxfId="151" priority="190" operator="lessThan">
      <formula>$K$8</formula>
    </cfRule>
  </conditionalFormatting>
  <conditionalFormatting sqref="J661:K661 J665:K665 J669:K669 J673:K673 J677:K677 J681:K681 J685:K685 J689:K689 J693:K693">
    <cfRule type="cellIs" dxfId="150" priority="184" operator="lessThan">
      <formula>$K$8</formula>
    </cfRule>
  </conditionalFormatting>
  <conditionalFormatting sqref="J703:K703">
    <cfRule type="cellIs" dxfId="149" priority="178" operator="lessThan">
      <formula>$K$8</formula>
    </cfRule>
  </conditionalFormatting>
  <conditionalFormatting sqref="J707:K707 J711:K711 J715:K715 J719:K719 J723:K723 J727:K727 J731:K731 J735:K735 J739:K739">
    <cfRule type="cellIs" dxfId="148" priority="172" operator="lessThan">
      <formula>$K$8</formula>
    </cfRule>
  </conditionalFormatting>
  <conditionalFormatting sqref="J749:K749">
    <cfRule type="cellIs" dxfId="147" priority="166" operator="lessThan">
      <formula>$K$8</formula>
    </cfRule>
  </conditionalFormatting>
  <conditionalFormatting sqref="J753:K753 J757:K757 J761:K761 J765:K765 J769:K769 J773:K773 J777:K777 J781:K781 J785:K785">
    <cfRule type="cellIs" dxfId="146" priority="160" operator="lessThan">
      <formula>$K$8</formula>
    </cfRule>
  </conditionalFormatting>
  <conditionalFormatting sqref="J795:K795">
    <cfRule type="cellIs" dxfId="145" priority="154" operator="lessThan">
      <formula>$K$8</formula>
    </cfRule>
  </conditionalFormatting>
  <conditionalFormatting sqref="J799:K799 J803:K803 J807:K807 J811:K811 J815:K815 J819:K819 J823:K823 J827:K827 J831:K831">
    <cfRule type="cellIs" dxfId="144" priority="148" operator="lessThan">
      <formula>$K$8</formula>
    </cfRule>
  </conditionalFormatting>
  <conditionalFormatting sqref="J841:K841">
    <cfRule type="cellIs" dxfId="143" priority="142" operator="lessThan">
      <formula>$K$8</formula>
    </cfRule>
  </conditionalFormatting>
  <conditionalFormatting sqref="J845:K845 J849:K849 J853:K853 J857:K857 J861:K861 J865:K865 J869:K869 J873:K873 J877:K877">
    <cfRule type="cellIs" dxfId="142" priority="136" operator="lessThan">
      <formula>$K$8</formula>
    </cfRule>
  </conditionalFormatting>
  <conditionalFormatting sqref="J887:K887">
    <cfRule type="cellIs" dxfId="141" priority="130" operator="lessThan">
      <formula>$K$8</formula>
    </cfRule>
  </conditionalFormatting>
  <conditionalFormatting sqref="J891:K891 J895:K895 J899:K899 J903:K903 J907:K907 J911:K911 J915:K915 J919:K919 J923:K923">
    <cfRule type="cellIs" dxfId="140" priority="124" operator="lessThan">
      <formula>$K$8</formula>
    </cfRule>
  </conditionalFormatting>
  <conditionalFormatting sqref="J933:K933">
    <cfRule type="cellIs" dxfId="139" priority="118" operator="lessThan">
      <formula>$K$8</formula>
    </cfRule>
  </conditionalFormatting>
  <conditionalFormatting sqref="J937:K937 J941:K941 J945:K945 J949:K949 J953:K953 J957:K957 J961:K961 J965:K965 J969:K969">
    <cfRule type="cellIs" dxfId="138" priority="112" operator="lessThan">
      <formula>$K$8</formula>
    </cfRule>
  </conditionalFormatting>
  <conditionalFormatting sqref="J979:K979">
    <cfRule type="cellIs" dxfId="137" priority="106" operator="lessThan">
      <formula>$K$8</formula>
    </cfRule>
  </conditionalFormatting>
  <conditionalFormatting sqref="J983:K983 J987:K987 J991:K991 J995:K995 J999:K999 J1003:K1003 J1007:K1007 J1011:K1011 J1015:K1015">
    <cfRule type="cellIs" dxfId="136" priority="100" operator="lessThan">
      <formula>$K$8</formula>
    </cfRule>
  </conditionalFormatting>
  <conditionalFormatting sqref="J1025:K1025">
    <cfRule type="cellIs" dxfId="135" priority="94" operator="lessThan">
      <formula>$K$8</formula>
    </cfRule>
  </conditionalFormatting>
  <conditionalFormatting sqref="J1029:K1029 J1033:K1033 J1037:K1037 J1041:K1041 J1045:K1045 J1049:K1049 J1053:K1053 J1057:K1057 J1061:K1061">
    <cfRule type="cellIs" dxfId="134" priority="88" operator="lessThan">
      <formula>$K$8</formula>
    </cfRule>
  </conditionalFormatting>
  <conditionalFormatting sqref="J1071:K1071">
    <cfRule type="cellIs" dxfId="133" priority="82" operator="lessThan">
      <formula>$K$8</formula>
    </cfRule>
  </conditionalFormatting>
  <conditionalFormatting sqref="J1075:K1075 J1079:K1079 J1083:K1083 J1087:K1087 J1091:K1091 J1095:K1095 J1099:K1099 J1103:K1103 J1107:K1107">
    <cfRule type="cellIs" dxfId="132" priority="76" operator="lessThan">
      <formula>$K$8</formula>
    </cfRule>
  </conditionalFormatting>
  <conditionalFormatting sqref="J1117:K1117">
    <cfRule type="cellIs" dxfId="131" priority="70" operator="lessThan">
      <formula>$K$8</formula>
    </cfRule>
  </conditionalFormatting>
  <conditionalFormatting sqref="J1121:K1121 J1125:K1125 J1129:K1129 J1133:K1133 J1137:K1137 J1141:K1141 J1145:K1145 J1149:K1149 J1153:K1153">
    <cfRule type="cellIs" dxfId="130" priority="64" operator="lessThan">
      <formula>$K$8</formula>
    </cfRule>
  </conditionalFormatting>
  <conditionalFormatting sqref="J1163:K1163">
    <cfRule type="cellIs" dxfId="129" priority="58" operator="lessThan">
      <formula>$K$8</formula>
    </cfRule>
  </conditionalFormatting>
  <conditionalFormatting sqref="J1167:K1167 J1171:K1171 J1175:K1175 J1179:K1179 J1183:K1183 J1187:K1187 J1191:K1191 J1195:K1195 J1199:K1199">
    <cfRule type="cellIs" dxfId="128" priority="52" operator="lessThan">
      <formula>$K$8</formula>
    </cfRule>
  </conditionalFormatting>
  <conditionalFormatting sqref="J1209:K1209">
    <cfRule type="cellIs" dxfId="127" priority="46" operator="lessThan">
      <formula>$K$8</formula>
    </cfRule>
  </conditionalFormatting>
  <conditionalFormatting sqref="J1213:K1213 J1217:K1217 J1221:K1221 J1225:K1225 J1229:K1229 J1233:K1233 J1237:K1237 J1241:K1241 J1245:K1245">
    <cfRule type="cellIs" dxfId="126" priority="40" operator="lessThan">
      <formula>$K$8</formula>
    </cfRule>
  </conditionalFormatting>
  <conditionalFormatting sqref="J1255:K1255">
    <cfRule type="cellIs" dxfId="125" priority="34" operator="lessThan">
      <formula>$K$8</formula>
    </cfRule>
  </conditionalFormatting>
  <conditionalFormatting sqref="J1259:K1259 J1263:K1263 J1267:K1267 J1271:K1271 J1275:K1275 J1279:K1279 J1283:K1283 J1287:K1287 J1291:K1291">
    <cfRule type="cellIs" dxfId="124" priority="28" operator="lessThan">
      <formula>$K$8</formula>
    </cfRule>
  </conditionalFormatting>
  <conditionalFormatting sqref="J1301:K1301">
    <cfRule type="cellIs" dxfId="123" priority="22" operator="lessThan">
      <formula>$K$8</formula>
    </cfRule>
  </conditionalFormatting>
  <conditionalFormatting sqref="J1305:K1305 J1309:K1309 J1313:K1313 J1317:K1317 J1321:K1321 J1325:K1325 J1329:K1329 J1333:K1333 J1337:K1337">
    <cfRule type="cellIs" dxfId="122" priority="16" operator="lessThan">
      <formula>$K$8</formula>
    </cfRule>
  </conditionalFormatting>
  <conditionalFormatting sqref="J1347:K1347">
    <cfRule type="cellIs" dxfId="121" priority="10" operator="lessThan">
      <formula>$K$8</formula>
    </cfRule>
  </conditionalFormatting>
  <conditionalFormatting sqref="J1351:K1351 J1355:K1355 J1359:K1359 J1363:K1363 J1367:K1367 J1371:K1371 J1375:K1375 J1379:K1379 J1383:K1383">
    <cfRule type="cellIs" dxfId="120" priority="4" operator="lessThan">
      <formula>$K$8</formula>
    </cfRule>
  </conditionalFormatting>
  <conditionalFormatting sqref="L13:O13">
    <cfRule type="cellIs" dxfId="119" priority="2180" operator="lessThan">
      <formula>$O$8</formula>
    </cfRule>
  </conditionalFormatting>
  <conditionalFormatting sqref="L17:O17 L21:O21 L25:O25 L29:O29 L33:O33 L37:O37 L41:O41 L45:O45 L49:O49">
    <cfRule type="cellIs" dxfId="118" priority="2137" operator="lessThan">
      <formula>$O$8</formula>
    </cfRule>
  </conditionalFormatting>
  <conditionalFormatting sqref="L59:O59">
    <cfRule type="cellIs" dxfId="117" priority="343" operator="lessThan">
      <formula>$O$8</formula>
    </cfRule>
  </conditionalFormatting>
  <conditionalFormatting sqref="L63:O63 L67:O67 L71:O71 L75:O75 L79:O79 L83:O83 L87:O87 L91:O91 L95:O95">
    <cfRule type="cellIs" dxfId="116" priority="337" operator="lessThan">
      <formula>$O$8</formula>
    </cfRule>
  </conditionalFormatting>
  <conditionalFormatting sqref="L105:O105">
    <cfRule type="cellIs" dxfId="115" priority="331" operator="lessThan">
      <formula>$O$8</formula>
    </cfRule>
  </conditionalFormatting>
  <conditionalFormatting sqref="L109:O109 L113:O113 L117:O117 L121:O121 L125:O125 L129:O129 L133:O133 L137:O137 L141:O141">
    <cfRule type="cellIs" dxfId="114" priority="325" operator="lessThan">
      <formula>$O$8</formula>
    </cfRule>
  </conditionalFormatting>
  <conditionalFormatting sqref="L151:O151">
    <cfRule type="cellIs" dxfId="113" priority="319" operator="lessThan">
      <formula>$O$8</formula>
    </cfRule>
  </conditionalFormatting>
  <conditionalFormatting sqref="L155:O155 L159:O159 L163:O163 L167:O167 L171:O171 L175:O175 L179:O179 L183:O183 L187:O187">
    <cfRule type="cellIs" dxfId="112" priority="313" operator="lessThan">
      <formula>$O$8</formula>
    </cfRule>
  </conditionalFormatting>
  <conditionalFormatting sqref="L197:O197">
    <cfRule type="cellIs" dxfId="111" priority="307" operator="lessThan">
      <formula>$O$8</formula>
    </cfRule>
  </conditionalFormatting>
  <conditionalFormatting sqref="L201:O201 L205:O205 L209:O209 L213:O213 L217:O217 L221:O221 L225:O225 L229:O229 L233:O233">
    <cfRule type="cellIs" dxfId="110" priority="301" operator="lessThan">
      <formula>$O$8</formula>
    </cfRule>
  </conditionalFormatting>
  <conditionalFormatting sqref="L243:O243">
    <cfRule type="cellIs" dxfId="109" priority="295" operator="lessThan">
      <formula>$O$8</formula>
    </cfRule>
  </conditionalFormatting>
  <conditionalFormatting sqref="L247:O247 L251:O251 L255:O255 L259:O259 L263:O263 L267:O267 L271:O271 L275:O275 L279:O279">
    <cfRule type="cellIs" dxfId="108" priority="289" operator="lessThan">
      <formula>$O$8</formula>
    </cfRule>
  </conditionalFormatting>
  <conditionalFormatting sqref="L289:O289">
    <cfRule type="cellIs" dxfId="107" priority="283" operator="lessThan">
      <formula>$O$8</formula>
    </cfRule>
  </conditionalFormatting>
  <conditionalFormatting sqref="L293:O293 L297:O297 L301:O301 L305:O305 L309:O309 L313:O313 L317:O317 L321:O321 L325:O325">
    <cfRule type="cellIs" dxfId="106" priority="277" operator="lessThan">
      <formula>$O$8</formula>
    </cfRule>
  </conditionalFormatting>
  <conditionalFormatting sqref="L335:O335">
    <cfRule type="cellIs" dxfId="105" priority="271" operator="lessThan">
      <formula>$O$8</formula>
    </cfRule>
  </conditionalFormatting>
  <conditionalFormatting sqref="L339:O339 L343:O343 L347:O347 L351:O351 L355:O355 L359:O359 L363:O363 L367:O367 L371:O371">
    <cfRule type="cellIs" dxfId="104" priority="265" operator="lessThan">
      <formula>$O$8</formula>
    </cfRule>
  </conditionalFormatting>
  <conditionalFormatting sqref="L381:O381">
    <cfRule type="cellIs" dxfId="103" priority="259" operator="lessThan">
      <formula>$O$8</formula>
    </cfRule>
  </conditionalFormatting>
  <conditionalFormatting sqref="L385:O385 L389:O389 L393:O393 L397:O397 L401:O401 L405:O405 L409:O409 L413:O413 L417:O417">
    <cfRule type="cellIs" dxfId="102" priority="253" operator="lessThan">
      <formula>$O$8</formula>
    </cfRule>
  </conditionalFormatting>
  <conditionalFormatting sqref="L427:O427">
    <cfRule type="cellIs" dxfId="101" priority="247" operator="lessThan">
      <formula>$O$8</formula>
    </cfRule>
  </conditionalFormatting>
  <conditionalFormatting sqref="L431:O431 L435:O435 L439:O439 L443:O443 L447:O447 L451:O451 L455:O455 L459:O459 L463:O463">
    <cfRule type="cellIs" dxfId="100" priority="241" operator="lessThan">
      <formula>$O$8</formula>
    </cfRule>
  </conditionalFormatting>
  <conditionalFormatting sqref="L473:O473">
    <cfRule type="cellIs" dxfId="99" priority="235" operator="lessThan">
      <formula>$O$8</formula>
    </cfRule>
  </conditionalFormatting>
  <conditionalFormatting sqref="L477:O477 L481:O481 L485:O485 L489:O489 L493:O493 L497:O497 L501:O501 L505:O505 L509:O509">
    <cfRule type="cellIs" dxfId="98" priority="229" operator="lessThan">
      <formula>$O$8</formula>
    </cfRule>
  </conditionalFormatting>
  <conditionalFormatting sqref="L519:O519">
    <cfRule type="cellIs" dxfId="97" priority="223" operator="lessThan">
      <formula>$O$8</formula>
    </cfRule>
  </conditionalFormatting>
  <conditionalFormatting sqref="L523:O523 L527:O527 L531:O531 L535:O535 L539:O539 L543:O543 L547:O547 L551:O551 L555:O555">
    <cfRule type="cellIs" dxfId="96" priority="217" operator="lessThan">
      <formula>$O$8</formula>
    </cfRule>
  </conditionalFormatting>
  <conditionalFormatting sqref="L565:O565">
    <cfRule type="cellIs" dxfId="95" priority="211" operator="lessThan">
      <formula>$O$8</formula>
    </cfRule>
  </conditionalFormatting>
  <conditionalFormatting sqref="L569:O569 L573:O573 L577:O577 L581:O581 L585:O585 L589:O589 L593:O593 L597:O597 L601:O601">
    <cfRule type="cellIs" dxfId="94" priority="205" operator="lessThan">
      <formula>$O$8</formula>
    </cfRule>
  </conditionalFormatting>
  <conditionalFormatting sqref="L611:O611">
    <cfRule type="cellIs" dxfId="93" priority="199" operator="lessThan">
      <formula>$O$8</formula>
    </cfRule>
  </conditionalFormatting>
  <conditionalFormatting sqref="L615:O615 L619:O619 L623:O623 L627:O627 L631:O631 L635:O635 L639:O639 L643:O643 L647:O647">
    <cfRule type="cellIs" dxfId="92" priority="193" operator="lessThan">
      <formula>$O$8</formula>
    </cfRule>
  </conditionalFormatting>
  <conditionalFormatting sqref="L657:O657">
    <cfRule type="cellIs" dxfId="91" priority="187" operator="lessThan">
      <formula>$O$8</formula>
    </cfRule>
  </conditionalFormatting>
  <conditionalFormatting sqref="L661:O661 L665:O665 L669:O669 L673:O673 L677:O677 L681:O681 L685:O685 L689:O689 L693:O693">
    <cfRule type="cellIs" dxfId="90" priority="181" operator="lessThan">
      <formula>$O$8</formula>
    </cfRule>
  </conditionalFormatting>
  <conditionalFormatting sqref="L703:O703">
    <cfRule type="cellIs" dxfId="89" priority="175" operator="lessThan">
      <formula>$O$8</formula>
    </cfRule>
  </conditionalFormatting>
  <conditionalFormatting sqref="L707:O707 L711:O711 L715:O715 L719:O719 L723:O723 L727:O727 L731:O731 L735:O735 L739:O739">
    <cfRule type="cellIs" dxfId="88" priority="169" operator="lessThan">
      <formula>$O$8</formula>
    </cfRule>
  </conditionalFormatting>
  <conditionalFormatting sqref="L749:O749">
    <cfRule type="cellIs" dxfId="87" priority="163" operator="lessThan">
      <formula>$O$8</formula>
    </cfRule>
  </conditionalFormatting>
  <conditionalFormatting sqref="L753:O753 L757:O757 L761:O761 L765:O765 L769:O769 L773:O773 L777:O777 L781:O781 L785:O785">
    <cfRule type="cellIs" dxfId="86" priority="157" operator="lessThan">
      <formula>$O$8</formula>
    </cfRule>
  </conditionalFormatting>
  <conditionalFormatting sqref="L795:O795">
    <cfRule type="cellIs" dxfId="85" priority="151" operator="lessThan">
      <formula>$O$8</formula>
    </cfRule>
  </conditionalFormatting>
  <conditionalFormatting sqref="L799:O799 L803:O803 L807:O807 L811:O811 L815:O815 L819:O819 L823:O823 L827:O827 L831:O831">
    <cfRule type="cellIs" dxfId="84" priority="145" operator="lessThan">
      <formula>$O$8</formula>
    </cfRule>
  </conditionalFormatting>
  <conditionalFormatting sqref="L841:O841">
    <cfRule type="cellIs" dxfId="83" priority="139" operator="lessThan">
      <formula>$O$8</formula>
    </cfRule>
  </conditionalFormatting>
  <conditionalFormatting sqref="L845:O845 L849:O849 L853:O853 L857:O857 L861:O861 L865:O865 L869:O869 L873:O873 L877:O877">
    <cfRule type="cellIs" dxfId="82" priority="133" operator="lessThan">
      <formula>$O$8</formula>
    </cfRule>
  </conditionalFormatting>
  <conditionalFormatting sqref="L887:O887">
    <cfRule type="cellIs" dxfId="81" priority="127" operator="lessThan">
      <formula>$O$8</formula>
    </cfRule>
  </conditionalFormatting>
  <conditionalFormatting sqref="L891:O891 L895:O895 L899:O899 L903:O903 L907:O907 L911:O911 L915:O915 L919:O919 L923:O923">
    <cfRule type="cellIs" dxfId="80" priority="121" operator="lessThan">
      <formula>$O$8</formula>
    </cfRule>
  </conditionalFormatting>
  <conditionalFormatting sqref="L933:O933">
    <cfRule type="cellIs" dxfId="79" priority="115" operator="lessThan">
      <formula>$O$8</formula>
    </cfRule>
  </conditionalFormatting>
  <conditionalFormatting sqref="L937:O937 L941:O941 L945:O945 L949:O949 L953:O953 L957:O957 L961:O961 L965:O965 L969:O969">
    <cfRule type="cellIs" dxfId="78" priority="109" operator="lessThan">
      <formula>$O$8</formula>
    </cfRule>
  </conditionalFormatting>
  <conditionalFormatting sqref="L979:O979">
    <cfRule type="cellIs" dxfId="77" priority="103" operator="lessThan">
      <formula>$O$8</formula>
    </cfRule>
  </conditionalFormatting>
  <conditionalFormatting sqref="L983:O983 L987:O987 L991:O991 L995:O995 L999:O999 L1003:O1003 L1007:O1007 L1011:O1011 L1015:O1015">
    <cfRule type="cellIs" dxfId="76" priority="97" operator="lessThan">
      <formula>$O$8</formula>
    </cfRule>
  </conditionalFormatting>
  <conditionalFormatting sqref="L1025:O1025">
    <cfRule type="cellIs" dxfId="75" priority="91" operator="lessThan">
      <formula>$O$8</formula>
    </cfRule>
  </conditionalFormatting>
  <conditionalFormatting sqref="L1029:O1029 L1033:O1033 L1037:O1037 L1041:O1041 L1045:O1045 L1049:O1049 L1053:O1053 L1057:O1057 L1061:O1061">
    <cfRule type="cellIs" dxfId="74" priority="85" operator="lessThan">
      <formula>$O$8</formula>
    </cfRule>
  </conditionalFormatting>
  <conditionalFormatting sqref="L1071:O1071">
    <cfRule type="cellIs" dxfId="73" priority="79" operator="lessThan">
      <formula>$O$8</formula>
    </cfRule>
  </conditionalFormatting>
  <conditionalFormatting sqref="L1075:O1075 L1079:O1079 L1083:O1083 L1087:O1087 L1091:O1091 L1095:O1095 L1099:O1099 L1103:O1103 L1107:O1107">
    <cfRule type="cellIs" dxfId="72" priority="73" operator="lessThan">
      <formula>$O$8</formula>
    </cfRule>
  </conditionalFormatting>
  <conditionalFormatting sqref="L1117:O1117">
    <cfRule type="cellIs" dxfId="71" priority="67" operator="lessThan">
      <formula>$O$8</formula>
    </cfRule>
  </conditionalFormatting>
  <conditionalFormatting sqref="L1121:O1121 L1125:O1125 L1129:O1129 L1133:O1133 L1137:O1137 L1141:O1141 L1145:O1145 L1149:O1149 L1153:O1153">
    <cfRule type="cellIs" dxfId="70" priority="61" operator="lessThan">
      <formula>$O$8</formula>
    </cfRule>
  </conditionalFormatting>
  <conditionalFormatting sqref="L1163:O1163">
    <cfRule type="cellIs" dxfId="69" priority="55" operator="lessThan">
      <formula>$O$8</formula>
    </cfRule>
  </conditionalFormatting>
  <conditionalFormatting sqref="L1167:O1167 L1171:O1171 L1175:O1175 L1179:O1179 L1183:O1183 L1187:O1187 L1191:O1191 L1195:O1195 L1199:O1199">
    <cfRule type="cellIs" dxfId="68" priority="49" operator="lessThan">
      <formula>$O$8</formula>
    </cfRule>
  </conditionalFormatting>
  <conditionalFormatting sqref="L1209:O1209">
    <cfRule type="cellIs" dxfId="67" priority="43" operator="lessThan">
      <formula>$O$8</formula>
    </cfRule>
  </conditionalFormatting>
  <conditionalFormatting sqref="L1213:O1213 L1217:O1217 L1221:O1221 L1225:O1225 L1229:O1229 L1233:O1233 L1237:O1237 L1241:O1241 L1245:O1245">
    <cfRule type="cellIs" dxfId="66" priority="37" operator="lessThan">
      <formula>$O$8</formula>
    </cfRule>
  </conditionalFormatting>
  <conditionalFormatting sqref="L1255:O1255">
    <cfRule type="cellIs" dxfId="65" priority="31" operator="lessThan">
      <formula>$O$8</formula>
    </cfRule>
  </conditionalFormatting>
  <conditionalFormatting sqref="L1259:O1259 L1263:O1263 L1267:O1267 L1271:O1271 L1275:O1275 L1279:O1279 L1283:O1283 L1287:O1287 L1291:O1291">
    <cfRule type="cellIs" dxfId="64" priority="25" operator="lessThan">
      <formula>$O$8</formula>
    </cfRule>
  </conditionalFormatting>
  <conditionalFormatting sqref="L1301:O1301">
    <cfRule type="cellIs" dxfId="63" priority="19" operator="lessThan">
      <formula>$O$8</formula>
    </cfRule>
  </conditionalFormatting>
  <conditionalFormatting sqref="L1305:O1305 L1309:O1309 L1313:O1313 L1317:O1317 L1321:O1321 L1325:O1325 L1329:O1329 L1333:O1333 L1337:O1337">
    <cfRule type="cellIs" dxfId="62" priority="13" operator="lessThan">
      <formula>$O$8</formula>
    </cfRule>
  </conditionalFormatting>
  <conditionalFormatting sqref="L1347:O1347">
    <cfRule type="cellIs" dxfId="61" priority="7" operator="lessThan">
      <formula>$O$8</formula>
    </cfRule>
  </conditionalFormatting>
  <conditionalFormatting sqref="L1351:O1351 L1355:O1355 L1359:O1359 L1363:O1363 L1367:O1367 L1371:O1371 L1375:O1375 L1379:O1379 L1383:O1383">
    <cfRule type="cellIs" dxfId="60" priority="1" operator="lessThan">
      <formula>$O$8</formula>
    </cfRule>
  </conditionalFormatting>
  <conditionalFormatting sqref="P13:Q13">
    <cfRule type="cellIs" dxfId="59" priority="3507" operator="lessThan">
      <formula>$Q$8</formula>
    </cfRule>
  </conditionalFormatting>
  <conditionalFormatting sqref="P17:Q17 P21:Q21 P25:Q25 P29:Q29 P33:Q33 P37:Q37 P41:Q41 P45:Q45 P49:Q49">
    <cfRule type="cellIs" dxfId="58" priority="2138" operator="lessThan">
      <formula>$Q$8</formula>
    </cfRule>
  </conditionalFormatting>
  <conditionalFormatting sqref="P59:Q59">
    <cfRule type="cellIs" dxfId="57" priority="344" operator="lessThan">
      <formula>$Q$8</formula>
    </cfRule>
  </conditionalFormatting>
  <conditionalFormatting sqref="P63:Q63 P67:Q67 P71:Q71 P75:Q75 P79:Q79 P83:Q83 P87:Q87 P91:Q91 P95:Q95">
    <cfRule type="cellIs" dxfId="56" priority="338" operator="lessThan">
      <formula>$Q$8</formula>
    </cfRule>
  </conditionalFormatting>
  <conditionalFormatting sqref="P105:Q105">
    <cfRule type="cellIs" dxfId="55" priority="332" operator="lessThan">
      <formula>$Q$8</formula>
    </cfRule>
  </conditionalFormatting>
  <conditionalFormatting sqref="P109:Q109 P113:Q113 P117:Q117 P121:Q121 P125:Q125 P129:Q129 P133:Q133 P137:Q137 P141:Q141">
    <cfRule type="cellIs" dxfId="54" priority="326" operator="lessThan">
      <formula>$Q$8</formula>
    </cfRule>
  </conditionalFormatting>
  <conditionalFormatting sqref="P151:Q151">
    <cfRule type="cellIs" dxfId="53" priority="320" operator="lessThan">
      <formula>$Q$8</formula>
    </cfRule>
  </conditionalFormatting>
  <conditionalFormatting sqref="P155:Q155 P159:Q159 P163:Q163 P167:Q167 P171:Q171 P175:Q175 P179:Q179 P183:Q183 P187:Q187">
    <cfRule type="cellIs" dxfId="52" priority="314" operator="lessThan">
      <formula>$Q$8</formula>
    </cfRule>
  </conditionalFormatting>
  <conditionalFormatting sqref="P197:Q197">
    <cfRule type="cellIs" dxfId="51" priority="308" operator="lessThan">
      <formula>$Q$8</formula>
    </cfRule>
  </conditionalFormatting>
  <conditionalFormatting sqref="P201:Q201 P205:Q205 P209:Q209 P213:Q213 P217:Q217 P221:Q221 P225:Q225 P229:Q229 P233:Q233">
    <cfRule type="cellIs" dxfId="50" priority="302" operator="lessThan">
      <formula>$Q$8</formula>
    </cfRule>
  </conditionalFormatting>
  <conditionalFormatting sqref="P243:Q243">
    <cfRule type="cellIs" dxfId="49" priority="296" operator="lessThan">
      <formula>$Q$8</formula>
    </cfRule>
  </conditionalFormatting>
  <conditionalFormatting sqref="P247:Q247 P251:Q251 P255:Q255 P259:Q259 P263:Q263 P267:Q267 P271:Q271 P275:Q275 P279:Q279">
    <cfRule type="cellIs" dxfId="48" priority="290" operator="lessThan">
      <formula>$Q$8</formula>
    </cfRule>
  </conditionalFormatting>
  <conditionalFormatting sqref="P289:Q289">
    <cfRule type="cellIs" dxfId="47" priority="284" operator="lessThan">
      <formula>$Q$8</formula>
    </cfRule>
  </conditionalFormatting>
  <conditionalFormatting sqref="P293:Q293 P297:Q297 P301:Q301 P305:Q305 P309:Q309 P313:Q313 P317:Q317 P321:Q321 P325:Q325">
    <cfRule type="cellIs" dxfId="46" priority="278" operator="lessThan">
      <formula>$Q$8</formula>
    </cfRule>
  </conditionalFormatting>
  <conditionalFormatting sqref="P335:Q335">
    <cfRule type="cellIs" dxfId="45" priority="272" operator="lessThan">
      <formula>$Q$8</formula>
    </cfRule>
  </conditionalFormatting>
  <conditionalFormatting sqref="P339:Q339 P343:Q343 P347:Q347 P351:Q351 P355:Q355 P359:Q359 P363:Q363 P367:Q367 P371:Q371">
    <cfRule type="cellIs" dxfId="44" priority="266" operator="lessThan">
      <formula>$Q$8</formula>
    </cfRule>
  </conditionalFormatting>
  <conditionalFormatting sqref="P381:Q381">
    <cfRule type="cellIs" dxfId="43" priority="260" operator="lessThan">
      <formula>$Q$8</formula>
    </cfRule>
  </conditionalFormatting>
  <conditionalFormatting sqref="P385:Q385 P389:Q389 P393:Q393 P397:Q397 P401:Q401 P405:Q405 P409:Q409 P413:Q413 P417:Q417">
    <cfRule type="cellIs" dxfId="42" priority="254" operator="lessThan">
      <formula>$Q$8</formula>
    </cfRule>
  </conditionalFormatting>
  <conditionalFormatting sqref="P427:Q427">
    <cfRule type="cellIs" dxfId="41" priority="248" operator="lessThan">
      <formula>$Q$8</formula>
    </cfRule>
  </conditionalFormatting>
  <conditionalFormatting sqref="P431:Q431 P435:Q435 P439:Q439 P443:Q443 P447:Q447 P451:Q451 P455:Q455 P459:Q459 P463:Q463">
    <cfRule type="cellIs" dxfId="40" priority="242" operator="lessThan">
      <formula>$Q$8</formula>
    </cfRule>
  </conditionalFormatting>
  <conditionalFormatting sqref="P473:Q473">
    <cfRule type="cellIs" dxfId="39" priority="236" operator="lessThan">
      <formula>$Q$8</formula>
    </cfRule>
  </conditionalFormatting>
  <conditionalFormatting sqref="P477:Q477 P481:Q481 P485:Q485 P489:Q489 P493:Q493 P497:Q497 P501:Q501 P505:Q505 P509:Q509">
    <cfRule type="cellIs" dxfId="38" priority="230" operator="lessThan">
      <formula>$Q$8</formula>
    </cfRule>
  </conditionalFormatting>
  <conditionalFormatting sqref="P519:Q519">
    <cfRule type="cellIs" dxfId="37" priority="224" operator="lessThan">
      <formula>$Q$8</formula>
    </cfRule>
  </conditionalFormatting>
  <conditionalFormatting sqref="P523:Q523 P527:Q527 P531:Q531 P535:Q535 P539:Q539 P543:Q543 P547:Q547 P551:Q551 P555:Q555">
    <cfRule type="cellIs" dxfId="36" priority="218" operator="lessThan">
      <formula>$Q$8</formula>
    </cfRule>
  </conditionalFormatting>
  <conditionalFormatting sqref="P565:Q565">
    <cfRule type="cellIs" dxfId="35" priority="212" operator="lessThan">
      <formula>$Q$8</formula>
    </cfRule>
  </conditionalFormatting>
  <conditionalFormatting sqref="P569:Q569 P573:Q573 P577:Q577 P581:Q581 P585:Q585 P589:Q589 P593:Q593 P597:Q597 P601:Q601">
    <cfRule type="cellIs" dxfId="34" priority="206" operator="lessThan">
      <formula>$Q$8</formula>
    </cfRule>
  </conditionalFormatting>
  <conditionalFormatting sqref="P611:Q611">
    <cfRule type="cellIs" dxfId="33" priority="200" operator="lessThan">
      <formula>$Q$8</formula>
    </cfRule>
  </conditionalFormatting>
  <conditionalFormatting sqref="P615:Q615 P619:Q619 P623:Q623 P627:Q627 P631:Q631 P635:Q635 P639:Q639 P643:Q643 P647:Q647">
    <cfRule type="cellIs" dxfId="32" priority="194" operator="lessThan">
      <formula>$Q$8</formula>
    </cfRule>
  </conditionalFormatting>
  <conditionalFormatting sqref="P657:Q657">
    <cfRule type="cellIs" dxfId="31" priority="188" operator="lessThan">
      <formula>$Q$8</formula>
    </cfRule>
  </conditionalFormatting>
  <conditionalFormatting sqref="P661:Q661 P665:Q665 P669:Q669 P673:Q673 P677:Q677 P681:Q681 P685:Q685 P689:Q689 P693:Q693">
    <cfRule type="cellIs" dxfId="30" priority="182" operator="lessThan">
      <formula>$Q$8</formula>
    </cfRule>
  </conditionalFormatting>
  <conditionalFormatting sqref="P703:Q703">
    <cfRule type="cellIs" dxfId="29" priority="176" operator="lessThan">
      <formula>$Q$8</formula>
    </cfRule>
  </conditionalFormatting>
  <conditionalFormatting sqref="P707:Q707 P711:Q711 P715:Q715 P719:Q719 P723:Q723 P727:Q727 P731:Q731 P735:Q735 P739:Q739">
    <cfRule type="cellIs" dxfId="28" priority="170" operator="lessThan">
      <formula>$Q$8</formula>
    </cfRule>
  </conditionalFormatting>
  <conditionalFormatting sqref="P749:Q749">
    <cfRule type="cellIs" dxfId="27" priority="164" operator="lessThan">
      <formula>$Q$8</formula>
    </cfRule>
  </conditionalFormatting>
  <conditionalFormatting sqref="P753:Q753 P757:Q757 P761:Q761 P765:Q765 P769:Q769 P773:Q773 P777:Q777 P781:Q781 P785:Q785">
    <cfRule type="cellIs" dxfId="26" priority="158" operator="lessThan">
      <formula>$Q$8</formula>
    </cfRule>
  </conditionalFormatting>
  <conditionalFormatting sqref="P795:Q795">
    <cfRule type="cellIs" dxfId="25" priority="152" operator="lessThan">
      <formula>$Q$8</formula>
    </cfRule>
  </conditionalFormatting>
  <conditionalFormatting sqref="P799:Q799 P803:Q803 P807:Q807 P811:Q811 P815:Q815 P819:Q819 P823:Q823 P827:Q827 P831:Q831">
    <cfRule type="cellIs" dxfId="24" priority="146" operator="lessThan">
      <formula>$Q$8</formula>
    </cfRule>
  </conditionalFormatting>
  <conditionalFormatting sqref="P841:Q841">
    <cfRule type="cellIs" dxfId="23" priority="140" operator="lessThan">
      <formula>$Q$8</formula>
    </cfRule>
  </conditionalFormatting>
  <conditionalFormatting sqref="P845:Q845 P849:Q849 P853:Q853 P857:Q857 P861:Q861 P865:Q865 P869:Q869 P873:Q873 P877:Q877">
    <cfRule type="cellIs" dxfId="22" priority="134" operator="lessThan">
      <formula>$Q$8</formula>
    </cfRule>
  </conditionalFormatting>
  <conditionalFormatting sqref="P887:Q887">
    <cfRule type="cellIs" dxfId="21" priority="128" operator="lessThan">
      <formula>$Q$8</formula>
    </cfRule>
  </conditionalFormatting>
  <conditionalFormatting sqref="P891:Q891 P895:Q895 P899:Q899 P903:Q903 P907:Q907 P911:Q911 P915:Q915 P919:Q919 P923:Q923">
    <cfRule type="cellIs" dxfId="20" priority="122" operator="lessThan">
      <formula>$Q$8</formula>
    </cfRule>
  </conditionalFormatting>
  <conditionalFormatting sqref="P933:Q933">
    <cfRule type="cellIs" dxfId="19" priority="116" operator="lessThan">
      <formula>$Q$8</formula>
    </cfRule>
  </conditionalFormatting>
  <conditionalFormatting sqref="P937:Q937 P941:Q941 P945:Q945 P949:Q949 P953:Q953 P957:Q957 P961:Q961 P965:Q965 P969:Q969">
    <cfRule type="cellIs" dxfId="18" priority="110" operator="lessThan">
      <formula>$Q$8</formula>
    </cfRule>
  </conditionalFormatting>
  <conditionalFormatting sqref="P979:Q979">
    <cfRule type="cellIs" dxfId="17" priority="104" operator="lessThan">
      <formula>$Q$8</formula>
    </cfRule>
  </conditionalFormatting>
  <conditionalFormatting sqref="P983:Q983 P987:Q987 P991:Q991 P995:Q995 P999:Q999 P1003:Q1003 P1007:Q1007 P1011:Q1011 P1015:Q1015">
    <cfRule type="cellIs" dxfId="16" priority="98" operator="lessThan">
      <formula>$Q$8</formula>
    </cfRule>
  </conditionalFormatting>
  <conditionalFormatting sqref="P1025:Q1025">
    <cfRule type="cellIs" dxfId="15" priority="92" operator="lessThan">
      <formula>$Q$8</formula>
    </cfRule>
  </conditionalFormatting>
  <conditionalFormatting sqref="P1029:Q1029 P1033:Q1033 P1037:Q1037 P1041:Q1041 P1045:Q1045 P1049:Q1049 P1053:Q1053 P1057:Q1057 P1061:Q1061">
    <cfRule type="cellIs" dxfId="14" priority="86" operator="lessThan">
      <formula>$Q$8</formula>
    </cfRule>
  </conditionalFormatting>
  <conditionalFormatting sqref="P1071:Q1071">
    <cfRule type="cellIs" dxfId="13" priority="80" operator="lessThan">
      <formula>$Q$8</formula>
    </cfRule>
  </conditionalFormatting>
  <conditionalFormatting sqref="P1075:Q1075 P1079:Q1079 P1083:Q1083 P1087:Q1087 P1091:Q1091 P1095:Q1095 P1099:Q1099 P1103:Q1103 P1107:Q1107">
    <cfRule type="cellIs" dxfId="12" priority="74" operator="lessThan">
      <formula>$Q$8</formula>
    </cfRule>
  </conditionalFormatting>
  <conditionalFormatting sqref="P1117:Q1117">
    <cfRule type="cellIs" dxfId="11" priority="68" operator="lessThan">
      <formula>$Q$8</formula>
    </cfRule>
  </conditionalFormatting>
  <conditionalFormatting sqref="P1121:Q1121 P1125:Q1125 P1129:Q1129 P1133:Q1133 P1137:Q1137 P1141:Q1141 P1145:Q1145 P1149:Q1149 P1153:Q1153">
    <cfRule type="cellIs" dxfId="10" priority="62" operator="lessThan">
      <formula>$Q$8</formula>
    </cfRule>
  </conditionalFormatting>
  <conditionalFormatting sqref="P1163:Q1163">
    <cfRule type="cellIs" dxfId="9" priority="56" operator="lessThan">
      <formula>$Q$8</formula>
    </cfRule>
  </conditionalFormatting>
  <conditionalFormatting sqref="P1167:Q1167 P1171:Q1171 P1175:Q1175 P1179:Q1179 P1183:Q1183 P1187:Q1187 P1191:Q1191 P1195:Q1195 P1199:Q1199">
    <cfRule type="cellIs" dxfId="8" priority="50" operator="lessThan">
      <formula>$Q$8</formula>
    </cfRule>
  </conditionalFormatting>
  <conditionalFormatting sqref="P1209:Q1209">
    <cfRule type="cellIs" dxfId="7" priority="44" operator="lessThan">
      <formula>$Q$8</formula>
    </cfRule>
  </conditionalFormatting>
  <conditionalFormatting sqref="P1213:Q1213 P1217:Q1217 P1221:Q1221 P1225:Q1225 P1229:Q1229 P1233:Q1233 P1237:Q1237 P1241:Q1241 P1245:Q1245">
    <cfRule type="cellIs" dxfId="6" priority="38" operator="lessThan">
      <formula>$Q$8</formula>
    </cfRule>
  </conditionalFormatting>
  <conditionalFormatting sqref="P1255:Q1255">
    <cfRule type="cellIs" dxfId="5" priority="32" operator="lessThan">
      <formula>$Q$8</formula>
    </cfRule>
  </conditionalFormatting>
  <conditionalFormatting sqref="P1259:Q1259 P1263:Q1263 P1267:Q1267 P1271:Q1271 P1275:Q1275 P1279:Q1279 P1283:Q1283 P1287:Q1287 P1291:Q1291">
    <cfRule type="cellIs" dxfId="4" priority="26" operator="lessThan">
      <formula>$Q$8</formula>
    </cfRule>
  </conditionalFormatting>
  <conditionalFormatting sqref="P1301:Q1301">
    <cfRule type="cellIs" dxfId="3" priority="20" operator="lessThan">
      <formula>$Q$8</formula>
    </cfRule>
  </conditionalFormatting>
  <conditionalFormatting sqref="P1305:Q1305 P1309:Q1309 P1313:Q1313 P1317:Q1317 P1321:Q1321 P1325:Q1325 P1329:Q1329 P1333:Q1333 P1337:Q1337">
    <cfRule type="cellIs" dxfId="2" priority="14" operator="lessThan">
      <formula>$Q$8</formula>
    </cfRule>
  </conditionalFormatting>
  <conditionalFormatting sqref="P1347:Q1347">
    <cfRule type="cellIs" dxfId="1" priority="8" operator="lessThan">
      <formula>$Q$8</formula>
    </cfRule>
  </conditionalFormatting>
  <conditionalFormatting sqref="P1351:Q1351 P1355:Q1355 P1359:Q1359 P1363:Q1363 P1367:Q1367 P1371:Q1371 P1375:Q1375 P1379:Q1379 P1383:Q1383">
    <cfRule type="cellIs" dxfId="0" priority="2" operator="lessThan">
      <formula>$Q$8</formula>
    </cfRule>
  </conditionalFormatting>
  <dataValidations count="1">
    <dataValidation type="list" showDropDown="1" showInputMessage="1" showErrorMessage="1" sqref="F1:Q5 A14:E1048576 U9 AD1:AW1048576 F1384:U1048576 AC4:AC1048576 A1:E9 R1:T9 V1:X9 U1:U5 V14:X1048576 F50:U55 F96:U101 F142:U147 F188:U193 F234:U239 F280:U285 F326:U331 F372:U377 F418:U423 F464:U469 F510:U515 F556:U561 F602:U607 F648:U653 F694:U699 F740:U745 F786:U791 F832:U837 F878:U883 F924:U929 F970:U975 F1016:U1021 F1062:U1067 F1108:U1113 F1154:U1159 F1200:U1205 F1246:U1251 F1292:U1297 F1338:U1343 Y1:Y1048576 AA1:AB1048576 Z1:Z9 Z50:Z55 Z96:Z101 Z142:Z147 Z188:Z193 Z234:Z239 Z280:Z285 Z326:Z331 Z372:Z377 Z418:Z423 Z464:Z469 Z510:Z515 Z556:Z561 Z602:Z607 Z648:Z653 Z694:Z699 Z740:Z745 Z786:Z791 Z832:Z837 Z878:Z883 Z924:Z929 Z970:Z975 Z1016:Z1021 Z1062:Z1067 Z1108:Z1113 Z1154:Z1159 Z1200:Z1205 Z1246:Z1251 Z1292:Z1297 Z1338:Z1343 Z1384:Z1048576" xr:uid="{00000000-0002-0000-0400-000000000000}">
      <formula1>"@@@@@@@@@@@&amp;&amp;&amp;&amp;&amp;&amp;&amp;&amp;&amp;&amp;&amp;&amp;&amp;&amp;&amp;&amp;&amp;&amp;&amp;&amp;&amp;&amp;&amp;&amp;&amp;&amp;&amp;&amp;&amp;&amp;&amp;&amp;$$"</formula1>
    </dataValidation>
  </dataValidations>
  <printOptions horizontalCentered="1" verticalCentered="1"/>
  <pageMargins left="0" right="0" top="0" bottom="0" header="0" footer="0"/>
  <pageSetup paperSize="9" scale="91" orientation="portrait" r:id="rId1"/>
  <headerFooter>
    <oddFooter>&amp;Lصفحة &amp;P</oddFooter>
  </headerFooter>
  <rowBreaks count="3" manualBreakCount="3">
    <brk id="1113" max="34" man="1"/>
    <brk id="1159" max="34" man="1"/>
    <brk id="1205" max="34" man="1"/>
  </rowBreaks>
  <colBreaks count="1" manualBreakCount="1">
    <brk id="24" max="1391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ورقة7">
    <tabColor theme="7" tint="-0.499984740745262"/>
  </sheetPr>
  <dimension ref="A1:CP319"/>
  <sheetViews>
    <sheetView showZeros="0" rightToLeft="1" tabSelected="1" topLeftCell="A7" zoomScale="124" zoomScaleNormal="124" zoomScaleSheetLayoutView="90" workbookViewId="0"/>
  </sheetViews>
  <sheetFormatPr defaultColWidth="8.8984375" defaultRowHeight="13.8" x14ac:dyDescent="0.25"/>
  <cols>
    <col min="1" max="1" width="6" style="4" customWidth="1"/>
    <col min="2" max="2" width="22.8984375" style="15" customWidth="1"/>
    <col min="3" max="3" width="8.8984375" style="68" customWidth="1"/>
    <col min="4" max="4" width="16.19921875" style="15" bestFit="1" customWidth="1"/>
    <col min="5" max="5" width="5" style="69" customWidth="1"/>
    <col min="6" max="11" width="3.69921875" style="1" customWidth="1"/>
    <col min="12" max="12" width="4.69921875" style="1" customWidth="1"/>
    <col min="13" max="14" width="6" style="1" bestFit="1" customWidth="1"/>
    <col min="15" max="15" width="6" style="1" customWidth="1"/>
    <col min="16" max="16" width="5" style="304" customWidth="1"/>
    <col min="17" max="22" width="3.69921875" style="1" customWidth="1"/>
    <col min="23" max="23" width="4.69921875" style="1" customWidth="1"/>
    <col min="24" max="25" width="6" style="1" bestFit="1" customWidth="1"/>
    <col min="26" max="26" width="6" style="1" customWidth="1"/>
    <col min="27" max="27" width="5" style="69" customWidth="1"/>
    <col min="28" max="33" width="3.69921875" style="1" customWidth="1"/>
    <col min="34" max="34" width="4.69921875" style="1" customWidth="1"/>
    <col min="35" max="36" width="6" style="1" bestFit="1" customWidth="1"/>
    <col min="37" max="37" width="6" style="1" customWidth="1"/>
    <col min="38" max="40" width="7.69921875" style="1" bestFit="1" customWidth="1"/>
    <col min="41" max="41" width="6.59765625" style="1" customWidth="1"/>
    <col min="42" max="42" width="10.19921875" style="1" customWidth="1"/>
    <col min="43" max="46" width="8.8984375" style="1" customWidth="1"/>
    <col min="47" max="48" width="17.19921875" style="249" hidden="1" customWidth="1"/>
    <col min="49" max="49" width="17.19921875" style="249" customWidth="1"/>
    <col min="50" max="50" width="8.8984375" style="15"/>
    <col min="51" max="51" width="9.19921875" style="15" customWidth="1"/>
    <col min="52" max="52" width="22.19921875" style="15" customWidth="1"/>
    <col min="53" max="53" width="15" style="15" hidden="1" customWidth="1"/>
    <col min="54" max="54" width="8.8984375" style="15" hidden="1" customWidth="1"/>
    <col min="55" max="55" width="8.8984375" style="15"/>
    <col min="56" max="56" width="9.19921875" style="15" customWidth="1"/>
    <col min="57" max="57" width="22.19921875" style="15" customWidth="1"/>
    <col min="58" max="58" width="15" style="15" hidden="1" customWidth="1"/>
    <col min="59" max="59" width="13.69921875" style="15" hidden="1" customWidth="1"/>
    <col min="60" max="60" width="8.8984375" style="15"/>
    <col min="61" max="61" width="13" style="15" customWidth="1"/>
    <col min="62" max="62" width="22.19921875" style="15" customWidth="1"/>
    <col min="63" max="63" width="11" style="15" customWidth="1"/>
    <col min="64" max="65" width="7.09765625" style="15" customWidth="1"/>
    <col min="66" max="66" width="20.19921875" style="15" customWidth="1"/>
    <col min="67" max="67" width="7.09765625" style="15" customWidth="1"/>
    <col min="68" max="69" width="2.59765625" style="15" customWidth="1"/>
    <col min="70" max="79" width="2.59765625" style="1" customWidth="1"/>
    <col min="80" max="80" width="10.3984375" style="1" customWidth="1"/>
    <col min="81" max="82" width="10.69921875" style="1" customWidth="1"/>
    <col min="83" max="83" width="12.3984375" style="1" customWidth="1"/>
    <col min="84" max="88" width="8.8984375" style="1"/>
    <col min="89" max="89" width="8.8984375" style="1" hidden="1" customWidth="1"/>
    <col min="90" max="16384" width="8.8984375" style="1"/>
  </cols>
  <sheetData>
    <row r="1" spans="1:94" ht="14.4" thickBot="1" x14ac:dyDescent="0.3">
      <c r="B1" s="15">
        <v>1</v>
      </c>
      <c r="C1" s="68">
        <v>2</v>
      </c>
      <c r="D1" s="15">
        <v>3</v>
      </c>
      <c r="E1" s="68">
        <v>4</v>
      </c>
      <c r="F1" s="15">
        <v>5</v>
      </c>
      <c r="G1" s="68">
        <v>6</v>
      </c>
      <c r="H1" s="15">
        <v>7</v>
      </c>
      <c r="I1" s="68">
        <v>8</v>
      </c>
      <c r="J1" s="15">
        <v>9</v>
      </c>
      <c r="K1" s="68">
        <v>10</v>
      </c>
      <c r="L1" s="15">
        <v>11</v>
      </c>
      <c r="M1" s="68">
        <v>12</v>
      </c>
      <c r="N1" s="15">
        <v>13</v>
      </c>
      <c r="O1" s="68">
        <v>14</v>
      </c>
      <c r="P1" s="15">
        <v>15</v>
      </c>
      <c r="Q1" s="68">
        <v>16</v>
      </c>
      <c r="R1" s="15">
        <v>17</v>
      </c>
      <c r="S1" s="68">
        <v>18</v>
      </c>
      <c r="T1" s="15">
        <v>19</v>
      </c>
      <c r="U1" s="68">
        <v>20</v>
      </c>
      <c r="V1" s="15">
        <v>21</v>
      </c>
      <c r="W1" s="68">
        <v>22</v>
      </c>
      <c r="X1" s="15">
        <v>23</v>
      </c>
      <c r="Y1" s="68">
        <v>24</v>
      </c>
      <c r="Z1" s="15">
        <v>25</v>
      </c>
      <c r="AA1" s="68">
        <v>26</v>
      </c>
      <c r="AB1" s="15">
        <v>27</v>
      </c>
      <c r="AC1" s="68">
        <v>28</v>
      </c>
      <c r="AD1" s="15">
        <v>29</v>
      </c>
      <c r="AE1" s="68">
        <v>30</v>
      </c>
      <c r="AF1" s="15">
        <v>31</v>
      </c>
      <c r="AG1" s="68">
        <v>32</v>
      </c>
      <c r="AH1" s="15">
        <v>33</v>
      </c>
      <c r="AI1" s="68">
        <v>34</v>
      </c>
      <c r="AJ1" s="15">
        <v>35</v>
      </c>
      <c r="AK1" s="68">
        <v>36</v>
      </c>
      <c r="AL1" s="15">
        <v>37</v>
      </c>
      <c r="AM1" s="68">
        <v>38</v>
      </c>
      <c r="AN1" s="15">
        <v>39</v>
      </c>
      <c r="AO1" s="68">
        <v>40</v>
      </c>
      <c r="AP1" s="15">
        <v>41</v>
      </c>
      <c r="AQ1" s="68">
        <v>42</v>
      </c>
      <c r="AR1" s="15">
        <v>43</v>
      </c>
      <c r="AS1" s="68">
        <v>44</v>
      </c>
      <c r="AT1" s="15">
        <v>45</v>
      </c>
      <c r="AU1" s="68">
        <v>46</v>
      </c>
      <c r="AV1" s="15">
        <v>47</v>
      </c>
      <c r="AW1" s="68">
        <v>48</v>
      </c>
      <c r="AX1" s="15">
        <v>49</v>
      </c>
      <c r="AY1" s="68">
        <v>50</v>
      </c>
      <c r="AZ1" s="15">
        <v>51</v>
      </c>
      <c r="BA1" s="68">
        <v>52</v>
      </c>
      <c r="BB1" s="15">
        <v>53</v>
      </c>
      <c r="BC1" s="68">
        <v>54</v>
      </c>
      <c r="BD1" s="15">
        <v>55</v>
      </c>
      <c r="BE1" s="68">
        <v>56</v>
      </c>
      <c r="BF1" s="15">
        <v>57</v>
      </c>
      <c r="BG1" s="68">
        <v>58</v>
      </c>
      <c r="BH1" s="15">
        <v>59</v>
      </c>
      <c r="BI1" s="68">
        <v>60</v>
      </c>
      <c r="BJ1" s="15">
        <v>61</v>
      </c>
      <c r="BK1" s="68">
        <v>62</v>
      </c>
      <c r="BL1" s="15">
        <v>63</v>
      </c>
      <c r="BM1" s="68">
        <v>64</v>
      </c>
      <c r="BN1" s="15">
        <v>65</v>
      </c>
      <c r="BO1" s="68">
        <v>66</v>
      </c>
      <c r="BP1" s="15">
        <v>67</v>
      </c>
      <c r="BQ1" s="68">
        <v>68</v>
      </c>
      <c r="BR1" s="15">
        <v>69</v>
      </c>
      <c r="BS1" s="68">
        <v>70</v>
      </c>
      <c r="BT1" s="15">
        <v>71</v>
      </c>
      <c r="BU1" s="68">
        <v>72</v>
      </c>
      <c r="BV1" s="15">
        <v>73</v>
      </c>
      <c r="BW1" s="68">
        <v>74</v>
      </c>
      <c r="BX1" s="15">
        <v>75</v>
      </c>
      <c r="BY1" s="68">
        <v>76</v>
      </c>
      <c r="BZ1" s="15">
        <v>77</v>
      </c>
      <c r="CA1" s="68">
        <v>78</v>
      </c>
      <c r="CB1" s="15">
        <v>79</v>
      </c>
      <c r="CC1" s="68">
        <v>80</v>
      </c>
      <c r="CD1" s="15">
        <v>81</v>
      </c>
      <c r="CE1" s="68">
        <v>82</v>
      </c>
      <c r="CF1" s="15">
        <v>83</v>
      </c>
      <c r="CG1" s="68">
        <v>84</v>
      </c>
      <c r="CH1" s="15">
        <v>85</v>
      </c>
      <c r="CI1" s="68">
        <v>86</v>
      </c>
      <c r="CJ1" s="15">
        <v>87</v>
      </c>
      <c r="CK1" s="68">
        <v>88</v>
      </c>
      <c r="CL1" s="15">
        <v>89</v>
      </c>
      <c r="CM1" s="68">
        <v>90</v>
      </c>
      <c r="CN1" s="15">
        <v>91</v>
      </c>
      <c r="CO1" s="68">
        <v>92</v>
      </c>
      <c r="CP1" s="15">
        <v>93</v>
      </c>
    </row>
    <row r="2" spans="1:94" ht="20.25" customHeight="1" x14ac:dyDescent="0.3">
      <c r="A2" s="587" t="s">
        <v>39</v>
      </c>
      <c r="B2" s="587"/>
      <c r="C2" s="587"/>
      <c r="D2" s="587" t="s">
        <v>164</v>
      </c>
      <c r="E2" s="587"/>
      <c r="F2" s="587"/>
      <c r="G2" s="587"/>
      <c r="H2" s="587"/>
      <c r="I2" s="587"/>
      <c r="J2" s="587"/>
      <c r="K2" s="587"/>
      <c r="L2" s="587"/>
      <c r="M2" s="587"/>
      <c r="N2" s="587"/>
      <c r="O2" s="201"/>
      <c r="P2" s="302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248"/>
      <c r="AM2" s="248"/>
      <c r="AN2" s="248"/>
      <c r="AP2" s="15"/>
      <c r="BA2" s="256"/>
      <c r="BB2" s="256"/>
      <c r="BC2" s="256"/>
      <c r="BD2" s="256"/>
      <c r="BE2" s="256"/>
      <c r="BF2" s="256"/>
      <c r="BG2" s="256"/>
      <c r="BH2" s="256"/>
      <c r="BI2" s="712" t="s">
        <v>152</v>
      </c>
      <c r="BJ2" s="713"/>
      <c r="BK2" s="256"/>
      <c r="BL2" s="256"/>
      <c r="BO2" s="164"/>
    </row>
    <row r="3" spans="1:94" ht="20.25" customHeight="1" thickBot="1" x14ac:dyDescent="0.25">
      <c r="A3" s="587" t="s">
        <v>40</v>
      </c>
      <c r="B3" s="587"/>
      <c r="C3" s="587"/>
      <c r="D3" s="201"/>
      <c r="E3" s="87"/>
      <c r="F3" s="87"/>
      <c r="G3" s="87"/>
      <c r="H3" s="87"/>
      <c r="I3" s="87"/>
      <c r="J3" s="87"/>
      <c r="K3" s="87"/>
      <c r="L3" s="87"/>
      <c r="M3" s="588" t="s">
        <v>42</v>
      </c>
      <c r="N3" s="588"/>
      <c r="O3" s="588"/>
      <c r="P3" s="588"/>
      <c r="Q3" s="588"/>
      <c r="R3" s="588"/>
      <c r="S3" s="588"/>
      <c r="T3" s="588"/>
      <c r="U3" s="588"/>
      <c r="V3" s="588"/>
      <c r="W3" s="588"/>
      <c r="X3" s="588"/>
      <c r="Y3" s="588"/>
      <c r="Z3" s="588"/>
      <c r="AA3" s="588"/>
      <c r="AB3" s="588"/>
      <c r="AC3" s="588"/>
      <c r="AD3" s="588"/>
      <c r="AE3" s="588"/>
      <c r="AF3" s="588"/>
      <c r="AG3" s="588"/>
      <c r="AH3" s="588"/>
      <c r="AI3" s="588"/>
      <c r="AJ3" s="588"/>
      <c r="AK3" s="588"/>
      <c r="AL3" s="588"/>
      <c r="AM3" s="588"/>
      <c r="AN3" s="588"/>
      <c r="AO3" s="588"/>
      <c r="BA3" s="235"/>
      <c r="BB3" s="257"/>
      <c r="BC3" s="257"/>
      <c r="BD3" s="257"/>
      <c r="BE3" s="257"/>
      <c r="BF3" s="257"/>
      <c r="BG3" s="257"/>
      <c r="BH3" s="257"/>
      <c r="BI3" s="265" t="s">
        <v>8</v>
      </c>
      <c r="BJ3" s="266"/>
      <c r="BK3" s="257"/>
      <c r="BL3" s="257"/>
      <c r="CK3" s="1" t="s">
        <v>147</v>
      </c>
    </row>
    <row r="4" spans="1:94" ht="15.75" customHeight="1" thickTop="1" thickBot="1" x14ac:dyDescent="0.25">
      <c r="A4" s="587" t="s">
        <v>163</v>
      </c>
      <c r="B4" s="587"/>
      <c r="C4" s="587"/>
      <c r="D4" s="202" t="s">
        <v>43</v>
      </c>
      <c r="E4" s="587" t="s">
        <v>44</v>
      </c>
      <c r="F4" s="587"/>
      <c r="G4" s="587"/>
      <c r="H4" s="587"/>
      <c r="I4" s="24"/>
      <c r="J4" s="24"/>
      <c r="K4" s="24"/>
      <c r="L4" s="591" t="s">
        <v>160</v>
      </c>
      <c r="M4" s="591"/>
      <c r="N4" s="591"/>
      <c r="O4" s="338"/>
      <c r="P4" s="87">
        <f>ادخال1!P3</f>
        <v>0</v>
      </c>
      <c r="Q4" s="87">
        <f>ادخال1!Q3</f>
        <v>0</v>
      </c>
      <c r="R4" s="87">
        <f>ادخال1!R3</f>
        <v>0</v>
      </c>
      <c r="S4" s="87">
        <f>ادخال1!S3</f>
        <v>0</v>
      </c>
      <c r="T4" s="87">
        <f>ادخال1!T3</f>
        <v>0</v>
      </c>
      <c r="U4" s="87">
        <f>ادخال1!U3</f>
        <v>0</v>
      </c>
      <c r="V4" s="87">
        <f>ادخال1!V3</f>
        <v>0</v>
      </c>
      <c r="W4" s="87">
        <f>ادخال1!W3</f>
        <v>0</v>
      </c>
      <c r="X4" s="24"/>
      <c r="Y4" s="24"/>
      <c r="Z4" s="24"/>
      <c r="AA4" s="87">
        <f>ادخال1!AA3</f>
        <v>0</v>
      </c>
      <c r="AB4" s="87">
        <f>ادخال1!AB3</f>
        <v>0</v>
      </c>
      <c r="AC4" s="87">
        <f>ادخال1!AC3</f>
        <v>0</v>
      </c>
      <c r="AD4" s="87">
        <f>ادخال1!AD3</f>
        <v>0</v>
      </c>
      <c r="AE4" s="87">
        <f>ادخال1!AE3</f>
        <v>0</v>
      </c>
      <c r="AF4" s="87">
        <f>ادخال1!AF3</f>
        <v>0</v>
      </c>
      <c r="AG4" s="87">
        <f>ادخال1!AG3</f>
        <v>0</v>
      </c>
      <c r="AH4" s="87">
        <f>ادخال1!AH3</f>
        <v>0</v>
      </c>
      <c r="AI4" s="24"/>
      <c r="AJ4" s="24"/>
      <c r="AK4" s="24"/>
      <c r="AL4" s="24"/>
      <c r="AM4" s="24"/>
      <c r="AN4" s="24"/>
      <c r="BA4" s="235"/>
      <c r="BB4" s="257"/>
      <c r="BC4" s="257"/>
      <c r="BD4" s="257"/>
      <c r="BE4" s="257"/>
      <c r="BF4" s="257"/>
      <c r="BG4" s="257"/>
      <c r="BH4" s="257"/>
      <c r="BI4" s="265" t="s">
        <v>10</v>
      </c>
      <c r="BJ4" s="266"/>
      <c r="BK4" s="257"/>
      <c r="BL4" s="257"/>
      <c r="CC4" s="162"/>
      <c r="CD4" s="165" t="s">
        <v>113</v>
      </c>
      <c r="CE4" s="166" t="s">
        <v>154</v>
      </c>
      <c r="CK4" s="1" t="s">
        <v>140</v>
      </c>
    </row>
    <row r="5" spans="1:94" ht="22.5" customHeight="1" thickTop="1" thickBot="1" x14ac:dyDescent="0.25">
      <c r="A5" s="201" t="s">
        <v>153</v>
      </c>
      <c r="B5" s="643" t="s">
        <v>167</v>
      </c>
      <c r="C5" s="643"/>
      <c r="D5" s="259"/>
      <c r="E5" s="644" t="s">
        <v>224</v>
      </c>
      <c r="F5" s="644"/>
      <c r="G5" s="644"/>
      <c r="H5" s="644"/>
      <c r="I5" s="644"/>
      <c r="J5" s="644"/>
      <c r="K5" s="644"/>
      <c r="L5" s="644"/>
      <c r="M5" s="644"/>
      <c r="N5" s="644"/>
      <c r="O5" s="644"/>
      <c r="P5" s="706"/>
      <c r="Q5" s="706"/>
      <c r="R5" s="706"/>
      <c r="S5" s="706"/>
      <c r="T5" s="706"/>
      <c r="U5" s="706"/>
      <c r="V5" s="706"/>
      <c r="W5" s="706"/>
      <c r="X5" s="706"/>
      <c r="Y5" s="706"/>
      <c r="Z5" s="706"/>
      <c r="AA5" s="644"/>
      <c r="AB5" s="644"/>
      <c r="AC5" s="644"/>
      <c r="AD5" s="644"/>
      <c r="AE5" s="644"/>
      <c r="AF5" s="644"/>
      <c r="AG5" s="644"/>
      <c r="AH5" s="644"/>
      <c r="AI5" s="644"/>
      <c r="AJ5" s="644"/>
      <c r="AK5" s="706"/>
      <c r="AL5" s="706"/>
      <c r="AM5" s="706"/>
      <c r="AN5" s="706"/>
      <c r="AO5" s="706"/>
      <c r="AP5" s="706"/>
      <c r="BA5" s="235"/>
      <c r="BB5" s="257"/>
      <c r="BC5" s="257"/>
      <c r="BD5" s="257"/>
      <c r="BE5" s="257"/>
      <c r="BF5" s="257"/>
      <c r="BG5" s="257"/>
      <c r="BH5" s="257"/>
      <c r="BI5" s="265" t="s">
        <v>15</v>
      </c>
      <c r="BJ5" s="266" t="s">
        <v>223</v>
      </c>
      <c r="BK5" s="257"/>
      <c r="BL5" s="257"/>
      <c r="CD5" s="167" t="s">
        <v>114</v>
      </c>
      <c r="CE5" s="166" t="s">
        <v>159</v>
      </c>
    </row>
    <row r="6" spans="1:94" ht="15" customHeight="1" thickTop="1" thickBot="1" x14ac:dyDescent="0.25">
      <c r="A6" s="756" t="s">
        <v>1</v>
      </c>
      <c r="B6" s="759" t="s">
        <v>0</v>
      </c>
      <c r="C6" s="768" t="s">
        <v>27</v>
      </c>
      <c r="D6" s="762" t="s">
        <v>28</v>
      </c>
      <c r="E6" s="782" t="s">
        <v>106</v>
      </c>
      <c r="F6" s="783"/>
      <c r="G6" s="783"/>
      <c r="H6" s="783"/>
      <c r="I6" s="783"/>
      <c r="J6" s="783"/>
      <c r="K6" s="783"/>
      <c r="L6" s="783"/>
      <c r="M6" s="783"/>
      <c r="N6" s="783"/>
      <c r="O6" s="784"/>
      <c r="P6" s="779" t="s">
        <v>107</v>
      </c>
      <c r="Q6" s="780"/>
      <c r="R6" s="780"/>
      <c r="S6" s="780"/>
      <c r="T6" s="780"/>
      <c r="U6" s="780"/>
      <c r="V6" s="780"/>
      <c r="W6" s="780"/>
      <c r="X6" s="780"/>
      <c r="Y6" s="780"/>
      <c r="Z6" s="781"/>
      <c r="AA6" s="777" t="s">
        <v>108</v>
      </c>
      <c r="AB6" s="777"/>
      <c r="AC6" s="777"/>
      <c r="AD6" s="777"/>
      <c r="AE6" s="777"/>
      <c r="AF6" s="777"/>
      <c r="AG6" s="777"/>
      <c r="AH6" s="777"/>
      <c r="AI6" s="777"/>
      <c r="AJ6" s="777"/>
      <c r="AK6" s="778"/>
      <c r="AL6" s="736" t="s">
        <v>91</v>
      </c>
      <c r="AM6" s="737"/>
      <c r="AN6" s="738"/>
      <c r="AO6" s="745" t="s">
        <v>93</v>
      </c>
      <c r="AP6" s="746"/>
      <c r="AQ6" s="746"/>
      <c r="AR6" s="746"/>
      <c r="AS6" s="746"/>
      <c r="AT6" s="747"/>
      <c r="BA6" s="235"/>
      <c r="BB6" s="257"/>
      <c r="BC6" s="257"/>
      <c r="BD6" s="257"/>
      <c r="BE6" s="257"/>
      <c r="BF6" s="257"/>
      <c r="BG6" s="257"/>
      <c r="BH6" s="257"/>
      <c r="BI6" s="267" t="s">
        <v>102</v>
      </c>
      <c r="BJ6" s="268" t="s">
        <v>154</v>
      </c>
      <c r="BK6" s="257"/>
      <c r="BL6" s="257"/>
      <c r="CB6" s="167" t="s">
        <v>41</v>
      </c>
      <c r="CC6" s="714" t="s">
        <v>167</v>
      </c>
      <c r="CD6" s="715"/>
    </row>
    <row r="7" spans="1:94" ht="21" customHeight="1" thickTop="1" thickBot="1" x14ac:dyDescent="0.3">
      <c r="A7" s="757"/>
      <c r="B7" s="760"/>
      <c r="C7" s="769"/>
      <c r="D7" s="763"/>
      <c r="E7" s="215"/>
      <c r="F7" s="216">
        <v>3</v>
      </c>
      <c r="G7" s="216">
        <v>6</v>
      </c>
      <c r="H7" s="216">
        <v>3</v>
      </c>
      <c r="I7" s="216">
        <v>1</v>
      </c>
      <c r="J7" s="216">
        <v>5</v>
      </c>
      <c r="K7" s="216">
        <v>3</v>
      </c>
      <c r="L7" s="767" t="s">
        <v>25</v>
      </c>
      <c r="M7" s="216">
        <v>1</v>
      </c>
      <c r="N7" s="216">
        <v>2</v>
      </c>
      <c r="O7" s="217">
        <v>1</v>
      </c>
      <c r="P7" s="303"/>
      <c r="Q7" s="218">
        <f t="shared" ref="Q7:V9" si="0">F7</f>
        <v>3</v>
      </c>
      <c r="R7" s="218">
        <f t="shared" si="0"/>
        <v>6</v>
      </c>
      <c r="S7" s="218">
        <f t="shared" si="0"/>
        <v>3</v>
      </c>
      <c r="T7" s="218">
        <f t="shared" si="0"/>
        <v>1</v>
      </c>
      <c r="U7" s="218">
        <f t="shared" si="0"/>
        <v>5</v>
      </c>
      <c r="V7" s="218">
        <f t="shared" si="0"/>
        <v>3</v>
      </c>
      <c r="W7" s="719" t="s">
        <v>25</v>
      </c>
      <c r="X7" s="218">
        <f t="shared" ref="X7:Z8" si="1">M7</f>
        <v>1</v>
      </c>
      <c r="Y7" s="218">
        <f t="shared" si="1"/>
        <v>2</v>
      </c>
      <c r="Z7" s="360">
        <f t="shared" si="1"/>
        <v>1</v>
      </c>
      <c r="AA7" s="356"/>
      <c r="AB7" s="354">
        <f t="shared" ref="AB7:AG7" si="2">F7</f>
        <v>3</v>
      </c>
      <c r="AC7" s="354">
        <f t="shared" si="2"/>
        <v>6</v>
      </c>
      <c r="AD7" s="354">
        <f t="shared" si="2"/>
        <v>3</v>
      </c>
      <c r="AE7" s="354">
        <f t="shared" si="2"/>
        <v>1</v>
      </c>
      <c r="AF7" s="354">
        <f t="shared" si="2"/>
        <v>5</v>
      </c>
      <c r="AG7" s="354">
        <f t="shared" si="2"/>
        <v>3</v>
      </c>
      <c r="AH7" s="720" t="s">
        <v>25</v>
      </c>
      <c r="AI7" s="354">
        <f t="shared" ref="AI7:AK8" si="3">M7</f>
        <v>1</v>
      </c>
      <c r="AJ7" s="354">
        <f t="shared" si="3"/>
        <v>2</v>
      </c>
      <c r="AK7" s="355">
        <f t="shared" si="3"/>
        <v>1</v>
      </c>
      <c r="AL7" s="739"/>
      <c r="AM7" s="740"/>
      <c r="AN7" s="741"/>
      <c r="AO7" s="748"/>
      <c r="AP7" s="749"/>
      <c r="AQ7" s="749"/>
      <c r="AR7" s="749"/>
      <c r="AS7" s="749"/>
      <c r="AT7" s="750"/>
      <c r="BB7" s="258"/>
      <c r="BC7" s="258"/>
      <c r="BD7" s="258"/>
      <c r="BE7" s="258"/>
      <c r="BF7" s="258"/>
      <c r="BG7" s="258"/>
      <c r="BH7" s="258"/>
      <c r="BI7" s="258"/>
      <c r="BJ7" s="258"/>
      <c r="BK7" s="258"/>
      <c r="BL7" s="258"/>
      <c r="BO7" s="168"/>
      <c r="BP7" s="163"/>
      <c r="BQ7" s="163"/>
      <c r="BR7" s="163"/>
      <c r="BS7" s="163"/>
      <c r="BT7" s="163"/>
      <c r="BU7" s="163"/>
      <c r="BV7" s="163"/>
      <c r="BW7" s="163"/>
      <c r="BX7" s="163"/>
      <c r="BY7" s="163"/>
      <c r="BZ7" s="163"/>
      <c r="CA7" s="163"/>
      <c r="CD7" s="716" t="s">
        <v>115</v>
      </c>
      <c r="CE7" s="717"/>
      <c r="CF7" s="167" t="s">
        <v>116</v>
      </c>
      <c r="CG7" s="169" t="s">
        <v>117</v>
      </c>
    </row>
    <row r="8" spans="1:94" ht="21" customHeight="1" thickTop="1" thickBot="1" x14ac:dyDescent="0.3">
      <c r="A8" s="757"/>
      <c r="B8" s="760"/>
      <c r="C8" s="769"/>
      <c r="D8" s="763"/>
      <c r="E8" s="215"/>
      <c r="F8" s="216">
        <f>F7*40*0.3</f>
        <v>36</v>
      </c>
      <c r="G8" s="216">
        <f t="shared" ref="G8" si="4">G7*40*0.3</f>
        <v>72</v>
      </c>
      <c r="H8" s="216">
        <f t="shared" ref="H8:K8" si="5">H7*40*0.3</f>
        <v>36</v>
      </c>
      <c r="I8" s="216">
        <f t="shared" ref="I8" si="6">I7*40*0.3</f>
        <v>12</v>
      </c>
      <c r="J8" s="216">
        <f t="shared" si="5"/>
        <v>60</v>
      </c>
      <c r="K8" s="216">
        <f t="shared" si="5"/>
        <v>36</v>
      </c>
      <c r="L8" s="767"/>
      <c r="M8" s="767" t="s">
        <v>16</v>
      </c>
      <c r="N8" s="767" t="s">
        <v>170</v>
      </c>
      <c r="O8" s="787" t="s">
        <v>166</v>
      </c>
      <c r="P8" s="303"/>
      <c r="Q8" s="218">
        <f t="shared" si="0"/>
        <v>36</v>
      </c>
      <c r="R8" s="218">
        <f t="shared" si="0"/>
        <v>72</v>
      </c>
      <c r="S8" s="218">
        <f t="shared" si="0"/>
        <v>36</v>
      </c>
      <c r="T8" s="218">
        <f t="shared" si="0"/>
        <v>12</v>
      </c>
      <c r="U8" s="218">
        <f t="shared" si="0"/>
        <v>60</v>
      </c>
      <c r="V8" s="218">
        <f t="shared" si="0"/>
        <v>36</v>
      </c>
      <c r="W8" s="719"/>
      <c r="X8" s="719" t="str">
        <f t="shared" si="1"/>
        <v>التربية الفنية</v>
      </c>
      <c r="Y8" s="719" t="str">
        <f t="shared" si="1"/>
        <v>التربية البدنية</v>
      </c>
      <c r="Z8" s="786" t="str">
        <f t="shared" si="1"/>
        <v>مكتبة</v>
      </c>
      <c r="AA8" s="357"/>
      <c r="AB8" s="219">
        <f>AB7*40*0.4</f>
        <v>48</v>
      </c>
      <c r="AC8" s="219">
        <f t="shared" ref="AC8:AG8" si="7">AC7*40*0.4</f>
        <v>96</v>
      </c>
      <c r="AD8" s="219">
        <f t="shared" si="7"/>
        <v>48</v>
      </c>
      <c r="AE8" s="219">
        <f t="shared" ref="AE8" si="8">AE7*40*0.4</f>
        <v>16</v>
      </c>
      <c r="AF8" s="219">
        <f t="shared" si="7"/>
        <v>80</v>
      </c>
      <c r="AG8" s="219">
        <f t="shared" si="7"/>
        <v>48</v>
      </c>
      <c r="AH8" s="711"/>
      <c r="AI8" s="711" t="str">
        <f t="shared" si="3"/>
        <v>التربية الفنية</v>
      </c>
      <c r="AJ8" s="711" t="str">
        <f t="shared" si="3"/>
        <v>التربية البدنية</v>
      </c>
      <c r="AK8" s="785" t="str">
        <f t="shared" si="3"/>
        <v>مكتبة</v>
      </c>
      <c r="AL8" s="739"/>
      <c r="AM8" s="740"/>
      <c r="AN8" s="741"/>
      <c r="AO8" s="751"/>
      <c r="AP8" s="752"/>
      <c r="AQ8" s="752"/>
      <c r="AR8" s="752"/>
      <c r="AS8" s="752"/>
      <c r="AT8" s="753"/>
      <c r="BA8" s="68"/>
      <c r="BB8" s="258"/>
      <c r="BC8" s="258"/>
      <c r="BD8" s="258"/>
      <c r="BE8" s="258"/>
      <c r="BF8" s="258"/>
      <c r="BG8" s="258"/>
      <c r="BH8" s="258"/>
      <c r="BI8" s="258"/>
      <c r="BJ8" s="258"/>
      <c r="BK8" s="258"/>
      <c r="BL8" s="258"/>
      <c r="BO8" s="168"/>
      <c r="CB8" s="170" t="s">
        <v>118</v>
      </c>
      <c r="CC8" s="166" t="s">
        <v>154</v>
      </c>
      <c r="CD8" s="171" t="s">
        <v>222</v>
      </c>
      <c r="CE8" s="172" t="s">
        <v>221</v>
      </c>
    </row>
    <row r="9" spans="1:94" s="196" customFormat="1" ht="32.25" customHeight="1" thickTop="1" thickBot="1" x14ac:dyDescent="0.3">
      <c r="A9" s="757"/>
      <c r="B9" s="760"/>
      <c r="C9" s="769"/>
      <c r="D9" s="763"/>
      <c r="E9" s="228"/>
      <c r="F9" s="773" t="s">
        <v>19</v>
      </c>
      <c r="G9" s="773" t="s">
        <v>155</v>
      </c>
      <c r="H9" s="773" t="s">
        <v>18</v>
      </c>
      <c r="I9" s="775" t="s">
        <v>165</v>
      </c>
      <c r="J9" s="775" t="s">
        <v>168</v>
      </c>
      <c r="K9" s="773" t="s">
        <v>17</v>
      </c>
      <c r="L9" s="767"/>
      <c r="M9" s="767"/>
      <c r="N9" s="767"/>
      <c r="O9" s="787"/>
      <c r="P9" s="237"/>
      <c r="Q9" s="771" t="str">
        <f t="shared" si="0"/>
        <v>التربية الإسلامية</v>
      </c>
      <c r="R9" s="771" t="str">
        <f t="shared" si="0"/>
        <v>اللغة العربية</v>
      </c>
      <c r="S9" s="771" t="str">
        <f t="shared" si="0"/>
        <v>اللغة الإنجليزية</v>
      </c>
      <c r="T9" s="771" t="str">
        <f t="shared" si="0"/>
        <v>الحاسوب</v>
      </c>
      <c r="U9" s="771" t="str">
        <f t="shared" si="0"/>
        <v>الرياضيات</v>
      </c>
      <c r="V9" s="765" t="str">
        <f t="shared" si="0"/>
        <v>العلوم</v>
      </c>
      <c r="W9" s="719"/>
      <c r="X9" s="719"/>
      <c r="Y9" s="719"/>
      <c r="Z9" s="786"/>
      <c r="AA9" s="358"/>
      <c r="AB9" s="721" t="str">
        <f t="shared" ref="AB9:AG9" si="9">F9</f>
        <v>التربية الإسلامية</v>
      </c>
      <c r="AC9" s="721" t="str">
        <f t="shared" si="9"/>
        <v>اللغة العربية</v>
      </c>
      <c r="AD9" s="721" t="str">
        <f t="shared" si="9"/>
        <v>اللغة الإنجليزية</v>
      </c>
      <c r="AE9" s="721" t="str">
        <f t="shared" si="9"/>
        <v>الحاسوب</v>
      </c>
      <c r="AF9" s="721" t="str">
        <f t="shared" si="9"/>
        <v>الرياضيات</v>
      </c>
      <c r="AG9" s="734" t="str">
        <f t="shared" si="9"/>
        <v>العلوم</v>
      </c>
      <c r="AH9" s="711"/>
      <c r="AI9" s="711"/>
      <c r="AJ9" s="711"/>
      <c r="AK9" s="785"/>
      <c r="AL9" s="742"/>
      <c r="AM9" s="743"/>
      <c r="AN9" s="744"/>
      <c r="AO9" s="709" t="s">
        <v>92</v>
      </c>
      <c r="AP9" s="710"/>
      <c r="AQ9" s="754" t="s">
        <v>66</v>
      </c>
      <c r="AR9" s="755"/>
      <c r="AS9" s="707" t="s">
        <v>86</v>
      </c>
      <c r="AT9" s="708"/>
      <c r="AU9" s="250"/>
      <c r="AV9" s="250"/>
      <c r="AW9" s="250"/>
      <c r="AZ9" s="236"/>
      <c r="BA9" s="229"/>
      <c r="BB9" s="230"/>
      <c r="BC9" s="236"/>
      <c r="BD9" s="236"/>
      <c r="BE9" s="236"/>
      <c r="BF9" s="229"/>
      <c r="BG9" s="230"/>
      <c r="BH9" s="236"/>
      <c r="BI9" s="236"/>
      <c r="BJ9" s="236"/>
      <c r="BK9" s="230"/>
      <c r="BL9" s="230"/>
      <c r="BM9" s="230"/>
      <c r="BN9" s="230"/>
      <c r="BO9" s="230"/>
      <c r="BP9" s="718"/>
      <c r="BQ9" s="718"/>
      <c r="BR9" s="718"/>
      <c r="BS9" s="718"/>
      <c r="BT9" s="718"/>
      <c r="BU9" s="718"/>
      <c r="BV9" s="718"/>
      <c r="BW9" s="718"/>
      <c r="BX9" s="718"/>
      <c r="BY9" s="718"/>
      <c r="BZ9" s="718"/>
      <c r="CA9" s="718"/>
    </row>
    <row r="10" spans="1:94" s="196" customFormat="1" ht="32.25" customHeight="1" thickBot="1" x14ac:dyDescent="0.3">
      <c r="A10" s="758"/>
      <c r="B10" s="761"/>
      <c r="C10" s="770"/>
      <c r="D10" s="764"/>
      <c r="E10" s="231"/>
      <c r="F10" s="774"/>
      <c r="G10" s="774"/>
      <c r="H10" s="774"/>
      <c r="I10" s="776"/>
      <c r="J10" s="776"/>
      <c r="K10" s="774"/>
      <c r="L10" s="234">
        <f>SUM(F8:K8)</f>
        <v>252</v>
      </c>
      <c r="M10" s="348" t="s">
        <v>20</v>
      </c>
      <c r="N10" s="348" t="s">
        <v>20</v>
      </c>
      <c r="O10" s="348" t="s">
        <v>20</v>
      </c>
      <c r="P10" s="307"/>
      <c r="Q10" s="772"/>
      <c r="R10" s="772"/>
      <c r="S10" s="772"/>
      <c r="T10" s="772"/>
      <c r="U10" s="772"/>
      <c r="V10" s="766"/>
      <c r="W10" s="238">
        <f>SUM(Q8:V8)</f>
        <v>252</v>
      </c>
      <c r="X10" s="347" t="str">
        <f>M10</f>
        <v>تقديرات</v>
      </c>
      <c r="Y10" s="347" t="str">
        <f>N10</f>
        <v>تقديرات</v>
      </c>
      <c r="Z10" s="347" t="str">
        <f>O10</f>
        <v>تقديرات</v>
      </c>
      <c r="AA10" s="359"/>
      <c r="AB10" s="722"/>
      <c r="AC10" s="722"/>
      <c r="AD10" s="722"/>
      <c r="AE10" s="722"/>
      <c r="AF10" s="722"/>
      <c r="AG10" s="735"/>
      <c r="AH10" s="239">
        <f>SUM(AB8:AG8)</f>
        <v>336</v>
      </c>
      <c r="AI10" s="349" t="str">
        <f>M10</f>
        <v>تقديرات</v>
      </c>
      <c r="AJ10" s="349" t="str">
        <f>N10</f>
        <v>تقديرات</v>
      </c>
      <c r="AK10" s="349" t="str">
        <f>O10</f>
        <v>تقديرات</v>
      </c>
      <c r="AL10" s="350" t="s">
        <v>92</v>
      </c>
      <c r="AM10" s="245" t="s">
        <v>66</v>
      </c>
      <c r="AN10" s="240" t="s">
        <v>86</v>
      </c>
      <c r="AO10" s="246" t="s">
        <v>94</v>
      </c>
      <c r="AP10" s="247" t="s">
        <v>95</v>
      </c>
      <c r="AQ10" s="243" t="s">
        <v>94</v>
      </c>
      <c r="AR10" s="244" t="s">
        <v>95</v>
      </c>
      <c r="AS10" s="241" t="s">
        <v>94</v>
      </c>
      <c r="AT10" s="242" t="s">
        <v>95</v>
      </c>
      <c r="AU10" s="250"/>
      <c r="AV10" s="250"/>
      <c r="AW10" s="250" t="s">
        <v>151</v>
      </c>
      <c r="AX10" s="731" t="s">
        <v>105</v>
      </c>
      <c r="AY10" s="732"/>
      <c r="AZ10" s="733"/>
      <c r="BA10" s="229"/>
      <c r="BB10" s="230"/>
      <c r="BC10" s="728" t="s">
        <v>103</v>
      </c>
      <c r="BD10" s="729"/>
      <c r="BE10" s="730"/>
      <c r="BF10" s="229"/>
      <c r="BG10" s="230"/>
      <c r="BH10" s="725" t="s">
        <v>111</v>
      </c>
      <c r="BI10" s="726"/>
      <c r="BJ10" s="727"/>
      <c r="BK10" s="230"/>
      <c r="BL10" s="230"/>
      <c r="BM10" s="230"/>
      <c r="BN10" s="230" t="s">
        <v>149</v>
      </c>
      <c r="BO10" s="232" t="s">
        <v>119</v>
      </c>
      <c r="BP10" s="723" t="s">
        <v>120</v>
      </c>
      <c r="BQ10" s="723"/>
      <c r="BR10" s="723"/>
      <c r="BS10" s="723"/>
      <c r="BT10" s="723"/>
      <c r="BU10" s="723"/>
      <c r="BV10" s="723"/>
      <c r="BW10" s="723"/>
      <c r="BX10" s="723"/>
      <c r="BY10" s="723"/>
      <c r="BZ10" s="723"/>
      <c r="CA10" s="724"/>
      <c r="CB10" s="197" t="s">
        <v>121</v>
      </c>
      <c r="CC10" s="197" t="s">
        <v>122</v>
      </c>
      <c r="CD10" s="197" t="s">
        <v>123</v>
      </c>
      <c r="CE10" s="197" t="s">
        <v>124</v>
      </c>
      <c r="CF10" s="197" t="s">
        <v>87</v>
      </c>
    </row>
    <row r="11" spans="1:94" ht="17.25" customHeight="1" thickBot="1" x14ac:dyDescent="0.3">
      <c r="A11" s="203">
        <v>1</v>
      </c>
      <c r="B11" s="381" t="s">
        <v>171</v>
      </c>
      <c r="C11" s="193">
        <v>42849</v>
      </c>
      <c r="D11" s="143" t="s">
        <v>188</v>
      </c>
      <c r="E11" s="308" t="s">
        <v>92</v>
      </c>
      <c r="F11" s="325">
        <v>36</v>
      </c>
      <c r="G11" s="326">
        <v>70</v>
      </c>
      <c r="H11" s="326">
        <v>36</v>
      </c>
      <c r="I11" s="326">
        <v>12</v>
      </c>
      <c r="J11" s="326">
        <v>59</v>
      </c>
      <c r="K11" s="326">
        <v>36</v>
      </c>
      <c r="L11" s="361">
        <f t="shared" ref="L11:L13" si="10">SUM(F11:K11)</f>
        <v>249</v>
      </c>
      <c r="M11" s="296" t="s">
        <v>169</v>
      </c>
      <c r="N11" s="297" t="s">
        <v>169</v>
      </c>
      <c r="O11" s="346"/>
      <c r="P11" s="315" t="s">
        <v>66</v>
      </c>
      <c r="Q11" s="325"/>
      <c r="R11" s="326"/>
      <c r="S11" s="326"/>
      <c r="T11" s="326"/>
      <c r="U11" s="326"/>
      <c r="V11" s="92"/>
      <c r="W11" s="335">
        <f t="shared" ref="W11:W13" si="11">SUM(Q11:V11)</f>
        <v>0</v>
      </c>
      <c r="X11" s="379"/>
      <c r="Y11" s="380"/>
      <c r="Z11" s="346"/>
      <c r="AA11" s="315" t="s">
        <v>148</v>
      </c>
      <c r="AB11" s="14"/>
      <c r="AC11" s="351"/>
      <c r="AD11" s="351"/>
      <c r="AE11" s="351"/>
      <c r="AF11" s="351"/>
      <c r="AG11" s="352"/>
      <c r="AH11" s="318">
        <f t="shared" ref="AH11:AH13" si="12">SUM(AB11:AG11)</f>
        <v>0</v>
      </c>
      <c r="AI11" s="14"/>
      <c r="AJ11" s="352"/>
      <c r="AK11" s="353"/>
      <c r="AL11" s="327"/>
      <c r="AM11" s="98"/>
      <c r="AN11" s="226"/>
      <c r="AO11" s="225"/>
      <c r="AP11" s="89"/>
      <c r="AQ11" s="225"/>
      <c r="AR11" s="89"/>
      <c r="AS11" s="225"/>
      <c r="AT11" s="89"/>
      <c r="AU11" s="15">
        <f t="shared" ref="AU11:AU74" si="13">L11+ROW()*0.0000001</f>
        <v>249.00000109999999</v>
      </c>
      <c r="AV11" s="15" t="str">
        <f>B11</f>
        <v>امجد عمر عبداللطيف سلطان</v>
      </c>
      <c r="AW11" s="15"/>
      <c r="AX11" s="207">
        <v>1</v>
      </c>
      <c r="AY11" s="84">
        <f t="shared" ref="AY11:AY74" si="14">IFERROR(LARGE($AU$11:$AU$319,AX11),"")</f>
        <v>251.00000230000001</v>
      </c>
      <c r="AZ11" s="207" t="str">
        <f t="shared" ref="AZ11:AZ74" si="15">IFERROR(VLOOKUP(AY11,الترتيب1,2,0),"")</f>
        <v>يزن عبد السلام على الأطوش</v>
      </c>
      <c r="BA11" s="233">
        <f t="shared" ref="BA11:BA74" si="16">W11+ROW()*0.0000001</f>
        <v>1.1000000000000001E-6</v>
      </c>
      <c r="BB11" s="15" t="str">
        <f>AV11</f>
        <v>امجد عمر عبداللطيف سلطان</v>
      </c>
      <c r="BC11" s="207">
        <v>1</v>
      </c>
      <c r="BD11" s="84">
        <f t="shared" ref="BD11:BD74" si="17">IFERROR(LARGE($BA$11:$BA$319,BC11),"")</f>
        <v>3.1899999999999996E-5</v>
      </c>
      <c r="BE11" s="207">
        <f t="shared" ref="BE11:BE74" si="18">IFERROR(VLOOKUP(BD11,الترتيب2,2,0),"")</f>
        <v>0</v>
      </c>
      <c r="BF11" s="233">
        <f t="shared" ref="BF11:BF74" si="19">AH11+ROW()*0.0000001</f>
        <v>1.1000000000000001E-6</v>
      </c>
      <c r="BG11" s="15" t="str">
        <f>BB11</f>
        <v>امجد عمر عبداللطيف سلطان</v>
      </c>
      <c r="BH11" s="207">
        <v>1</v>
      </c>
      <c r="BI11" s="84">
        <f t="shared" ref="BI11:BI74" si="20">IFERROR(LARGE($BF$11:$BF$319,BH11),"")</f>
        <v>3.1899999999999996E-5</v>
      </c>
      <c r="BJ11" s="207">
        <f t="shared" ref="BJ11:BJ74" si="21">IFERROR(VLOOKUP(BI11,الترتيب3,2,0),"")</f>
        <v>0</v>
      </c>
      <c r="BL11" s="123"/>
      <c r="BM11" s="123"/>
      <c r="BN11" s="123">
        <v>120171166454</v>
      </c>
      <c r="BO11" s="173" t="s">
        <v>189</v>
      </c>
      <c r="BP11" s="174" t="str">
        <f>MID($BN11,12,1)</f>
        <v>4</v>
      </c>
      <c r="BQ11" s="174" t="str">
        <f>MID($BN11,11,1)</f>
        <v>5</v>
      </c>
      <c r="BR11" s="174" t="str">
        <f>MID($BN11,10,1)</f>
        <v>4</v>
      </c>
      <c r="BS11" s="174" t="str">
        <f>MID($BN11,9,1)</f>
        <v>6</v>
      </c>
      <c r="BT11" s="174" t="str">
        <f>MID($BN11,8,1)</f>
        <v>6</v>
      </c>
      <c r="BU11" s="174" t="str">
        <f>MID($BN11,7,1)</f>
        <v>1</v>
      </c>
      <c r="BV11" s="174" t="str">
        <f>MID($BN11,6,1)</f>
        <v>1</v>
      </c>
      <c r="BW11" s="174" t="str">
        <f>MID($BN11,5,1)</f>
        <v>7</v>
      </c>
      <c r="BX11" s="174" t="str">
        <f>MID($BN11,4,1)</f>
        <v>1</v>
      </c>
      <c r="BY11" s="174" t="str">
        <f>MID($BN11,3,1)</f>
        <v>0</v>
      </c>
      <c r="BZ11" s="174" t="str">
        <f>MID($BN11,2,1)</f>
        <v>2</v>
      </c>
      <c r="CA11" s="174" t="str">
        <f>MID($BN11,1,1)</f>
        <v>1</v>
      </c>
      <c r="CB11" s="161" t="s">
        <v>154</v>
      </c>
      <c r="CC11" s="161" t="s">
        <v>190</v>
      </c>
      <c r="CD11" s="161" t="s">
        <v>147</v>
      </c>
      <c r="CE11" s="161" t="s">
        <v>150</v>
      </c>
      <c r="CF11" s="161" t="s">
        <v>220</v>
      </c>
    </row>
    <row r="12" spans="1:94" ht="14.25" customHeight="1" thickBot="1" x14ac:dyDescent="0.3">
      <c r="A12" s="204">
        <v>2</v>
      </c>
      <c r="B12" s="381" t="s">
        <v>172</v>
      </c>
      <c r="C12" s="194">
        <v>42906</v>
      </c>
      <c r="D12" s="142" t="s">
        <v>195</v>
      </c>
      <c r="E12" s="309" t="s">
        <v>92</v>
      </c>
      <c r="F12" s="305">
        <v>36</v>
      </c>
      <c r="G12" s="306">
        <v>69</v>
      </c>
      <c r="H12" s="306">
        <v>32</v>
      </c>
      <c r="I12" s="326">
        <v>12</v>
      </c>
      <c r="J12" s="306">
        <v>59</v>
      </c>
      <c r="K12" s="306">
        <v>36</v>
      </c>
      <c r="L12" s="223">
        <f t="shared" si="10"/>
        <v>244</v>
      </c>
      <c r="M12" s="296" t="s">
        <v>169</v>
      </c>
      <c r="N12" s="297" t="s">
        <v>169</v>
      </c>
      <c r="O12" s="341"/>
      <c r="P12" s="316" t="s">
        <v>66</v>
      </c>
      <c r="Q12" s="305"/>
      <c r="R12" s="306"/>
      <c r="S12" s="306"/>
      <c r="T12" s="306"/>
      <c r="U12" s="306"/>
      <c r="V12" s="122"/>
      <c r="W12" s="323">
        <f t="shared" si="11"/>
        <v>0</v>
      </c>
      <c r="X12" s="379"/>
      <c r="Y12" s="380"/>
      <c r="Z12" s="341"/>
      <c r="AA12" s="316" t="s">
        <v>86</v>
      </c>
      <c r="AB12" s="77"/>
      <c r="AC12" s="319"/>
      <c r="AD12" s="319"/>
      <c r="AE12" s="319"/>
      <c r="AF12" s="319"/>
      <c r="AG12" s="320"/>
      <c r="AH12" s="323">
        <f t="shared" si="12"/>
        <v>0</v>
      </c>
      <c r="AI12" s="77"/>
      <c r="AJ12" s="320"/>
      <c r="AK12" s="344"/>
      <c r="AL12" s="328"/>
      <c r="AM12" s="209"/>
      <c r="AN12" s="208"/>
      <c r="AO12" s="220"/>
      <c r="AP12" s="212"/>
      <c r="AQ12" s="220"/>
      <c r="AR12" s="212"/>
      <c r="AS12" s="220"/>
      <c r="AT12" s="212"/>
      <c r="AU12" s="15">
        <f t="shared" si="13"/>
        <v>244.00000120000001</v>
      </c>
      <c r="AV12" s="15" t="str">
        <f>[1]ادخال1!B12</f>
        <v>انصير احمد انصير خليل</v>
      </c>
      <c r="AW12" s="15"/>
      <c r="AX12" s="173">
        <v>2</v>
      </c>
      <c r="AY12" s="84">
        <f t="shared" si="14"/>
        <v>251.00000209999999</v>
      </c>
      <c r="AZ12" s="207" t="str">
        <f t="shared" si="15"/>
        <v>مريم سامى محمد النفاتى</v>
      </c>
      <c r="BA12" s="233">
        <f t="shared" si="16"/>
        <v>1.1999999999999999E-6</v>
      </c>
      <c r="BB12" s="15" t="str">
        <f t="shared" ref="BB12:BB75" si="22">AV12</f>
        <v>انصير احمد انصير خليل</v>
      </c>
      <c r="BC12" s="173">
        <v>2</v>
      </c>
      <c r="BD12" s="84">
        <f t="shared" si="17"/>
        <v>3.18E-5</v>
      </c>
      <c r="BE12" s="207">
        <f t="shared" si="18"/>
        <v>0</v>
      </c>
      <c r="BF12" s="233">
        <f t="shared" si="19"/>
        <v>1.1999999999999999E-6</v>
      </c>
      <c r="BG12" s="15" t="str">
        <f t="shared" ref="BG12:BG75" si="23">BB12</f>
        <v>انصير احمد انصير خليل</v>
      </c>
      <c r="BH12" s="173">
        <v>2</v>
      </c>
      <c r="BI12" s="84">
        <f t="shared" si="20"/>
        <v>3.18E-5</v>
      </c>
      <c r="BJ12" s="207">
        <f t="shared" si="21"/>
        <v>0</v>
      </c>
      <c r="BL12" s="123"/>
      <c r="BM12" s="123"/>
      <c r="BN12" s="15">
        <v>220170565774</v>
      </c>
      <c r="BO12" s="173" t="s">
        <v>191</v>
      </c>
      <c r="BP12" s="174" t="str">
        <f t="shared" ref="BP12:BP75" si="24">MID($BN12,12,1)</f>
        <v>4</v>
      </c>
      <c r="BQ12" s="174" t="str">
        <f t="shared" ref="BQ12:BQ75" si="25">MID($BN12,11,1)</f>
        <v>7</v>
      </c>
      <c r="BR12" s="174" t="str">
        <f t="shared" ref="BR12:BR75" si="26">MID($BN12,10,1)</f>
        <v>7</v>
      </c>
      <c r="BS12" s="174" t="str">
        <f t="shared" ref="BS12:BS75" si="27">MID($BN12,9,1)</f>
        <v>5</v>
      </c>
      <c r="BT12" s="174" t="str">
        <f t="shared" ref="BT12:BT75" si="28">MID($BN12,8,1)</f>
        <v>6</v>
      </c>
      <c r="BU12" s="174" t="str">
        <f t="shared" ref="BU12:BU75" si="29">MID($BN12,7,1)</f>
        <v>5</v>
      </c>
      <c r="BV12" s="174" t="str">
        <f t="shared" ref="BV12:BV75" si="30">MID($BN12,6,1)</f>
        <v>0</v>
      </c>
      <c r="BW12" s="174" t="str">
        <f t="shared" ref="BW12:BW75" si="31">MID($BN12,5,1)</f>
        <v>7</v>
      </c>
      <c r="BX12" s="174" t="str">
        <f t="shared" ref="BX12:BX75" si="32">MID($BN12,4,1)</f>
        <v>1</v>
      </c>
      <c r="BY12" s="174" t="str">
        <f t="shared" ref="BY12:BY75" si="33">MID($BN12,3,1)</f>
        <v>0</v>
      </c>
      <c r="BZ12" s="174" t="str">
        <f t="shared" ref="BZ12:BZ75" si="34">MID($BN12,2,1)</f>
        <v>2</v>
      </c>
      <c r="CA12" s="174" t="str">
        <f t="shared" ref="CA12:CA75" si="35">MID($BN12,1,1)</f>
        <v>2</v>
      </c>
      <c r="CB12" s="161" t="s">
        <v>192</v>
      </c>
      <c r="CC12" s="161" t="s">
        <v>193</v>
      </c>
      <c r="CD12" s="161" t="s">
        <v>147</v>
      </c>
      <c r="CE12" s="161" t="s">
        <v>150</v>
      </c>
      <c r="CF12" s="161" t="s">
        <v>220</v>
      </c>
    </row>
    <row r="13" spans="1:94" ht="14.25" customHeight="1" thickBot="1" x14ac:dyDescent="0.3">
      <c r="A13" s="205">
        <v>3</v>
      </c>
      <c r="B13" s="381" t="s">
        <v>173</v>
      </c>
      <c r="C13" s="195">
        <v>43014</v>
      </c>
      <c r="D13" s="91" t="s">
        <v>196</v>
      </c>
      <c r="E13" s="310" t="s">
        <v>92</v>
      </c>
      <c r="F13" s="93">
        <v>36</v>
      </c>
      <c r="G13" s="97">
        <v>71</v>
      </c>
      <c r="H13" s="97">
        <v>36</v>
      </c>
      <c r="I13" s="326">
        <v>12</v>
      </c>
      <c r="J13" s="97">
        <v>59</v>
      </c>
      <c r="K13" s="97">
        <v>36</v>
      </c>
      <c r="L13" s="224">
        <f t="shared" si="10"/>
        <v>250</v>
      </c>
      <c r="M13" s="296" t="s">
        <v>169</v>
      </c>
      <c r="N13" s="297" t="s">
        <v>169</v>
      </c>
      <c r="O13" s="342"/>
      <c r="P13" s="317" t="s">
        <v>66</v>
      </c>
      <c r="Q13" s="93"/>
      <c r="R13" s="97"/>
      <c r="S13" s="97"/>
      <c r="T13" s="97"/>
      <c r="U13" s="97"/>
      <c r="V13" s="94"/>
      <c r="W13" s="324">
        <f t="shared" si="11"/>
        <v>0</v>
      </c>
      <c r="X13" s="379"/>
      <c r="Y13" s="380"/>
      <c r="Z13" s="342"/>
      <c r="AA13" s="317" t="s">
        <v>86</v>
      </c>
      <c r="AB13" s="78"/>
      <c r="AC13" s="321"/>
      <c r="AD13" s="321"/>
      <c r="AE13" s="321"/>
      <c r="AF13" s="321"/>
      <c r="AG13" s="322"/>
      <c r="AH13" s="324">
        <f t="shared" si="12"/>
        <v>0</v>
      </c>
      <c r="AI13" s="78"/>
      <c r="AJ13" s="322"/>
      <c r="AK13" s="345"/>
      <c r="AL13" s="329"/>
      <c r="AM13" s="99"/>
      <c r="AN13" s="227"/>
      <c r="AO13" s="221"/>
      <c r="AP13" s="90"/>
      <c r="AQ13" s="221"/>
      <c r="AR13" s="90"/>
      <c r="AS13" s="221"/>
      <c r="AT13" s="90"/>
      <c r="AU13" s="15">
        <f t="shared" si="13"/>
        <v>250.00000130000001</v>
      </c>
      <c r="AV13" s="15" t="str">
        <f>B13</f>
        <v>الحارث مبروك محمد الزوي</v>
      </c>
      <c r="AW13" s="15"/>
      <c r="AX13" s="83">
        <v>3</v>
      </c>
      <c r="AY13" s="84">
        <f t="shared" si="14"/>
        <v>251.00000199999999</v>
      </c>
      <c r="AZ13" s="207" t="str">
        <f t="shared" si="15"/>
        <v>كنان سالم عبد الكريم النفاتى</v>
      </c>
      <c r="BA13" s="233">
        <f t="shared" si="16"/>
        <v>1.2999999999999998E-6</v>
      </c>
      <c r="BB13" s="15" t="str">
        <f t="shared" si="22"/>
        <v>الحارث مبروك محمد الزوي</v>
      </c>
      <c r="BC13" s="83">
        <v>3</v>
      </c>
      <c r="BD13" s="84">
        <f t="shared" si="17"/>
        <v>3.1699999999999998E-5</v>
      </c>
      <c r="BE13" s="207">
        <f t="shared" si="18"/>
        <v>0</v>
      </c>
      <c r="BF13" s="233">
        <f t="shared" si="19"/>
        <v>1.2999999999999998E-6</v>
      </c>
      <c r="BG13" s="15" t="str">
        <f t="shared" si="23"/>
        <v>الحارث مبروك محمد الزوي</v>
      </c>
      <c r="BH13" s="83">
        <v>3</v>
      </c>
      <c r="BI13" s="84">
        <f t="shared" si="20"/>
        <v>3.1699999999999998E-5</v>
      </c>
      <c r="BJ13" s="207">
        <f t="shared" si="21"/>
        <v>0</v>
      </c>
      <c r="BL13" s="123"/>
      <c r="BM13" s="123"/>
      <c r="BN13" s="15">
        <v>120170729227</v>
      </c>
      <c r="BO13" s="173" t="s">
        <v>194</v>
      </c>
      <c r="BP13" s="174" t="str">
        <f t="shared" si="24"/>
        <v>7</v>
      </c>
      <c r="BQ13" s="174" t="str">
        <f t="shared" si="25"/>
        <v>2</v>
      </c>
      <c r="BR13" s="174" t="str">
        <f t="shared" si="26"/>
        <v>2</v>
      </c>
      <c r="BS13" s="174" t="str">
        <f t="shared" si="27"/>
        <v>9</v>
      </c>
      <c r="BT13" s="174" t="str">
        <f t="shared" si="28"/>
        <v>2</v>
      </c>
      <c r="BU13" s="174" t="str">
        <f t="shared" si="29"/>
        <v>7</v>
      </c>
      <c r="BV13" s="174" t="str">
        <f t="shared" si="30"/>
        <v>0</v>
      </c>
      <c r="BW13" s="174" t="str">
        <f t="shared" si="31"/>
        <v>7</v>
      </c>
      <c r="BX13" s="174" t="str">
        <f t="shared" si="32"/>
        <v>1</v>
      </c>
      <c r="BY13" s="174" t="str">
        <f t="shared" si="33"/>
        <v>0</v>
      </c>
      <c r="BZ13" s="174" t="str">
        <f t="shared" si="34"/>
        <v>2</v>
      </c>
      <c r="CA13" s="174" t="str">
        <f t="shared" si="35"/>
        <v>1</v>
      </c>
      <c r="CB13" s="161"/>
      <c r="CC13" s="161" t="s">
        <v>190</v>
      </c>
      <c r="CD13" s="161" t="s">
        <v>147</v>
      </c>
      <c r="CE13" s="161" t="s">
        <v>150</v>
      </c>
      <c r="CF13" s="161" t="s">
        <v>220</v>
      </c>
    </row>
    <row r="14" spans="1:94" ht="12" customHeight="1" thickBot="1" x14ac:dyDescent="0.3">
      <c r="A14" s="203">
        <v>4</v>
      </c>
      <c r="B14" s="381" t="s">
        <v>174</v>
      </c>
      <c r="C14" s="193">
        <v>42787</v>
      </c>
      <c r="D14" s="143" t="s">
        <v>197</v>
      </c>
      <c r="E14" s="308" t="s">
        <v>92</v>
      </c>
      <c r="F14" s="213">
        <v>31</v>
      </c>
      <c r="G14" s="214">
        <v>64</v>
      </c>
      <c r="H14" s="214">
        <v>33</v>
      </c>
      <c r="I14" s="326">
        <v>11</v>
      </c>
      <c r="J14" s="214">
        <v>49</v>
      </c>
      <c r="K14" s="214">
        <v>36</v>
      </c>
      <c r="L14" s="295">
        <f t="shared" ref="L14:L77" si="36">SUM(F14:K14)</f>
        <v>224</v>
      </c>
      <c r="M14" s="296" t="s">
        <v>169</v>
      </c>
      <c r="N14" s="297" t="s">
        <v>169</v>
      </c>
      <c r="O14" s="340"/>
      <c r="P14" s="311" t="s">
        <v>66</v>
      </c>
      <c r="Q14" s="325"/>
      <c r="R14" s="326"/>
      <c r="S14" s="326"/>
      <c r="T14" s="326"/>
      <c r="U14" s="326"/>
      <c r="V14" s="92"/>
      <c r="W14" s="295">
        <f t="shared" ref="W14:W77" si="37">SUM(Q14:V14)</f>
        <v>0</v>
      </c>
      <c r="X14" s="379"/>
      <c r="Y14" s="380"/>
      <c r="Z14" s="346"/>
      <c r="AA14" s="314" t="s">
        <v>148</v>
      </c>
      <c r="AB14" s="13"/>
      <c r="AC14" s="222"/>
      <c r="AD14" s="222"/>
      <c r="AE14" s="222"/>
      <c r="AF14" s="222"/>
      <c r="AG14" s="5"/>
      <c r="AH14" s="20">
        <f t="shared" ref="AH14:AH77" si="38">SUM(AB14:AG14)</f>
        <v>0</v>
      </c>
      <c r="AI14" s="13"/>
      <c r="AJ14" s="5"/>
      <c r="AK14" s="343"/>
      <c r="AL14" s="100"/>
      <c r="AM14" s="98"/>
      <c r="AN14" s="226"/>
      <c r="AO14" s="225"/>
      <c r="AP14" s="89"/>
      <c r="AQ14" s="225"/>
      <c r="AR14" s="89"/>
      <c r="AS14" s="225"/>
      <c r="AT14" s="89"/>
      <c r="AU14" s="15">
        <f t="shared" si="13"/>
        <v>224.0000014</v>
      </c>
      <c r="AV14" s="15" t="str">
        <f>B14</f>
        <v>دانية حسن مفتاح المقوب</v>
      </c>
      <c r="AW14" s="15"/>
      <c r="AX14" s="210">
        <v>4</v>
      </c>
      <c r="AY14" s="84">
        <f t="shared" si="14"/>
        <v>250.00000259999999</v>
      </c>
      <c r="AZ14" s="207" t="str">
        <f t="shared" si="15"/>
        <v>ريم احمد ابوبكر النفاتى</v>
      </c>
      <c r="BA14" s="233">
        <f t="shared" si="16"/>
        <v>1.3999999999999999E-6</v>
      </c>
      <c r="BB14" s="15" t="str">
        <f t="shared" si="22"/>
        <v>دانية حسن مفتاح المقوب</v>
      </c>
      <c r="BC14" s="210">
        <v>4</v>
      </c>
      <c r="BD14" s="84">
        <f t="shared" si="17"/>
        <v>3.1599999999999996E-5</v>
      </c>
      <c r="BE14" s="207">
        <f t="shared" si="18"/>
        <v>0</v>
      </c>
      <c r="BF14" s="233">
        <f t="shared" si="19"/>
        <v>1.3999999999999999E-6</v>
      </c>
      <c r="BG14" s="15" t="str">
        <f t="shared" si="23"/>
        <v>دانية حسن مفتاح المقوب</v>
      </c>
      <c r="BH14" s="210">
        <v>4</v>
      </c>
      <c r="BI14" s="84">
        <f t="shared" si="20"/>
        <v>3.1599999999999996E-5</v>
      </c>
      <c r="BJ14" s="207">
        <f t="shared" si="21"/>
        <v>0</v>
      </c>
      <c r="BL14" s="123"/>
      <c r="BM14" s="123"/>
      <c r="BN14" s="15">
        <v>220170664398</v>
      </c>
      <c r="BO14" s="173" t="s">
        <v>198</v>
      </c>
      <c r="BP14" s="174" t="str">
        <f t="shared" si="24"/>
        <v>8</v>
      </c>
      <c r="BQ14" s="174" t="str">
        <f t="shared" si="25"/>
        <v>9</v>
      </c>
      <c r="BR14" s="174" t="str">
        <f t="shared" si="26"/>
        <v>3</v>
      </c>
      <c r="BS14" s="174" t="str">
        <f t="shared" si="27"/>
        <v>4</v>
      </c>
      <c r="BT14" s="174" t="str">
        <f t="shared" si="28"/>
        <v>6</v>
      </c>
      <c r="BU14" s="174" t="str">
        <f t="shared" si="29"/>
        <v>6</v>
      </c>
      <c r="BV14" s="174" t="str">
        <f t="shared" si="30"/>
        <v>0</v>
      </c>
      <c r="BW14" s="174" t="str">
        <f t="shared" si="31"/>
        <v>7</v>
      </c>
      <c r="BX14" s="174" t="str">
        <f t="shared" si="32"/>
        <v>1</v>
      </c>
      <c r="BY14" s="174" t="str">
        <f t="shared" si="33"/>
        <v>0</v>
      </c>
      <c r="BZ14" s="174" t="str">
        <f t="shared" si="34"/>
        <v>2</v>
      </c>
      <c r="CA14" s="174" t="str">
        <f t="shared" si="35"/>
        <v>2</v>
      </c>
      <c r="CB14" s="161" t="s">
        <v>154</v>
      </c>
      <c r="CC14" s="161" t="s">
        <v>193</v>
      </c>
      <c r="CD14" s="161" t="s">
        <v>147</v>
      </c>
      <c r="CE14" s="161" t="s">
        <v>150</v>
      </c>
      <c r="CF14" s="161" t="s">
        <v>220</v>
      </c>
    </row>
    <row r="15" spans="1:94" ht="14.25" customHeight="1" thickBot="1" x14ac:dyDescent="0.3">
      <c r="A15" s="204">
        <v>5</v>
      </c>
      <c r="B15" s="382" t="s">
        <v>183</v>
      </c>
      <c r="C15" s="193">
        <v>42772</v>
      </c>
      <c r="D15" s="143" t="s">
        <v>185</v>
      </c>
      <c r="E15" s="309" t="s">
        <v>92</v>
      </c>
      <c r="F15" s="305">
        <v>35</v>
      </c>
      <c r="G15" s="306">
        <v>64</v>
      </c>
      <c r="H15" s="306">
        <v>31</v>
      </c>
      <c r="I15" s="326">
        <v>10</v>
      </c>
      <c r="J15" s="306">
        <v>41</v>
      </c>
      <c r="K15" s="306">
        <v>30</v>
      </c>
      <c r="L15" s="223">
        <f t="shared" si="36"/>
        <v>211</v>
      </c>
      <c r="M15" s="296" t="s">
        <v>169</v>
      </c>
      <c r="N15" s="297" t="s">
        <v>169</v>
      </c>
      <c r="O15" s="341"/>
      <c r="P15" s="312" t="s">
        <v>66</v>
      </c>
      <c r="Q15" s="305"/>
      <c r="R15" s="306"/>
      <c r="S15" s="306"/>
      <c r="T15" s="306"/>
      <c r="U15" s="306"/>
      <c r="V15" s="122"/>
      <c r="W15" s="223">
        <f t="shared" si="37"/>
        <v>0</v>
      </c>
      <c r="X15" s="379"/>
      <c r="Y15" s="380"/>
      <c r="Z15" s="341"/>
      <c r="AA15" s="312" t="s">
        <v>86</v>
      </c>
      <c r="AB15" s="77"/>
      <c r="AC15" s="319"/>
      <c r="AD15" s="319"/>
      <c r="AE15" s="319"/>
      <c r="AF15" s="319"/>
      <c r="AG15" s="320"/>
      <c r="AH15" s="20">
        <f t="shared" si="38"/>
        <v>0</v>
      </c>
      <c r="AI15" s="77"/>
      <c r="AJ15" s="320"/>
      <c r="AK15" s="344"/>
      <c r="AL15" s="101"/>
      <c r="AM15" s="209"/>
      <c r="AN15" s="208"/>
      <c r="AO15" s="220"/>
      <c r="AP15" s="212"/>
      <c r="AQ15" s="220"/>
      <c r="AR15" s="212"/>
      <c r="AS15" s="220"/>
      <c r="AT15" s="212"/>
      <c r="AU15" s="15">
        <f t="shared" si="13"/>
        <v>211.0000015</v>
      </c>
      <c r="AV15" s="15" t="e">
        <f>#REF!</f>
        <v>#REF!</v>
      </c>
      <c r="AW15" s="15"/>
      <c r="AX15" s="210">
        <v>5</v>
      </c>
      <c r="AY15" s="84">
        <f t="shared" si="14"/>
        <v>250.00000130000001</v>
      </c>
      <c r="AZ15" s="207" t="str">
        <f t="shared" si="15"/>
        <v>الحارث مبروك محمد الزوي</v>
      </c>
      <c r="BA15" s="233">
        <f t="shared" si="16"/>
        <v>1.5E-6</v>
      </c>
      <c r="BB15" s="15" t="e">
        <f t="shared" si="22"/>
        <v>#REF!</v>
      </c>
      <c r="BC15" s="210">
        <v>5</v>
      </c>
      <c r="BD15" s="84">
        <f t="shared" si="17"/>
        <v>3.15E-5</v>
      </c>
      <c r="BE15" s="207">
        <f t="shared" si="18"/>
        <v>0</v>
      </c>
      <c r="BF15" s="233">
        <f t="shared" si="19"/>
        <v>1.5E-6</v>
      </c>
      <c r="BG15" s="15" t="e">
        <f t="shared" si="23"/>
        <v>#REF!</v>
      </c>
      <c r="BH15" s="210">
        <v>5</v>
      </c>
      <c r="BI15" s="84">
        <f t="shared" si="20"/>
        <v>3.15E-5</v>
      </c>
      <c r="BJ15" s="207">
        <f t="shared" si="21"/>
        <v>0</v>
      </c>
      <c r="BL15" s="123"/>
      <c r="BM15" s="123"/>
      <c r="BN15" s="15">
        <v>220170079396</v>
      </c>
      <c r="BO15" s="173" t="s">
        <v>199</v>
      </c>
      <c r="BP15" s="174" t="str">
        <f t="shared" si="24"/>
        <v>6</v>
      </c>
      <c r="BQ15" s="174" t="str">
        <f t="shared" si="25"/>
        <v>9</v>
      </c>
      <c r="BR15" s="174" t="str">
        <f t="shared" si="26"/>
        <v>3</v>
      </c>
      <c r="BS15" s="174" t="str">
        <f t="shared" si="27"/>
        <v>9</v>
      </c>
      <c r="BT15" s="174" t="str">
        <f t="shared" si="28"/>
        <v>7</v>
      </c>
      <c r="BU15" s="174" t="str">
        <f t="shared" si="29"/>
        <v>0</v>
      </c>
      <c r="BV15" s="174" t="str">
        <f t="shared" si="30"/>
        <v>0</v>
      </c>
      <c r="BW15" s="174" t="str">
        <f t="shared" si="31"/>
        <v>7</v>
      </c>
      <c r="BX15" s="174" t="str">
        <f t="shared" si="32"/>
        <v>1</v>
      </c>
      <c r="BY15" s="174" t="str">
        <f t="shared" si="33"/>
        <v>0</v>
      </c>
      <c r="BZ15" s="174" t="str">
        <f t="shared" si="34"/>
        <v>2</v>
      </c>
      <c r="CA15" s="174" t="str">
        <f t="shared" si="35"/>
        <v>2</v>
      </c>
      <c r="CB15" s="161" t="s">
        <v>192</v>
      </c>
      <c r="CC15" s="161" t="s">
        <v>193</v>
      </c>
      <c r="CD15" s="161" t="s">
        <v>147</v>
      </c>
      <c r="CE15" s="161" t="s">
        <v>150</v>
      </c>
      <c r="CF15" s="161" t="s">
        <v>220</v>
      </c>
    </row>
    <row r="16" spans="1:94" ht="14.25" customHeight="1" thickBot="1" x14ac:dyDescent="0.3">
      <c r="A16" s="205">
        <v>6</v>
      </c>
      <c r="B16" s="381" t="s">
        <v>175</v>
      </c>
      <c r="C16" s="195">
        <v>42784</v>
      </c>
      <c r="D16" s="91" t="s">
        <v>200</v>
      </c>
      <c r="E16" s="310" t="s">
        <v>92</v>
      </c>
      <c r="F16" s="93">
        <v>36</v>
      </c>
      <c r="G16" s="97">
        <v>68</v>
      </c>
      <c r="H16" s="97">
        <v>30</v>
      </c>
      <c r="I16" s="326">
        <v>12</v>
      </c>
      <c r="J16" s="97">
        <v>59</v>
      </c>
      <c r="K16" s="97">
        <v>36</v>
      </c>
      <c r="L16" s="224">
        <f t="shared" si="36"/>
        <v>241</v>
      </c>
      <c r="M16" s="296" t="s">
        <v>169</v>
      </c>
      <c r="N16" s="297" t="s">
        <v>169</v>
      </c>
      <c r="O16" s="342"/>
      <c r="P16" s="313" t="s">
        <v>66</v>
      </c>
      <c r="Q16" s="93"/>
      <c r="R16" s="97"/>
      <c r="S16" s="97"/>
      <c r="T16" s="97"/>
      <c r="U16" s="97"/>
      <c r="V16" s="94"/>
      <c r="W16" s="224">
        <f t="shared" si="37"/>
        <v>0</v>
      </c>
      <c r="X16" s="379"/>
      <c r="Y16" s="380"/>
      <c r="Z16" s="342"/>
      <c r="AA16" s="313" t="s">
        <v>86</v>
      </c>
      <c r="AB16" s="78"/>
      <c r="AC16" s="321"/>
      <c r="AD16" s="321"/>
      <c r="AE16" s="321"/>
      <c r="AF16" s="321"/>
      <c r="AG16" s="322"/>
      <c r="AH16" s="88">
        <f t="shared" si="38"/>
        <v>0</v>
      </c>
      <c r="AI16" s="78"/>
      <c r="AJ16" s="322"/>
      <c r="AK16" s="345"/>
      <c r="AL16" s="102"/>
      <c r="AM16" s="99"/>
      <c r="AN16" s="227"/>
      <c r="AO16" s="221"/>
      <c r="AP16" s="90"/>
      <c r="AQ16" s="221"/>
      <c r="AR16" s="90"/>
      <c r="AS16" s="221"/>
      <c r="AT16" s="90"/>
      <c r="AU16" s="15">
        <f t="shared" si="13"/>
        <v>241.00000159999999</v>
      </c>
      <c r="AV16" s="15" t="str">
        <f>B16</f>
        <v>عبد العاطى احمد محمود محمد</v>
      </c>
      <c r="AW16" s="15"/>
      <c r="AX16" s="210">
        <v>6</v>
      </c>
      <c r="AY16" s="84">
        <f t="shared" si="14"/>
        <v>249.00000109999999</v>
      </c>
      <c r="AZ16" s="207" t="str">
        <f t="shared" si="15"/>
        <v>امجد عمر عبداللطيف سلطان</v>
      </c>
      <c r="BA16" s="233">
        <f t="shared" si="16"/>
        <v>1.5999999999999999E-6</v>
      </c>
      <c r="BB16" s="15" t="str">
        <f t="shared" si="22"/>
        <v>عبد العاطى احمد محمود محمد</v>
      </c>
      <c r="BC16" s="210">
        <v>6</v>
      </c>
      <c r="BD16" s="84">
        <f t="shared" si="17"/>
        <v>3.1399999999999998E-5</v>
      </c>
      <c r="BE16" s="207">
        <f t="shared" si="18"/>
        <v>0</v>
      </c>
      <c r="BF16" s="233">
        <f t="shared" si="19"/>
        <v>1.5999999999999999E-6</v>
      </c>
      <c r="BG16" s="15" t="str">
        <f t="shared" si="23"/>
        <v>عبد العاطى احمد محمود محمد</v>
      </c>
      <c r="BH16" s="210">
        <v>6</v>
      </c>
      <c r="BI16" s="84">
        <f t="shared" si="20"/>
        <v>3.1399999999999998E-5</v>
      </c>
      <c r="BJ16" s="207">
        <f t="shared" si="21"/>
        <v>0</v>
      </c>
      <c r="BL16" s="123"/>
      <c r="BM16" s="123"/>
      <c r="BN16" s="15">
        <v>120171178433</v>
      </c>
      <c r="BO16" s="173" t="s">
        <v>201</v>
      </c>
      <c r="BP16" s="174" t="str">
        <f t="shared" si="24"/>
        <v>3</v>
      </c>
      <c r="BQ16" s="174" t="str">
        <f t="shared" si="25"/>
        <v>3</v>
      </c>
      <c r="BR16" s="174" t="str">
        <f t="shared" si="26"/>
        <v>4</v>
      </c>
      <c r="BS16" s="174" t="str">
        <f t="shared" si="27"/>
        <v>8</v>
      </c>
      <c r="BT16" s="174" t="str">
        <f t="shared" si="28"/>
        <v>7</v>
      </c>
      <c r="BU16" s="174" t="str">
        <f t="shared" si="29"/>
        <v>1</v>
      </c>
      <c r="BV16" s="174" t="str">
        <f t="shared" si="30"/>
        <v>1</v>
      </c>
      <c r="BW16" s="174" t="str">
        <f t="shared" si="31"/>
        <v>7</v>
      </c>
      <c r="BX16" s="174" t="str">
        <f t="shared" si="32"/>
        <v>1</v>
      </c>
      <c r="BY16" s="174" t="str">
        <f t="shared" si="33"/>
        <v>0</v>
      </c>
      <c r="BZ16" s="174" t="str">
        <f t="shared" si="34"/>
        <v>2</v>
      </c>
      <c r="CA16" s="174" t="str">
        <f t="shared" si="35"/>
        <v>1</v>
      </c>
      <c r="CB16" s="161" t="s">
        <v>192</v>
      </c>
      <c r="CC16" s="161" t="s">
        <v>190</v>
      </c>
      <c r="CD16" s="161" t="s">
        <v>147</v>
      </c>
      <c r="CE16" s="161" t="s">
        <v>150</v>
      </c>
      <c r="CF16" s="161" t="s">
        <v>220</v>
      </c>
    </row>
    <row r="17" spans="1:84" ht="14.25" customHeight="1" thickBot="1" x14ac:dyDescent="0.3">
      <c r="A17" s="203">
        <v>7</v>
      </c>
      <c r="B17" s="381" t="s">
        <v>176</v>
      </c>
      <c r="C17" s="193">
        <v>43022</v>
      </c>
      <c r="D17" s="143" t="s">
        <v>202</v>
      </c>
      <c r="E17" s="308" t="s">
        <v>92</v>
      </c>
      <c r="F17" s="213">
        <v>29</v>
      </c>
      <c r="G17" s="214">
        <v>64</v>
      </c>
      <c r="H17" s="214">
        <v>29</v>
      </c>
      <c r="I17" s="326">
        <v>11</v>
      </c>
      <c r="J17" s="214">
        <v>55</v>
      </c>
      <c r="K17" s="214">
        <v>36</v>
      </c>
      <c r="L17" s="295">
        <f t="shared" si="36"/>
        <v>224</v>
      </c>
      <c r="M17" s="296" t="s">
        <v>169</v>
      </c>
      <c r="N17" s="297" t="s">
        <v>169</v>
      </c>
      <c r="O17" s="340"/>
      <c r="P17" s="311" t="s">
        <v>66</v>
      </c>
      <c r="Q17" s="325"/>
      <c r="R17" s="326"/>
      <c r="S17" s="326"/>
      <c r="T17" s="326"/>
      <c r="U17" s="326"/>
      <c r="V17" s="92"/>
      <c r="W17" s="295">
        <f t="shared" si="37"/>
        <v>0</v>
      </c>
      <c r="X17" s="379"/>
      <c r="Y17" s="380"/>
      <c r="Z17" s="346"/>
      <c r="AA17" s="314" t="s">
        <v>148</v>
      </c>
      <c r="AB17" s="13"/>
      <c r="AC17" s="222"/>
      <c r="AD17" s="222"/>
      <c r="AE17" s="222"/>
      <c r="AF17" s="222"/>
      <c r="AG17" s="5"/>
      <c r="AH17" s="20">
        <f t="shared" si="38"/>
        <v>0</v>
      </c>
      <c r="AI17" s="13"/>
      <c r="AJ17" s="5"/>
      <c r="AK17" s="343"/>
      <c r="AL17" s="100"/>
      <c r="AM17" s="98"/>
      <c r="AN17" s="226"/>
      <c r="AO17" s="225"/>
      <c r="AP17" s="89"/>
      <c r="AQ17" s="225"/>
      <c r="AR17" s="89"/>
      <c r="AS17" s="225"/>
      <c r="AT17" s="89"/>
      <c r="AU17" s="15">
        <f t="shared" si="13"/>
        <v>224.00000170000001</v>
      </c>
      <c r="AV17" s="15" t="str">
        <f>B17</f>
        <v>عبدالقدوس عزالدين سالم ادريدر</v>
      </c>
      <c r="AW17" s="15"/>
      <c r="AX17" s="210">
        <v>7</v>
      </c>
      <c r="AY17" s="84">
        <f t="shared" si="14"/>
        <v>244.0000024</v>
      </c>
      <c r="AZ17" s="207" t="str">
        <f t="shared" si="15"/>
        <v>ايلياء محمد عوض الحداد</v>
      </c>
      <c r="BA17" s="233">
        <f t="shared" si="16"/>
        <v>1.6999999999999998E-6</v>
      </c>
      <c r="BB17" s="15" t="str">
        <f t="shared" si="22"/>
        <v>عبدالقدوس عزالدين سالم ادريدر</v>
      </c>
      <c r="BC17" s="210">
        <v>7</v>
      </c>
      <c r="BD17" s="84">
        <f t="shared" si="17"/>
        <v>3.1300000000000002E-5</v>
      </c>
      <c r="BE17" s="207">
        <f t="shared" si="18"/>
        <v>0</v>
      </c>
      <c r="BF17" s="233">
        <f t="shared" si="19"/>
        <v>1.6999999999999998E-6</v>
      </c>
      <c r="BG17" s="15" t="str">
        <f t="shared" si="23"/>
        <v>عبدالقدوس عزالدين سالم ادريدر</v>
      </c>
      <c r="BH17" s="210">
        <v>7</v>
      </c>
      <c r="BI17" s="84">
        <f t="shared" si="20"/>
        <v>3.1300000000000002E-5</v>
      </c>
      <c r="BJ17" s="207">
        <f t="shared" si="21"/>
        <v>0</v>
      </c>
      <c r="BL17" s="123"/>
      <c r="BM17" s="123"/>
      <c r="BN17" s="15">
        <v>120170679056</v>
      </c>
      <c r="BO17" s="173" t="s">
        <v>203</v>
      </c>
      <c r="BP17" s="174" t="str">
        <f t="shared" si="24"/>
        <v>6</v>
      </c>
      <c r="BQ17" s="174" t="str">
        <f t="shared" si="25"/>
        <v>5</v>
      </c>
      <c r="BR17" s="174" t="str">
        <f t="shared" si="26"/>
        <v>0</v>
      </c>
      <c r="BS17" s="174" t="str">
        <f t="shared" si="27"/>
        <v>9</v>
      </c>
      <c r="BT17" s="174" t="str">
        <f t="shared" si="28"/>
        <v>7</v>
      </c>
      <c r="BU17" s="174" t="str">
        <f t="shared" si="29"/>
        <v>6</v>
      </c>
      <c r="BV17" s="174" t="str">
        <f t="shared" si="30"/>
        <v>0</v>
      </c>
      <c r="BW17" s="174" t="str">
        <f t="shared" si="31"/>
        <v>7</v>
      </c>
      <c r="BX17" s="174" t="str">
        <f t="shared" si="32"/>
        <v>1</v>
      </c>
      <c r="BY17" s="174" t="str">
        <f t="shared" si="33"/>
        <v>0</v>
      </c>
      <c r="BZ17" s="174" t="str">
        <f t="shared" si="34"/>
        <v>2</v>
      </c>
      <c r="CA17" s="174" t="str">
        <f t="shared" si="35"/>
        <v>1</v>
      </c>
      <c r="CB17" s="161" t="s">
        <v>154</v>
      </c>
      <c r="CC17" s="161" t="s">
        <v>190</v>
      </c>
      <c r="CD17" s="161" t="s">
        <v>147</v>
      </c>
      <c r="CE17" s="161" t="s">
        <v>150</v>
      </c>
      <c r="CF17" s="161" t="s">
        <v>220</v>
      </c>
    </row>
    <row r="18" spans="1:84" ht="14.25" customHeight="1" thickBot="1" x14ac:dyDescent="0.3">
      <c r="A18" s="204">
        <v>8</v>
      </c>
      <c r="B18" s="381" t="s">
        <v>184</v>
      </c>
      <c r="C18" s="195">
        <v>42772</v>
      </c>
      <c r="D18" s="91" t="s">
        <v>185</v>
      </c>
      <c r="E18" s="309" t="s">
        <v>92</v>
      </c>
      <c r="F18" s="305">
        <v>28</v>
      </c>
      <c r="G18" s="306">
        <v>64</v>
      </c>
      <c r="H18" s="306">
        <v>25</v>
      </c>
      <c r="I18" s="326">
        <v>10</v>
      </c>
      <c r="J18" s="306">
        <v>46</v>
      </c>
      <c r="K18" s="306">
        <v>27</v>
      </c>
      <c r="L18" s="223">
        <f t="shared" si="36"/>
        <v>200</v>
      </c>
      <c r="M18" s="296" t="s">
        <v>169</v>
      </c>
      <c r="N18" s="297" t="s">
        <v>169</v>
      </c>
      <c r="O18" s="341"/>
      <c r="P18" s="312" t="s">
        <v>66</v>
      </c>
      <c r="Q18" s="305"/>
      <c r="R18" s="306"/>
      <c r="S18" s="306"/>
      <c r="T18" s="306"/>
      <c r="U18" s="306"/>
      <c r="V18" s="122"/>
      <c r="W18" s="223">
        <f t="shared" si="37"/>
        <v>0</v>
      </c>
      <c r="X18" s="379"/>
      <c r="Y18" s="380"/>
      <c r="Z18" s="341"/>
      <c r="AA18" s="312" t="s">
        <v>86</v>
      </c>
      <c r="AB18" s="77"/>
      <c r="AC18" s="319"/>
      <c r="AD18" s="319"/>
      <c r="AE18" s="319"/>
      <c r="AF18" s="319"/>
      <c r="AG18" s="320"/>
      <c r="AH18" s="20">
        <f t="shared" si="38"/>
        <v>0</v>
      </c>
      <c r="AI18" s="77"/>
      <c r="AJ18" s="320"/>
      <c r="AK18" s="344"/>
      <c r="AL18" s="101"/>
      <c r="AM18" s="209"/>
      <c r="AN18" s="208"/>
      <c r="AO18" s="220"/>
      <c r="AP18" s="212"/>
      <c r="AQ18" s="220"/>
      <c r="AR18" s="212"/>
      <c r="AS18" s="220"/>
      <c r="AT18" s="212"/>
      <c r="AU18" s="15">
        <f t="shared" si="13"/>
        <v>200.00000180000001</v>
      </c>
      <c r="AV18" s="15" t="e">
        <f>#REF!</f>
        <v>#REF!</v>
      </c>
      <c r="AW18" s="15"/>
      <c r="AX18" s="210">
        <v>8</v>
      </c>
      <c r="AY18" s="84">
        <f t="shared" si="14"/>
        <v>244.00000120000001</v>
      </c>
      <c r="AZ18" s="207" t="str">
        <f t="shared" si="15"/>
        <v>انصير احمد انصير خليل</v>
      </c>
      <c r="BA18" s="233">
        <f t="shared" si="16"/>
        <v>1.7999999999999999E-6</v>
      </c>
      <c r="BB18" s="15" t="e">
        <f t="shared" si="22"/>
        <v>#REF!</v>
      </c>
      <c r="BC18" s="210">
        <v>8</v>
      </c>
      <c r="BD18" s="84">
        <f t="shared" si="17"/>
        <v>3.1199999999999999E-5</v>
      </c>
      <c r="BE18" s="207">
        <f t="shared" si="18"/>
        <v>0</v>
      </c>
      <c r="BF18" s="233">
        <f t="shared" si="19"/>
        <v>1.7999999999999999E-6</v>
      </c>
      <c r="BG18" s="15" t="e">
        <f t="shared" si="23"/>
        <v>#REF!</v>
      </c>
      <c r="BH18" s="210">
        <v>8</v>
      </c>
      <c r="BI18" s="84">
        <f t="shared" si="20"/>
        <v>3.1199999999999999E-5</v>
      </c>
      <c r="BJ18" s="207">
        <f t="shared" si="21"/>
        <v>0</v>
      </c>
      <c r="BL18" s="123"/>
      <c r="BM18" s="123"/>
      <c r="BN18" s="15">
        <v>120170085408</v>
      </c>
      <c r="BO18" s="173" t="s">
        <v>199</v>
      </c>
      <c r="BP18" s="174" t="str">
        <f t="shared" si="24"/>
        <v>8</v>
      </c>
      <c r="BQ18" s="174" t="str">
        <f t="shared" si="25"/>
        <v>0</v>
      </c>
      <c r="BR18" s="174" t="str">
        <f t="shared" si="26"/>
        <v>4</v>
      </c>
      <c r="BS18" s="174" t="str">
        <f t="shared" si="27"/>
        <v>5</v>
      </c>
      <c r="BT18" s="174" t="str">
        <f t="shared" si="28"/>
        <v>8</v>
      </c>
      <c r="BU18" s="174" t="str">
        <f t="shared" si="29"/>
        <v>0</v>
      </c>
      <c r="BV18" s="174" t="str">
        <f t="shared" si="30"/>
        <v>0</v>
      </c>
      <c r="BW18" s="174" t="str">
        <f t="shared" si="31"/>
        <v>7</v>
      </c>
      <c r="BX18" s="174" t="str">
        <f t="shared" si="32"/>
        <v>1</v>
      </c>
      <c r="BY18" s="174" t="str">
        <f t="shared" si="33"/>
        <v>0</v>
      </c>
      <c r="BZ18" s="174" t="str">
        <f t="shared" si="34"/>
        <v>2</v>
      </c>
      <c r="CA18" s="174" t="str">
        <f t="shared" si="35"/>
        <v>1</v>
      </c>
      <c r="CB18" s="161" t="s">
        <v>192</v>
      </c>
      <c r="CC18" s="161" t="s">
        <v>190</v>
      </c>
      <c r="CD18" s="161" t="s">
        <v>147</v>
      </c>
      <c r="CE18" s="161" t="s">
        <v>150</v>
      </c>
      <c r="CF18" s="161" t="s">
        <v>220</v>
      </c>
    </row>
    <row r="19" spans="1:84" ht="14.25" customHeight="1" thickBot="1" x14ac:dyDescent="0.3">
      <c r="A19" s="205">
        <v>9</v>
      </c>
      <c r="B19" s="381" t="s">
        <v>177</v>
      </c>
      <c r="C19" s="195">
        <v>43084</v>
      </c>
      <c r="D19" s="91" t="s">
        <v>205</v>
      </c>
      <c r="E19" s="310" t="s">
        <v>92</v>
      </c>
      <c r="F19" s="93">
        <v>36</v>
      </c>
      <c r="G19" s="97">
        <v>71</v>
      </c>
      <c r="H19" s="97">
        <v>33</v>
      </c>
      <c r="I19" s="326">
        <v>12</v>
      </c>
      <c r="J19" s="97">
        <v>55</v>
      </c>
      <c r="K19" s="97">
        <v>35</v>
      </c>
      <c r="L19" s="224">
        <f t="shared" si="36"/>
        <v>242</v>
      </c>
      <c r="M19" s="296" t="s">
        <v>169</v>
      </c>
      <c r="N19" s="297" t="s">
        <v>169</v>
      </c>
      <c r="O19" s="342"/>
      <c r="P19" s="313" t="s">
        <v>66</v>
      </c>
      <c r="Q19" s="93"/>
      <c r="R19" s="97"/>
      <c r="S19" s="97"/>
      <c r="T19" s="97"/>
      <c r="U19" s="97"/>
      <c r="V19" s="94"/>
      <c r="W19" s="224">
        <f t="shared" si="37"/>
        <v>0</v>
      </c>
      <c r="X19" s="379"/>
      <c r="Y19" s="380"/>
      <c r="Z19" s="342"/>
      <c r="AA19" s="313" t="s">
        <v>86</v>
      </c>
      <c r="AB19" s="78"/>
      <c r="AC19" s="321"/>
      <c r="AD19" s="321"/>
      <c r="AE19" s="321"/>
      <c r="AF19" s="321"/>
      <c r="AG19" s="322"/>
      <c r="AH19" s="88">
        <f t="shared" si="38"/>
        <v>0</v>
      </c>
      <c r="AI19" s="78"/>
      <c r="AJ19" s="322"/>
      <c r="AK19" s="345"/>
      <c r="AL19" s="102"/>
      <c r="AM19" s="99"/>
      <c r="AN19" s="227"/>
      <c r="AO19" s="221"/>
      <c r="AP19" s="90"/>
      <c r="AQ19" s="221"/>
      <c r="AR19" s="90"/>
      <c r="AS19" s="221"/>
      <c r="AT19" s="90"/>
      <c r="AU19" s="15">
        <f t="shared" si="13"/>
        <v>242.0000019</v>
      </c>
      <c r="AV19" s="15" t="str">
        <f t="shared" ref="AV19:AV50" si="39">B19</f>
        <v>فاطمة سالم سالم الورفلى</v>
      </c>
      <c r="AW19" s="15"/>
      <c r="AX19" s="210">
        <v>9</v>
      </c>
      <c r="AY19" s="84">
        <f t="shared" si="14"/>
        <v>242.0000019</v>
      </c>
      <c r="AZ19" s="207" t="str">
        <f t="shared" si="15"/>
        <v>فاطمة سالم سالم الورفلى</v>
      </c>
      <c r="BA19" s="233">
        <f t="shared" si="16"/>
        <v>1.9E-6</v>
      </c>
      <c r="BB19" s="15" t="str">
        <f t="shared" si="22"/>
        <v>فاطمة سالم سالم الورفلى</v>
      </c>
      <c r="BC19" s="210">
        <v>9</v>
      </c>
      <c r="BD19" s="84">
        <f t="shared" si="17"/>
        <v>3.1099999999999997E-5</v>
      </c>
      <c r="BE19" s="207">
        <f t="shared" si="18"/>
        <v>0</v>
      </c>
      <c r="BF19" s="233">
        <f t="shared" si="19"/>
        <v>1.9E-6</v>
      </c>
      <c r="BG19" s="15" t="str">
        <f t="shared" si="23"/>
        <v>فاطمة سالم سالم الورفلى</v>
      </c>
      <c r="BH19" s="210">
        <v>9</v>
      </c>
      <c r="BI19" s="84">
        <f t="shared" si="20"/>
        <v>3.1099999999999997E-5</v>
      </c>
      <c r="BJ19" s="207">
        <f t="shared" si="21"/>
        <v>0</v>
      </c>
      <c r="BL19" s="123"/>
      <c r="BM19" s="123"/>
      <c r="BN19" s="15">
        <v>220170951696</v>
      </c>
      <c r="BO19" s="173" t="s">
        <v>204</v>
      </c>
      <c r="BP19" s="174" t="str">
        <f t="shared" si="24"/>
        <v>6</v>
      </c>
      <c r="BQ19" s="174" t="str">
        <f t="shared" si="25"/>
        <v>9</v>
      </c>
      <c r="BR19" s="174" t="str">
        <f t="shared" si="26"/>
        <v>6</v>
      </c>
      <c r="BS19" s="174" t="str">
        <f t="shared" si="27"/>
        <v>1</v>
      </c>
      <c r="BT19" s="174" t="str">
        <f t="shared" si="28"/>
        <v>5</v>
      </c>
      <c r="BU19" s="174" t="str">
        <f t="shared" si="29"/>
        <v>9</v>
      </c>
      <c r="BV19" s="174" t="str">
        <f t="shared" si="30"/>
        <v>0</v>
      </c>
      <c r="BW19" s="174" t="str">
        <f t="shared" si="31"/>
        <v>7</v>
      </c>
      <c r="BX19" s="174" t="str">
        <f t="shared" si="32"/>
        <v>1</v>
      </c>
      <c r="BY19" s="174" t="str">
        <f t="shared" si="33"/>
        <v>0</v>
      </c>
      <c r="BZ19" s="174" t="str">
        <f t="shared" si="34"/>
        <v>2</v>
      </c>
      <c r="CA19" s="174" t="str">
        <f t="shared" si="35"/>
        <v>2</v>
      </c>
      <c r="CB19" s="161" t="s">
        <v>192</v>
      </c>
      <c r="CC19" s="161" t="s">
        <v>193</v>
      </c>
      <c r="CD19" s="161" t="s">
        <v>147</v>
      </c>
      <c r="CE19" s="161" t="s">
        <v>150</v>
      </c>
      <c r="CF19" s="161" t="s">
        <v>220</v>
      </c>
    </row>
    <row r="20" spans="1:84" ht="14.25" customHeight="1" thickBot="1" x14ac:dyDescent="0.3">
      <c r="A20" s="203">
        <v>10</v>
      </c>
      <c r="B20" s="381" t="s">
        <v>178</v>
      </c>
      <c r="C20" s="193">
        <v>43094</v>
      </c>
      <c r="D20" s="143" t="s">
        <v>206</v>
      </c>
      <c r="E20" s="308" t="s">
        <v>92</v>
      </c>
      <c r="F20" s="213">
        <v>36</v>
      </c>
      <c r="G20" s="214">
        <v>71</v>
      </c>
      <c r="H20" s="214">
        <v>36</v>
      </c>
      <c r="I20" s="326">
        <v>12</v>
      </c>
      <c r="J20" s="214">
        <v>60</v>
      </c>
      <c r="K20" s="214">
        <v>36</v>
      </c>
      <c r="L20" s="295">
        <f t="shared" si="36"/>
        <v>251</v>
      </c>
      <c r="M20" s="296" t="s">
        <v>169</v>
      </c>
      <c r="N20" s="297" t="s">
        <v>169</v>
      </c>
      <c r="O20" s="340"/>
      <c r="P20" s="311" t="s">
        <v>66</v>
      </c>
      <c r="Q20" s="325"/>
      <c r="R20" s="326"/>
      <c r="S20" s="326"/>
      <c r="T20" s="326"/>
      <c r="U20" s="326"/>
      <c r="V20" s="92"/>
      <c r="W20" s="295">
        <f t="shared" si="37"/>
        <v>0</v>
      </c>
      <c r="X20" s="379"/>
      <c r="Y20" s="380"/>
      <c r="Z20" s="346"/>
      <c r="AA20" s="314" t="s">
        <v>148</v>
      </c>
      <c r="AB20" s="13"/>
      <c r="AC20" s="222"/>
      <c r="AD20" s="222"/>
      <c r="AE20" s="222"/>
      <c r="AF20" s="222"/>
      <c r="AG20" s="5"/>
      <c r="AH20" s="20">
        <f t="shared" si="38"/>
        <v>0</v>
      </c>
      <c r="AI20" s="13"/>
      <c r="AJ20" s="5"/>
      <c r="AK20" s="343"/>
      <c r="AL20" s="100"/>
      <c r="AM20" s="98"/>
      <c r="AN20" s="226"/>
      <c r="AO20" s="225"/>
      <c r="AP20" s="89"/>
      <c r="AQ20" s="225"/>
      <c r="AR20" s="89"/>
      <c r="AS20" s="225"/>
      <c r="AT20" s="89"/>
      <c r="AU20" s="15">
        <f t="shared" si="13"/>
        <v>251.00000199999999</v>
      </c>
      <c r="AV20" s="15" t="str">
        <f t="shared" si="39"/>
        <v>كنان سالم عبد الكريم النفاتى</v>
      </c>
      <c r="AW20" s="15"/>
      <c r="AX20" s="210">
        <v>10</v>
      </c>
      <c r="AY20" s="84">
        <f t="shared" si="14"/>
        <v>241.00000159999999</v>
      </c>
      <c r="AZ20" s="207" t="str">
        <f t="shared" si="15"/>
        <v>عبد العاطى احمد محمود محمد</v>
      </c>
      <c r="BA20" s="233">
        <f t="shared" si="16"/>
        <v>1.9999999999999999E-6</v>
      </c>
      <c r="BB20" s="15" t="str">
        <f t="shared" si="22"/>
        <v>كنان سالم عبد الكريم النفاتى</v>
      </c>
      <c r="BC20" s="210">
        <v>10</v>
      </c>
      <c r="BD20" s="84">
        <f t="shared" si="17"/>
        <v>3.1000000000000001E-5</v>
      </c>
      <c r="BE20" s="207">
        <f t="shared" si="18"/>
        <v>0</v>
      </c>
      <c r="BF20" s="233">
        <f t="shared" si="19"/>
        <v>1.9999999999999999E-6</v>
      </c>
      <c r="BG20" s="15" t="str">
        <f t="shared" si="23"/>
        <v>كنان سالم عبد الكريم النفاتى</v>
      </c>
      <c r="BH20" s="210">
        <v>10</v>
      </c>
      <c r="BI20" s="84">
        <f t="shared" si="20"/>
        <v>3.1000000000000001E-5</v>
      </c>
      <c r="BJ20" s="207">
        <f t="shared" si="21"/>
        <v>0</v>
      </c>
      <c r="BL20" s="123"/>
      <c r="BM20" s="123"/>
      <c r="BN20" s="15">
        <v>120171103057</v>
      </c>
      <c r="BO20" s="173" t="s">
        <v>207</v>
      </c>
      <c r="BP20" s="174" t="str">
        <f t="shared" si="24"/>
        <v>7</v>
      </c>
      <c r="BQ20" s="174" t="str">
        <f t="shared" si="25"/>
        <v>5</v>
      </c>
      <c r="BR20" s="174" t="str">
        <f t="shared" si="26"/>
        <v>0</v>
      </c>
      <c r="BS20" s="174" t="str">
        <f t="shared" si="27"/>
        <v>3</v>
      </c>
      <c r="BT20" s="174" t="str">
        <f t="shared" si="28"/>
        <v>0</v>
      </c>
      <c r="BU20" s="174" t="str">
        <f t="shared" si="29"/>
        <v>1</v>
      </c>
      <c r="BV20" s="174" t="str">
        <f t="shared" si="30"/>
        <v>1</v>
      </c>
      <c r="BW20" s="174" t="str">
        <f t="shared" si="31"/>
        <v>7</v>
      </c>
      <c r="BX20" s="174" t="str">
        <f t="shared" si="32"/>
        <v>1</v>
      </c>
      <c r="BY20" s="174" t="str">
        <f t="shared" si="33"/>
        <v>0</v>
      </c>
      <c r="BZ20" s="174" t="str">
        <f t="shared" si="34"/>
        <v>2</v>
      </c>
      <c r="CA20" s="174" t="str">
        <f t="shared" si="35"/>
        <v>1</v>
      </c>
      <c r="CB20" s="161" t="s">
        <v>208</v>
      </c>
      <c r="CC20" s="161" t="s">
        <v>190</v>
      </c>
      <c r="CD20" s="161" t="s">
        <v>147</v>
      </c>
      <c r="CE20" s="161" t="s">
        <v>150</v>
      </c>
      <c r="CF20" s="161" t="s">
        <v>220</v>
      </c>
    </row>
    <row r="21" spans="1:84" ht="14.25" customHeight="1" thickBot="1" x14ac:dyDescent="0.3">
      <c r="A21" s="204">
        <v>11</v>
      </c>
      <c r="B21" s="381" t="s">
        <v>179</v>
      </c>
      <c r="C21" s="194">
        <v>42780</v>
      </c>
      <c r="D21" s="142" t="s">
        <v>209</v>
      </c>
      <c r="E21" s="309" t="s">
        <v>92</v>
      </c>
      <c r="F21" s="305">
        <v>36</v>
      </c>
      <c r="G21" s="306">
        <v>71</v>
      </c>
      <c r="H21" s="306">
        <v>36</v>
      </c>
      <c r="I21" s="326">
        <v>12</v>
      </c>
      <c r="J21" s="306">
        <v>60</v>
      </c>
      <c r="K21" s="306">
        <v>36</v>
      </c>
      <c r="L21" s="223">
        <f t="shared" si="36"/>
        <v>251</v>
      </c>
      <c r="M21" s="296" t="s">
        <v>169</v>
      </c>
      <c r="N21" s="297" t="s">
        <v>169</v>
      </c>
      <c r="O21" s="341"/>
      <c r="P21" s="312" t="s">
        <v>66</v>
      </c>
      <c r="Q21" s="305"/>
      <c r="R21" s="306"/>
      <c r="S21" s="306"/>
      <c r="T21" s="306"/>
      <c r="U21" s="306"/>
      <c r="V21" s="122"/>
      <c r="W21" s="223">
        <f t="shared" si="37"/>
        <v>0</v>
      </c>
      <c r="X21" s="379"/>
      <c r="Y21" s="380"/>
      <c r="Z21" s="341"/>
      <c r="AA21" s="312" t="s">
        <v>86</v>
      </c>
      <c r="AB21" s="77"/>
      <c r="AC21" s="319"/>
      <c r="AD21" s="319"/>
      <c r="AE21" s="319"/>
      <c r="AF21" s="319"/>
      <c r="AG21" s="320"/>
      <c r="AH21" s="20">
        <f t="shared" si="38"/>
        <v>0</v>
      </c>
      <c r="AI21" s="77"/>
      <c r="AJ21" s="320"/>
      <c r="AK21" s="344"/>
      <c r="AL21" s="101"/>
      <c r="AM21" s="209"/>
      <c r="AN21" s="208"/>
      <c r="AO21" s="220"/>
      <c r="AP21" s="212"/>
      <c r="AQ21" s="220"/>
      <c r="AR21" s="212"/>
      <c r="AS21" s="220"/>
      <c r="AT21" s="212"/>
      <c r="AU21" s="15">
        <f t="shared" si="13"/>
        <v>251.00000209999999</v>
      </c>
      <c r="AV21" s="15" t="str">
        <f t="shared" si="39"/>
        <v>مريم سامى محمد النفاتى</v>
      </c>
      <c r="AW21" s="15"/>
      <c r="AX21" s="210">
        <v>11</v>
      </c>
      <c r="AY21" s="84">
        <f t="shared" si="14"/>
        <v>239.00000249999999</v>
      </c>
      <c r="AZ21" s="207" t="str">
        <f t="shared" si="15"/>
        <v>يوسف انويجى عثمان ابوزويدة</v>
      </c>
      <c r="BA21" s="233">
        <f t="shared" si="16"/>
        <v>2.0999999999999998E-6</v>
      </c>
      <c r="BB21" s="15" t="str">
        <f t="shared" si="22"/>
        <v>مريم سامى محمد النفاتى</v>
      </c>
      <c r="BC21" s="210">
        <v>11</v>
      </c>
      <c r="BD21" s="84">
        <f t="shared" si="17"/>
        <v>3.0899999999999999E-5</v>
      </c>
      <c r="BE21" s="207">
        <f t="shared" si="18"/>
        <v>0</v>
      </c>
      <c r="BF21" s="233">
        <f t="shared" si="19"/>
        <v>2.0999999999999998E-6</v>
      </c>
      <c r="BG21" s="15" t="str">
        <f t="shared" si="23"/>
        <v>مريم سامى محمد النفاتى</v>
      </c>
      <c r="BH21" s="210">
        <v>11</v>
      </c>
      <c r="BI21" s="84">
        <f t="shared" si="20"/>
        <v>3.0899999999999999E-5</v>
      </c>
      <c r="BJ21" s="207">
        <f t="shared" si="21"/>
        <v>0</v>
      </c>
      <c r="BL21" s="123"/>
      <c r="BM21" s="123"/>
      <c r="BN21" s="15">
        <v>220170068259</v>
      </c>
      <c r="BO21" s="173" t="s">
        <v>207</v>
      </c>
      <c r="BP21" s="174" t="str">
        <f t="shared" si="24"/>
        <v>9</v>
      </c>
      <c r="BQ21" s="174" t="str">
        <f t="shared" si="25"/>
        <v>5</v>
      </c>
      <c r="BR21" s="174" t="str">
        <f t="shared" si="26"/>
        <v>2</v>
      </c>
      <c r="BS21" s="174" t="str">
        <f t="shared" si="27"/>
        <v>8</v>
      </c>
      <c r="BT21" s="174" t="str">
        <f t="shared" si="28"/>
        <v>6</v>
      </c>
      <c r="BU21" s="174" t="str">
        <f t="shared" si="29"/>
        <v>0</v>
      </c>
      <c r="BV21" s="174" t="str">
        <f t="shared" si="30"/>
        <v>0</v>
      </c>
      <c r="BW21" s="174" t="str">
        <f t="shared" si="31"/>
        <v>7</v>
      </c>
      <c r="BX21" s="174" t="str">
        <f t="shared" si="32"/>
        <v>1</v>
      </c>
      <c r="BY21" s="174" t="str">
        <f t="shared" si="33"/>
        <v>0</v>
      </c>
      <c r="BZ21" s="174" t="str">
        <f t="shared" si="34"/>
        <v>2</v>
      </c>
      <c r="CA21" s="174" t="str">
        <f t="shared" si="35"/>
        <v>2</v>
      </c>
      <c r="CB21" s="161" t="s">
        <v>154</v>
      </c>
      <c r="CC21" s="161" t="s">
        <v>190</v>
      </c>
      <c r="CD21" s="161" t="s">
        <v>147</v>
      </c>
      <c r="CE21" s="161" t="s">
        <v>150</v>
      </c>
      <c r="CF21" s="161" t="s">
        <v>220</v>
      </c>
    </row>
    <row r="22" spans="1:84" ht="14.25" customHeight="1" thickBot="1" x14ac:dyDescent="0.3">
      <c r="A22" s="205">
        <v>12</v>
      </c>
      <c r="B22" s="381" t="s">
        <v>180</v>
      </c>
      <c r="C22" s="195">
        <v>42816</v>
      </c>
      <c r="D22" s="91" t="s">
        <v>210</v>
      </c>
      <c r="E22" s="310" t="s">
        <v>92</v>
      </c>
      <c r="F22" s="93">
        <v>35</v>
      </c>
      <c r="G22" s="97">
        <v>70</v>
      </c>
      <c r="H22" s="97">
        <v>36</v>
      </c>
      <c r="I22" s="326">
        <v>12</v>
      </c>
      <c r="J22" s="97">
        <v>51</v>
      </c>
      <c r="K22" s="97">
        <v>35</v>
      </c>
      <c r="L22" s="224">
        <f t="shared" si="36"/>
        <v>239</v>
      </c>
      <c r="M22" s="296" t="s">
        <v>169</v>
      </c>
      <c r="N22" s="297" t="s">
        <v>169</v>
      </c>
      <c r="O22" s="342"/>
      <c r="P22" s="313" t="s">
        <v>66</v>
      </c>
      <c r="Q22" s="93"/>
      <c r="R22" s="97"/>
      <c r="S22" s="97"/>
      <c r="T22" s="97"/>
      <c r="U22" s="97"/>
      <c r="V22" s="94"/>
      <c r="W22" s="224">
        <f t="shared" si="37"/>
        <v>0</v>
      </c>
      <c r="X22" s="379"/>
      <c r="Y22" s="380"/>
      <c r="Z22" s="342"/>
      <c r="AA22" s="313" t="s">
        <v>86</v>
      </c>
      <c r="AB22" s="78"/>
      <c r="AC22" s="321"/>
      <c r="AD22" s="321"/>
      <c r="AE22" s="321"/>
      <c r="AF22" s="321"/>
      <c r="AG22" s="322"/>
      <c r="AH22" s="88">
        <f t="shared" si="38"/>
        <v>0</v>
      </c>
      <c r="AI22" s="78"/>
      <c r="AJ22" s="322"/>
      <c r="AK22" s="345"/>
      <c r="AL22" s="102"/>
      <c r="AM22" s="99"/>
      <c r="AN22" s="227"/>
      <c r="AO22" s="221"/>
      <c r="AP22" s="90"/>
      <c r="AQ22" s="221"/>
      <c r="AR22" s="90"/>
      <c r="AS22" s="221"/>
      <c r="AT22" s="90"/>
      <c r="AU22" s="15">
        <f t="shared" si="13"/>
        <v>239.00000220000001</v>
      </c>
      <c r="AV22" s="15" t="str">
        <f t="shared" si="39"/>
        <v>مناف عبد اللطيف ضويلة القنوش</v>
      </c>
      <c r="AW22" s="15"/>
      <c r="AX22" s="210">
        <v>12</v>
      </c>
      <c r="AY22" s="84">
        <f t="shared" si="14"/>
        <v>239.00000220000001</v>
      </c>
      <c r="AZ22" s="207" t="str">
        <f t="shared" si="15"/>
        <v>مناف عبد اللطيف ضويلة القنوش</v>
      </c>
      <c r="BA22" s="233">
        <f t="shared" si="16"/>
        <v>2.2000000000000001E-6</v>
      </c>
      <c r="BB22" s="15" t="str">
        <f t="shared" si="22"/>
        <v>مناف عبد اللطيف ضويلة القنوش</v>
      </c>
      <c r="BC22" s="210">
        <v>12</v>
      </c>
      <c r="BD22" s="84">
        <f t="shared" si="17"/>
        <v>3.0799999999999996E-5</v>
      </c>
      <c r="BE22" s="207">
        <f t="shared" si="18"/>
        <v>0</v>
      </c>
      <c r="BF22" s="233">
        <f t="shared" si="19"/>
        <v>2.2000000000000001E-6</v>
      </c>
      <c r="BG22" s="15" t="str">
        <f t="shared" si="23"/>
        <v>مناف عبد اللطيف ضويلة القنوش</v>
      </c>
      <c r="BH22" s="210">
        <v>12</v>
      </c>
      <c r="BI22" s="84">
        <f t="shared" si="20"/>
        <v>3.0799999999999996E-5</v>
      </c>
      <c r="BJ22" s="207">
        <f t="shared" si="21"/>
        <v>0</v>
      </c>
      <c r="BL22" s="123"/>
      <c r="BM22" s="123"/>
      <c r="BN22" s="15">
        <v>120170156010</v>
      </c>
      <c r="BO22" s="173" t="s">
        <v>215</v>
      </c>
      <c r="BP22" s="174" t="str">
        <f t="shared" si="24"/>
        <v>0</v>
      </c>
      <c r="BQ22" s="174" t="str">
        <f t="shared" si="25"/>
        <v>1</v>
      </c>
      <c r="BR22" s="174" t="str">
        <f t="shared" si="26"/>
        <v>0</v>
      </c>
      <c r="BS22" s="174" t="str">
        <f t="shared" si="27"/>
        <v>6</v>
      </c>
      <c r="BT22" s="174" t="str">
        <f t="shared" si="28"/>
        <v>5</v>
      </c>
      <c r="BU22" s="174" t="str">
        <f t="shared" si="29"/>
        <v>1</v>
      </c>
      <c r="BV22" s="174" t="str">
        <f t="shared" si="30"/>
        <v>0</v>
      </c>
      <c r="BW22" s="174" t="str">
        <f t="shared" si="31"/>
        <v>7</v>
      </c>
      <c r="BX22" s="174" t="str">
        <f t="shared" si="32"/>
        <v>1</v>
      </c>
      <c r="BY22" s="174" t="str">
        <f t="shared" si="33"/>
        <v>0</v>
      </c>
      <c r="BZ22" s="174" t="str">
        <f t="shared" si="34"/>
        <v>2</v>
      </c>
      <c r="CA22" s="174" t="str">
        <f t="shared" si="35"/>
        <v>1</v>
      </c>
      <c r="CB22" s="161" t="s">
        <v>192</v>
      </c>
      <c r="CC22" s="161" t="s">
        <v>190</v>
      </c>
      <c r="CD22" s="161" t="s">
        <v>147</v>
      </c>
      <c r="CE22" s="161" t="s">
        <v>150</v>
      </c>
      <c r="CF22" s="161" t="s">
        <v>220</v>
      </c>
    </row>
    <row r="23" spans="1:84" ht="14.25" customHeight="1" thickBot="1" x14ac:dyDescent="0.3">
      <c r="A23" s="203">
        <v>13</v>
      </c>
      <c r="B23" s="381" t="s">
        <v>181</v>
      </c>
      <c r="C23" s="193">
        <v>42743</v>
      </c>
      <c r="D23" s="143" t="s">
        <v>211</v>
      </c>
      <c r="E23" s="308" t="s">
        <v>92</v>
      </c>
      <c r="F23" s="213">
        <v>36</v>
      </c>
      <c r="G23" s="214">
        <v>71</v>
      </c>
      <c r="H23" s="214">
        <v>36</v>
      </c>
      <c r="I23" s="326">
        <v>12</v>
      </c>
      <c r="J23" s="214">
        <v>60</v>
      </c>
      <c r="K23" s="214">
        <v>36</v>
      </c>
      <c r="L23" s="295">
        <f t="shared" si="36"/>
        <v>251</v>
      </c>
      <c r="M23" s="296" t="s">
        <v>169</v>
      </c>
      <c r="N23" s="297" t="s">
        <v>169</v>
      </c>
      <c r="O23" s="340"/>
      <c r="P23" s="311" t="s">
        <v>66</v>
      </c>
      <c r="Q23" s="325"/>
      <c r="R23" s="326"/>
      <c r="S23" s="326"/>
      <c r="T23" s="326"/>
      <c r="U23" s="326"/>
      <c r="V23" s="92"/>
      <c r="W23" s="295">
        <f t="shared" si="37"/>
        <v>0</v>
      </c>
      <c r="X23" s="379"/>
      <c r="Y23" s="380"/>
      <c r="Z23" s="346"/>
      <c r="AA23" s="314" t="s">
        <v>148</v>
      </c>
      <c r="AB23" s="13"/>
      <c r="AC23" s="222"/>
      <c r="AD23" s="222"/>
      <c r="AE23" s="222"/>
      <c r="AF23" s="222"/>
      <c r="AG23" s="5"/>
      <c r="AH23" s="20">
        <f t="shared" si="38"/>
        <v>0</v>
      </c>
      <c r="AI23" s="13"/>
      <c r="AJ23" s="5"/>
      <c r="AK23" s="343"/>
      <c r="AL23" s="100"/>
      <c r="AM23" s="98"/>
      <c r="AN23" s="226"/>
      <c r="AO23" s="225"/>
      <c r="AP23" s="89"/>
      <c r="AQ23" s="225"/>
      <c r="AR23" s="89"/>
      <c r="AS23" s="225"/>
      <c r="AT23" s="89"/>
      <c r="AU23" s="15">
        <f t="shared" si="13"/>
        <v>251.00000230000001</v>
      </c>
      <c r="AV23" s="15" t="str">
        <f t="shared" si="39"/>
        <v>يزن عبد السلام على الأطوش</v>
      </c>
      <c r="AW23" s="15"/>
      <c r="AX23" s="210">
        <v>13</v>
      </c>
      <c r="AY23" s="84">
        <f t="shared" si="14"/>
        <v>224.00000170000001</v>
      </c>
      <c r="AZ23" s="207" t="str">
        <f t="shared" si="15"/>
        <v>عبدالقدوس عزالدين سالم ادريدر</v>
      </c>
      <c r="BA23" s="233">
        <f t="shared" si="16"/>
        <v>2.3E-6</v>
      </c>
      <c r="BB23" s="15" t="str">
        <f t="shared" si="22"/>
        <v>يزن عبد السلام على الأطوش</v>
      </c>
      <c r="BC23" s="210">
        <v>13</v>
      </c>
      <c r="BD23" s="84">
        <f t="shared" si="17"/>
        <v>3.0700000000000001E-5</v>
      </c>
      <c r="BE23" s="207">
        <f t="shared" si="18"/>
        <v>0</v>
      </c>
      <c r="BF23" s="233">
        <f t="shared" si="19"/>
        <v>2.3E-6</v>
      </c>
      <c r="BG23" s="15" t="str">
        <f t="shared" si="23"/>
        <v>يزن عبد السلام على الأطوش</v>
      </c>
      <c r="BH23" s="210">
        <v>13</v>
      </c>
      <c r="BI23" s="84">
        <f t="shared" si="20"/>
        <v>3.0700000000000001E-5</v>
      </c>
      <c r="BJ23" s="207">
        <f t="shared" si="21"/>
        <v>0</v>
      </c>
      <c r="BL23" s="123"/>
      <c r="BM23" s="123"/>
      <c r="BN23" s="15">
        <v>120170004225</v>
      </c>
      <c r="BO23" s="173" t="s">
        <v>216</v>
      </c>
      <c r="BP23" s="174" t="str">
        <f t="shared" si="24"/>
        <v>5</v>
      </c>
      <c r="BQ23" s="174" t="str">
        <f t="shared" si="25"/>
        <v>2</v>
      </c>
      <c r="BR23" s="174" t="str">
        <f t="shared" si="26"/>
        <v>2</v>
      </c>
      <c r="BS23" s="174" t="str">
        <f t="shared" si="27"/>
        <v>4</v>
      </c>
      <c r="BT23" s="174" t="str">
        <f t="shared" si="28"/>
        <v>0</v>
      </c>
      <c r="BU23" s="174" t="str">
        <f t="shared" si="29"/>
        <v>0</v>
      </c>
      <c r="BV23" s="174" t="str">
        <f t="shared" si="30"/>
        <v>0</v>
      </c>
      <c r="BW23" s="174" t="str">
        <f t="shared" si="31"/>
        <v>7</v>
      </c>
      <c r="BX23" s="174" t="str">
        <f t="shared" si="32"/>
        <v>1</v>
      </c>
      <c r="BY23" s="174" t="str">
        <f t="shared" si="33"/>
        <v>0</v>
      </c>
      <c r="BZ23" s="174" t="str">
        <f t="shared" si="34"/>
        <v>2</v>
      </c>
      <c r="CA23" s="174" t="str">
        <f t="shared" si="35"/>
        <v>1</v>
      </c>
      <c r="CB23" s="161" t="s">
        <v>154</v>
      </c>
      <c r="CC23" s="161" t="s">
        <v>190</v>
      </c>
      <c r="CD23" s="161" t="s">
        <v>147</v>
      </c>
      <c r="CE23" s="161" t="s">
        <v>150</v>
      </c>
      <c r="CF23" s="161" t="s">
        <v>220</v>
      </c>
    </row>
    <row r="24" spans="1:84" ht="14.25" customHeight="1" thickBot="1" x14ac:dyDescent="0.3">
      <c r="A24" s="204">
        <v>14</v>
      </c>
      <c r="B24" s="381" t="s">
        <v>212</v>
      </c>
      <c r="C24" s="194">
        <v>42821</v>
      </c>
      <c r="D24" s="142" t="s">
        <v>213</v>
      </c>
      <c r="E24" s="309" t="s">
        <v>92</v>
      </c>
      <c r="F24" s="305">
        <v>36</v>
      </c>
      <c r="G24" s="306">
        <v>71</v>
      </c>
      <c r="H24" s="306">
        <v>34</v>
      </c>
      <c r="I24" s="326">
        <v>12</v>
      </c>
      <c r="J24" s="306">
        <v>56</v>
      </c>
      <c r="K24" s="306">
        <v>35</v>
      </c>
      <c r="L24" s="223">
        <f t="shared" si="36"/>
        <v>244</v>
      </c>
      <c r="M24" s="296" t="s">
        <v>169</v>
      </c>
      <c r="N24" s="297" t="s">
        <v>169</v>
      </c>
      <c r="O24" s="341"/>
      <c r="P24" s="312" t="s">
        <v>66</v>
      </c>
      <c r="Q24" s="305"/>
      <c r="R24" s="306"/>
      <c r="S24" s="306"/>
      <c r="T24" s="306"/>
      <c r="U24" s="306"/>
      <c r="V24" s="122"/>
      <c r="W24" s="223">
        <f t="shared" si="37"/>
        <v>0</v>
      </c>
      <c r="X24" s="379"/>
      <c r="Y24" s="380"/>
      <c r="Z24" s="341"/>
      <c r="AA24" s="312" t="s">
        <v>86</v>
      </c>
      <c r="AB24" s="77"/>
      <c r="AC24" s="319"/>
      <c r="AD24" s="319"/>
      <c r="AE24" s="319"/>
      <c r="AF24" s="319"/>
      <c r="AG24" s="320"/>
      <c r="AH24" s="20">
        <f t="shared" si="38"/>
        <v>0</v>
      </c>
      <c r="AI24" s="77"/>
      <c r="AJ24" s="320"/>
      <c r="AK24" s="344"/>
      <c r="AL24" s="101"/>
      <c r="AM24" s="209"/>
      <c r="AN24" s="208"/>
      <c r="AO24" s="220"/>
      <c r="AP24" s="212"/>
      <c r="AQ24" s="220"/>
      <c r="AR24" s="212"/>
      <c r="AS24" s="220"/>
      <c r="AT24" s="212"/>
      <c r="AU24" s="15">
        <f t="shared" si="13"/>
        <v>244.0000024</v>
      </c>
      <c r="AV24" s="15" t="str">
        <f t="shared" si="39"/>
        <v>ايلياء محمد عوض الحداد</v>
      </c>
      <c r="AW24" s="15"/>
      <c r="AX24" s="210">
        <v>14</v>
      </c>
      <c r="AY24" s="84">
        <f t="shared" si="14"/>
        <v>224.0000014</v>
      </c>
      <c r="AZ24" s="207" t="str">
        <f t="shared" si="15"/>
        <v>دانية حسن مفتاح المقوب</v>
      </c>
      <c r="BA24" s="233">
        <f t="shared" si="16"/>
        <v>2.3999999999999999E-6</v>
      </c>
      <c r="BB24" s="15" t="str">
        <f t="shared" si="22"/>
        <v>ايلياء محمد عوض الحداد</v>
      </c>
      <c r="BC24" s="210">
        <v>14</v>
      </c>
      <c r="BD24" s="84">
        <f t="shared" si="17"/>
        <v>3.0599999999999998E-5</v>
      </c>
      <c r="BE24" s="207">
        <f t="shared" si="18"/>
        <v>0</v>
      </c>
      <c r="BF24" s="233">
        <f t="shared" si="19"/>
        <v>2.3999999999999999E-6</v>
      </c>
      <c r="BG24" s="15" t="str">
        <f t="shared" si="23"/>
        <v>ايلياء محمد عوض الحداد</v>
      </c>
      <c r="BH24" s="210">
        <v>14</v>
      </c>
      <c r="BI24" s="84">
        <f t="shared" si="20"/>
        <v>3.0599999999999998E-5</v>
      </c>
      <c r="BJ24" s="207">
        <f t="shared" si="21"/>
        <v>0</v>
      </c>
      <c r="BL24" s="123"/>
      <c r="BM24" s="123"/>
      <c r="BN24" s="15">
        <v>220170240914</v>
      </c>
      <c r="BO24" s="173" t="s">
        <v>217</v>
      </c>
      <c r="BP24" s="174" t="str">
        <f t="shared" si="24"/>
        <v>4</v>
      </c>
      <c r="BQ24" s="174" t="str">
        <f t="shared" si="25"/>
        <v>1</v>
      </c>
      <c r="BR24" s="174" t="str">
        <f t="shared" si="26"/>
        <v>9</v>
      </c>
      <c r="BS24" s="174" t="str">
        <f t="shared" si="27"/>
        <v>0</v>
      </c>
      <c r="BT24" s="174" t="str">
        <f t="shared" si="28"/>
        <v>4</v>
      </c>
      <c r="BU24" s="174" t="str">
        <f t="shared" si="29"/>
        <v>2</v>
      </c>
      <c r="BV24" s="174" t="str">
        <f t="shared" si="30"/>
        <v>0</v>
      </c>
      <c r="BW24" s="174" t="str">
        <f t="shared" si="31"/>
        <v>7</v>
      </c>
      <c r="BX24" s="174" t="str">
        <f t="shared" si="32"/>
        <v>1</v>
      </c>
      <c r="BY24" s="174" t="str">
        <f t="shared" si="33"/>
        <v>0</v>
      </c>
      <c r="BZ24" s="174" t="str">
        <f t="shared" si="34"/>
        <v>2</v>
      </c>
      <c r="CA24" s="174" t="str">
        <f t="shared" si="35"/>
        <v>2</v>
      </c>
      <c r="CB24" s="161" t="s">
        <v>219</v>
      </c>
      <c r="CC24" s="161" t="s">
        <v>193</v>
      </c>
      <c r="CD24" s="161" t="s">
        <v>147</v>
      </c>
      <c r="CE24" s="161" t="s">
        <v>150</v>
      </c>
      <c r="CF24" s="161" t="s">
        <v>220</v>
      </c>
    </row>
    <row r="25" spans="1:84" ht="14.25" customHeight="1" thickBot="1" x14ac:dyDescent="0.3">
      <c r="A25" s="205">
        <v>15</v>
      </c>
      <c r="B25" s="381" t="s">
        <v>182</v>
      </c>
      <c r="C25" s="195">
        <v>42778</v>
      </c>
      <c r="D25" s="91" t="s">
        <v>214</v>
      </c>
      <c r="E25" s="310" t="s">
        <v>92</v>
      </c>
      <c r="F25" s="93">
        <v>36</v>
      </c>
      <c r="G25" s="97">
        <v>68</v>
      </c>
      <c r="H25" s="97">
        <v>31</v>
      </c>
      <c r="I25" s="326">
        <v>12</v>
      </c>
      <c r="J25" s="97">
        <v>56</v>
      </c>
      <c r="K25" s="97">
        <v>36</v>
      </c>
      <c r="L25" s="224">
        <f t="shared" si="36"/>
        <v>239</v>
      </c>
      <c r="M25" s="296" t="s">
        <v>169</v>
      </c>
      <c r="N25" s="297" t="s">
        <v>169</v>
      </c>
      <c r="O25" s="342"/>
      <c r="P25" s="313" t="s">
        <v>66</v>
      </c>
      <c r="Q25" s="93"/>
      <c r="R25" s="97"/>
      <c r="S25" s="97"/>
      <c r="T25" s="97"/>
      <c r="U25" s="97"/>
      <c r="V25" s="94"/>
      <c r="W25" s="224">
        <f t="shared" si="37"/>
        <v>0</v>
      </c>
      <c r="X25" s="379"/>
      <c r="Y25" s="380"/>
      <c r="Z25" s="342"/>
      <c r="AA25" s="313" t="s">
        <v>86</v>
      </c>
      <c r="AB25" s="78"/>
      <c r="AC25" s="321"/>
      <c r="AD25" s="321"/>
      <c r="AE25" s="321"/>
      <c r="AF25" s="321"/>
      <c r="AG25" s="322"/>
      <c r="AH25" s="88">
        <f t="shared" si="38"/>
        <v>0</v>
      </c>
      <c r="AI25" s="78"/>
      <c r="AJ25" s="322"/>
      <c r="AK25" s="345"/>
      <c r="AL25" s="102"/>
      <c r="AM25" s="99"/>
      <c r="AN25" s="227"/>
      <c r="AO25" s="221"/>
      <c r="AP25" s="90"/>
      <c r="AQ25" s="221"/>
      <c r="AR25" s="90"/>
      <c r="AS25" s="221"/>
      <c r="AT25" s="90"/>
      <c r="AU25" s="15">
        <f t="shared" si="13"/>
        <v>239.00000249999999</v>
      </c>
      <c r="AV25" s="15" t="str">
        <f t="shared" si="39"/>
        <v>يوسف انويجى عثمان ابوزويدة</v>
      </c>
      <c r="AW25" s="15"/>
      <c r="AX25" s="210">
        <v>15</v>
      </c>
      <c r="AY25" s="84">
        <f t="shared" si="14"/>
        <v>211.0000015</v>
      </c>
      <c r="AZ25" s="207" t="str">
        <f t="shared" si="15"/>
        <v/>
      </c>
      <c r="BA25" s="233">
        <f t="shared" si="16"/>
        <v>2.4999999999999998E-6</v>
      </c>
      <c r="BB25" s="15" t="str">
        <f t="shared" si="22"/>
        <v>يوسف انويجى عثمان ابوزويدة</v>
      </c>
      <c r="BC25" s="210">
        <v>15</v>
      </c>
      <c r="BD25" s="84">
        <f t="shared" si="17"/>
        <v>3.0499999999999999E-5</v>
      </c>
      <c r="BE25" s="207">
        <f t="shared" si="18"/>
        <v>0</v>
      </c>
      <c r="BF25" s="233">
        <f t="shared" si="19"/>
        <v>2.4999999999999998E-6</v>
      </c>
      <c r="BG25" s="15" t="str">
        <f t="shared" si="23"/>
        <v>يوسف انويجى عثمان ابوزويدة</v>
      </c>
      <c r="BH25" s="210">
        <v>15</v>
      </c>
      <c r="BI25" s="84">
        <f t="shared" si="20"/>
        <v>3.0499999999999999E-5</v>
      </c>
      <c r="BJ25" s="207">
        <f t="shared" si="21"/>
        <v>0</v>
      </c>
      <c r="BL25" s="123"/>
      <c r="BM25" s="123"/>
      <c r="BN25" s="15">
        <v>120170096866</v>
      </c>
      <c r="BO25" s="173" t="s">
        <v>218</v>
      </c>
      <c r="BP25" s="174" t="str">
        <f t="shared" si="24"/>
        <v>6</v>
      </c>
      <c r="BQ25" s="174" t="str">
        <f t="shared" si="25"/>
        <v>6</v>
      </c>
      <c r="BR25" s="174" t="str">
        <f t="shared" si="26"/>
        <v>8</v>
      </c>
      <c r="BS25" s="174" t="str">
        <f t="shared" si="27"/>
        <v>6</v>
      </c>
      <c r="BT25" s="174" t="str">
        <f t="shared" si="28"/>
        <v>9</v>
      </c>
      <c r="BU25" s="174" t="str">
        <f t="shared" si="29"/>
        <v>0</v>
      </c>
      <c r="BV25" s="174" t="str">
        <f t="shared" si="30"/>
        <v>0</v>
      </c>
      <c r="BW25" s="174" t="str">
        <f t="shared" si="31"/>
        <v>7</v>
      </c>
      <c r="BX25" s="174" t="str">
        <f t="shared" si="32"/>
        <v>1</v>
      </c>
      <c r="BY25" s="174" t="str">
        <f t="shared" si="33"/>
        <v>0</v>
      </c>
      <c r="BZ25" s="174" t="str">
        <f t="shared" si="34"/>
        <v>2</v>
      </c>
      <c r="CA25" s="174" t="str">
        <f t="shared" si="35"/>
        <v>1</v>
      </c>
      <c r="CB25" s="161" t="s">
        <v>154</v>
      </c>
      <c r="CC25" s="161" t="s">
        <v>190</v>
      </c>
      <c r="CD25" s="161" t="s">
        <v>147</v>
      </c>
      <c r="CE25" s="161" t="s">
        <v>150</v>
      </c>
      <c r="CF25" s="161" t="s">
        <v>220</v>
      </c>
    </row>
    <row r="26" spans="1:84" ht="14.25" customHeight="1" thickBot="1" x14ac:dyDescent="0.3">
      <c r="A26" s="203">
        <v>16</v>
      </c>
      <c r="B26" s="382" t="s">
        <v>186</v>
      </c>
      <c r="C26" s="193">
        <v>42818</v>
      </c>
      <c r="D26" s="143" t="s">
        <v>187</v>
      </c>
      <c r="E26" s="308" t="s">
        <v>92</v>
      </c>
      <c r="F26" s="213">
        <v>36</v>
      </c>
      <c r="G26" s="214">
        <v>71</v>
      </c>
      <c r="H26" s="214">
        <v>35</v>
      </c>
      <c r="I26" s="326">
        <v>12</v>
      </c>
      <c r="J26" s="214">
        <v>60</v>
      </c>
      <c r="K26" s="214">
        <v>36</v>
      </c>
      <c r="L26" s="295">
        <f t="shared" si="36"/>
        <v>250</v>
      </c>
      <c r="M26" s="296" t="s">
        <v>169</v>
      </c>
      <c r="N26" s="297" t="s">
        <v>169</v>
      </c>
      <c r="O26" s="340"/>
      <c r="P26" s="311" t="s">
        <v>66</v>
      </c>
      <c r="Q26" s="325"/>
      <c r="R26" s="326"/>
      <c r="S26" s="326"/>
      <c r="T26" s="326"/>
      <c r="U26" s="326"/>
      <c r="V26" s="92"/>
      <c r="W26" s="295">
        <f t="shared" si="37"/>
        <v>0</v>
      </c>
      <c r="X26" s="379"/>
      <c r="Y26" s="380"/>
      <c r="Z26" s="346"/>
      <c r="AA26" s="314" t="s">
        <v>148</v>
      </c>
      <c r="AB26" s="13"/>
      <c r="AC26" s="222"/>
      <c r="AD26" s="222"/>
      <c r="AE26" s="222"/>
      <c r="AF26" s="222"/>
      <c r="AG26" s="5"/>
      <c r="AH26" s="20">
        <f t="shared" si="38"/>
        <v>0</v>
      </c>
      <c r="AI26" s="13"/>
      <c r="AJ26" s="5"/>
      <c r="AK26" s="343"/>
      <c r="AL26" s="100"/>
      <c r="AM26" s="98"/>
      <c r="AN26" s="226"/>
      <c r="AO26" s="225"/>
      <c r="AP26" s="89"/>
      <c r="AQ26" s="225"/>
      <c r="AR26" s="89"/>
      <c r="AS26" s="225"/>
      <c r="AT26" s="89"/>
      <c r="AU26" s="15">
        <f t="shared" si="13"/>
        <v>250.00000259999999</v>
      </c>
      <c r="AV26" s="15" t="str">
        <f t="shared" si="39"/>
        <v>ريم احمد ابوبكر النفاتى</v>
      </c>
      <c r="AW26" s="15"/>
      <c r="AX26" s="210">
        <v>16</v>
      </c>
      <c r="AY26" s="84">
        <f t="shared" si="14"/>
        <v>200.00000180000001</v>
      </c>
      <c r="AZ26" s="207" t="str">
        <f t="shared" si="15"/>
        <v/>
      </c>
      <c r="BA26" s="233">
        <f t="shared" si="16"/>
        <v>2.5999999999999997E-6</v>
      </c>
      <c r="BB26" s="15" t="str">
        <f t="shared" si="22"/>
        <v>ريم احمد ابوبكر النفاتى</v>
      </c>
      <c r="BC26" s="210">
        <v>16</v>
      </c>
      <c r="BD26" s="84">
        <f t="shared" si="17"/>
        <v>3.04E-5</v>
      </c>
      <c r="BE26" s="207">
        <f t="shared" si="18"/>
        <v>0</v>
      </c>
      <c r="BF26" s="233">
        <f t="shared" si="19"/>
        <v>2.5999999999999997E-6</v>
      </c>
      <c r="BG26" s="15" t="str">
        <f t="shared" si="23"/>
        <v>ريم احمد ابوبكر النفاتى</v>
      </c>
      <c r="BH26" s="210">
        <v>16</v>
      </c>
      <c r="BI26" s="84">
        <f t="shared" si="20"/>
        <v>3.04E-5</v>
      </c>
      <c r="BJ26" s="207">
        <f t="shared" si="21"/>
        <v>0</v>
      </c>
      <c r="BL26" s="123"/>
      <c r="BM26" s="123"/>
      <c r="BN26" s="15">
        <v>220171103360</v>
      </c>
      <c r="BO26" s="173" t="s">
        <v>207</v>
      </c>
      <c r="BP26" s="174" t="str">
        <f t="shared" si="24"/>
        <v>0</v>
      </c>
      <c r="BQ26" s="174" t="str">
        <f t="shared" si="25"/>
        <v>6</v>
      </c>
      <c r="BR26" s="174" t="str">
        <f t="shared" si="26"/>
        <v>3</v>
      </c>
      <c r="BS26" s="174" t="str">
        <f t="shared" si="27"/>
        <v>3</v>
      </c>
      <c r="BT26" s="174" t="str">
        <f t="shared" si="28"/>
        <v>0</v>
      </c>
      <c r="BU26" s="174" t="str">
        <f t="shared" si="29"/>
        <v>1</v>
      </c>
      <c r="BV26" s="174" t="str">
        <f t="shared" si="30"/>
        <v>1</v>
      </c>
      <c r="BW26" s="174" t="str">
        <f t="shared" si="31"/>
        <v>7</v>
      </c>
      <c r="BX26" s="174" t="str">
        <f t="shared" si="32"/>
        <v>1</v>
      </c>
      <c r="BY26" s="174" t="str">
        <f t="shared" si="33"/>
        <v>0</v>
      </c>
      <c r="BZ26" s="174" t="str">
        <f t="shared" si="34"/>
        <v>2</v>
      </c>
      <c r="CA26" s="174" t="str">
        <f t="shared" si="35"/>
        <v>2</v>
      </c>
      <c r="CB26" s="161" t="s">
        <v>192</v>
      </c>
      <c r="CC26" s="161" t="s">
        <v>190</v>
      </c>
      <c r="CD26" s="161" t="s">
        <v>147</v>
      </c>
      <c r="CE26" s="161" t="s">
        <v>150</v>
      </c>
      <c r="CF26" s="161" t="s">
        <v>220</v>
      </c>
    </row>
    <row r="27" spans="1:84" ht="14.25" customHeight="1" thickBot="1" x14ac:dyDescent="0.3">
      <c r="A27" s="204">
        <v>17</v>
      </c>
      <c r="B27" s="211"/>
      <c r="C27" s="194"/>
      <c r="D27" s="142"/>
      <c r="E27" s="309" t="s">
        <v>92</v>
      </c>
      <c r="F27" s="305"/>
      <c r="G27" s="306"/>
      <c r="H27" s="306"/>
      <c r="I27" s="306"/>
      <c r="J27" s="306"/>
      <c r="K27" s="306"/>
      <c r="L27" s="223">
        <f t="shared" si="36"/>
        <v>0</v>
      </c>
      <c r="M27" s="296" t="s">
        <v>169</v>
      </c>
      <c r="N27" s="297" t="s">
        <v>169</v>
      </c>
      <c r="O27" s="341"/>
      <c r="P27" s="312" t="s">
        <v>66</v>
      </c>
      <c r="Q27" s="305"/>
      <c r="R27" s="306"/>
      <c r="S27" s="306"/>
      <c r="T27" s="306"/>
      <c r="U27" s="306"/>
      <c r="V27" s="122"/>
      <c r="W27" s="223">
        <f t="shared" si="37"/>
        <v>0</v>
      </c>
      <c r="X27" s="379"/>
      <c r="Y27" s="380"/>
      <c r="Z27" s="341"/>
      <c r="AA27" s="312" t="s">
        <v>86</v>
      </c>
      <c r="AB27" s="77"/>
      <c r="AC27" s="319"/>
      <c r="AD27" s="319"/>
      <c r="AE27" s="319"/>
      <c r="AF27" s="319"/>
      <c r="AG27" s="320"/>
      <c r="AH27" s="20">
        <f t="shared" si="38"/>
        <v>0</v>
      </c>
      <c r="AI27" s="77"/>
      <c r="AJ27" s="320"/>
      <c r="AK27" s="344"/>
      <c r="AL27" s="101"/>
      <c r="AM27" s="209"/>
      <c r="AN27" s="208"/>
      <c r="AO27" s="220"/>
      <c r="AP27" s="212"/>
      <c r="AQ27" s="220"/>
      <c r="AR27" s="212"/>
      <c r="AS27" s="220"/>
      <c r="AT27" s="212"/>
      <c r="AU27" s="15">
        <f t="shared" si="13"/>
        <v>2.7E-6</v>
      </c>
      <c r="AV27" s="15">
        <f t="shared" si="39"/>
        <v>0</v>
      </c>
      <c r="AW27" s="15"/>
      <c r="AX27" s="210">
        <v>17</v>
      </c>
      <c r="AY27" s="84">
        <f t="shared" si="14"/>
        <v>3.1899999999999996E-5</v>
      </c>
      <c r="AZ27" s="207">
        <f t="shared" si="15"/>
        <v>0</v>
      </c>
      <c r="BA27" s="233">
        <f t="shared" si="16"/>
        <v>2.7E-6</v>
      </c>
      <c r="BB27" s="15">
        <f t="shared" si="22"/>
        <v>0</v>
      </c>
      <c r="BC27" s="210">
        <v>17</v>
      </c>
      <c r="BD27" s="84">
        <f t="shared" si="17"/>
        <v>3.0299999999999998E-5</v>
      </c>
      <c r="BE27" s="207">
        <f t="shared" si="18"/>
        <v>0</v>
      </c>
      <c r="BF27" s="233">
        <f t="shared" si="19"/>
        <v>2.7E-6</v>
      </c>
      <c r="BG27" s="15">
        <f t="shared" si="23"/>
        <v>0</v>
      </c>
      <c r="BH27" s="210">
        <v>17</v>
      </c>
      <c r="BI27" s="84">
        <f t="shared" si="20"/>
        <v>3.0299999999999998E-5</v>
      </c>
      <c r="BJ27" s="207">
        <f t="shared" si="21"/>
        <v>0</v>
      </c>
      <c r="BL27" s="123"/>
      <c r="BM27" s="123"/>
      <c r="BO27" s="173"/>
      <c r="BP27" s="174" t="str">
        <f t="shared" si="24"/>
        <v/>
      </c>
      <c r="BQ27" s="174" t="str">
        <f t="shared" si="25"/>
        <v/>
      </c>
      <c r="BR27" s="174" t="str">
        <f t="shared" si="26"/>
        <v/>
      </c>
      <c r="BS27" s="174" t="str">
        <f t="shared" si="27"/>
        <v/>
      </c>
      <c r="BT27" s="174" t="str">
        <f t="shared" si="28"/>
        <v/>
      </c>
      <c r="BU27" s="174" t="str">
        <f t="shared" si="29"/>
        <v/>
      </c>
      <c r="BV27" s="174" t="str">
        <f t="shared" si="30"/>
        <v/>
      </c>
      <c r="BW27" s="174" t="str">
        <f t="shared" si="31"/>
        <v/>
      </c>
      <c r="BX27" s="174" t="str">
        <f t="shared" si="32"/>
        <v/>
      </c>
      <c r="BY27" s="174" t="str">
        <f t="shared" si="33"/>
        <v/>
      </c>
      <c r="BZ27" s="174" t="str">
        <f t="shared" si="34"/>
        <v/>
      </c>
      <c r="CA27" s="174" t="str">
        <f t="shared" si="35"/>
        <v/>
      </c>
      <c r="CB27" s="161"/>
      <c r="CC27" s="161"/>
      <c r="CD27" s="161" t="s">
        <v>147</v>
      </c>
      <c r="CE27" s="161" t="s">
        <v>150</v>
      </c>
      <c r="CF27" s="161" t="s">
        <v>220</v>
      </c>
    </row>
    <row r="28" spans="1:84" ht="14.25" customHeight="1" thickBot="1" x14ac:dyDescent="0.3">
      <c r="A28" s="205">
        <v>18</v>
      </c>
      <c r="B28" s="85"/>
      <c r="C28" s="195"/>
      <c r="D28" s="91"/>
      <c r="E28" s="310" t="s">
        <v>92</v>
      </c>
      <c r="F28" s="93"/>
      <c r="G28" s="97"/>
      <c r="H28" s="97"/>
      <c r="I28" s="97"/>
      <c r="J28" s="97"/>
      <c r="K28" s="97"/>
      <c r="L28" s="224">
        <f t="shared" si="36"/>
        <v>0</v>
      </c>
      <c r="M28" s="296" t="s">
        <v>169</v>
      </c>
      <c r="N28" s="297" t="s">
        <v>169</v>
      </c>
      <c r="O28" s="342"/>
      <c r="P28" s="313" t="s">
        <v>66</v>
      </c>
      <c r="Q28" s="93"/>
      <c r="R28" s="97"/>
      <c r="S28" s="97"/>
      <c r="T28" s="97"/>
      <c r="U28" s="97"/>
      <c r="V28" s="94"/>
      <c r="W28" s="224">
        <f t="shared" si="37"/>
        <v>0</v>
      </c>
      <c r="X28" s="300"/>
      <c r="Y28" s="301"/>
      <c r="Z28" s="342"/>
      <c r="AA28" s="313" t="s">
        <v>86</v>
      </c>
      <c r="AB28" s="78"/>
      <c r="AC28" s="321"/>
      <c r="AD28" s="321"/>
      <c r="AE28" s="321"/>
      <c r="AF28" s="321"/>
      <c r="AG28" s="322"/>
      <c r="AH28" s="88">
        <f t="shared" si="38"/>
        <v>0</v>
      </c>
      <c r="AI28" s="78"/>
      <c r="AJ28" s="322"/>
      <c r="AK28" s="345"/>
      <c r="AL28" s="102"/>
      <c r="AM28" s="99"/>
      <c r="AN28" s="227"/>
      <c r="AO28" s="221"/>
      <c r="AP28" s="90"/>
      <c r="AQ28" s="221"/>
      <c r="AR28" s="90"/>
      <c r="AS28" s="221"/>
      <c r="AT28" s="90"/>
      <c r="AU28" s="15">
        <f t="shared" si="13"/>
        <v>2.7999999999999999E-6</v>
      </c>
      <c r="AV28" s="15">
        <f t="shared" si="39"/>
        <v>0</v>
      </c>
      <c r="AW28" s="15"/>
      <c r="AX28" s="210">
        <v>18</v>
      </c>
      <c r="AY28" s="84">
        <f t="shared" si="14"/>
        <v>3.18E-5</v>
      </c>
      <c r="AZ28" s="207">
        <f t="shared" si="15"/>
        <v>0</v>
      </c>
      <c r="BA28" s="233">
        <f t="shared" si="16"/>
        <v>2.7999999999999999E-6</v>
      </c>
      <c r="BB28" s="15">
        <f t="shared" si="22"/>
        <v>0</v>
      </c>
      <c r="BC28" s="210">
        <v>18</v>
      </c>
      <c r="BD28" s="84">
        <f t="shared" si="17"/>
        <v>3.0199999999999999E-5</v>
      </c>
      <c r="BE28" s="207">
        <f t="shared" si="18"/>
        <v>0</v>
      </c>
      <c r="BF28" s="233">
        <f t="shared" si="19"/>
        <v>2.7999999999999999E-6</v>
      </c>
      <c r="BG28" s="15">
        <f t="shared" si="23"/>
        <v>0</v>
      </c>
      <c r="BH28" s="210">
        <v>18</v>
      </c>
      <c r="BI28" s="84">
        <f t="shared" si="20"/>
        <v>3.0199999999999999E-5</v>
      </c>
      <c r="BJ28" s="207">
        <f t="shared" si="21"/>
        <v>0</v>
      </c>
      <c r="BL28" s="123"/>
      <c r="BM28" s="123"/>
      <c r="BO28" s="173"/>
      <c r="BP28" s="174" t="str">
        <f t="shared" si="24"/>
        <v/>
      </c>
      <c r="BQ28" s="174" t="str">
        <f t="shared" si="25"/>
        <v/>
      </c>
      <c r="BR28" s="174" t="str">
        <f t="shared" si="26"/>
        <v/>
      </c>
      <c r="BS28" s="174" t="str">
        <f t="shared" si="27"/>
        <v/>
      </c>
      <c r="BT28" s="174" t="str">
        <f t="shared" si="28"/>
        <v/>
      </c>
      <c r="BU28" s="174" t="str">
        <f t="shared" si="29"/>
        <v/>
      </c>
      <c r="BV28" s="174" t="str">
        <f t="shared" si="30"/>
        <v/>
      </c>
      <c r="BW28" s="174" t="str">
        <f t="shared" si="31"/>
        <v/>
      </c>
      <c r="BX28" s="174" t="str">
        <f t="shared" si="32"/>
        <v/>
      </c>
      <c r="BY28" s="174" t="str">
        <f t="shared" si="33"/>
        <v/>
      </c>
      <c r="BZ28" s="174" t="str">
        <f t="shared" si="34"/>
        <v/>
      </c>
      <c r="CA28" s="174" t="str">
        <f t="shared" si="35"/>
        <v/>
      </c>
      <c r="CB28" s="161"/>
      <c r="CC28" s="161"/>
      <c r="CD28" s="161" t="s">
        <v>147</v>
      </c>
      <c r="CE28" s="161" t="s">
        <v>150</v>
      </c>
      <c r="CF28" s="161" t="s">
        <v>220</v>
      </c>
    </row>
    <row r="29" spans="1:84" ht="14.25" customHeight="1" x14ac:dyDescent="0.25">
      <c r="A29" s="203">
        <v>19</v>
      </c>
      <c r="B29" s="86"/>
      <c r="C29" s="193"/>
      <c r="D29" s="143"/>
      <c r="E29" s="308" t="s">
        <v>92</v>
      </c>
      <c r="F29" s="213"/>
      <c r="G29" s="214"/>
      <c r="H29" s="214"/>
      <c r="I29" s="214"/>
      <c r="J29" s="214"/>
      <c r="K29" s="214"/>
      <c r="L29" s="295">
        <f t="shared" si="36"/>
        <v>0</v>
      </c>
      <c r="M29" s="296"/>
      <c r="N29" s="297"/>
      <c r="O29" s="340"/>
      <c r="P29" s="311" t="s">
        <v>66</v>
      </c>
      <c r="Q29" s="325"/>
      <c r="R29" s="326"/>
      <c r="S29" s="326"/>
      <c r="T29" s="326"/>
      <c r="U29" s="326"/>
      <c r="V29" s="92"/>
      <c r="W29" s="295">
        <f t="shared" si="37"/>
        <v>0</v>
      </c>
      <c r="X29" s="296"/>
      <c r="Y29" s="297"/>
      <c r="Z29" s="346"/>
      <c r="AA29" s="314" t="s">
        <v>148</v>
      </c>
      <c r="AB29" s="13"/>
      <c r="AC29" s="222"/>
      <c r="AD29" s="222"/>
      <c r="AE29" s="222"/>
      <c r="AF29" s="222"/>
      <c r="AG29" s="5"/>
      <c r="AH29" s="20">
        <f t="shared" si="38"/>
        <v>0</v>
      </c>
      <c r="AI29" s="13"/>
      <c r="AJ29" s="5"/>
      <c r="AK29" s="343"/>
      <c r="AL29" s="100"/>
      <c r="AM29" s="98"/>
      <c r="AN29" s="226"/>
      <c r="AO29" s="225"/>
      <c r="AP29" s="89"/>
      <c r="AQ29" s="225"/>
      <c r="AR29" s="89"/>
      <c r="AS29" s="225"/>
      <c r="AT29" s="89"/>
      <c r="AU29" s="15">
        <f t="shared" si="13"/>
        <v>2.8999999999999998E-6</v>
      </c>
      <c r="AV29" s="15">
        <f t="shared" si="39"/>
        <v>0</v>
      </c>
      <c r="AW29" s="15"/>
      <c r="AX29" s="210">
        <v>19</v>
      </c>
      <c r="AY29" s="84">
        <f t="shared" si="14"/>
        <v>3.1699999999999998E-5</v>
      </c>
      <c r="AZ29" s="207">
        <f t="shared" si="15"/>
        <v>0</v>
      </c>
      <c r="BA29" s="233">
        <f t="shared" si="16"/>
        <v>2.8999999999999998E-6</v>
      </c>
      <c r="BB29" s="15">
        <f t="shared" si="22"/>
        <v>0</v>
      </c>
      <c r="BC29" s="210">
        <v>19</v>
      </c>
      <c r="BD29" s="84">
        <f t="shared" si="17"/>
        <v>3.01E-5</v>
      </c>
      <c r="BE29" s="207">
        <f t="shared" si="18"/>
        <v>0</v>
      </c>
      <c r="BF29" s="233">
        <f t="shared" si="19"/>
        <v>2.8999999999999998E-6</v>
      </c>
      <c r="BG29" s="15">
        <f t="shared" si="23"/>
        <v>0</v>
      </c>
      <c r="BH29" s="210">
        <v>19</v>
      </c>
      <c r="BI29" s="84">
        <f t="shared" si="20"/>
        <v>3.01E-5</v>
      </c>
      <c r="BJ29" s="207">
        <f t="shared" si="21"/>
        <v>0</v>
      </c>
      <c r="BL29" s="123"/>
      <c r="BM29" s="123"/>
      <c r="BO29" s="173"/>
      <c r="BP29" s="174" t="str">
        <f t="shared" si="24"/>
        <v/>
      </c>
      <c r="BQ29" s="174" t="str">
        <f t="shared" si="25"/>
        <v/>
      </c>
      <c r="BR29" s="174" t="str">
        <f t="shared" si="26"/>
        <v/>
      </c>
      <c r="BS29" s="174" t="str">
        <f t="shared" si="27"/>
        <v/>
      </c>
      <c r="BT29" s="174" t="str">
        <f t="shared" si="28"/>
        <v/>
      </c>
      <c r="BU29" s="174" t="str">
        <f t="shared" si="29"/>
        <v/>
      </c>
      <c r="BV29" s="174" t="str">
        <f t="shared" si="30"/>
        <v/>
      </c>
      <c r="BW29" s="174" t="str">
        <f t="shared" si="31"/>
        <v/>
      </c>
      <c r="BX29" s="174" t="str">
        <f t="shared" si="32"/>
        <v/>
      </c>
      <c r="BY29" s="174" t="str">
        <f t="shared" si="33"/>
        <v/>
      </c>
      <c r="BZ29" s="174" t="str">
        <f t="shared" si="34"/>
        <v/>
      </c>
      <c r="CA29" s="174" t="str">
        <f t="shared" si="35"/>
        <v/>
      </c>
      <c r="CB29" s="161"/>
      <c r="CC29" s="161"/>
      <c r="CD29" s="161" t="s">
        <v>147</v>
      </c>
      <c r="CE29" s="161" t="s">
        <v>150</v>
      </c>
      <c r="CF29" s="161" t="s">
        <v>220</v>
      </c>
    </row>
    <row r="30" spans="1:84" ht="14.25" customHeight="1" x14ac:dyDescent="0.25">
      <c r="A30" s="204">
        <v>20</v>
      </c>
      <c r="B30" s="211"/>
      <c r="C30" s="194"/>
      <c r="D30" s="142"/>
      <c r="E30" s="309" t="s">
        <v>92</v>
      </c>
      <c r="F30" s="305"/>
      <c r="G30" s="306"/>
      <c r="H30" s="306"/>
      <c r="I30" s="306"/>
      <c r="J30" s="306"/>
      <c r="K30" s="306"/>
      <c r="L30" s="223">
        <f t="shared" si="36"/>
        <v>0</v>
      </c>
      <c r="M30" s="298"/>
      <c r="N30" s="299"/>
      <c r="O30" s="341"/>
      <c r="P30" s="312" t="s">
        <v>66</v>
      </c>
      <c r="Q30" s="305"/>
      <c r="R30" s="306"/>
      <c r="S30" s="306"/>
      <c r="T30" s="306"/>
      <c r="U30" s="306"/>
      <c r="V30" s="122"/>
      <c r="W30" s="223">
        <f t="shared" si="37"/>
        <v>0</v>
      </c>
      <c r="X30" s="298"/>
      <c r="Y30" s="299"/>
      <c r="Z30" s="341"/>
      <c r="AA30" s="312" t="s">
        <v>86</v>
      </c>
      <c r="AB30" s="77"/>
      <c r="AC30" s="319"/>
      <c r="AD30" s="319"/>
      <c r="AE30" s="319"/>
      <c r="AF30" s="319"/>
      <c r="AG30" s="320"/>
      <c r="AH30" s="20">
        <f t="shared" si="38"/>
        <v>0</v>
      </c>
      <c r="AI30" s="77"/>
      <c r="AJ30" s="320"/>
      <c r="AK30" s="344"/>
      <c r="AL30" s="101"/>
      <c r="AM30" s="209"/>
      <c r="AN30" s="208"/>
      <c r="AO30" s="220"/>
      <c r="AP30" s="212"/>
      <c r="AQ30" s="220"/>
      <c r="AR30" s="212"/>
      <c r="AS30" s="220"/>
      <c r="AT30" s="212"/>
      <c r="AU30" s="15">
        <f t="shared" si="13"/>
        <v>3.0000000000000001E-6</v>
      </c>
      <c r="AV30" s="15">
        <f t="shared" si="39"/>
        <v>0</v>
      </c>
      <c r="AW30" s="15"/>
      <c r="AX30" s="210">
        <v>20</v>
      </c>
      <c r="AY30" s="84">
        <f t="shared" si="14"/>
        <v>3.1599999999999996E-5</v>
      </c>
      <c r="AZ30" s="207">
        <f t="shared" si="15"/>
        <v>0</v>
      </c>
      <c r="BA30" s="233">
        <f t="shared" si="16"/>
        <v>3.0000000000000001E-6</v>
      </c>
      <c r="BB30" s="15">
        <f t="shared" si="22"/>
        <v>0</v>
      </c>
      <c r="BC30" s="210">
        <v>20</v>
      </c>
      <c r="BD30" s="84">
        <f t="shared" si="17"/>
        <v>2.9999999999999997E-5</v>
      </c>
      <c r="BE30" s="207">
        <f t="shared" si="18"/>
        <v>0</v>
      </c>
      <c r="BF30" s="233">
        <f t="shared" si="19"/>
        <v>3.0000000000000001E-6</v>
      </c>
      <c r="BG30" s="15">
        <f t="shared" si="23"/>
        <v>0</v>
      </c>
      <c r="BH30" s="210">
        <v>20</v>
      </c>
      <c r="BI30" s="84">
        <f t="shared" si="20"/>
        <v>2.9999999999999997E-5</v>
      </c>
      <c r="BJ30" s="207">
        <f t="shared" si="21"/>
        <v>0</v>
      </c>
      <c r="BL30" s="123"/>
      <c r="BM30" s="123"/>
      <c r="BO30" s="173"/>
      <c r="BP30" s="174" t="str">
        <f t="shared" si="24"/>
        <v/>
      </c>
      <c r="BQ30" s="174" t="str">
        <f t="shared" si="25"/>
        <v/>
      </c>
      <c r="BR30" s="174" t="str">
        <f t="shared" si="26"/>
        <v/>
      </c>
      <c r="BS30" s="174" t="str">
        <f t="shared" si="27"/>
        <v/>
      </c>
      <c r="BT30" s="174" t="str">
        <f t="shared" si="28"/>
        <v/>
      </c>
      <c r="BU30" s="174" t="str">
        <f t="shared" si="29"/>
        <v/>
      </c>
      <c r="BV30" s="174" t="str">
        <f t="shared" si="30"/>
        <v/>
      </c>
      <c r="BW30" s="174" t="str">
        <f t="shared" si="31"/>
        <v/>
      </c>
      <c r="BX30" s="174" t="str">
        <f t="shared" si="32"/>
        <v/>
      </c>
      <c r="BY30" s="174" t="str">
        <f t="shared" si="33"/>
        <v/>
      </c>
      <c r="BZ30" s="174" t="str">
        <f t="shared" si="34"/>
        <v/>
      </c>
      <c r="CA30" s="174" t="str">
        <f t="shared" si="35"/>
        <v/>
      </c>
      <c r="CB30" s="161"/>
      <c r="CC30" s="161"/>
      <c r="CD30" s="161" t="s">
        <v>147</v>
      </c>
      <c r="CE30" s="161" t="s">
        <v>150</v>
      </c>
      <c r="CF30" s="161" t="s">
        <v>220</v>
      </c>
    </row>
    <row r="31" spans="1:84" ht="14.25" customHeight="1" thickBot="1" x14ac:dyDescent="0.3">
      <c r="A31" s="205">
        <v>21</v>
      </c>
      <c r="B31" s="85"/>
      <c r="C31" s="195"/>
      <c r="D31" s="91"/>
      <c r="E31" s="310" t="s">
        <v>92</v>
      </c>
      <c r="F31" s="93"/>
      <c r="G31" s="97"/>
      <c r="H31" s="97"/>
      <c r="I31" s="97"/>
      <c r="J31" s="97"/>
      <c r="K31" s="97"/>
      <c r="L31" s="224">
        <f t="shared" si="36"/>
        <v>0</v>
      </c>
      <c r="M31" s="300"/>
      <c r="N31" s="301"/>
      <c r="O31" s="342"/>
      <c r="P31" s="313" t="s">
        <v>66</v>
      </c>
      <c r="Q31" s="93"/>
      <c r="R31" s="97"/>
      <c r="S31" s="97"/>
      <c r="T31" s="97"/>
      <c r="U31" s="97"/>
      <c r="V31" s="94"/>
      <c r="W31" s="224">
        <f t="shared" si="37"/>
        <v>0</v>
      </c>
      <c r="X31" s="300"/>
      <c r="Y31" s="301"/>
      <c r="Z31" s="342"/>
      <c r="AA31" s="313" t="s">
        <v>86</v>
      </c>
      <c r="AB31" s="78"/>
      <c r="AC31" s="321"/>
      <c r="AD31" s="321"/>
      <c r="AE31" s="321"/>
      <c r="AF31" s="321"/>
      <c r="AG31" s="322"/>
      <c r="AH31" s="88">
        <f t="shared" si="38"/>
        <v>0</v>
      </c>
      <c r="AI31" s="78"/>
      <c r="AJ31" s="322"/>
      <c r="AK31" s="345"/>
      <c r="AL31" s="102"/>
      <c r="AM31" s="99"/>
      <c r="AN31" s="227"/>
      <c r="AO31" s="221"/>
      <c r="AP31" s="90"/>
      <c r="AQ31" s="221"/>
      <c r="AR31" s="90"/>
      <c r="AS31" s="221"/>
      <c r="AT31" s="90"/>
      <c r="AU31" s="15">
        <f t="shared" si="13"/>
        <v>3.1E-6</v>
      </c>
      <c r="AV31" s="15">
        <f t="shared" si="39"/>
        <v>0</v>
      </c>
      <c r="AW31" s="15"/>
      <c r="AX31" s="210">
        <v>21</v>
      </c>
      <c r="AY31" s="84">
        <f t="shared" si="14"/>
        <v>3.15E-5</v>
      </c>
      <c r="AZ31" s="207">
        <f t="shared" si="15"/>
        <v>0</v>
      </c>
      <c r="BA31" s="233">
        <f t="shared" si="16"/>
        <v>3.1E-6</v>
      </c>
      <c r="BB31" s="15">
        <f t="shared" si="22"/>
        <v>0</v>
      </c>
      <c r="BC31" s="210">
        <v>21</v>
      </c>
      <c r="BD31" s="84">
        <f t="shared" si="17"/>
        <v>2.9899999999999998E-5</v>
      </c>
      <c r="BE31" s="207">
        <f t="shared" si="18"/>
        <v>0</v>
      </c>
      <c r="BF31" s="233">
        <f t="shared" si="19"/>
        <v>3.1E-6</v>
      </c>
      <c r="BG31" s="15">
        <f t="shared" si="23"/>
        <v>0</v>
      </c>
      <c r="BH31" s="210">
        <v>21</v>
      </c>
      <c r="BI31" s="84">
        <f t="shared" si="20"/>
        <v>2.9899999999999998E-5</v>
      </c>
      <c r="BJ31" s="207">
        <f t="shared" si="21"/>
        <v>0</v>
      </c>
      <c r="BL31" s="123"/>
      <c r="BM31" s="123"/>
      <c r="BO31" s="173"/>
      <c r="BP31" s="174" t="str">
        <f t="shared" si="24"/>
        <v/>
      </c>
      <c r="BQ31" s="174" t="str">
        <f t="shared" si="25"/>
        <v/>
      </c>
      <c r="BR31" s="174" t="str">
        <f t="shared" si="26"/>
        <v/>
      </c>
      <c r="BS31" s="174" t="str">
        <f t="shared" si="27"/>
        <v/>
      </c>
      <c r="BT31" s="174" t="str">
        <f t="shared" si="28"/>
        <v/>
      </c>
      <c r="BU31" s="174" t="str">
        <f t="shared" si="29"/>
        <v/>
      </c>
      <c r="BV31" s="174" t="str">
        <f t="shared" si="30"/>
        <v/>
      </c>
      <c r="BW31" s="174" t="str">
        <f t="shared" si="31"/>
        <v/>
      </c>
      <c r="BX31" s="174" t="str">
        <f t="shared" si="32"/>
        <v/>
      </c>
      <c r="BY31" s="174" t="str">
        <f t="shared" si="33"/>
        <v/>
      </c>
      <c r="BZ31" s="174" t="str">
        <f t="shared" si="34"/>
        <v/>
      </c>
      <c r="CA31" s="174" t="str">
        <f t="shared" si="35"/>
        <v/>
      </c>
      <c r="CB31" s="161"/>
      <c r="CC31" s="161"/>
      <c r="CD31" s="161" t="s">
        <v>147</v>
      </c>
      <c r="CE31" s="161" t="s">
        <v>150</v>
      </c>
      <c r="CF31" s="161" t="s">
        <v>220</v>
      </c>
    </row>
    <row r="32" spans="1:84" ht="14.25" customHeight="1" x14ac:dyDescent="0.25">
      <c r="A32" s="203">
        <v>22</v>
      </c>
      <c r="B32" s="86"/>
      <c r="C32" s="193"/>
      <c r="D32" s="143"/>
      <c r="E32" s="308" t="s">
        <v>92</v>
      </c>
      <c r="F32" s="213"/>
      <c r="G32" s="214"/>
      <c r="H32" s="214"/>
      <c r="I32" s="214"/>
      <c r="J32" s="214"/>
      <c r="K32" s="214"/>
      <c r="L32" s="295">
        <f t="shared" si="36"/>
        <v>0</v>
      </c>
      <c r="M32" s="296"/>
      <c r="N32" s="297"/>
      <c r="O32" s="340"/>
      <c r="P32" s="311" t="s">
        <v>66</v>
      </c>
      <c r="Q32" s="325"/>
      <c r="R32" s="326"/>
      <c r="S32" s="326"/>
      <c r="T32" s="326"/>
      <c r="U32" s="326"/>
      <c r="V32" s="92"/>
      <c r="W32" s="295">
        <f t="shared" si="37"/>
        <v>0</v>
      </c>
      <c r="X32" s="296"/>
      <c r="Y32" s="297"/>
      <c r="Z32" s="346"/>
      <c r="AA32" s="314" t="s">
        <v>148</v>
      </c>
      <c r="AB32" s="13"/>
      <c r="AC32" s="222"/>
      <c r="AD32" s="222"/>
      <c r="AE32" s="222"/>
      <c r="AF32" s="222"/>
      <c r="AG32" s="5"/>
      <c r="AH32" s="20">
        <f t="shared" si="38"/>
        <v>0</v>
      </c>
      <c r="AI32" s="13"/>
      <c r="AJ32" s="5"/>
      <c r="AK32" s="343"/>
      <c r="AL32" s="100"/>
      <c r="AM32" s="98"/>
      <c r="AN32" s="226"/>
      <c r="AO32" s="225"/>
      <c r="AP32" s="89"/>
      <c r="AQ32" s="225"/>
      <c r="AR32" s="89"/>
      <c r="AS32" s="225"/>
      <c r="AT32" s="89"/>
      <c r="AU32" s="15">
        <f t="shared" si="13"/>
        <v>3.1999999999999999E-6</v>
      </c>
      <c r="AV32" s="15">
        <f t="shared" si="39"/>
        <v>0</v>
      </c>
      <c r="AW32" s="15"/>
      <c r="AX32" s="210">
        <v>22</v>
      </c>
      <c r="AY32" s="84">
        <f t="shared" si="14"/>
        <v>3.1399999999999998E-5</v>
      </c>
      <c r="AZ32" s="207">
        <f t="shared" si="15"/>
        <v>0</v>
      </c>
      <c r="BA32" s="233">
        <f t="shared" si="16"/>
        <v>3.1999999999999999E-6</v>
      </c>
      <c r="BB32" s="15">
        <f t="shared" si="22"/>
        <v>0</v>
      </c>
      <c r="BC32" s="210">
        <v>22</v>
      </c>
      <c r="BD32" s="84">
        <f t="shared" si="17"/>
        <v>2.9799999999999999E-5</v>
      </c>
      <c r="BE32" s="207">
        <f t="shared" si="18"/>
        <v>0</v>
      </c>
      <c r="BF32" s="233">
        <f t="shared" si="19"/>
        <v>3.1999999999999999E-6</v>
      </c>
      <c r="BG32" s="15">
        <f t="shared" si="23"/>
        <v>0</v>
      </c>
      <c r="BH32" s="210">
        <v>22</v>
      </c>
      <c r="BI32" s="84">
        <f t="shared" si="20"/>
        <v>2.9799999999999999E-5</v>
      </c>
      <c r="BJ32" s="207">
        <f t="shared" si="21"/>
        <v>0</v>
      </c>
      <c r="BL32" s="123"/>
      <c r="BM32" s="123"/>
      <c r="BO32" s="173"/>
      <c r="BP32" s="174" t="str">
        <f t="shared" si="24"/>
        <v/>
      </c>
      <c r="BQ32" s="174" t="str">
        <f t="shared" si="25"/>
        <v/>
      </c>
      <c r="BR32" s="174" t="str">
        <f t="shared" si="26"/>
        <v/>
      </c>
      <c r="BS32" s="174" t="str">
        <f t="shared" si="27"/>
        <v/>
      </c>
      <c r="BT32" s="174" t="str">
        <f t="shared" si="28"/>
        <v/>
      </c>
      <c r="BU32" s="174" t="str">
        <f t="shared" si="29"/>
        <v/>
      </c>
      <c r="BV32" s="174" t="str">
        <f t="shared" si="30"/>
        <v/>
      </c>
      <c r="BW32" s="174" t="str">
        <f t="shared" si="31"/>
        <v/>
      </c>
      <c r="BX32" s="174" t="str">
        <f t="shared" si="32"/>
        <v/>
      </c>
      <c r="BY32" s="174" t="str">
        <f t="shared" si="33"/>
        <v/>
      </c>
      <c r="BZ32" s="174" t="str">
        <f t="shared" si="34"/>
        <v/>
      </c>
      <c r="CA32" s="174" t="str">
        <f t="shared" si="35"/>
        <v/>
      </c>
      <c r="CB32" s="161"/>
      <c r="CC32" s="161"/>
      <c r="CD32" s="161" t="s">
        <v>147</v>
      </c>
      <c r="CE32" s="161" t="s">
        <v>150</v>
      </c>
      <c r="CF32" s="161" t="s">
        <v>220</v>
      </c>
    </row>
    <row r="33" spans="1:84" ht="14.25" customHeight="1" x14ac:dyDescent="0.25">
      <c r="A33" s="204">
        <v>23</v>
      </c>
      <c r="B33" s="211"/>
      <c r="C33" s="194"/>
      <c r="D33" s="142"/>
      <c r="E33" s="309" t="s">
        <v>92</v>
      </c>
      <c r="F33" s="305"/>
      <c r="G33" s="306"/>
      <c r="H33" s="306"/>
      <c r="I33" s="306"/>
      <c r="J33" s="306"/>
      <c r="K33" s="306"/>
      <c r="L33" s="223">
        <f t="shared" si="36"/>
        <v>0</v>
      </c>
      <c r="M33" s="298"/>
      <c r="N33" s="299"/>
      <c r="O33" s="341"/>
      <c r="P33" s="312" t="s">
        <v>66</v>
      </c>
      <c r="Q33" s="305"/>
      <c r="R33" s="306"/>
      <c r="S33" s="306"/>
      <c r="T33" s="306"/>
      <c r="U33" s="306"/>
      <c r="V33" s="122"/>
      <c r="W33" s="223">
        <f t="shared" si="37"/>
        <v>0</v>
      </c>
      <c r="X33" s="298"/>
      <c r="Y33" s="299"/>
      <c r="Z33" s="341"/>
      <c r="AA33" s="312" t="s">
        <v>86</v>
      </c>
      <c r="AB33" s="77"/>
      <c r="AC33" s="319"/>
      <c r="AD33" s="319"/>
      <c r="AE33" s="319"/>
      <c r="AF33" s="319"/>
      <c r="AG33" s="320"/>
      <c r="AH33" s="20">
        <f t="shared" si="38"/>
        <v>0</v>
      </c>
      <c r="AI33" s="77"/>
      <c r="AJ33" s="320"/>
      <c r="AK33" s="344"/>
      <c r="AL33" s="101"/>
      <c r="AM33" s="209"/>
      <c r="AN33" s="208"/>
      <c r="AO33" s="220"/>
      <c r="AP33" s="212"/>
      <c r="AQ33" s="220"/>
      <c r="AR33" s="212"/>
      <c r="AS33" s="220"/>
      <c r="AT33" s="212"/>
      <c r="AU33" s="15">
        <f t="shared" si="13"/>
        <v>3.2999999999999997E-6</v>
      </c>
      <c r="AV33" s="15">
        <f t="shared" si="39"/>
        <v>0</v>
      </c>
      <c r="AW33" s="15"/>
      <c r="AX33" s="210">
        <v>23</v>
      </c>
      <c r="AY33" s="84">
        <f t="shared" si="14"/>
        <v>3.1300000000000002E-5</v>
      </c>
      <c r="AZ33" s="207">
        <f t="shared" si="15"/>
        <v>0</v>
      </c>
      <c r="BA33" s="233">
        <f t="shared" si="16"/>
        <v>3.2999999999999997E-6</v>
      </c>
      <c r="BB33" s="15">
        <f t="shared" si="22"/>
        <v>0</v>
      </c>
      <c r="BC33" s="210">
        <v>23</v>
      </c>
      <c r="BD33" s="84">
        <f t="shared" si="17"/>
        <v>2.97E-5</v>
      </c>
      <c r="BE33" s="207">
        <f t="shared" si="18"/>
        <v>0</v>
      </c>
      <c r="BF33" s="233">
        <f t="shared" si="19"/>
        <v>3.2999999999999997E-6</v>
      </c>
      <c r="BG33" s="15">
        <f t="shared" si="23"/>
        <v>0</v>
      </c>
      <c r="BH33" s="210">
        <v>23</v>
      </c>
      <c r="BI33" s="84">
        <f t="shared" si="20"/>
        <v>2.97E-5</v>
      </c>
      <c r="BJ33" s="207">
        <f t="shared" si="21"/>
        <v>0</v>
      </c>
      <c r="BL33" s="123"/>
      <c r="BM33" s="123"/>
      <c r="BO33" s="173"/>
      <c r="BP33" s="174" t="str">
        <f t="shared" si="24"/>
        <v/>
      </c>
      <c r="BQ33" s="174" t="str">
        <f t="shared" si="25"/>
        <v/>
      </c>
      <c r="BR33" s="174" t="str">
        <f t="shared" si="26"/>
        <v/>
      </c>
      <c r="BS33" s="174" t="str">
        <f t="shared" si="27"/>
        <v/>
      </c>
      <c r="BT33" s="174" t="str">
        <f t="shared" si="28"/>
        <v/>
      </c>
      <c r="BU33" s="174" t="str">
        <f t="shared" si="29"/>
        <v/>
      </c>
      <c r="BV33" s="174" t="str">
        <f t="shared" si="30"/>
        <v/>
      </c>
      <c r="BW33" s="174" t="str">
        <f t="shared" si="31"/>
        <v/>
      </c>
      <c r="BX33" s="174" t="str">
        <f t="shared" si="32"/>
        <v/>
      </c>
      <c r="BY33" s="174" t="str">
        <f t="shared" si="33"/>
        <v/>
      </c>
      <c r="BZ33" s="174" t="str">
        <f t="shared" si="34"/>
        <v/>
      </c>
      <c r="CA33" s="174" t="str">
        <f t="shared" si="35"/>
        <v/>
      </c>
      <c r="CB33" s="161"/>
      <c r="CC33" s="161"/>
      <c r="CD33" s="161" t="s">
        <v>147</v>
      </c>
      <c r="CE33" s="161" t="s">
        <v>150</v>
      </c>
      <c r="CF33" s="161" t="s">
        <v>220</v>
      </c>
    </row>
    <row r="34" spans="1:84" ht="14.25" customHeight="1" thickBot="1" x14ac:dyDescent="0.3">
      <c r="A34" s="205">
        <v>24</v>
      </c>
      <c r="B34" s="85"/>
      <c r="C34" s="195"/>
      <c r="D34" s="91"/>
      <c r="E34" s="310" t="s">
        <v>92</v>
      </c>
      <c r="F34" s="93"/>
      <c r="G34" s="97"/>
      <c r="H34" s="97"/>
      <c r="I34" s="97"/>
      <c r="J34" s="97"/>
      <c r="K34" s="97"/>
      <c r="L34" s="224">
        <f t="shared" si="36"/>
        <v>0</v>
      </c>
      <c r="M34" s="300"/>
      <c r="N34" s="301"/>
      <c r="O34" s="342"/>
      <c r="P34" s="313" t="s">
        <v>66</v>
      </c>
      <c r="Q34" s="93"/>
      <c r="R34" s="97"/>
      <c r="S34" s="97"/>
      <c r="T34" s="97"/>
      <c r="U34" s="97"/>
      <c r="V34" s="94"/>
      <c r="W34" s="224">
        <f t="shared" si="37"/>
        <v>0</v>
      </c>
      <c r="X34" s="300"/>
      <c r="Y34" s="301"/>
      <c r="Z34" s="342"/>
      <c r="AA34" s="313" t="s">
        <v>86</v>
      </c>
      <c r="AB34" s="78"/>
      <c r="AC34" s="321"/>
      <c r="AD34" s="321"/>
      <c r="AE34" s="321"/>
      <c r="AF34" s="321"/>
      <c r="AG34" s="322"/>
      <c r="AH34" s="88">
        <f t="shared" si="38"/>
        <v>0</v>
      </c>
      <c r="AI34" s="78"/>
      <c r="AJ34" s="322"/>
      <c r="AK34" s="345"/>
      <c r="AL34" s="102"/>
      <c r="AM34" s="99"/>
      <c r="AN34" s="227"/>
      <c r="AO34" s="221"/>
      <c r="AP34" s="90"/>
      <c r="AQ34" s="221"/>
      <c r="AR34" s="90"/>
      <c r="AS34" s="221"/>
      <c r="AT34" s="90"/>
      <c r="AU34" s="15">
        <f t="shared" si="13"/>
        <v>3.3999999999999996E-6</v>
      </c>
      <c r="AV34" s="15">
        <f t="shared" si="39"/>
        <v>0</v>
      </c>
      <c r="AW34" s="15"/>
      <c r="AX34" s="210">
        <v>24</v>
      </c>
      <c r="AY34" s="84">
        <f t="shared" si="14"/>
        <v>3.1199999999999999E-5</v>
      </c>
      <c r="AZ34" s="207">
        <f t="shared" si="15"/>
        <v>0</v>
      </c>
      <c r="BA34" s="233">
        <f t="shared" si="16"/>
        <v>3.3999999999999996E-6</v>
      </c>
      <c r="BB34" s="15">
        <f t="shared" si="22"/>
        <v>0</v>
      </c>
      <c r="BC34" s="210">
        <v>24</v>
      </c>
      <c r="BD34" s="84">
        <f t="shared" si="17"/>
        <v>2.9599999999999998E-5</v>
      </c>
      <c r="BE34" s="207">
        <f t="shared" si="18"/>
        <v>0</v>
      </c>
      <c r="BF34" s="233">
        <f t="shared" si="19"/>
        <v>3.3999999999999996E-6</v>
      </c>
      <c r="BG34" s="15">
        <f t="shared" si="23"/>
        <v>0</v>
      </c>
      <c r="BH34" s="210">
        <v>24</v>
      </c>
      <c r="BI34" s="84">
        <f t="shared" si="20"/>
        <v>2.9599999999999998E-5</v>
      </c>
      <c r="BJ34" s="207">
        <f t="shared" si="21"/>
        <v>0</v>
      </c>
      <c r="BL34" s="123"/>
      <c r="BM34" s="123"/>
      <c r="BO34" s="173"/>
      <c r="BP34" s="174" t="str">
        <f t="shared" si="24"/>
        <v/>
      </c>
      <c r="BQ34" s="174" t="str">
        <f t="shared" si="25"/>
        <v/>
      </c>
      <c r="BR34" s="174" t="str">
        <f t="shared" si="26"/>
        <v/>
      </c>
      <c r="BS34" s="174" t="str">
        <f t="shared" si="27"/>
        <v/>
      </c>
      <c r="BT34" s="174" t="str">
        <f t="shared" si="28"/>
        <v/>
      </c>
      <c r="BU34" s="174" t="str">
        <f t="shared" si="29"/>
        <v/>
      </c>
      <c r="BV34" s="174" t="str">
        <f t="shared" si="30"/>
        <v/>
      </c>
      <c r="BW34" s="174" t="str">
        <f t="shared" si="31"/>
        <v/>
      </c>
      <c r="BX34" s="174" t="str">
        <f t="shared" si="32"/>
        <v/>
      </c>
      <c r="BY34" s="174" t="str">
        <f t="shared" si="33"/>
        <v/>
      </c>
      <c r="BZ34" s="174" t="str">
        <f t="shared" si="34"/>
        <v/>
      </c>
      <c r="CA34" s="174" t="str">
        <f t="shared" si="35"/>
        <v/>
      </c>
      <c r="CB34" s="161"/>
      <c r="CC34" s="161"/>
      <c r="CD34" s="161" t="s">
        <v>147</v>
      </c>
      <c r="CE34" s="161" t="s">
        <v>150</v>
      </c>
      <c r="CF34" s="161" t="s">
        <v>220</v>
      </c>
    </row>
    <row r="35" spans="1:84" ht="14.25" customHeight="1" x14ac:dyDescent="0.25">
      <c r="A35" s="203">
        <v>25</v>
      </c>
      <c r="B35" s="86"/>
      <c r="C35" s="193"/>
      <c r="D35" s="143"/>
      <c r="E35" s="308" t="s">
        <v>92</v>
      </c>
      <c r="F35" s="213"/>
      <c r="G35" s="214"/>
      <c r="H35" s="214"/>
      <c r="I35" s="214"/>
      <c r="J35" s="214"/>
      <c r="K35" s="214"/>
      <c r="L35" s="295">
        <f t="shared" si="36"/>
        <v>0</v>
      </c>
      <c r="M35" s="296"/>
      <c r="N35" s="297"/>
      <c r="O35" s="340"/>
      <c r="P35" s="311" t="s">
        <v>66</v>
      </c>
      <c r="Q35" s="325"/>
      <c r="R35" s="326"/>
      <c r="S35" s="326"/>
      <c r="T35" s="326"/>
      <c r="U35" s="326"/>
      <c r="V35" s="92"/>
      <c r="W35" s="295">
        <f t="shared" si="37"/>
        <v>0</v>
      </c>
      <c r="X35" s="296"/>
      <c r="Y35" s="297"/>
      <c r="Z35" s="346"/>
      <c r="AA35" s="314" t="s">
        <v>148</v>
      </c>
      <c r="AB35" s="13"/>
      <c r="AC35" s="222"/>
      <c r="AD35" s="222"/>
      <c r="AE35" s="222"/>
      <c r="AF35" s="222"/>
      <c r="AG35" s="5"/>
      <c r="AH35" s="20">
        <f t="shared" si="38"/>
        <v>0</v>
      </c>
      <c r="AI35" s="13"/>
      <c r="AJ35" s="5"/>
      <c r="AK35" s="343"/>
      <c r="AL35" s="100"/>
      <c r="AM35" s="98"/>
      <c r="AN35" s="226"/>
      <c r="AO35" s="225"/>
      <c r="AP35" s="89"/>
      <c r="AQ35" s="225"/>
      <c r="AR35" s="89"/>
      <c r="AS35" s="225"/>
      <c r="AT35" s="89"/>
      <c r="AU35" s="15">
        <f t="shared" si="13"/>
        <v>3.4999999999999999E-6</v>
      </c>
      <c r="AV35" s="15">
        <f t="shared" si="39"/>
        <v>0</v>
      </c>
      <c r="AW35" s="15"/>
      <c r="AX35" s="210">
        <v>25</v>
      </c>
      <c r="AY35" s="84">
        <f t="shared" si="14"/>
        <v>3.1099999999999997E-5</v>
      </c>
      <c r="AZ35" s="207">
        <f t="shared" si="15"/>
        <v>0</v>
      </c>
      <c r="BA35" s="233">
        <f t="shared" si="16"/>
        <v>3.4999999999999999E-6</v>
      </c>
      <c r="BB35" s="15">
        <f t="shared" si="22"/>
        <v>0</v>
      </c>
      <c r="BC35" s="210">
        <v>25</v>
      </c>
      <c r="BD35" s="84">
        <f t="shared" si="17"/>
        <v>2.9499999999999999E-5</v>
      </c>
      <c r="BE35" s="207">
        <f t="shared" si="18"/>
        <v>0</v>
      </c>
      <c r="BF35" s="233">
        <f t="shared" si="19"/>
        <v>3.4999999999999999E-6</v>
      </c>
      <c r="BG35" s="15">
        <f t="shared" si="23"/>
        <v>0</v>
      </c>
      <c r="BH35" s="210">
        <v>25</v>
      </c>
      <c r="BI35" s="84">
        <f t="shared" si="20"/>
        <v>2.9499999999999999E-5</v>
      </c>
      <c r="BJ35" s="207">
        <f t="shared" si="21"/>
        <v>0</v>
      </c>
      <c r="BL35" s="123"/>
      <c r="BM35" s="123"/>
      <c r="BO35" s="173"/>
      <c r="BP35" s="174" t="str">
        <f t="shared" si="24"/>
        <v/>
      </c>
      <c r="BQ35" s="174" t="str">
        <f t="shared" si="25"/>
        <v/>
      </c>
      <c r="BR35" s="174" t="str">
        <f t="shared" si="26"/>
        <v/>
      </c>
      <c r="BS35" s="174" t="str">
        <f t="shared" si="27"/>
        <v/>
      </c>
      <c r="BT35" s="174" t="str">
        <f t="shared" si="28"/>
        <v/>
      </c>
      <c r="BU35" s="174" t="str">
        <f t="shared" si="29"/>
        <v/>
      </c>
      <c r="BV35" s="174" t="str">
        <f t="shared" si="30"/>
        <v/>
      </c>
      <c r="BW35" s="174" t="str">
        <f t="shared" si="31"/>
        <v/>
      </c>
      <c r="BX35" s="174" t="str">
        <f t="shared" si="32"/>
        <v/>
      </c>
      <c r="BY35" s="174" t="str">
        <f t="shared" si="33"/>
        <v/>
      </c>
      <c r="BZ35" s="174" t="str">
        <f t="shared" si="34"/>
        <v/>
      </c>
      <c r="CA35" s="174" t="str">
        <f t="shared" si="35"/>
        <v/>
      </c>
      <c r="CB35" s="161"/>
      <c r="CC35" s="161"/>
      <c r="CD35" s="161" t="s">
        <v>147</v>
      </c>
      <c r="CE35" s="161" t="s">
        <v>150</v>
      </c>
      <c r="CF35" s="161" t="s">
        <v>220</v>
      </c>
    </row>
    <row r="36" spans="1:84" ht="14.25" customHeight="1" x14ac:dyDescent="0.25">
      <c r="A36" s="204">
        <v>26</v>
      </c>
      <c r="B36" s="211"/>
      <c r="C36" s="194"/>
      <c r="D36" s="142"/>
      <c r="E36" s="309" t="s">
        <v>92</v>
      </c>
      <c r="F36" s="305"/>
      <c r="G36" s="306"/>
      <c r="H36" s="306"/>
      <c r="I36" s="306"/>
      <c r="J36" s="306"/>
      <c r="K36" s="306"/>
      <c r="L36" s="223">
        <f t="shared" si="36"/>
        <v>0</v>
      </c>
      <c r="M36" s="298"/>
      <c r="N36" s="299"/>
      <c r="O36" s="341"/>
      <c r="P36" s="312" t="s">
        <v>66</v>
      </c>
      <c r="Q36" s="305"/>
      <c r="R36" s="306"/>
      <c r="S36" s="306"/>
      <c r="T36" s="306"/>
      <c r="U36" s="306"/>
      <c r="V36" s="122"/>
      <c r="W36" s="223">
        <f t="shared" si="37"/>
        <v>0</v>
      </c>
      <c r="X36" s="298"/>
      <c r="Y36" s="299"/>
      <c r="Z36" s="341"/>
      <c r="AA36" s="312" t="s">
        <v>86</v>
      </c>
      <c r="AB36" s="77"/>
      <c r="AC36" s="319"/>
      <c r="AD36" s="319"/>
      <c r="AE36" s="319"/>
      <c r="AF36" s="319"/>
      <c r="AG36" s="320"/>
      <c r="AH36" s="20">
        <f t="shared" si="38"/>
        <v>0</v>
      </c>
      <c r="AI36" s="77"/>
      <c r="AJ36" s="320"/>
      <c r="AK36" s="344"/>
      <c r="AL36" s="101"/>
      <c r="AM36" s="209"/>
      <c r="AN36" s="208"/>
      <c r="AO36" s="220"/>
      <c r="AP36" s="212"/>
      <c r="AQ36" s="220"/>
      <c r="AR36" s="212"/>
      <c r="AS36" s="220"/>
      <c r="AT36" s="212"/>
      <c r="AU36" s="15">
        <f t="shared" si="13"/>
        <v>3.5999999999999998E-6</v>
      </c>
      <c r="AV36" s="15">
        <f t="shared" si="39"/>
        <v>0</v>
      </c>
      <c r="AW36" s="15"/>
      <c r="AX36" s="210">
        <v>26</v>
      </c>
      <c r="AY36" s="84">
        <f t="shared" si="14"/>
        <v>3.1000000000000001E-5</v>
      </c>
      <c r="AZ36" s="207">
        <f t="shared" si="15"/>
        <v>0</v>
      </c>
      <c r="BA36" s="233">
        <f t="shared" si="16"/>
        <v>3.5999999999999998E-6</v>
      </c>
      <c r="BB36" s="15">
        <f t="shared" si="22"/>
        <v>0</v>
      </c>
      <c r="BC36" s="210">
        <v>26</v>
      </c>
      <c r="BD36" s="84">
        <f t="shared" si="17"/>
        <v>2.94E-5</v>
      </c>
      <c r="BE36" s="207">
        <f t="shared" si="18"/>
        <v>0</v>
      </c>
      <c r="BF36" s="233">
        <f t="shared" si="19"/>
        <v>3.5999999999999998E-6</v>
      </c>
      <c r="BG36" s="15">
        <f t="shared" si="23"/>
        <v>0</v>
      </c>
      <c r="BH36" s="210">
        <v>26</v>
      </c>
      <c r="BI36" s="84">
        <f t="shared" si="20"/>
        <v>2.94E-5</v>
      </c>
      <c r="BJ36" s="207">
        <f t="shared" si="21"/>
        <v>0</v>
      </c>
      <c r="BL36" s="123"/>
      <c r="BM36" s="123"/>
      <c r="BO36" s="173"/>
      <c r="BP36" s="174" t="str">
        <f t="shared" si="24"/>
        <v/>
      </c>
      <c r="BQ36" s="174" t="str">
        <f t="shared" si="25"/>
        <v/>
      </c>
      <c r="BR36" s="174" t="str">
        <f t="shared" si="26"/>
        <v/>
      </c>
      <c r="BS36" s="174" t="str">
        <f t="shared" si="27"/>
        <v/>
      </c>
      <c r="BT36" s="174" t="str">
        <f t="shared" si="28"/>
        <v/>
      </c>
      <c r="BU36" s="174" t="str">
        <f t="shared" si="29"/>
        <v/>
      </c>
      <c r="BV36" s="174" t="str">
        <f t="shared" si="30"/>
        <v/>
      </c>
      <c r="BW36" s="174" t="str">
        <f t="shared" si="31"/>
        <v/>
      </c>
      <c r="BX36" s="174" t="str">
        <f t="shared" si="32"/>
        <v/>
      </c>
      <c r="BY36" s="174" t="str">
        <f t="shared" si="33"/>
        <v/>
      </c>
      <c r="BZ36" s="174" t="str">
        <f t="shared" si="34"/>
        <v/>
      </c>
      <c r="CA36" s="174" t="str">
        <f t="shared" si="35"/>
        <v/>
      </c>
      <c r="CB36" s="161"/>
      <c r="CC36" s="161"/>
      <c r="CD36" s="161" t="s">
        <v>147</v>
      </c>
      <c r="CE36" s="161" t="s">
        <v>150</v>
      </c>
      <c r="CF36" s="161" t="s">
        <v>220</v>
      </c>
    </row>
    <row r="37" spans="1:84" ht="14.25" customHeight="1" thickBot="1" x14ac:dyDescent="0.3">
      <c r="A37" s="205">
        <v>27</v>
      </c>
      <c r="B37" s="85"/>
      <c r="C37" s="195"/>
      <c r="D37" s="91"/>
      <c r="E37" s="310" t="s">
        <v>92</v>
      </c>
      <c r="F37" s="93"/>
      <c r="G37" s="97"/>
      <c r="H37" s="97"/>
      <c r="I37" s="97"/>
      <c r="J37" s="97"/>
      <c r="K37" s="97"/>
      <c r="L37" s="224">
        <f t="shared" si="36"/>
        <v>0</v>
      </c>
      <c r="M37" s="300"/>
      <c r="N37" s="301"/>
      <c r="O37" s="342"/>
      <c r="P37" s="313" t="s">
        <v>66</v>
      </c>
      <c r="Q37" s="93"/>
      <c r="R37" s="97"/>
      <c r="S37" s="97"/>
      <c r="T37" s="97"/>
      <c r="U37" s="97"/>
      <c r="V37" s="94"/>
      <c r="W37" s="224">
        <f t="shared" si="37"/>
        <v>0</v>
      </c>
      <c r="X37" s="300"/>
      <c r="Y37" s="301"/>
      <c r="Z37" s="342"/>
      <c r="AA37" s="313" t="s">
        <v>86</v>
      </c>
      <c r="AB37" s="78"/>
      <c r="AC37" s="321"/>
      <c r="AD37" s="321"/>
      <c r="AE37" s="321"/>
      <c r="AF37" s="321"/>
      <c r="AG37" s="322"/>
      <c r="AH37" s="88">
        <f t="shared" si="38"/>
        <v>0</v>
      </c>
      <c r="AI37" s="78"/>
      <c r="AJ37" s="322"/>
      <c r="AK37" s="345"/>
      <c r="AL37" s="102"/>
      <c r="AM37" s="99"/>
      <c r="AN37" s="227"/>
      <c r="AO37" s="221"/>
      <c r="AP37" s="90"/>
      <c r="AQ37" s="221"/>
      <c r="AR37" s="90"/>
      <c r="AS37" s="221"/>
      <c r="AT37" s="90"/>
      <c r="AU37" s="15">
        <f t="shared" si="13"/>
        <v>3.6999999999999997E-6</v>
      </c>
      <c r="AV37" s="15">
        <f t="shared" si="39"/>
        <v>0</v>
      </c>
      <c r="AW37" s="15"/>
      <c r="AX37" s="210">
        <v>27</v>
      </c>
      <c r="AY37" s="84">
        <f t="shared" si="14"/>
        <v>3.0899999999999999E-5</v>
      </c>
      <c r="AZ37" s="207">
        <f t="shared" si="15"/>
        <v>0</v>
      </c>
      <c r="BA37" s="233">
        <f t="shared" si="16"/>
        <v>3.6999999999999997E-6</v>
      </c>
      <c r="BB37" s="15">
        <f t="shared" si="22"/>
        <v>0</v>
      </c>
      <c r="BC37" s="210">
        <v>27</v>
      </c>
      <c r="BD37" s="84">
        <f t="shared" si="17"/>
        <v>2.9299999999999997E-5</v>
      </c>
      <c r="BE37" s="207">
        <f t="shared" si="18"/>
        <v>0</v>
      </c>
      <c r="BF37" s="233">
        <f t="shared" si="19"/>
        <v>3.6999999999999997E-6</v>
      </c>
      <c r="BG37" s="15">
        <f t="shared" si="23"/>
        <v>0</v>
      </c>
      <c r="BH37" s="210">
        <v>27</v>
      </c>
      <c r="BI37" s="84">
        <f t="shared" si="20"/>
        <v>2.9299999999999997E-5</v>
      </c>
      <c r="BJ37" s="207">
        <f t="shared" si="21"/>
        <v>0</v>
      </c>
      <c r="BL37" s="123"/>
      <c r="BM37" s="123"/>
      <c r="BO37" s="173"/>
      <c r="BP37" s="174" t="str">
        <f t="shared" si="24"/>
        <v/>
      </c>
      <c r="BQ37" s="174" t="str">
        <f t="shared" si="25"/>
        <v/>
      </c>
      <c r="BR37" s="174" t="str">
        <f t="shared" si="26"/>
        <v/>
      </c>
      <c r="BS37" s="174" t="str">
        <f t="shared" si="27"/>
        <v/>
      </c>
      <c r="BT37" s="174" t="str">
        <f t="shared" si="28"/>
        <v/>
      </c>
      <c r="BU37" s="174" t="str">
        <f t="shared" si="29"/>
        <v/>
      </c>
      <c r="BV37" s="174" t="str">
        <f t="shared" si="30"/>
        <v/>
      </c>
      <c r="BW37" s="174" t="str">
        <f t="shared" si="31"/>
        <v/>
      </c>
      <c r="BX37" s="174" t="str">
        <f t="shared" si="32"/>
        <v/>
      </c>
      <c r="BY37" s="174" t="str">
        <f t="shared" si="33"/>
        <v/>
      </c>
      <c r="BZ37" s="174" t="str">
        <f t="shared" si="34"/>
        <v/>
      </c>
      <c r="CA37" s="174" t="str">
        <f t="shared" si="35"/>
        <v/>
      </c>
      <c r="CB37" s="161"/>
      <c r="CC37" s="161"/>
      <c r="CD37" s="161" t="s">
        <v>147</v>
      </c>
      <c r="CE37" s="161" t="s">
        <v>150</v>
      </c>
      <c r="CF37" s="161" t="s">
        <v>220</v>
      </c>
    </row>
    <row r="38" spans="1:84" ht="14.25" customHeight="1" x14ac:dyDescent="0.25">
      <c r="A38" s="203">
        <v>28</v>
      </c>
      <c r="B38" s="86"/>
      <c r="C38" s="193"/>
      <c r="D38" s="143"/>
      <c r="E38" s="308" t="s">
        <v>92</v>
      </c>
      <c r="F38" s="213"/>
      <c r="G38" s="214"/>
      <c r="H38" s="214"/>
      <c r="I38" s="214"/>
      <c r="J38" s="214"/>
      <c r="K38" s="214"/>
      <c r="L38" s="295">
        <f t="shared" si="36"/>
        <v>0</v>
      </c>
      <c r="M38" s="296"/>
      <c r="N38" s="297"/>
      <c r="O38" s="340"/>
      <c r="P38" s="311" t="s">
        <v>66</v>
      </c>
      <c r="Q38" s="325"/>
      <c r="R38" s="326"/>
      <c r="S38" s="326"/>
      <c r="T38" s="326"/>
      <c r="U38" s="326"/>
      <c r="V38" s="92"/>
      <c r="W38" s="295">
        <f t="shared" si="37"/>
        <v>0</v>
      </c>
      <c r="X38" s="296"/>
      <c r="Y38" s="297"/>
      <c r="Z38" s="346"/>
      <c r="AA38" s="314" t="s">
        <v>148</v>
      </c>
      <c r="AB38" s="13"/>
      <c r="AC38" s="222"/>
      <c r="AD38" s="222"/>
      <c r="AE38" s="222"/>
      <c r="AF38" s="222"/>
      <c r="AG38" s="5"/>
      <c r="AH38" s="20">
        <f t="shared" si="38"/>
        <v>0</v>
      </c>
      <c r="AI38" s="13"/>
      <c r="AJ38" s="5"/>
      <c r="AK38" s="343"/>
      <c r="AL38" s="100"/>
      <c r="AM38" s="98"/>
      <c r="AN38" s="226"/>
      <c r="AO38" s="225"/>
      <c r="AP38" s="89"/>
      <c r="AQ38" s="225"/>
      <c r="AR38" s="89"/>
      <c r="AS38" s="225"/>
      <c r="AT38" s="89"/>
      <c r="AU38" s="15">
        <f t="shared" si="13"/>
        <v>3.8E-6</v>
      </c>
      <c r="AV38" s="15">
        <f t="shared" si="39"/>
        <v>0</v>
      </c>
      <c r="AW38" s="15"/>
      <c r="AX38" s="210">
        <v>28</v>
      </c>
      <c r="AY38" s="84">
        <f t="shared" si="14"/>
        <v>3.0799999999999996E-5</v>
      </c>
      <c r="AZ38" s="207">
        <f t="shared" si="15"/>
        <v>0</v>
      </c>
      <c r="BA38" s="233">
        <f t="shared" si="16"/>
        <v>3.8E-6</v>
      </c>
      <c r="BB38" s="15">
        <f t="shared" si="22"/>
        <v>0</v>
      </c>
      <c r="BC38" s="210">
        <v>28</v>
      </c>
      <c r="BD38" s="84">
        <f t="shared" si="17"/>
        <v>2.9199999999999998E-5</v>
      </c>
      <c r="BE38" s="207">
        <f t="shared" si="18"/>
        <v>0</v>
      </c>
      <c r="BF38" s="233">
        <f t="shared" si="19"/>
        <v>3.8E-6</v>
      </c>
      <c r="BG38" s="15">
        <f t="shared" si="23"/>
        <v>0</v>
      </c>
      <c r="BH38" s="210">
        <v>28</v>
      </c>
      <c r="BI38" s="84">
        <f t="shared" si="20"/>
        <v>2.9199999999999998E-5</v>
      </c>
      <c r="BJ38" s="207">
        <f t="shared" si="21"/>
        <v>0</v>
      </c>
      <c r="BL38" s="123"/>
      <c r="BM38" s="123"/>
      <c r="BO38" s="173"/>
      <c r="BP38" s="174" t="str">
        <f t="shared" si="24"/>
        <v/>
      </c>
      <c r="BQ38" s="174" t="str">
        <f t="shared" si="25"/>
        <v/>
      </c>
      <c r="BR38" s="174" t="str">
        <f t="shared" si="26"/>
        <v/>
      </c>
      <c r="BS38" s="174" t="str">
        <f t="shared" si="27"/>
        <v/>
      </c>
      <c r="BT38" s="174" t="str">
        <f t="shared" si="28"/>
        <v/>
      </c>
      <c r="BU38" s="174" t="str">
        <f t="shared" si="29"/>
        <v/>
      </c>
      <c r="BV38" s="174" t="str">
        <f t="shared" si="30"/>
        <v/>
      </c>
      <c r="BW38" s="174" t="str">
        <f t="shared" si="31"/>
        <v/>
      </c>
      <c r="BX38" s="174" t="str">
        <f t="shared" si="32"/>
        <v/>
      </c>
      <c r="BY38" s="174" t="str">
        <f t="shared" si="33"/>
        <v/>
      </c>
      <c r="BZ38" s="174" t="str">
        <f t="shared" si="34"/>
        <v/>
      </c>
      <c r="CA38" s="174" t="str">
        <f t="shared" si="35"/>
        <v/>
      </c>
      <c r="CB38" s="161"/>
      <c r="CC38" s="161"/>
      <c r="CD38" s="161" t="s">
        <v>147</v>
      </c>
      <c r="CE38" s="161" t="s">
        <v>150</v>
      </c>
      <c r="CF38" s="161" t="s">
        <v>220</v>
      </c>
    </row>
    <row r="39" spans="1:84" ht="14.25" customHeight="1" x14ac:dyDescent="0.25">
      <c r="A39" s="204">
        <v>29</v>
      </c>
      <c r="B39" s="211"/>
      <c r="C39" s="194"/>
      <c r="D39" s="142"/>
      <c r="E39" s="309" t="s">
        <v>92</v>
      </c>
      <c r="F39" s="305"/>
      <c r="G39" s="306"/>
      <c r="H39" s="306"/>
      <c r="I39" s="306"/>
      <c r="J39" s="306"/>
      <c r="K39" s="306"/>
      <c r="L39" s="223">
        <f t="shared" si="36"/>
        <v>0</v>
      </c>
      <c r="M39" s="298"/>
      <c r="N39" s="299"/>
      <c r="O39" s="341"/>
      <c r="P39" s="312" t="s">
        <v>66</v>
      </c>
      <c r="Q39" s="305"/>
      <c r="R39" s="306"/>
      <c r="S39" s="306"/>
      <c r="T39" s="306"/>
      <c r="U39" s="306"/>
      <c r="V39" s="122"/>
      <c r="W39" s="223">
        <f t="shared" si="37"/>
        <v>0</v>
      </c>
      <c r="X39" s="298"/>
      <c r="Y39" s="299"/>
      <c r="Z39" s="341"/>
      <c r="AA39" s="312" t="s">
        <v>86</v>
      </c>
      <c r="AB39" s="77"/>
      <c r="AC39" s="319"/>
      <c r="AD39" s="319"/>
      <c r="AE39" s="319"/>
      <c r="AF39" s="319"/>
      <c r="AG39" s="320"/>
      <c r="AH39" s="20">
        <f t="shared" si="38"/>
        <v>0</v>
      </c>
      <c r="AI39" s="77"/>
      <c r="AJ39" s="320"/>
      <c r="AK39" s="344"/>
      <c r="AL39" s="101"/>
      <c r="AM39" s="209"/>
      <c r="AN39" s="208"/>
      <c r="AO39" s="220"/>
      <c r="AP39" s="212"/>
      <c r="AQ39" s="220"/>
      <c r="AR39" s="212"/>
      <c r="AS39" s="220"/>
      <c r="AT39" s="212"/>
      <c r="AU39" s="15">
        <f t="shared" si="13"/>
        <v>3.8999999999999999E-6</v>
      </c>
      <c r="AV39" s="15">
        <f t="shared" si="39"/>
        <v>0</v>
      </c>
      <c r="AW39" s="15"/>
      <c r="AX39" s="210">
        <v>29</v>
      </c>
      <c r="AY39" s="84">
        <f t="shared" si="14"/>
        <v>3.0700000000000001E-5</v>
      </c>
      <c r="AZ39" s="207">
        <f t="shared" si="15"/>
        <v>0</v>
      </c>
      <c r="BA39" s="233">
        <f t="shared" si="16"/>
        <v>3.8999999999999999E-6</v>
      </c>
      <c r="BB39" s="15">
        <f t="shared" si="22"/>
        <v>0</v>
      </c>
      <c r="BC39" s="210">
        <v>29</v>
      </c>
      <c r="BD39" s="84">
        <f t="shared" si="17"/>
        <v>2.9099999999999999E-5</v>
      </c>
      <c r="BE39" s="207">
        <f t="shared" si="18"/>
        <v>0</v>
      </c>
      <c r="BF39" s="233">
        <f t="shared" si="19"/>
        <v>3.8999999999999999E-6</v>
      </c>
      <c r="BG39" s="15">
        <f t="shared" si="23"/>
        <v>0</v>
      </c>
      <c r="BH39" s="210">
        <v>29</v>
      </c>
      <c r="BI39" s="84">
        <f t="shared" si="20"/>
        <v>2.9099999999999999E-5</v>
      </c>
      <c r="BJ39" s="207">
        <f t="shared" si="21"/>
        <v>0</v>
      </c>
      <c r="BL39" s="123"/>
      <c r="BM39" s="123"/>
      <c r="BO39" s="173"/>
      <c r="BP39" s="174" t="str">
        <f t="shared" si="24"/>
        <v/>
      </c>
      <c r="BQ39" s="174" t="str">
        <f t="shared" si="25"/>
        <v/>
      </c>
      <c r="BR39" s="174" t="str">
        <f t="shared" si="26"/>
        <v/>
      </c>
      <c r="BS39" s="174" t="str">
        <f t="shared" si="27"/>
        <v/>
      </c>
      <c r="BT39" s="174" t="str">
        <f t="shared" si="28"/>
        <v/>
      </c>
      <c r="BU39" s="174" t="str">
        <f t="shared" si="29"/>
        <v/>
      </c>
      <c r="BV39" s="174" t="str">
        <f t="shared" si="30"/>
        <v/>
      </c>
      <c r="BW39" s="174" t="str">
        <f t="shared" si="31"/>
        <v/>
      </c>
      <c r="BX39" s="174" t="str">
        <f t="shared" si="32"/>
        <v/>
      </c>
      <c r="BY39" s="174" t="str">
        <f t="shared" si="33"/>
        <v/>
      </c>
      <c r="BZ39" s="174" t="str">
        <f t="shared" si="34"/>
        <v/>
      </c>
      <c r="CA39" s="174" t="str">
        <f t="shared" si="35"/>
        <v/>
      </c>
      <c r="CB39" s="161"/>
      <c r="CC39" s="161"/>
      <c r="CD39" s="161" t="s">
        <v>147</v>
      </c>
      <c r="CE39" s="161" t="s">
        <v>150</v>
      </c>
      <c r="CF39" s="161" t="s">
        <v>220</v>
      </c>
    </row>
    <row r="40" spans="1:84" ht="14.25" customHeight="1" thickBot="1" x14ac:dyDescent="0.3">
      <c r="A40" s="205">
        <v>30</v>
      </c>
      <c r="B40" s="85"/>
      <c r="C40" s="195"/>
      <c r="D40" s="91"/>
      <c r="E40" s="310" t="s">
        <v>92</v>
      </c>
      <c r="F40" s="93"/>
      <c r="G40" s="97"/>
      <c r="H40" s="97"/>
      <c r="I40" s="97"/>
      <c r="J40" s="97"/>
      <c r="K40" s="97"/>
      <c r="L40" s="224">
        <f t="shared" si="36"/>
        <v>0</v>
      </c>
      <c r="M40" s="300"/>
      <c r="N40" s="301"/>
      <c r="O40" s="342"/>
      <c r="P40" s="313" t="s">
        <v>66</v>
      </c>
      <c r="Q40" s="93"/>
      <c r="R40" s="97"/>
      <c r="S40" s="97"/>
      <c r="T40" s="97"/>
      <c r="U40" s="97"/>
      <c r="V40" s="94"/>
      <c r="W40" s="224">
        <f t="shared" si="37"/>
        <v>0</v>
      </c>
      <c r="X40" s="300"/>
      <c r="Y40" s="301"/>
      <c r="Z40" s="342"/>
      <c r="AA40" s="313" t="s">
        <v>86</v>
      </c>
      <c r="AB40" s="78"/>
      <c r="AC40" s="321"/>
      <c r="AD40" s="321"/>
      <c r="AE40" s="321"/>
      <c r="AF40" s="321"/>
      <c r="AG40" s="322"/>
      <c r="AH40" s="88">
        <f t="shared" si="38"/>
        <v>0</v>
      </c>
      <c r="AI40" s="78"/>
      <c r="AJ40" s="322"/>
      <c r="AK40" s="345"/>
      <c r="AL40" s="102"/>
      <c r="AM40" s="99"/>
      <c r="AN40" s="227"/>
      <c r="AO40" s="221"/>
      <c r="AP40" s="90"/>
      <c r="AQ40" s="221"/>
      <c r="AR40" s="90"/>
      <c r="AS40" s="221"/>
      <c r="AT40" s="90"/>
      <c r="AU40" s="15">
        <f t="shared" si="13"/>
        <v>3.9999999999999998E-6</v>
      </c>
      <c r="AV40" s="15">
        <f t="shared" si="39"/>
        <v>0</v>
      </c>
      <c r="AW40" s="15"/>
      <c r="AX40" s="210">
        <v>30</v>
      </c>
      <c r="AY40" s="84">
        <f t="shared" si="14"/>
        <v>3.0599999999999998E-5</v>
      </c>
      <c r="AZ40" s="207">
        <f t="shared" si="15"/>
        <v>0</v>
      </c>
      <c r="BA40" s="233">
        <f t="shared" si="16"/>
        <v>3.9999999999999998E-6</v>
      </c>
      <c r="BB40" s="15">
        <f t="shared" si="22"/>
        <v>0</v>
      </c>
      <c r="BC40" s="210">
        <v>30</v>
      </c>
      <c r="BD40" s="84">
        <f t="shared" si="17"/>
        <v>2.9E-5</v>
      </c>
      <c r="BE40" s="207">
        <f t="shared" si="18"/>
        <v>0</v>
      </c>
      <c r="BF40" s="233">
        <f t="shared" si="19"/>
        <v>3.9999999999999998E-6</v>
      </c>
      <c r="BG40" s="15">
        <f t="shared" si="23"/>
        <v>0</v>
      </c>
      <c r="BH40" s="210">
        <v>30</v>
      </c>
      <c r="BI40" s="84">
        <f t="shared" si="20"/>
        <v>2.9E-5</v>
      </c>
      <c r="BJ40" s="207">
        <f t="shared" si="21"/>
        <v>0</v>
      </c>
      <c r="BL40" s="123"/>
      <c r="BM40" s="123"/>
      <c r="BO40" s="173"/>
      <c r="BP40" s="174" t="str">
        <f t="shared" si="24"/>
        <v/>
      </c>
      <c r="BQ40" s="174" t="str">
        <f t="shared" si="25"/>
        <v/>
      </c>
      <c r="BR40" s="174" t="str">
        <f t="shared" si="26"/>
        <v/>
      </c>
      <c r="BS40" s="174" t="str">
        <f t="shared" si="27"/>
        <v/>
      </c>
      <c r="BT40" s="174" t="str">
        <f t="shared" si="28"/>
        <v/>
      </c>
      <c r="BU40" s="174" t="str">
        <f t="shared" si="29"/>
        <v/>
      </c>
      <c r="BV40" s="174" t="str">
        <f t="shared" si="30"/>
        <v/>
      </c>
      <c r="BW40" s="174" t="str">
        <f t="shared" si="31"/>
        <v/>
      </c>
      <c r="BX40" s="174" t="str">
        <f t="shared" si="32"/>
        <v/>
      </c>
      <c r="BY40" s="174" t="str">
        <f t="shared" si="33"/>
        <v/>
      </c>
      <c r="BZ40" s="174" t="str">
        <f t="shared" si="34"/>
        <v/>
      </c>
      <c r="CA40" s="174" t="str">
        <f t="shared" si="35"/>
        <v/>
      </c>
      <c r="CB40" s="161"/>
      <c r="CC40" s="161"/>
      <c r="CD40" s="161" t="s">
        <v>147</v>
      </c>
      <c r="CE40" s="161" t="s">
        <v>150</v>
      </c>
      <c r="CF40" s="161" t="s">
        <v>220</v>
      </c>
    </row>
    <row r="41" spans="1:84" ht="14.25" customHeight="1" x14ac:dyDescent="0.25">
      <c r="A41" s="203">
        <v>31</v>
      </c>
      <c r="B41" s="86"/>
      <c r="C41" s="193"/>
      <c r="D41" s="143"/>
      <c r="E41" s="308" t="s">
        <v>92</v>
      </c>
      <c r="F41" s="213"/>
      <c r="G41" s="214"/>
      <c r="H41" s="214"/>
      <c r="I41" s="214"/>
      <c r="J41" s="214"/>
      <c r="K41" s="214"/>
      <c r="L41" s="295">
        <f t="shared" si="36"/>
        <v>0</v>
      </c>
      <c r="M41" s="296"/>
      <c r="N41" s="297"/>
      <c r="O41" s="340"/>
      <c r="P41" s="311" t="s">
        <v>66</v>
      </c>
      <c r="Q41" s="325"/>
      <c r="R41" s="326"/>
      <c r="S41" s="326"/>
      <c r="T41" s="326"/>
      <c r="U41" s="326"/>
      <c r="V41" s="92"/>
      <c r="W41" s="295">
        <f t="shared" si="37"/>
        <v>0</v>
      </c>
      <c r="X41" s="296"/>
      <c r="Y41" s="297"/>
      <c r="Z41" s="346"/>
      <c r="AA41" s="314" t="s">
        <v>148</v>
      </c>
      <c r="AB41" s="13"/>
      <c r="AC41" s="222"/>
      <c r="AD41" s="222"/>
      <c r="AE41" s="222"/>
      <c r="AF41" s="222"/>
      <c r="AG41" s="5"/>
      <c r="AH41" s="20">
        <f t="shared" si="38"/>
        <v>0</v>
      </c>
      <c r="AI41" s="13"/>
      <c r="AJ41" s="5"/>
      <c r="AK41" s="343"/>
      <c r="AL41" s="100"/>
      <c r="AM41" s="98"/>
      <c r="AN41" s="226"/>
      <c r="AO41" s="225"/>
      <c r="AP41" s="89"/>
      <c r="AQ41" s="225"/>
      <c r="AR41" s="89"/>
      <c r="AS41" s="225"/>
      <c r="AT41" s="89"/>
      <c r="AU41" s="15">
        <f t="shared" si="13"/>
        <v>4.0999999999999997E-6</v>
      </c>
      <c r="AV41" s="15">
        <f t="shared" si="39"/>
        <v>0</v>
      </c>
      <c r="AW41" s="15"/>
      <c r="AX41" s="210">
        <v>31</v>
      </c>
      <c r="AY41" s="84">
        <f t="shared" si="14"/>
        <v>3.0499999999999999E-5</v>
      </c>
      <c r="AZ41" s="207">
        <f t="shared" si="15"/>
        <v>0</v>
      </c>
      <c r="BA41" s="233">
        <f t="shared" si="16"/>
        <v>4.0999999999999997E-6</v>
      </c>
      <c r="BB41" s="15">
        <f t="shared" si="22"/>
        <v>0</v>
      </c>
      <c r="BC41" s="210">
        <v>31</v>
      </c>
      <c r="BD41" s="84">
        <f t="shared" si="17"/>
        <v>2.8899999999999998E-5</v>
      </c>
      <c r="BE41" s="207">
        <f t="shared" si="18"/>
        <v>0</v>
      </c>
      <c r="BF41" s="233">
        <f t="shared" si="19"/>
        <v>4.0999999999999997E-6</v>
      </c>
      <c r="BG41" s="15">
        <f t="shared" si="23"/>
        <v>0</v>
      </c>
      <c r="BH41" s="210">
        <v>31</v>
      </c>
      <c r="BI41" s="84">
        <f t="shared" si="20"/>
        <v>2.8899999999999998E-5</v>
      </c>
      <c r="BJ41" s="207">
        <f t="shared" si="21"/>
        <v>0</v>
      </c>
      <c r="BL41" s="123"/>
      <c r="BM41" s="123"/>
      <c r="BO41" s="173"/>
      <c r="BP41" s="174" t="str">
        <f t="shared" si="24"/>
        <v/>
      </c>
      <c r="BQ41" s="174" t="str">
        <f t="shared" si="25"/>
        <v/>
      </c>
      <c r="BR41" s="174" t="str">
        <f t="shared" si="26"/>
        <v/>
      </c>
      <c r="BS41" s="174" t="str">
        <f t="shared" si="27"/>
        <v/>
      </c>
      <c r="BT41" s="174" t="str">
        <f t="shared" si="28"/>
        <v/>
      </c>
      <c r="BU41" s="174" t="str">
        <f t="shared" si="29"/>
        <v/>
      </c>
      <c r="BV41" s="174" t="str">
        <f t="shared" si="30"/>
        <v/>
      </c>
      <c r="BW41" s="174" t="str">
        <f t="shared" si="31"/>
        <v/>
      </c>
      <c r="BX41" s="174" t="str">
        <f t="shared" si="32"/>
        <v/>
      </c>
      <c r="BY41" s="174" t="str">
        <f t="shared" si="33"/>
        <v/>
      </c>
      <c r="BZ41" s="174" t="str">
        <f t="shared" si="34"/>
        <v/>
      </c>
      <c r="CA41" s="174" t="str">
        <f t="shared" si="35"/>
        <v/>
      </c>
      <c r="CB41" s="161"/>
      <c r="CC41" s="161"/>
      <c r="CD41" s="161" t="s">
        <v>147</v>
      </c>
      <c r="CE41" s="161" t="s">
        <v>150</v>
      </c>
      <c r="CF41" s="161" t="s">
        <v>220</v>
      </c>
    </row>
    <row r="42" spans="1:84" ht="14.25" customHeight="1" x14ac:dyDescent="0.25">
      <c r="A42" s="204">
        <v>32</v>
      </c>
      <c r="B42" s="211"/>
      <c r="C42" s="194"/>
      <c r="D42" s="142"/>
      <c r="E42" s="309" t="s">
        <v>92</v>
      </c>
      <c r="F42" s="305"/>
      <c r="G42" s="306"/>
      <c r="H42" s="306"/>
      <c r="I42" s="306"/>
      <c r="J42" s="306"/>
      <c r="K42" s="306"/>
      <c r="L42" s="223">
        <f t="shared" si="36"/>
        <v>0</v>
      </c>
      <c r="M42" s="298"/>
      <c r="N42" s="299"/>
      <c r="O42" s="341"/>
      <c r="P42" s="312" t="s">
        <v>66</v>
      </c>
      <c r="Q42" s="305"/>
      <c r="R42" s="306"/>
      <c r="S42" s="306"/>
      <c r="T42" s="306"/>
      <c r="U42" s="306"/>
      <c r="V42" s="122"/>
      <c r="W42" s="223">
        <f t="shared" si="37"/>
        <v>0</v>
      </c>
      <c r="X42" s="298"/>
      <c r="Y42" s="299"/>
      <c r="Z42" s="341"/>
      <c r="AA42" s="312" t="s">
        <v>86</v>
      </c>
      <c r="AB42" s="77"/>
      <c r="AC42" s="319"/>
      <c r="AD42" s="319"/>
      <c r="AE42" s="319"/>
      <c r="AF42" s="319"/>
      <c r="AG42" s="320"/>
      <c r="AH42" s="20">
        <f t="shared" si="38"/>
        <v>0</v>
      </c>
      <c r="AI42" s="77"/>
      <c r="AJ42" s="320"/>
      <c r="AK42" s="344"/>
      <c r="AL42" s="101"/>
      <c r="AM42" s="209"/>
      <c r="AN42" s="208"/>
      <c r="AO42" s="220"/>
      <c r="AP42" s="212"/>
      <c r="AQ42" s="220"/>
      <c r="AR42" s="212"/>
      <c r="AS42" s="220"/>
      <c r="AT42" s="212"/>
      <c r="AU42" s="15">
        <f t="shared" si="13"/>
        <v>4.1999999999999996E-6</v>
      </c>
      <c r="AV42" s="15">
        <f t="shared" si="39"/>
        <v>0</v>
      </c>
      <c r="AW42" s="15"/>
      <c r="AX42" s="210">
        <v>32</v>
      </c>
      <c r="AY42" s="84">
        <f t="shared" si="14"/>
        <v>3.04E-5</v>
      </c>
      <c r="AZ42" s="207">
        <f t="shared" si="15"/>
        <v>0</v>
      </c>
      <c r="BA42" s="233">
        <f t="shared" si="16"/>
        <v>4.1999999999999996E-6</v>
      </c>
      <c r="BB42" s="15">
        <f t="shared" si="22"/>
        <v>0</v>
      </c>
      <c r="BC42" s="210">
        <v>32</v>
      </c>
      <c r="BD42" s="84">
        <f t="shared" si="17"/>
        <v>2.8799999999999999E-5</v>
      </c>
      <c r="BE42" s="207">
        <f t="shared" si="18"/>
        <v>0</v>
      </c>
      <c r="BF42" s="233">
        <f t="shared" si="19"/>
        <v>4.1999999999999996E-6</v>
      </c>
      <c r="BG42" s="15">
        <f t="shared" si="23"/>
        <v>0</v>
      </c>
      <c r="BH42" s="210">
        <v>32</v>
      </c>
      <c r="BI42" s="84">
        <f t="shared" si="20"/>
        <v>2.8799999999999999E-5</v>
      </c>
      <c r="BJ42" s="207">
        <f t="shared" si="21"/>
        <v>0</v>
      </c>
      <c r="BL42" s="123"/>
      <c r="BM42" s="123"/>
      <c r="BO42" s="173"/>
      <c r="BP42" s="174" t="str">
        <f t="shared" si="24"/>
        <v/>
      </c>
      <c r="BQ42" s="174" t="str">
        <f t="shared" si="25"/>
        <v/>
      </c>
      <c r="BR42" s="174" t="str">
        <f t="shared" si="26"/>
        <v/>
      </c>
      <c r="BS42" s="174" t="str">
        <f t="shared" si="27"/>
        <v/>
      </c>
      <c r="BT42" s="174" t="str">
        <f t="shared" si="28"/>
        <v/>
      </c>
      <c r="BU42" s="174" t="str">
        <f t="shared" si="29"/>
        <v/>
      </c>
      <c r="BV42" s="174" t="str">
        <f t="shared" si="30"/>
        <v/>
      </c>
      <c r="BW42" s="174" t="str">
        <f t="shared" si="31"/>
        <v/>
      </c>
      <c r="BX42" s="174" t="str">
        <f t="shared" si="32"/>
        <v/>
      </c>
      <c r="BY42" s="174" t="str">
        <f t="shared" si="33"/>
        <v/>
      </c>
      <c r="BZ42" s="174" t="str">
        <f t="shared" si="34"/>
        <v/>
      </c>
      <c r="CA42" s="174" t="str">
        <f t="shared" si="35"/>
        <v/>
      </c>
      <c r="CB42" s="161"/>
      <c r="CC42" s="161"/>
      <c r="CD42" s="161" t="s">
        <v>147</v>
      </c>
      <c r="CE42" s="161" t="s">
        <v>150</v>
      </c>
      <c r="CF42" s="161" t="s">
        <v>220</v>
      </c>
    </row>
    <row r="43" spans="1:84" ht="14.25" customHeight="1" thickBot="1" x14ac:dyDescent="0.3">
      <c r="A43" s="205">
        <v>33</v>
      </c>
      <c r="B43" s="85"/>
      <c r="C43" s="195"/>
      <c r="D43" s="91"/>
      <c r="E43" s="310" t="s">
        <v>92</v>
      </c>
      <c r="F43" s="93"/>
      <c r="G43" s="97"/>
      <c r="H43" s="97"/>
      <c r="I43" s="97"/>
      <c r="J43" s="97"/>
      <c r="K43" s="97"/>
      <c r="L43" s="224">
        <f t="shared" si="36"/>
        <v>0</v>
      </c>
      <c r="M43" s="300"/>
      <c r="N43" s="301"/>
      <c r="O43" s="342"/>
      <c r="P43" s="313" t="s">
        <v>66</v>
      </c>
      <c r="Q43" s="93"/>
      <c r="R43" s="97"/>
      <c r="S43" s="97"/>
      <c r="T43" s="97"/>
      <c r="U43" s="97"/>
      <c r="V43" s="94"/>
      <c r="W43" s="224">
        <f t="shared" si="37"/>
        <v>0</v>
      </c>
      <c r="X43" s="300"/>
      <c r="Y43" s="301"/>
      <c r="Z43" s="342"/>
      <c r="AA43" s="313" t="s">
        <v>86</v>
      </c>
      <c r="AB43" s="78"/>
      <c r="AC43" s="321"/>
      <c r="AD43" s="321"/>
      <c r="AE43" s="321"/>
      <c r="AF43" s="321"/>
      <c r="AG43" s="322"/>
      <c r="AH43" s="88">
        <f t="shared" si="38"/>
        <v>0</v>
      </c>
      <c r="AI43" s="78"/>
      <c r="AJ43" s="322"/>
      <c r="AK43" s="345"/>
      <c r="AL43" s="102"/>
      <c r="AM43" s="99"/>
      <c r="AN43" s="227"/>
      <c r="AO43" s="221"/>
      <c r="AP43" s="90"/>
      <c r="AQ43" s="221"/>
      <c r="AR43" s="90"/>
      <c r="AS43" s="221"/>
      <c r="AT43" s="90"/>
      <c r="AU43" s="15">
        <f t="shared" si="13"/>
        <v>4.2999999999999995E-6</v>
      </c>
      <c r="AV43" s="15">
        <f t="shared" si="39"/>
        <v>0</v>
      </c>
      <c r="AW43" s="15"/>
      <c r="AX43" s="210">
        <v>33</v>
      </c>
      <c r="AY43" s="84">
        <f t="shared" si="14"/>
        <v>3.0299999999999998E-5</v>
      </c>
      <c r="AZ43" s="207">
        <f t="shared" si="15"/>
        <v>0</v>
      </c>
      <c r="BA43" s="233">
        <f t="shared" si="16"/>
        <v>4.2999999999999995E-6</v>
      </c>
      <c r="BB43" s="15">
        <f t="shared" si="22"/>
        <v>0</v>
      </c>
      <c r="BC43" s="210">
        <v>33</v>
      </c>
      <c r="BD43" s="84">
        <f t="shared" si="17"/>
        <v>2.87E-5</v>
      </c>
      <c r="BE43" s="207">
        <f t="shared" si="18"/>
        <v>0</v>
      </c>
      <c r="BF43" s="233">
        <f t="shared" si="19"/>
        <v>4.2999999999999995E-6</v>
      </c>
      <c r="BG43" s="15">
        <f t="shared" si="23"/>
        <v>0</v>
      </c>
      <c r="BH43" s="210">
        <v>33</v>
      </c>
      <c r="BI43" s="84">
        <f t="shared" si="20"/>
        <v>2.87E-5</v>
      </c>
      <c r="BJ43" s="207">
        <f t="shared" si="21"/>
        <v>0</v>
      </c>
      <c r="BL43" s="123"/>
      <c r="BM43" s="123"/>
      <c r="BO43" s="173"/>
      <c r="BP43" s="174" t="str">
        <f t="shared" si="24"/>
        <v/>
      </c>
      <c r="BQ43" s="174" t="str">
        <f t="shared" si="25"/>
        <v/>
      </c>
      <c r="BR43" s="174" t="str">
        <f t="shared" si="26"/>
        <v/>
      </c>
      <c r="BS43" s="174" t="str">
        <f t="shared" si="27"/>
        <v/>
      </c>
      <c r="BT43" s="174" t="str">
        <f t="shared" si="28"/>
        <v/>
      </c>
      <c r="BU43" s="174" t="str">
        <f t="shared" si="29"/>
        <v/>
      </c>
      <c r="BV43" s="174" t="str">
        <f t="shared" si="30"/>
        <v/>
      </c>
      <c r="BW43" s="174" t="str">
        <f t="shared" si="31"/>
        <v/>
      </c>
      <c r="BX43" s="174" t="str">
        <f t="shared" si="32"/>
        <v/>
      </c>
      <c r="BY43" s="174" t="str">
        <f t="shared" si="33"/>
        <v/>
      </c>
      <c r="BZ43" s="174" t="str">
        <f t="shared" si="34"/>
        <v/>
      </c>
      <c r="CA43" s="174" t="str">
        <f t="shared" si="35"/>
        <v/>
      </c>
      <c r="CB43" s="161"/>
      <c r="CC43" s="161"/>
      <c r="CD43" s="161" t="s">
        <v>147</v>
      </c>
      <c r="CE43" s="161" t="s">
        <v>150</v>
      </c>
      <c r="CF43" s="161" t="s">
        <v>220</v>
      </c>
    </row>
    <row r="44" spans="1:84" ht="14.25" customHeight="1" x14ac:dyDescent="0.25">
      <c r="A44" s="203">
        <v>34</v>
      </c>
      <c r="B44" s="86"/>
      <c r="C44" s="193"/>
      <c r="D44" s="143"/>
      <c r="E44" s="308" t="s">
        <v>92</v>
      </c>
      <c r="F44" s="213"/>
      <c r="G44" s="214"/>
      <c r="H44" s="214"/>
      <c r="I44" s="214"/>
      <c r="J44" s="214"/>
      <c r="K44" s="214"/>
      <c r="L44" s="295">
        <f t="shared" si="36"/>
        <v>0</v>
      </c>
      <c r="M44" s="296"/>
      <c r="N44" s="297"/>
      <c r="O44" s="340"/>
      <c r="P44" s="311" t="s">
        <v>66</v>
      </c>
      <c r="Q44" s="325"/>
      <c r="R44" s="326"/>
      <c r="S44" s="326"/>
      <c r="T44" s="326"/>
      <c r="U44" s="326"/>
      <c r="V44" s="92"/>
      <c r="W44" s="295">
        <f t="shared" si="37"/>
        <v>0</v>
      </c>
      <c r="X44" s="296"/>
      <c r="Y44" s="297"/>
      <c r="Z44" s="346"/>
      <c r="AA44" s="314" t="s">
        <v>148</v>
      </c>
      <c r="AB44" s="13"/>
      <c r="AC44" s="222"/>
      <c r="AD44" s="222"/>
      <c r="AE44" s="222"/>
      <c r="AF44" s="222"/>
      <c r="AG44" s="5"/>
      <c r="AH44" s="20">
        <f t="shared" si="38"/>
        <v>0</v>
      </c>
      <c r="AI44" s="13"/>
      <c r="AJ44" s="5"/>
      <c r="AK44" s="343"/>
      <c r="AL44" s="100"/>
      <c r="AM44" s="98"/>
      <c r="AN44" s="226"/>
      <c r="AO44" s="225"/>
      <c r="AP44" s="89"/>
      <c r="AQ44" s="225"/>
      <c r="AR44" s="89"/>
      <c r="AS44" s="225"/>
      <c r="AT44" s="89"/>
      <c r="AU44" s="15">
        <f t="shared" si="13"/>
        <v>4.4000000000000002E-6</v>
      </c>
      <c r="AV44" s="15">
        <f t="shared" si="39"/>
        <v>0</v>
      </c>
      <c r="AW44" s="15"/>
      <c r="AX44" s="210">
        <v>34</v>
      </c>
      <c r="AY44" s="84">
        <f t="shared" si="14"/>
        <v>3.0199999999999999E-5</v>
      </c>
      <c r="AZ44" s="207">
        <f t="shared" si="15"/>
        <v>0</v>
      </c>
      <c r="BA44" s="233">
        <f t="shared" si="16"/>
        <v>4.4000000000000002E-6</v>
      </c>
      <c r="BB44" s="15">
        <f t="shared" si="22"/>
        <v>0</v>
      </c>
      <c r="BC44" s="210">
        <v>34</v>
      </c>
      <c r="BD44" s="84">
        <f t="shared" si="17"/>
        <v>2.8599999999999997E-5</v>
      </c>
      <c r="BE44" s="207">
        <f t="shared" si="18"/>
        <v>0</v>
      </c>
      <c r="BF44" s="233">
        <f t="shared" si="19"/>
        <v>4.4000000000000002E-6</v>
      </c>
      <c r="BG44" s="15">
        <f t="shared" si="23"/>
        <v>0</v>
      </c>
      <c r="BH44" s="210">
        <v>34</v>
      </c>
      <c r="BI44" s="84">
        <f t="shared" si="20"/>
        <v>2.8599999999999997E-5</v>
      </c>
      <c r="BJ44" s="207">
        <f t="shared" si="21"/>
        <v>0</v>
      </c>
      <c r="BL44" s="123"/>
      <c r="BM44" s="123"/>
      <c r="BO44" s="173"/>
      <c r="BP44" s="174" t="str">
        <f t="shared" si="24"/>
        <v/>
      </c>
      <c r="BQ44" s="174" t="str">
        <f t="shared" si="25"/>
        <v/>
      </c>
      <c r="BR44" s="174" t="str">
        <f t="shared" si="26"/>
        <v/>
      </c>
      <c r="BS44" s="174" t="str">
        <f t="shared" si="27"/>
        <v/>
      </c>
      <c r="BT44" s="174" t="str">
        <f t="shared" si="28"/>
        <v/>
      </c>
      <c r="BU44" s="174" t="str">
        <f t="shared" si="29"/>
        <v/>
      </c>
      <c r="BV44" s="174" t="str">
        <f t="shared" si="30"/>
        <v/>
      </c>
      <c r="BW44" s="174" t="str">
        <f t="shared" si="31"/>
        <v/>
      </c>
      <c r="BX44" s="174" t="str">
        <f t="shared" si="32"/>
        <v/>
      </c>
      <c r="BY44" s="174" t="str">
        <f t="shared" si="33"/>
        <v/>
      </c>
      <c r="BZ44" s="174" t="str">
        <f t="shared" si="34"/>
        <v/>
      </c>
      <c r="CA44" s="174" t="str">
        <f t="shared" si="35"/>
        <v/>
      </c>
      <c r="CB44" s="161"/>
      <c r="CC44" s="161"/>
      <c r="CD44" s="161" t="s">
        <v>147</v>
      </c>
      <c r="CE44" s="161" t="s">
        <v>150</v>
      </c>
      <c r="CF44" s="161" t="s">
        <v>220</v>
      </c>
    </row>
    <row r="45" spans="1:84" ht="14.25" customHeight="1" x14ac:dyDescent="0.25">
      <c r="A45" s="204">
        <v>35</v>
      </c>
      <c r="B45" s="211"/>
      <c r="C45" s="194"/>
      <c r="D45" s="142"/>
      <c r="E45" s="309" t="s">
        <v>92</v>
      </c>
      <c r="F45" s="305"/>
      <c r="G45" s="306"/>
      <c r="H45" s="306"/>
      <c r="I45" s="306"/>
      <c r="J45" s="306"/>
      <c r="K45" s="306"/>
      <c r="L45" s="223">
        <f t="shared" si="36"/>
        <v>0</v>
      </c>
      <c r="M45" s="298"/>
      <c r="N45" s="299"/>
      <c r="O45" s="341"/>
      <c r="P45" s="312" t="s">
        <v>66</v>
      </c>
      <c r="Q45" s="305"/>
      <c r="R45" s="306"/>
      <c r="S45" s="306"/>
      <c r="T45" s="306"/>
      <c r="U45" s="306"/>
      <c r="V45" s="122"/>
      <c r="W45" s="223">
        <f t="shared" si="37"/>
        <v>0</v>
      </c>
      <c r="X45" s="298"/>
      <c r="Y45" s="299"/>
      <c r="Z45" s="341"/>
      <c r="AA45" s="312" t="s">
        <v>86</v>
      </c>
      <c r="AB45" s="77"/>
      <c r="AC45" s="319"/>
      <c r="AD45" s="319"/>
      <c r="AE45" s="319"/>
      <c r="AF45" s="319"/>
      <c r="AG45" s="320"/>
      <c r="AH45" s="20">
        <f t="shared" si="38"/>
        <v>0</v>
      </c>
      <c r="AI45" s="77"/>
      <c r="AJ45" s="320"/>
      <c r="AK45" s="344"/>
      <c r="AL45" s="101"/>
      <c r="AM45" s="209"/>
      <c r="AN45" s="208"/>
      <c r="AO45" s="220"/>
      <c r="AP45" s="212"/>
      <c r="AQ45" s="220"/>
      <c r="AR45" s="212"/>
      <c r="AS45" s="220"/>
      <c r="AT45" s="212"/>
      <c r="AU45" s="15">
        <f t="shared" si="13"/>
        <v>4.5000000000000001E-6</v>
      </c>
      <c r="AV45" s="15">
        <f t="shared" si="39"/>
        <v>0</v>
      </c>
      <c r="AW45" s="15"/>
      <c r="AX45" s="210">
        <v>35</v>
      </c>
      <c r="AY45" s="84">
        <f t="shared" si="14"/>
        <v>3.01E-5</v>
      </c>
      <c r="AZ45" s="207">
        <f t="shared" si="15"/>
        <v>0</v>
      </c>
      <c r="BA45" s="233">
        <f t="shared" si="16"/>
        <v>4.5000000000000001E-6</v>
      </c>
      <c r="BB45" s="15">
        <f t="shared" si="22"/>
        <v>0</v>
      </c>
      <c r="BC45" s="210">
        <v>35</v>
      </c>
      <c r="BD45" s="84">
        <f t="shared" si="17"/>
        <v>2.8499999999999998E-5</v>
      </c>
      <c r="BE45" s="207">
        <f t="shared" si="18"/>
        <v>0</v>
      </c>
      <c r="BF45" s="233">
        <f t="shared" si="19"/>
        <v>4.5000000000000001E-6</v>
      </c>
      <c r="BG45" s="15">
        <f t="shared" si="23"/>
        <v>0</v>
      </c>
      <c r="BH45" s="210">
        <v>35</v>
      </c>
      <c r="BI45" s="84">
        <f t="shared" si="20"/>
        <v>2.8499999999999998E-5</v>
      </c>
      <c r="BJ45" s="207">
        <f t="shared" si="21"/>
        <v>0</v>
      </c>
      <c r="BL45" s="123"/>
      <c r="BM45" s="123"/>
      <c r="BO45" s="173"/>
      <c r="BP45" s="174" t="str">
        <f t="shared" si="24"/>
        <v/>
      </c>
      <c r="BQ45" s="174" t="str">
        <f t="shared" si="25"/>
        <v/>
      </c>
      <c r="BR45" s="174" t="str">
        <f t="shared" si="26"/>
        <v/>
      </c>
      <c r="BS45" s="174" t="str">
        <f t="shared" si="27"/>
        <v/>
      </c>
      <c r="BT45" s="174" t="str">
        <f t="shared" si="28"/>
        <v/>
      </c>
      <c r="BU45" s="174" t="str">
        <f t="shared" si="29"/>
        <v/>
      </c>
      <c r="BV45" s="174" t="str">
        <f t="shared" si="30"/>
        <v/>
      </c>
      <c r="BW45" s="174" t="str">
        <f t="shared" si="31"/>
        <v/>
      </c>
      <c r="BX45" s="174" t="str">
        <f t="shared" si="32"/>
        <v/>
      </c>
      <c r="BY45" s="174" t="str">
        <f t="shared" si="33"/>
        <v/>
      </c>
      <c r="BZ45" s="174" t="str">
        <f t="shared" si="34"/>
        <v/>
      </c>
      <c r="CA45" s="174" t="str">
        <f t="shared" si="35"/>
        <v/>
      </c>
      <c r="CB45" s="161"/>
      <c r="CC45" s="161"/>
      <c r="CD45" s="161" t="s">
        <v>147</v>
      </c>
      <c r="CE45" s="161" t="s">
        <v>150</v>
      </c>
      <c r="CF45" s="161" t="s">
        <v>220</v>
      </c>
    </row>
    <row r="46" spans="1:84" ht="14.25" customHeight="1" thickBot="1" x14ac:dyDescent="0.3">
      <c r="A46" s="205">
        <v>36</v>
      </c>
      <c r="B46" s="85"/>
      <c r="C46" s="195"/>
      <c r="D46" s="91"/>
      <c r="E46" s="310" t="s">
        <v>92</v>
      </c>
      <c r="F46" s="93"/>
      <c r="G46" s="97"/>
      <c r="H46" s="97"/>
      <c r="I46" s="97"/>
      <c r="J46" s="97"/>
      <c r="K46" s="97"/>
      <c r="L46" s="224">
        <f t="shared" si="36"/>
        <v>0</v>
      </c>
      <c r="M46" s="300"/>
      <c r="N46" s="301"/>
      <c r="O46" s="342"/>
      <c r="P46" s="313" t="s">
        <v>66</v>
      </c>
      <c r="Q46" s="93"/>
      <c r="R46" s="97"/>
      <c r="S46" s="97"/>
      <c r="T46" s="97"/>
      <c r="U46" s="97"/>
      <c r="V46" s="94"/>
      <c r="W46" s="224">
        <f t="shared" si="37"/>
        <v>0</v>
      </c>
      <c r="X46" s="300"/>
      <c r="Y46" s="301"/>
      <c r="Z46" s="342"/>
      <c r="AA46" s="313" t="s">
        <v>86</v>
      </c>
      <c r="AB46" s="78"/>
      <c r="AC46" s="321"/>
      <c r="AD46" s="321"/>
      <c r="AE46" s="321"/>
      <c r="AF46" s="321"/>
      <c r="AG46" s="322"/>
      <c r="AH46" s="88">
        <f t="shared" si="38"/>
        <v>0</v>
      </c>
      <c r="AI46" s="78"/>
      <c r="AJ46" s="322"/>
      <c r="AK46" s="345"/>
      <c r="AL46" s="102"/>
      <c r="AM46" s="99"/>
      <c r="AN46" s="227"/>
      <c r="AO46" s="221"/>
      <c r="AP46" s="90"/>
      <c r="AQ46" s="221"/>
      <c r="AR46" s="90"/>
      <c r="AS46" s="221"/>
      <c r="AT46" s="90"/>
      <c r="AU46" s="15">
        <f t="shared" si="13"/>
        <v>4.6E-6</v>
      </c>
      <c r="AV46" s="15">
        <f t="shared" si="39"/>
        <v>0</v>
      </c>
      <c r="AW46" s="15"/>
      <c r="AX46" s="210">
        <v>36</v>
      </c>
      <c r="AY46" s="84">
        <f t="shared" si="14"/>
        <v>2.9999999999999997E-5</v>
      </c>
      <c r="AZ46" s="207">
        <f t="shared" si="15"/>
        <v>0</v>
      </c>
      <c r="BA46" s="233">
        <f t="shared" si="16"/>
        <v>4.6E-6</v>
      </c>
      <c r="BB46" s="15">
        <f t="shared" si="22"/>
        <v>0</v>
      </c>
      <c r="BC46" s="210">
        <v>36</v>
      </c>
      <c r="BD46" s="84">
        <f t="shared" si="17"/>
        <v>2.8399999999999999E-5</v>
      </c>
      <c r="BE46" s="207">
        <f t="shared" si="18"/>
        <v>0</v>
      </c>
      <c r="BF46" s="233">
        <f t="shared" si="19"/>
        <v>4.6E-6</v>
      </c>
      <c r="BG46" s="15">
        <f t="shared" si="23"/>
        <v>0</v>
      </c>
      <c r="BH46" s="210">
        <v>36</v>
      </c>
      <c r="BI46" s="84">
        <f t="shared" si="20"/>
        <v>2.8399999999999999E-5</v>
      </c>
      <c r="BJ46" s="207">
        <f t="shared" si="21"/>
        <v>0</v>
      </c>
      <c r="BL46" s="123"/>
      <c r="BM46" s="123"/>
      <c r="BO46" s="173"/>
      <c r="BP46" s="174" t="str">
        <f t="shared" si="24"/>
        <v/>
      </c>
      <c r="BQ46" s="174" t="str">
        <f t="shared" si="25"/>
        <v/>
      </c>
      <c r="BR46" s="174" t="str">
        <f t="shared" si="26"/>
        <v/>
      </c>
      <c r="BS46" s="174" t="str">
        <f t="shared" si="27"/>
        <v/>
      </c>
      <c r="BT46" s="174" t="str">
        <f t="shared" si="28"/>
        <v/>
      </c>
      <c r="BU46" s="174" t="str">
        <f t="shared" si="29"/>
        <v/>
      </c>
      <c r="BV46" s="174" t="str">
        <f t="shared" si="30"/>
        <v/>
      </c>
      <c r="BW46" s="174" t="str">
        <f t="shared" si="31"/>
        <v/>
      </c>
      <c r="BX46" s="174" t="str">
        <f t="shared" si="32"/>
        <v/>
      </c>
      <c r="BY46" s="174" t="str">
        <f t="shared" si="33"/>
        <v/>
      </c>
      <c r="BZ46" s="174" t="str">
        <f t="shared" si="34"/>
        <v/>
      </c>
      <c r="CA46" s="174" t="str">
        <f t="shared" si="35"/>
        <v/>
      </c>
      <c r="CB46" s="161"/>
      <c r="CC46" s="161"/>
      <c r="CD46" s="161" t="s">
        <v>147</v>
      </c>
      <c r="CE46" s="161" t="s">
        <v>150</v>
      </c>
      <c r="CF46" s="161" t="s">
        <v>220</v>
      </c>
    </row>
    <row r="47" spans="1:84" ht="14.25" customHeight="1" x14ac:dyDescent="0.25">
      <c r="A47" s="203">
        <v>37</v>
      </c>
      <c r="B47" s="86"/>
      <c r="C47" s="193"/>
      <c r="D47" s="143"/>
      <c r="E47" s="308" t="s">
        <v>92</v>
      </c>
      <c r="F47" s="213"/>
      <c r="G47" s="214"/>
      <c r="H47" s="214"/>
      <c r="I47" s="214"/>
      <c r="J47" s="214"/>
      <c r="K47" s="214"/>
      <c r="L47" s="295">
        <f t="shared" si="36"/>
        <v>0</v>
      </c>
      <c r="M47" s="296"/>
      <c r="N47" s="297"/>
      <c r="O47" s="340"/>
      <c r="P47" s="311" t="s">
        <v>66</v>
      </c>
      <c r="Q47" s="325"/>
      <c r="R47" s="326"/>
      <c r="S47" s="326"/>
      <c r="T47" s="326"/>
      <c r="U47" s="326"/>
      <c r="V47" s="92"/>
      <c r="W47" s="295">
        <f t="shared" si="37"/>
        <v>0</v>
      </c>
      <c r="X47" s="296"/>
      <c r="Y47" s="297"/>
      <c r="Z47" s="346"/>
      <c r="AA47" s="314" t="s">
        <v>148</v>
      </c>
      <c r="AB47" s="13"/>
      <c r="AC47" s="222"/>
      <c r="AD47" s="222"/>
      <c r="AE47" s="222"/>
      <c r="AF47" s="222"/>
      <c r="AG47" s="5"/>
      <c r="AH47" s="20">
        <f t="shared" si="38"/>
        <v>0</v>
      </c>
      <c r="AI47" s="13"/>
      <c r="AJ47" s="5"/>
      <c r="AK47" s="343"/>
      <c r="AL47" s="100"/>
      <c r="AM47" s="98"/>
      <c r="AN47" s="226"/>
      <c r="AO47" s="225"/>
      <c r="AP47" s="89"/>
      <c r="AQ47" s="225"/>
      <c r="AR47" s="89"/>
      <c r="AS47" s="225"/>
      <c r="AT47" s="89"/>
      <c r="AU47" s="15">
        <f t="shared" si="13"/>
        <v>4.6999999999999999E-6</v>
      </c>
      <c r="AV47" s="15">
        <f t="shared" si="39"/>
        <v>0</v>
      </c>
      <c r="AW47" s="15"/>
      <c r="AX47" s="210">
        <v>37</v>
      </c>
      <c r="AY47" s="84">
        <f t="shared" si="14"/>
        <v>2.9899999999999998E-5</v>
      </c>
      <c r="AZ47" s="207">
        <f t="shared" si="15"/>
        <v>0</v>
      </c>
      <c r="BA47" s="233">
        <f t="shared" si="16"/>
        <v>4.6999999999999999E-6</v>
      </c>
      <c r="BB47" s="15">
        <f t="shared" si="22"/>
        <v>0</v>
      </c>
      <c r="BC47" s="210">
        <v>37</v>
      </c>
      <c r="BD47" s="84">
        <f t="shared" si="17"/>
        <v>2.83E-5</v>
      </c>
      <c r="BE47" s="207">
        <f t="shared" si="18"/>
        <v>0</v>
      </c>
      <c r="BF47" s="233">
        <f t="shared" si="19"/>
        <v>4.6999999999999999E-6</v>
      </c>
      <c r="BG47" s="15">
        <f t="shared" si="23"/>
        <v>0</v>
      </c>
      <c r="BH47" s="210">
        <v>37</v>
      </c>
      <c r="BI47" s="84">
        <f t="shared" si="20"/>
        <v>2.83E-5</v>
      </c>
      <c r="BJ47" s="207">
        <f t="shared" si="21"/>
        <v>0</v>
      </c>
      <c r="BL47" s="123"/>
      <c r="BM47" s="123"/>
      <c r="BO47" s="173"/>
      <c r="BP47" s="174" t="str">
        <f t="shared" si="24"/>
        <v/>
      </c>
      <c r="BQ47" s="174" t="str">
        <f t="shared" si="25"/>
        <v/>
      </c>
      <c r="BR47" s="174" t="str">
        <f t="shared" si="26"/>
        <v/>
      </c>
      <c r="BS47" s="174" t="str">
        <f t="shared" si="27"/>
        <v/>
      </c>
      <c r="BT47" s="174" t="str">
        <f t="shared" si="28"/>
        <v/>
      </c>
      <c r="BU47" s="174" t="str">
        <f t="shared" si="29"/>
        <v/>
      </c>
      <c r="BV47" s="174" t="str">
        <f t="shared" si="30"/>
        <v/>
      </c>
      <c r="BW47" s="174" t="str">
        <f t="shared" si="31"/>
        <v/>
      </c>
      <c r="BX47" s="174" t="str">
        <f t="shared" si="32"/>
        <v/>
      </c>
      <c r="BY47" s="174" t="str">
        <f t="shared" si="33"/>
        <v/>
      </c>
      <c r="BZ47" s="174" t="str">
        <f t="shared" si="34"/>
        <v/>
      </c>
      <c r="CA47" s="174" t="str">
        <f t="shared" si="35"/>
        <v/>
      </c>
      <c r="CB47" s="161"/>
      <c r="CC47" s="161"/>
      <c r="CD47" s="161" t="s">
        <v>147</v>
      </c>
      <c r="CE47" s="161" t="s">
        <v>150</v>
      </c>
      <c r="CF47" s="161" t="s">
        <v>220</v>
      </c>
    </row>
    <row r="48" spans="1:84" ht="14.25" customHeight="1" x14ac:dyDescent="0.25">
      <c r="A48" s="204">
        <v>38</v>
      </c>
      <c r="B48" s="211"/>
      <c r="C48" s="194"/>
      <c r="D48" s="142"/>
      <c r="E48" s="309" t="s">
        <v>92</v>
      </c>
      <c r="F48" s="305"/>
      <c r="G48" s="306"/>
      <c r="H48" s="306"/>
      <c r="I48" s="306"/>
      <c r="J48" s="306"/>
      <c r="K48" s="306"/>
      <c r="L48" s="223">
        <f t="shared" si="36"/>
        <v>0</v>
      </c>
      <c r="M48" s="298"/>
      <c r="N48" s="299"/>
      <c r="O48" s="341"/>
      <c r="P48" s="312" t="s">
        <v>66</v>
      </c>
      <c r="Q48" s="305"/>
      <c r="R48" s="306"/>
      <c r="S48" s="306"/>
      <c r="T48" s="306"/>
      <c r="U48" s="306"/>
      <c r="V48" s="122"/>
      <c r="W48" s="223">
        <f t="shared" si="37"/>
        <v>0</v>
      </c>
      <c r="X48" s="298"/>
      <c r="Y48" s="299"/>
      <c r="Z48" s="341"/>
      <c r="AA48" s="312" t="s">
        <v>86</v>
      </c>
      <c r="AB48" s="77"/>
      <c r="AC48" s="319"/>
      <c r="AD48" s="319"/>
      <c r="AE48" s="319"/>
      <c r="AF48" s="319"/>
      <c r="AG48" s="320"/>
      <c r="AH48" s="20">
        <f t="shared" si="38"/>
        <v>0</v>
      </c>
      <c r="AI48" s="77"/>
      <c r="AJ48" s="320"/>
      <c r="AK48" s="344"/>
      <c r="AL48" s="101"/>
      <c r="AM48" s="209"/>
      <c r="AN48" s="208"/>
      <c r="AO48" s="220"/>
      <c r="AP48" s="212"/>
      <c r="AQ48" s="220"/>
      <c r="AR48" s="212"/>
      <c r="AS48" s="220"/>
      <c r="AT48" s="212"/>
      <c r="AU48" s="15">
        <f t="shared" si="13"/>
        <v>4.7999999999999998E-6</v>
      </c>
      <c r="AV48" s="15">
        <f t="shared" si="39"/>
        <v>0</v>
      </c>
      <c r="AW48" s="15"/>
      <c r="AX48" s="210">
        <v>38</v>
      </c>
      <c r="AY48" s="84">
        <f t="shared" si="14"/>
        <v>2.9799999999999999E-5</v>
      </c>
      <c r="AZ48" s="207">
        <f t="shared" si="15"/>
        <v>0</v>
      </c>
      <c r="BA48" s="233">
        <f t="shared" si="16"/>
        <v>4.7999999999999998E-6</v>
      </c>
      <c r="BB48" s="15">
        <f t="shared" si="22"/>
        <v>0</v>
      </c>
      <c r="BC48" s="210">
        <v>38</v>
      </c>
      <c r="BD48" s="84">
        <f t="shared" si="17"/>
        <v>2.8199999999999998E-5</v>
      </c>
      <c r="BE48" s="207">
        <f t="shared" si="18"/>
        <v>0</v>
      </c>
      <c r="BF48" s="233">
        <f t="shared" si="19"/>
        <v>4.7999999999999998E-6</v>
      </c>
      <c r="BG48" s="15">
        <f t="shared" si="23"/>
        <v>0</v>
      </c>
      <c r="BH48" s="210">
        <v>38</v>
      </c>
      <c r="BI48" s="84">
        <f t="shared" si="20"/>
        <v>2.8199999999999998E-5</v>
      </c>
      <c r="BJ48" s="207">
        <f t="shared" si="21"/>
        <v>0</v>
      </c>
      <c r="BL48" s="123"/>
      <c r="BM48" s="123"/>
      <c r="BO48" s="173"/>
      <c r="BP48" s="174" t="str">
        <f t="shared" si="24"/>
        <v/>
      </c>
      <c r="BQ48" s="174" t="str">
        <f t="shared" si="25"/>
        <v/>
      </c>
      <c r="BR48" s="174" t="str">
        <f t="shared" si="26"/>
        <v/>
      </c>
      <c r="BS48" s="174" t="str">
        <f t="shared" si="27"/>
        <v/>
      </c>
      <c r="BT48" s="174" t="str">
        <f t="shared" si="28"/>
        <v/>
      </c>
      <c r="BU48" s="174" t="str">
        <f t="shared" si="29"/>
        <v/>
      </c>
      <c r="BV48" s="174" t="str">
        <f t="shared" si="30"/>
        <v/>
      </c>
      <c r="BW48" s="174" t="str">
        <f t="shared" si="31"/>
        <v/>
      </c>
      <c r="BX48" s="174" t="str">
        <f t="shared" si="32"/>
        <v/>
      </c>
      <c r="BY48" s="174" t="str">
        <f t="shared" si="33"/>
        <v/>
      </c>
      <c r="BZ48" s="174" t="str">
        <f t="shared" si="34"/>
        <v/>
      </c>
      <c r="CA48" s="174" t="str">
        <f t="shared" si="35"/>
        <v/>
      </c>
      <c r="CB48" s="161"/>
      <c r="CC48" s="161"/>
      <c r="CD48" s="161" t="s">
        <v>147</v>
      </c>
      <c r="CE48" s="161" t="s">
        <v>150</v>
      </c>
      <c r="CF48" s="161" t="s">
        <v>220</v>
      </c>
    </row>
    <row r="49" spans="1:84" ht="14.25" customHeight="1" thickBot="1" x14ac:dyDescent="0.3">
      <c r="A49" s="205">
        <v>39</v>
      </c>
      <c r="B49" s="85"/>
      <c r="C49" s="195"/>
      <c r="D49" s="91"/>
      <c r="E49" s="310" t="s">
        <v>92</v>
      </c>
      <c r="F49" s="93"/>
      <c r="G49" s="97"/>
      <c r="H49" s="97"/>
      <c r="I49" s="97"/>
      <c r="J49" s="97"/>
      <c r="K49" s="97"/>
      <c r="L49" s="224">
        <f t="shared" si="36"/>
        <v>0</v>
      </c>
      <c r="M49" s="300"/>
      <c r="N49" s="301"/>
      <c r="O49" s="342"/>
      <c r="P49" s="313" t="s">
        <v>66</v>
      </c>
      <c r="Q49" s="93"/>
      <c r="R49" s="97"/>
      <c r="S49" s="97"/>
      <c r="T49" s="97"/>
      <c r="U49" s="97"/>
      <c r="V49" s="94"/>
      <c r="W49" s="224">
        <f t="shared" si="37"/>
        <v>0</v>
      </c>
      <c r="X49" s="300"/>
      <c r="Y49" s="301"/>
      <c r="Z49" s="342"/>
      <c r="AA49" s="313" t="s">
        <v>86</v>
      </c>
      <c r="AB49" s="78"/>
      <c r="AC49" s="321"/>
      <c r="AD49" s="321"/>
      <c r="AE49" s="321"/>
      <c r="AF49" s="321"/>
      <c r="AG49" s="322"/>
      <c r="AH49" s="88">
        <f t="shared" si="38"/>
        <v>0</v>
      </c>
      <c r="AI49" s="78"/>
      <c r="AJ49" s="322"/>
      <c r="AK49" s="345"/>
      <c r="AL49" s="102"/>
      <c r="AM49" s="99"/>
      <c r="AN49" s="227"/>
      <c r="AO49" s="221"/>
      <c r="AP49" s="90"/>
      <c r="AQ49" s="221"/>
      <c r="AR49" s="90"/>
      <c r="AS49" s="221"/>
      <c r="AT49" s="90"/>
      <c r="AU49" s="15">
        <f t="shared" si="13"/>
        <v>4.8999999999999997E-6</v>
      </c>
      <c r="AV49" s="15">
        <f t="shared" si="39"/>
        <v>0</v>
      </c>
      <c r="AW49" s="15"/>
      <c r="AX49" s="210">
        <v>39</v>
      </c>
      <c r="AY49" s="84">
        <f t="shared" si="14"/>
        <v>2.97E-5</v>
      </c>
      <c r="AZ49" s="207">
        <f t="shared" si="15"/>
        <v>0</v>
      </c>
      <c r="BA49" s="233">
        <f t="shared" si="16"/>
        <v>4.8999999999999997E-6</v>
      </c>
      <c r="BB49" s="15">
        <f t="shared" si="22"/>
        <v>0</v>
      </c>
      <c r="BC49" s="210">
        <v>39</v>
      </c>
      <c r="BD49" s="84">
        <f t="shared" si="17"/>
        <v>2.8099999999999999E-5</v>
      </c>
      <c r="BE49" s="207">
        <f t="shared" si="18"/>
        <v>0</v>
      </c>
      <c r="BF49" s="233">
        <f t="shared" si="19"/>
        <v>4.8999999999999997E-6</v>
      </c>
      <c r="BG49" s="15">
        <f t="shared" si="23"/>
        <v>0</v>
      </c>
      <c r="BH49" s="210">
        <v>39</v>
      </c>
      <c r="BI49" s="84">
        <f t="shared" si="20"/>
        <v>2.8099999999999999E-5</v>
      </c>
      <c r="BJ49" s="207">
        <f t="shared" si="21"/>
        <v>0</v>
      </c>
      <c r="BL49" s="123"/>
      <c r="BM49" s="123"/>
      <c r="BO49" s="173"/>
      <c r="BP49" s="174" t="str">
        <f t="shared" si="24"/>
        <v/>
      </c>
      <c r="BQ49" s="174" t="str">
        <f t="shared" si="25"/>
        <v/>
      </c>
      <c r="BR49" s="174" t="str">
        <f t="shared" si="26"/>
        <v/>
      </c>
      <c r="BS49" s="174" t="str">
        <f t="shared" si="27"/>
        <v/>
      </c>
      <c r="BT49" s="174" t="str">
        <f t="shared" si="28"/>
        <v/>
      </c>
      <c r="BU49" s="174" t="str">
        <f t="shared" si="29"/>
        <v/>
      </c>
      <c r="BV49" s="174" t="str">
        <f t="shared" si="30"/>
        <v/>
      </c>
      <c r="BW49" s="174" t="str">
        <f t="shared" si="31"/>
        <v/>
      </c>
      <c r="BX49" s="174" t="str">
        <f t="shared" si="32"/>
        <v/>
      </c>
      <c r="BY49" s="174" t="str">
        <f t="shared" si="33"/>
        <v/>
      </c>
      <c r="BZ49" s="174" t="str">
        <f t="shared" si="34"/>
        <v/>
      </c>
      <c r="CA49" s="174" t="str">
        <f t="shared" si="35"/>
        <v/>
      </c>
      <c r="CB49" s="161"/>
      <c r="CC49" s="161"/>
      <c r="CD49" s="161" t="s">
        <v>147</v>
      </c>
      <c r="CE49" s="161" t="s">
        <v>150</v>
      </c>
      <c r="CF49" s="161" t="s">
        <v>220</v>
      </c>
    </row>
    <row r="50" spans="1:84" ht="14.25" customHeight="1" x14ac:dyDescent="0.25">
      <c r="A50" s="203">
        <v>40</v>
      </c>
      <c r="B50" s="86"/>
      <c r="C50" s="193"/>
      <c r="D50" s="143"/>
      <c r="E50" s="308" t="s">
        <v>92</v>
      </c>
      <c r="F50" s="213"/>
      <c r="G50" s="214"/>
      <c r="H50" s="214"/>
      <c r="I50" s="214"/>
      <c r="J50" s="214"/>
      <c r="K50" s="214"/>
      <c r="L50" s="295">
        <f t="shared" si="36"/>
        <v>0</v>
      </c>
      <c r="M50" s="296"/>
      <c r="N50" s="297"/>
      <c r="O50" s="340"/>
      <c r="P50" s="311" t="s">
        <v>66</v>
      </c>
      <c r="Q50" s="325"/>
      <c r="R50" s="326"/>
      <c r="S50" s="326"/>
      <c r="T50" s="326"/>
      <c r="U50" s="326"/>
      <c r="V50" s="92"/>
      <c r="W50" s="295">
        <f t="shared" si="37"/>
        <v>0</v>
      </c>
      <c r="X50" s="296"/>
      <c r="Y50" s="297"/>
      <c r="Z50" s="346"/>
      <c r="AA50" s="314" t="s">
        <v>148</v>
      </c>
      <c r="AB50" s="13"/>
      <c r="AC50" s="222"/>
      <c r="AD50" s="222"/>
      <c r="AE50" s="222"/>
      <c r="AF50" s="222"/>
      <c r="AG50" s="5"/>
      <c r="AH50" s="20">
        <f t="shared" si="38"/>
        <v>0</v>
      </c>
      <c r="AI50" s="13"/>
      <c r="AJ50" s="5"/>
      <c r="AK50" s="343"/>
      <c r="AL50" s="100"/>
      <c r="AM50" s="98"/>
      <c r="AN50" s="226"/>
      <c r="AO50" s="225"/>
      <c r="AP50" s="89"/>
      <c r="AQ50" s="225"/>
      <c r="AR50" s="89"/>
      <c r="AS50" s="225"/>
      <c r="AT50" s="89"/>
      <c r="AU50" s="15">
        <f t="shared" si="13"/>
        <v>4.9999999999999996E-6</v>
      </c>
      <c r="AV50" s="15">
        <f t="shared" si="39"/>
        <v>0</v>
      </c>
      <c r="AW50" s="15"/>
      <c r="AX50" s="210">
        <v>40</v>
      </c>
      <c r="AY50" s="84">
        <f t="shared" si="14"/>
        <v>2.9599999999999998E-5</v>
      </c>
      <c r="AZ50" s="207">
        <f t="shared" si="15"/>
        <v>0</v>
      </c>
      <c r="BA50" s="233">
        <f t="shared" si="16"/>
        <v>4.9999999999999996E-6</v>
      </c>
      <c r="BB50" s="15">
        <f t="shared" si="22"/>
        <v>0</v>
      </c>
      <c r="BC50" s="210">
        <v>40</v>
      </c>
      <c r="BD50" s="84">
        <f t="shared" si="17"/>
        <v>2.8E-5</v>
      </c>
      <c r="BE50" s="207">
        <f t="shared" si="18"/>
        <v>0</v>
      </c>
      <c r="BF50" s="233">
        <f t="shared" si="19"/>
        <v>4.9999999999999996E-6</v>
      </c>
      <c r="BG50" s="15">
        <f t="shared" si="23"/>
        <v>0</v>
      </c>
      <c r="BH50" s="210">
        <v>40</v>
      </c>
      <c r="BI50" s="84">
        <f t="shared" si="20"/>
        <v>2.8E-5</v>
      </c>
      <c r="BJ50" s="207">
        <f t="shared" si="21"/>
        <v>0</v>
      </c>
      <c r="BL50" s="123"/>
      <c r="BM50" s="123"/>
      <c r="BO50" s="173"/>
      <c r="BP50" s="174" t="str">
        <f t="shared" si="24"/>
        <v/>
      </c>
      <c r="BQ50" s="174" t="str">
        <f t="shared" si="25"/>
        <v/>
      </c>
      <c r="BR50" s="174" t="str">
        <f t="shared" si="26"/>
        <v/>
      </c>
      <c r="BS50" s="174" t="str">
        <f t="shared" si="27"/>
        <v/>
      </c>
      <c r="BT50" s="174" t="str">
        <f t="shared" si="28"/>
        <v/>
      </c>
      <c r="BU50" s="174" t="str">
        <f t="shared" si="29"/>
        <v/>
      </c>
      <c r="BV50" s="174" t="str">
        <f t="shared" si="30"/>
        <v/>
      </c>
      <c r="BW50" s="174" t="str">
        <f t="shared" si="31"/>
        <v/>
      </c>
      <c r="BX50" s="174" t="str">
        <f t="shared" si="32"/>
        <v/>
      </c>
      <c r="BY50" s="174" t="str">
        <f t="shared" si="33"/>
        <v/>
      </c>
      <c r="BZ50" s="174" t="str">
        <f t="shared" si="34"/>
        <v/>
      </c>
      <c r="CA50" s="174" t="str">
        <f t="shared" si="35"/>
        <v/>
      </c>
      <c r="CB50" s="161"/>
      <c r="CC50" s="161"/>
      <c r="CD50" s="161" t="s">
        <v>147</v>
      </c>
      <c r="CE50" s="161" t="s">
        <v>150</v>
      </c>
      <c r="CF50" s="161" t="s">
        <v>220</v>
      </c>
    </row>
    <row r="51" spans="1:84" ht="14.25" customHeight="1" x14ac:dyDescent="0.25">
      <c r="A51" s="204">
        <v>41</v>
      </c>
      <c r="B51" s="211"/>
      <c r="C51" s="194"/>
      <c r="D51" s="142"/>
      <c r="E51" s="309" t="s">
        <v>92</v>
      </c>
      <c r="F51" s="305"/>
      <c r="G51" s="306"/>
      <c r="H51" s="306"/>
      <c r="I51" s="306"/>
      <c r="J51" s="306"/>
      <c r="K51" s="306"/>
      <c r="L51" s="223">
        <f t="shared" si="36"/>
        <v>0</v>
      </c>
      <c r="M51" s="298"/>
      <c r="N51" s="299"/>
      <c r="O51" s="341"/>
      <c r="P51" s="312" t="s">
        <v>66</v>
      </c>
      <c r="Q51" s="305"/>
      <c r="R51" s="306"/>
      <c r="S51" s="306"/>
      <c r="T51" s="306"/>
      <c r="U51" s="306"/>
      <c r="V51" s="122"/>
      <c r="W51" s="223">
        <f t="shared" si="37"/>
        <v>0</v>
      </c>
      <c r="X51" s="298"/>
      <c r="Y51" s="299"/>
      <c r="Z51" s="341"/>
      <c r="AA51" s="312" t="s">
        <v>86</v>
      </c>
      <c r="AB51" s="77"/>
      <c r="AC51" s="319"/>
      <c r="AD51" s="319"/>
      <c r="AE51" s="319"/>
      <c r="AF51" s="319"/>
      <c r="AG51" s="320"/>
      <c r="AH51" s="20">
        <f t="shared" si="38"/>
        <v>0</v>
      </c>
      <c r="AI51" s="77"/>
      <c r="AJ51" s="320"/>
      <c r="AK51" s="344"/>
      <c r="AL51" s="101"/>
      <c r="AM51" s="209"/>
      <c r="AN51" s="208"/>
      <c r="AO51" s="220"/>
      <c r="AP51" s="212"/>
      <c r="AQ51" s="220"/>
      <c r="AR51" s="212"/>
      <c r="AS51" s="220"/>
      <c r="AT51" s="212"/>
      <c r="AU51" s="15">
        <f t="shared" si="13"/>
        <v>5.0999999999999995E-6</v>
      </c>
      <c r="AV51" s="15">
        <f t="shared" ref="AV51:AV74" si="40">B51</f>
        <v>0</v>
      </c>
      <c r="AW51" s="15"/>
      <c r="AX51" s="210">
        <v>41</v>
      </c>
      <c r="AY51" s="84">
        <f t="shared" si="14"/>
        <v>2.9499999999999999E-5</v>
      </c>
      <c r="AZ51" s="207">
        <f t="shared" si="15"/>
        <v>0</v>
      </c>
      <c r="BA51" s="233">
        <f t="shared" si="16"/>
        <v>5.0999999999999995E-6</v>
      </c>
      <c r="BB51" s="15">
        <f t="shared" si="22"/>
        <v>0</v>
      </c>
      <c r="BC51" s="210">
        <v>41</v>
      </c>
      <c r="BD51" s="84">
        <f t="shared" si="17"/>
        <v>2.7899999999999997E-5</v>
      </c>
      <c r="BE51" s="207">
        <f t="shared" si="18"/>
        <v>0</v>
      </c>
      <c r="BF51" s="233">
        <f t="shared" si="19"/>
        <v>5.0999999999999995E-6</v>
      </c>
      <c r="BG51" s="15">
        <f t="shared" si="23"/>
        <v>0</v>
      </c>
      <c r="BH51" s="210">
        <v>41</v>
      </c>
      <c r="BI51" s="84">
        <f t="shared" si="20"/>
        <v>2.7899999999999997E-5</v>
      </c>
      <c r="BJ51" s="207">
        <f t="shared" si="21"/>
        <v>0</v>
      </c>
      <c r="BL51" s="123"/>
      <c r="BM51" s="123"/>
      <c r="BO51" s="173"/>
      <c r="BP51" s="174" t="str">
        <f t="shared" si="24"/>
        <v/>
      </c>
      <c r="BQ51" s="174" t="str">
        <f t="shared" si="25"/>
        <v/>
      </c>
      <c r="BR51" s="174" t="str">
        <f t="shared" si="26"/>
        <v/>
      </c>
      <c r="BS51" s="174" t="str">
        <f t="shared" si="27"/>
        <v/>
      </c>
      <c r="BT51" s="174" t="str">
        <f t="shared" si="28"/>
        <v/>
      </c>
      <c r="BU51" s="174" t="str">
        <f t="shared" si="29"/>
        <v/>
      </c>
      <c r="BV51" s="174" t="str">
        <f t="shared" si="30"/>
        <v/>
      </c>
      <c r="BW51" s="174" t="str">
        <f t="shared" si="31"/>
        <v/>
      </c>
      <c r="BX51" s="174" t="str">
        <f t="shared" si="32"/>
        <v/>
      </c>
      <c r="BY51" s="174" t="str">
        <f t="shared" si="33"/>
        <v/>
      </c>
      <c r="BZ51" s="174" t="str">
        <f t="shared" si="34"/>
        <v/>
      </c>
      <c r="CA51" s="174" t="str">
        <f t="shared" si="35"/>
        <v/>
      </c>
      <c r="CB51" s="161"/>
      <c r="CC51" s="161"/>
      <c r="CD51" s="161" t="s">
        <v>147</v>
      </c>
      <c r="CE51" s="161" t="s">
        <v>150</v>
      </c>
      <c r="CF51" s="161" t="s">
        <v>220</v>
      </c>
    </row>
    <row r="52" spans="1:84" ht="14.25" customHeight="1" thickBot="1" x14ac:dyDescent="0.3">
      <c r="A52" s="205">
        <v>42</v>
      </c>
      <c r="B52" s="85"/>
      <c r="C52" s="195"/>
      <c r="D52" s="91"/>
      <c r="E52" s="310" t="s">
        <v>92</v>
      </c>
      <c r="F52" s="93"/>
      <c r="G52" s="97"/>
      <c r="H52" s="97"/>
      <c r="I52" s="97"/>
      <c r="J52" s="97"/>
      <c r="K52" s="97"/>
      <c r="L52" s="224">
        <f t="shared" si="36"/>
        <v>0</v>
      </c>
      <c r="M52" s="300"/>
      <c r="N52" s="301"/>
      <c r="O52" s="342"/>
      <c r="P52" s="313" t="s">
        <v>66</v>
      </c>
      <c r="Q52" s="93"/>
      <c r="R52" s="97"/>
      <c r="S52" s="97"/>
      <c r="T52" s="97"/>
      <c r="U52" s="97"/>
      <c r="V52" s="94"/>
      <c r="W52" s="224">
        <f t="shared" si="37"/>
        <v>0</v>
      </c>
      <c r="X52" s="300"/>
      <c r="Y52" s="301"/>
      <c r="Z52" s="342"/>
      <c r="AA52" s="313" t="s">
        <v>86</v>
      </c>
      <c r="AB52" s="78"/>
      <c r="AC52" s="321"/>
      <c r="AD52" s="321"/>
      <c r="AE52" s="321"/>
      <c r="AF52" s="321"/>
      <c r="AG52" s="322"/>
      <c r="AH52" s="88">
        <f t="shared" si="38"/>
        <v>0</v>
      </c>
      <c r="AI52" s="78"/>
      <c r="AJ52" s="322"/>
      <c r="AK52" s="345"/>
      <c r="AL52" s="102"/>
      <c r="AM52" s="99"/>
      <c r="AN52" s="227"/>
      <c r="AO52" s="221"/>
      <c r="AP52" s="90"/>
      <c r="AQ52" s="221"/>
      <c r="AR52" s="90"/>
      <c r="AS52" s="221"/>
      <c r="AT52" s="90"/>
      <c r="AU52" s="15">
        <f t="shared" si="13"/>
        <v>5.1999999999999993E-6</v>
      </c>
      <c r="AV52" s="15">
        <f t="shared" si="40"/>
        <v>0</v>
      </c>
      <c r="AW52" s="15"/>
      <c r="AX52" s="210">
        <v>42</v>
      </c>
      <c r="AY52" s="84">
        <f t="shared" si="14"/>
        <v>2.94E-5</v>
      </c>
      <c r="AZ52" s="207">
        <f t="shared" si="15"/>
        <v>0</v>
      </c>
      <c r="BA52" s="233">
        <f t="shared" si="16"/>
        <v>5.1999999999999993E-6</v>
      </c>
      <c r="BB52" s="15">
        <f t="shared" si="22"/>
        <v>0</v>
      </c>
      <c r="BC52" s="210">
        <v>42</v>
      </c>
      <c r="BD52" s="84">
        <f t="shared" si="17"/>
        <v>2.7799999999999998E-5</v>
      </c>
      <c r="BE52" s="207">
        <f t="shared" si="18"/>
        <v>0</v>
      </c>
      <c r="BF52" s="233">
        <f t="shared" si="19"/>
        <v>5.1999999999999993E-6</v>
      </c>
      <c r="BG52" s="15">
        <f t="shared" si="23"/>
        <v>0</v>
      </c>
      <c r="BH52" s="210">
        <v>42</v>
      </c>
      <c r="BI52" s="84">
        <f t="shared" si="20"/>
        <v>2.7799999999999998E-5</v>
      </c>
      <c r="BJ52" s="207">
        <f t="shared" si="21"/>
        <v>0</v>
      </c>
      <c r="BL52" s="123"/>
      <c r="BM52" s="123"/>
      <c r="BO52" s="173"/>
      <c r="BP52" s="174" t="str">
        <f t="shared" si="24"/>
        <v/>
      </c>
      <c r="BQ52" s="174" t="str">
        <f t="shared" si="25"/>
        <v/>
      </c>
      <c r="BR52" s="174" t="str">
        <f t="shared" si="26"/>
        <v/>
      </c>
      <c r="BS52" s="174" t="str">
        <f t="shared" si="27"/>
        <v/>
      </c>
      <c r="BT52" s="174" t="str">
        <f t="shared" si="28"/>
        <v/>
      </c>
      <c r="BU52" s="174" t="str">
        <f t="shared" si="29"/>
        <v/>
      </c>
      <c r="BV52" s="174" t="str">
        <f t="shared" si="30"/>
        <v/>
      </c>
      <c r="BW52" s="174" t="str">
        <f t="shared" si="31"/>
        <v/>
      </c>
      <c r="BX52" s="174" t="str">
        <f t="shared" si="32"/>
        <v/>
      </c>
      <c r="BY52" s="174" t="str">
        <f t="shared" si="33"/>
        <v/>
      </c>
      <c r="BZ52" s="174" t="str">
        <f t="shared" si="34"/>
        <v/>
      </c>
      <c r="CA52" s="174" t="str">
        <f t="shared" si="35"/>
        <v/>
      </c>
      <c r="CB52" s="161"/>
      <c r="CC52" s="161"/>
      <c r="CD52" s="161" t="s">
        <v>147</v>
      </c>
      <c r="CE52" s="161" t="s">
        <v>150</v>
      </c>
      <c r="CF52" s="161" t="s">
        <v>220</v>
      </c>
    </row>
    <row r="53" spans="1:84" ht="14.25" customHeight="1" x14ac:dyDescent="0.25">
      <c r="A53" s="203">
        <v>43</v>
      </c>
      <c r="B53" s="86"/>
      <c r="C53" s="193"/>
      <c r="D53" s="143"/>
      <c r="E53" s="308" t="s">
        <v>92</v>
      </c>
      <c r="F53" s="213"/>
      <c r="G53" s="214"/>
      <c r="H53" s="214"/>
      <c r="I53" s="214"/>
      <c r="J53" s="214"/>
      <c r="K53" s="214"/>
      <c r="L53" s="295">
        <f t="shared" si="36"/>
        <v>0</v>
      </c>
      <c r="M53" s="296"/>
      <c r="N53" s="297"/>
      <c r="O53" s="340"/>
      <c r="P53" s="311" t="s">
        <v>66</v>
      </c>
      <c r="Q53" s="325"/>
      <c r="R53" s="326"/>
      <c r="S53" s="326"/>
      <c r="T53" s="326"/>
      <c r="U53" s="326"/>
      <c r="V53" s="92"/>
      <c r="W53" s="295">
        <f t="shared" si="37"/>
        <v>0</v>
      </c>
      <c r="X53" s="296"/>
      <c r="Y53" s="297"/>
      <c r="Z53" s="346"/>
      <c r="AA53" s="314" t="s">
        <v>148</v>
      </c>
      <c r="AB53" s="13"/>
      <c r="AC53" s="222"/>
      <c r="AD53" s="222"/>
      <c r="AE53" s="222"/>
      <c r="AF53" s="222"/>
      <c r="AG53" s="5"/>
      <c r="AH53" s="20">
        <f t="shared" si="38"/>
        <v>0</v>
      </c>
      <c r="AI53" s="13"/>
      <c r="AJ53" s="5"/>
      <c r="AK53" s="343"/>
      <c r="AL53" s="100"/>
      <c r="AM53" s="98"/>
      <c r="AN53" s="226"/>
      <c r="AO53" s="225"/>
      <c r="AP53" s="89"/>
      <c r="AQ53" s="225"/>
      <c r="AR53" s="89"/>
      <c r="AS53" s="225"/>
      <c r="AT53" s="89"/>
      <c r="AU53" s="15">
        <f t="shared" si="13"/>
        <v>5.3000000000000001E-6</v>
      </c>
      <c r="AV53" s="15">
        <f t="shared" si="40"/>
        <v>0</v>
      </c>
      <c r="AW53" s="15"/>
      <c r="AX53" s="210">
        <v>43</v>
      </c>
      <c r="AY53" s="84">
        <f t="shared" si="14"/>
        <v>2.9299999999999997E-5</v>
      </c>
      <c r="AZ53" s="207">
        <f t="shared" si="15"/>
        <v>0</v>
      </c>
      <c r="BA53" s="233">
        <f t="shared" si="16"/>
        <v>5.3000000000000001E-6</v>
      </c>
      <c r="BB53" s="15">
        <f t="shared" si="22"/>
        <v>0</v>
      </c>
      <c r="BC53" s="210">
        <v>43</v>
      </c>
      <c r="BD53" s="84">
        <f t="shared" si="17"/>
        <v>2.7699999999999999E-5</v>
      </c>
      <c r="BE53" s="207">
        <f t="shared" si="18"/>
        <v>0</v>
      </c>
      <c r="BF53" s="233">
        <f t="shared" si="19"/>
        <v>5.3000000000000001E-6</v>
      </c>
      <c r="BG53" s="15">
        <f t="shared" si="23"/>
        <v>0</v>
      </c>
      <c r="BH53" s="210">
        <v>43</v>
      </c>
      <c r="BI53" s="84">
        <f t="shared" si="20"/>
        <v>2.7699999999999999E-5</v>
      </c>
      <c r="BJ53" s="207">
        <f t="shared" si="21"/>
        <v>0</v>
      </c>
      <c r="BL53" s="123"/>
      <c r="BM53" s="123"/>
      <c r="BO53" s="173"/>
      <c r="BP53" s="174" t="str">
        <f t="shared" si="24"/>
        <v/>
      </c>
      <c r="BQ53" s="174" t="str">
        <f t="shared" si="25"/>
        <v/>
      </c>
      <c r="BR53" s="174" t="str">
        <f t="shared" si="26"/>
        <v/>
      </c>
      <c r="BS53" s="174" t="str">
        <f t="shared" si="27"/>
        <v/>
      </c>
      <c r="BT53" s="174" t="str">
        <f t="shared" si="28"/>
        <v/>
      </c>
      <c r="BU53" s="174" t="str">
        <f t="shared" si="29"/>
        <v/>
      </c>
      <c r="BV53" s="174" t="str">
        <f t="shared" si="30"/>
        <v/>
      </c>
      <c r="BW53" s="174" t="str">
        <f t="shared" si="31"/>
        <v/>
      </c>
      <c r="BX53" s="174" t="str">
        <f t="shared" si="32"/>
        <v/>
      </c>
      <c r="BY53" s="174" t="str">
        <f t="shared" si="33"/>
        <v/>
      </c>
      <c r="BZ53" s="174" t="str">
        <f t="shared" si="34"/>
        <v/>
      </c>
      <c r="CA53" s="174" t="str">
        <f t="shared" si="35"/>
        <v/>
      </c>
      <c r="CB53" s="161"/>
      <c r="CC53" s="161"/>
      <c r="CD53" s="161" t="s">
        <v>147</v>
      </c>
      <c r="CE53" s="161" t="s">
        <v>150</v>
      </c>
      <c r="CF53" s="161" t="s">
        <v>220</v>
      </c>
    </row>
    <row r="54" spans="1:84" ht="14.25" customHeight="1" x14ac:dyDescent="0.25">
      <c r="A54" s="204">
        <v>44</v>
      </c>
      <c r="B54" s="211"/>
      <c r="C54" s="194"/>
      <c r="D54" s="142"/>
      <c r="E54" s="309" t="s">
        <v>92</v>
      </c>
      <c r="F54" s="305"/>
      <c r="G54" s="306"/>
      <c r="H54" s="306"/>
      <c r="I54" s="306"/>
      <c r="J54" s="306"/>
      <c r="K54" s="306"/>
      <c r="L54" s="223">
        <f t="shared" si="36"/>
        <v>0</v>
      </c>
      <c r="M54" s="298"/>
      <c r="N54" s="299"/>
      <c r="O54" s="341"/>
      <c r="P54" s="312" t="s">
        <v>66</v>
      </c>
      <c r="Q54" s="305"/>
      <c r="R54" s="306"/>
      <c r="S54" s="306"/>
      <c r="T54" s="306"/>
      <c r="U54" s="306"/>
      <c r="V54" s="122"/>
      <c r="W54" s="223">
        <f t="shared" si="37"/>
        <v>0</v>
      </c>
      <c r="X54" s="298"/>
      <c r="Y54" s="299"/>
      <c r="Z54" s="341"/>
      <c r="AA54" s="312" t="s">
        <v>86</v>
      </c>
      <c r="AB54" s="77"/>
      <c r="AC54" s="319"/>
      <c r="AD54" s="319"/>
      <c r="AE54" s="319"/>
      <c r="AF54" s="319"/>
      <c r="AG54" s="320"/>
      <c r="AH54" s="20">
        <f t="shared" si="38"/>
        <v>0</v>
      </c>
      <c r="AI54" s="77"/>
      <c r="AJ54" s="320"/>
      <c r="AK54" s="344"/>
      <c r="AL54" s="101"/>
      <c r="AM54" s="209"/>
      <c r="AN54" s="208"/>
      <c r="AO54" s="220"/>
      <c r="AP54" s="212"/>
      <c r="AQ54" s="220"/>
      <c r="AR54" s="212"/>
      <c r="AS54" s="220"/>
      <c r="AT54" s="212"/>
      <c r="AU54" s="15">
        <f t="shared" si="13"/>
        <v>5.4E-6</v>
      </c>
      <c r="AV54" s="15">
        <f t="shared" si="40"/>
        <v>0</v>
      </c>
      <c r="AW54" s="15"/>
      <c r="AX54" s="210">
        <v>44</v>
      </c>
      <c r="AY54" s="84">
        <f t="shared" si="14"/>
        <v>2.9199999999999998E-5</v>
      </c>
      <c r="AZ54" s="207">
        <f t="shared" si="15"/>
        <v>0</v>
      </c>
      <c r="BA54" s="233">
        <f t="shared" si="16"/>
        <v>5.4E-6</v>
      </c>
      <c r="BB54" s="15">
        <f t="shared" si="22"/>
        <v>0</v>
      </c>
      <c r="BC54" s="210">
        <v>44</v>
      </c>
      <c r="BD54" s="84">
        <f t="shared" si="17"/>
        <v>2.76E-5</v>
      </c>
      <c r="BE54" s="207">
        <f t="shared" si="18"/>
        <v>0</v>
      </c>
      <c r="BF54" s="233">
        <f t="shared" si="19"/>
        <v>5.4E-6</v>
      </c>
      <c r="BG54" s="15">
        <f t="shared" si="23"/>
        <v>0</v>
      </c>
      <c r="BH54" s="210">
        <v>44</v>
      </c>
      <c r="BI54" s="84">
        <f t="shared" si="20"/>
        <v>2.76E-5</v>
      </c>
      <c r="BJ54" s="207">
        <f t="shared" si="21"/>
        <v>0</v>
      </c>
      <c r="BL54" s="123"/>
      <c r="BM54" s="123"/>
      <c r="BO54" s="173"/>
      <c r="BP54" s="174" t="str">
        <f t="shared" si="24"/>
        <v/>
      </c>
      <c r="BQ54" s="174" t="str">
        <f t="shared" si="25"/>
        <v/>
      </c>
      <c r="BR54" s="174" t="str">
        <f t="shared" si="26"/>
        <v/>
      </c>
      <c r="BS54" s="174" t="str">
        <f t="shared" si="27"/>
        <v/>
      </c>
      <c r="BT54" s="174" t="str">
        <f t="shared" si="28"/>
        <v/>
      </c>
      <c r="BU54" s="174" t="str">
        <f t="shared" si="29"/>
        <v/>
      </c>
      <c r="BV54" s="174" t="str">
        <f t="shared" si="30"/>
        <v/>
      </c>
      <c r="BW54" s="174" t="str">
        <f t="shared" si="31"/>
        <v/>
      </c>
      <c r="BX54" s="174" t="str">
        <f t="shared" si="32"/>
        <v/>
      </c>
      <c r="BY54" s="174" t="str">
        <f t="shared" si="33"/>
        <v/>
      </c>
      <c r="BZ54" s="174" t="str">
        <f t="shared" si="34"/>
        <v/>
      </c>
      <c r="CA54" s="174" t="str">
        <f t="shared" si="35"/>
        <v/>
      </c>
      <c r="CB54" s="161"/>
      <c r="CC54" s="161"/>
      <c r="CD54" s="161"/>
      <c r="CE54" s="161" t="s">
        <v>150</v>
      </c>
      <c r="CF54" s="161" t="s">
        <v>220</v>
      </c>
    </row>
    <row r="55" spans="1:84" ht="14.25" customHeight="1" thickBot="1" x14ac:dyDescent="0.3">
      <c r="A55" s="205">
        <v>45</v>
      </c>
      <c r="B55" s="85"/>
      <c r="C55" s="195"/>
      <c r="D55" s="91"/>
      <c r="E55" s="310" t="s">
        <v>92</v>
      </c>
      <c r="F55" s="93"/>
      <c r="G55" s="97"/>
      <c r="H55" s="97"/>
      <c r="I55" s="97"/>
      <c r="J55" s="97"/>
      <c r="K55" s="97"/>
      <c r="L55" s="224">
        <f t="shared" si="36"/>
        <v>0</v>
      </c>
      <c r="M55" s="300"/>
      <c r="N55" s="301"/>
      <c r="O55" s="342"/>
      <c r="P55" s="313" t="s">
        <v>66</v>
      </c>
      <c r="Q55" s="93"/>
      <c r="R55" s="97"/>
      <c r="S55" s="97"/>
      <c r="T55" s="97"/>
      <c r="U55" s="97"/>
      <c r="V55" s="94"/>
      <c r="W55" s="224">
        <f t="shared" si="37"/>
        <v>0</v>
      </c>
      <c r="X55" s="300"/>
      <c r="Y55" s="301"/>
      <c r="Z55" s="342"/>
      <c r="AA55" s="313" t="s">
        <v>86</v>
      </c>
      <c r="AB55" s="78"/>
      <c r="AC55" s="321"/>
      <c r="AD55" s="321"/>
      <c r="AE55" s="321"/>
      <c r="AF55" s="321"/>
      <c r="AG55" s="322"/>
      <c r="AH55" s="88">
        <f t="shared" si="38"/>
        <v>0</v>
      </c>
      <c r="AI55" s="78"/>
      <c r="AJ55" s="322"/>
      <c r="AK55" s="345"/>
      <c r="AL55" s="102"/>
      <c r="AM55" s="99"/>
      <c r="AN55" s="227"/>
      <c r="AO55" s="221"/>
      <c r="AP55" s="90"/>
      <c r="AQ55" s="221"/>
      <c r="AR55" s="90"/>
      <c r="AS55" s="221"/>
      <c r="AT55" s="90"/>
      <c r="AU55" s="15">
        <f t="shared" si="13"/>
        <v>5.4999999999999999E-6</v>
      </c>
      <c r="AV55" s="15">
        <f t="shared" si="40"/>
        <v>0</v>
      </c>
      <c r="AW55" s="15"/>
      <c r="AX55" s="210">
        <v>45</v>
      </c>
      <c r="AY55" s="84">
        <f t="shared" si="14"/>
        <v>2.9099999999999999E-5</v>
      </c>
      <c r="AZ55" s="207">
        <f t="shared" si="15"/>
        <v>0</v>
      </c>
      <c r="BA55" s="233">
        <f t="shared" si="16"/>
        <v>5.4999999999999999E-6</v>
      </c>
      <c r="BB55" s="15">
        <f t="shared" si="22"/>
        <v>0</v>
      </c>
      <c r="BC55" s="210">
        <v>45</v>
      </c>
      <c r="BD55" s="84">
        <f t="shared" si="17"/>
        <v>2.7499999999999998E-5</v>
      </c>
      <c r="BE55" s="207">
        <f t="shared" si="18"/>
        <v>0</v>
      </c>
      <c r="BF55" s="233">
        <f t="shared" si="19"/>
        <v>5.4999999999999999E-6</v>
      </c>
      <c r="BG55" s="15">
        <f t="shared" si="23"/>
        <v>0</v>
      </c>
      <c r="BH55" s="210">
        <v>45</v>
      </c>
      <c r="BI55" s="84">
        <f t="shared" si="20"/>
        <v>2.7499999999999998E-5</v>
      </c>
      <c r="BJ55" s="207">
        <f t="shared" si="21"/>
        <v>0</v>
      </c>
      <c r="BL55" s="123"/>
      <c r="BM55" s="123"/>
      <c r="BO55" s="173"/>
      <c r="BP55" s="174" t="str">
        <f t="shared" si="24"/>
        <v/>
      </c>
      <c r="BQ55" s="174" t="str">
        <f t="shared" si="25"/>
        <v/>
      </c>
      <c r="BR55" s="174" t="str">
        <f t="shared" si="26"/>
        <v/>
      </c>
      <c r="BS55" s="174" t="str">
        <f t="shared" si="27"/>
        <v/>
      </c>
      <c r="BT55" s="174" t="str">
        <f t="shared" si="28"/>
        <v/>
      </c>
      <c r="BU55" s="174" t="str">
        <f t="shared" si="29"/>
        <v/>
      </c>
      <c r="BV55" s="174" t="str">
        <f t="shared" si="30"/>
        <v/>
      </c>
      <c r="BW55" s="174" t="str">
        <f t="shared" si="31"/>
        <v/>
      </c>
      <c r="BX55" s="174" t="str">
        <f t="shared" si="32"/>
        <v/>
      </c>
      <c r="BY55" s="174" t="str">
        <f t="shared" si="33"/>
        <v/>
      </c>
      <c r="BZ55" s="174" t="str">
        <f t="shared" si="34"/>
        <v/>
      </c>
      <c r="CA55" s="174" t="str">
        <f t="shared" si="35"/>
        <v/>
      </c>
      <c r="CB55" s="161"/>
      <c r="CC55" s="161"/>
      <c r="CD55" s="161"/>
      <c r="CE55" s="161" t="s">
        <v>150</v>
      </c>
      <c r="CF55" s="161" t="s">
        <v>220</v>
      </c>
    </row>
    <row r="56" spans="1:84" ht="14.25" customHeight="1" x14ac:dyDescent="0.25">
      <c r="A56" s="203">
        <v>46</v>
      </c>
      <c r="B56" s="86"/>
      <c r="C56" s="193"/>
      <c r="D56" s="143"/>
      <c r="E56" s="308" t="s">
        <v>92</v>
      </c>
      <c r="F56" s="213"/>
      <c r="G56" s="214"/>
      <c r="H56" s="214"/>
      <c r="I56" s="214"/>
      <c r="J56" s="214"/>
      <c r="K56" s="214"/>
      <c r="L56" s="295">
        <f t="shared" si="36"/>
        <v>0</v>
      </c>
      <c r="M56" s="296"/>
      <c r="N56" s="297"/>
      <c r="O56" s="340"/>
      <c r="P56" s="311" t="s">
        <v>66</v>
      </c>
      <c r="Q56" s="325"/>
      <c r="R56" s="326"/>
      <c r="S56" s="326"/>
      <c r="T56" s="326"/>
      <c r="U56" s="326"/>
      <c r="V56" s="92"/>
      <c r="W56" s="295">
        <f t="shared" si="37"/>
        <v>0</v>
      </c>
      <c r="X56" s="296"/>
      <c r="Y56" s="297"/>
      <c r="Z56" s="346"/>
      <c r="AA56" s="314" t="s">
        <v>148</v>
      </c>
      <c r="AB56" s="13"/>
      <c r="AC56" s="222"/>
      <c r="AD56" s="222"/>
      <c r="AE56" s="222"/>
      <c r="AF56" s="222"/>
      <c r="AG56" s="5"/>
      <c r="AH56" s="20">
        <f t="shared" si="38"/>
        <v>0</v>
      </c>
      <c r="AI56" s="13"/>
      <c r="AJ56" s="5"/>
      <c r="AK56" s="343"/>
      <c r="AL56" s="100"/>
      <c r="AM56" s="98"/>
      <c r="AN56" s="226"/>
      <c r="AO56" s="225"/>
      <c r="AP56" s="89"/>
      <c r="AQ56" s="225"/>
      <c r="AR56" s="89"/>
      <c r="AS56" s="225"/>
      <c r="AT56" s="89"/>
      <c r="AU56" s="15">
        <f t="shared" si="13"/>
        <v>5.5999999999999997E-6</v>
      </c>
      <c r="AV56" s="15">
        <f t="shared" si="40"/>
        <v>0</v>
      </c>
      <c r="AW56" s="15"/>
      <c r="AX56" s="210">
        <v>46</v>
      </c>
      <c r="AY56" s="84">
        <f t="shared" si="14"/>
        <v>2.9E-5</v>
      </c>
      <c r="AZ56" s="207">
        <f t="shared" si="15"/>
        <v>0</v>
      </c>
      <c r="BA56" s="233">
        <f t="shared" si="16"/>
        <v>5.5999999999999997E-6</v>
      </c>
      <c r="BB56" s="15">
        <f t="shared" si="22"/>
        <v>0</v>
      </c>
      <c r="BC56" s="210">
        <v>46</v>
      </c>
      <c r="BD56" s="84">
        <f t="shared" si="17"/>
        <v>2.7399999999999999E-5</v>
      </c>
      <c r="BE56" s="207">
        <f t="shared" si="18"/>
        <v>0</v>
      </c>
      <c r="BF56" s="233">
        <f t="shared" si="19"/>
        <v>5.5999999999999997E-6</v>
      </c>
      <c r="BG56" s="15">
        <f t="shared" si="23"/>
        <v>0</v>
      </c>
      <c r="BH56" s="210">
        <v>46</v>
      </c>
      <c r="BI56" s="84">
        <f t="shared" si="20"/>
        <v>2.7399999999999999E-5</v>
      </c>
      <c r="BJ56" s="207">
        <f t="shared" si="21"/>
        <v>0</v>
      </c>
      <c r="BL56" s="123"/>
      <c r="BM56" s="123"/>
      <c r="BO56" s="173"/>
      <c r="BP56" s="174" t="str">
        <f t="shared" si="24"/>
        <v/>
      </c>
      <c r="BQ56" s="174" t="str">
        <f t="shared" si="25"/>
        <v/>
      </c>
      <c r="BR56" s="174" t="str">
        <f t="shared" si="26"/>
        <v/>
      </c>
      <c r="BS56" s="174" t="str">
        <f t="shared" si="27"/>
        <v/>
      </c>
      <c r="BT56" s="174" t="str">
        <f t="shared" si="28"/>
        <v/>
      </c>
      <c r="BU56" s="174" t="str">
        <f t="shared" si="29"/>
        <v/>
      </c>
      <c r="BV56" s="174" t="str">
        <f t="shared" si="30"/>
        <v/>
      </c>
      <c r="BW56" s="174" t="str">
        <f t="shared" si="31"/>
        <v/>
      </c>
      <c r="BX56" s="174" t="str">
        <f t="shared" si="32"/>
        <v/>
      </c>
      <c r="BY56" s="174" t="str">
        <f t="shared" si="33"/>
        <v/>
      </c>
      <c r="BZ56" s="174" t="str">
        <f t="shared" si="34"/>
        <v/>
      </c>
      <c r="CA56" s="174" t="str">
        <f t="shared" si="35"/>
        <v/>
      </c>
      <c r="CB56" s="161"/>
      <c r="CC56" s="161"/>
      <c r="CD56" s="161"/>
      <c r="CE56" s="161" t="s">
        <v>150</v>
      </c>
      <c r="CF56" s="161" t="s">
        <v>220</v>
      </c>
    </row>
    <row r="57" spans="1:84" ht="14.25" customHeight="1" x14ac:dyDescent="0.25">
      <c r="A57" s="204">
        <v>47</v>
      </c>
      <c r="B57" s="211"/>
      <c r="C57" s="194"/>
      <c r="D57" s="142"/>
      <c r="E57" s="309" t="s">
        <v>92</v>
      </c>
      <c r="F57" s="305"/>
      <c r="G57" s="306"/>
      <c r="H57" s="306"/>
      <c r="I57" s="306"/>
      <c r="J57" s="306"/>
      <c r="K57" s="306"/>
      <c r="L57" s="223">
        <f t="shared" si="36"/>
        <v>0</v>
      </c>
      <c r="M57" s="298"/>
      <c r="N57" s="299"/>
      <c r="O57" s="341"/>
      <c r="P57" s="312" t="s">
        <v>66</v>
      </c>
      <c r="Q57" s="305"/>
      <c r="R57" s="306"/>
      <c r="S57" s="306"/>
      <c r="T57" s="306"/>
      <c r="U57" s="306"/>
      <c r="V57" s="122"/>
      <c r="W57" s="223">
        <f t="shared" si="37"/>
        <v>0</v>
      </c>
      <c r="X57" s="298"/>
      <c r="Y57" s="299"/>
      <c r="Z57" s="341"/>
      <c r="AA57" s="312" t="s">
        <v>86</v>
      </c>
      <c r="AB57" s="77"/>
      <c r="AC57" s="319"/>
      <c r="AD57" s="319"/>
      <c r="AE57" s="319"/>
      <c r="AF57" s="319"/>
      <c r="AG57" s="320"/>
      <c r="AH57" s="20">
        <f t="shared" si="38"/>
        <v>0</v>
      </c>
      <c r="AI57" s="77"/>
      <c r="AJ57" s="320"/>
      <c r="AK57" s="344"/>
      <c r="AL57" s="101"/>
      <c r="AM57" s="209"/>
      <c r="AN57" s="208"/>
      <c r="AO57" s="220"/>
      <c r="AP57" s="212"/>
      <c r="AQ57" s="220"/>
      <c r="AR57" s="212"/>
      <c r="AS57" s="220"/>
      <c r="AT57" s="212"/>
      <c r="AU57" s="15">
        <f t="shared" si="13"/>
        <v>5.6999999999999996E-6</v>
      </c>
      <c r="AV57" s="15">
        <f t="shared" si="40"/>
        <v>0</v>
      </c>
      <c r="AW57" s="15"/>
      <c r="AX57" s="210">
        <v>47</v>
      </c>
      <c r="AY57" s="84">
        <f t="shared" si="14"/>
        <v>2.8899999999999998E-5</v>
      </c>
      <c r="AZ57" s="207">
        <f t="shared" si="15"/>
        <v>0</v>
      </c>
      <c r="BA57" s="233">
        <f t="shared" si="16"/>
        <v>5.6999999999999996E-6</v>
      </c>
      <c r="BB57" s="15">
        <f t="shared" si="22"/>
        <v>0</v>
      </c>
      <c r="BC57" s="210">
        <v>47</v>
      </c>
      <c r="BD57" s="84">
        <f t="shared" si="17"/>
        <v>2.73E-5</v>
      </c>
      <c r="BE57" s="207">
        <f t="shared" si="18"/>
        <v>0</v>
      </c>
      <c r="BF57" s="233">
        <f t="shared" si="19"/>
        <v>5.6999999999999996E-6</v>
      </c>
      <c r="BG57" s="15">
        <f t="shared" si="23"/>
        <v>0</v>
      </c>
      <c r="BH57" s="210">
        <v>47</v>
      </c>
      <c r="BI57" s="84">
        <f t="shared" si="20"/>
        <v>2.73E-5</v>
      </c>
      <c r="BJ57" s="207">
        <f t="shared" si="21"/>
        <v>0</v>
      </c>
      <c r="BL57" s="123"/>
      <c r="BM57" s="123"/>
      <c r="BO57" s="173"/>
      <c r="BP57" s="174" t="str">
        <f t="shared" si="24"/>
        <v/>
      </c>
      <c r="BQ57" s="174" t="str">
        <f t="shared" si="25"/>
        <v/>
      </c>
      <c r="BR57" s="174" t="str">
        <f t="shared" si="26"/>
        <v/>
      </c>
      <c r="BS57" s="174" t="str">
        <f t="shared" si="27"/>
        <v/>
      </c>
      <c r="BT57" s="174" t="str">
        <f t="shared" si="28"/>
        <v/>
      </c>
      <c r="BU57" s="174" t="str">
        <f t="shared" si="29"/>
        <v/>
      </c>
      <c r="BV57" s="174" t="str">
        <f t="shared" si="30"/>
        <v/>
      </c>
      <c r="BW57" s="174" t="str">
        <f t="shared" si="31"/>
        <v/>
      </c>
      <c r="BX57" s="174" t="str">
        <f t="shared" si="32"/>
        <v/>
      </c>
      <c r="BY57" s="174" t="str">
        <f t="shared" si="33"/>
        <v/>
      </c>
      <c r="BZ57" s="174" t="str">
        <f t="shared" si="34"/>
        <v/>
      </c>
      <c r="CA57" s="174" t="str">
        <f t="shared" si="35"/>
        <v/>
      </c>
      <c r="CB57" s="161"/>
      <c r="CC57" s="161"/>
      <c r="CD57" s="161"/>
      <c r="CE57" s="161" t="s">
        <v>150</v>
      </c>
      <c r="CF57" s="161" t="s">
        <v>220</v>
      </c>
    </row>
    <row r="58" spans="1:84" ht="14.25" customHeight="1" thickBot="1" x14ac:dyDescent="0.3">
      <c r="A58" s="205">
        <v>48</v>
      </c>
      <c r="B58" s="85"/>
      <c r="C58" s="195"/>
      <c r="D58" s="91"/>
      <c r="E58" s="310" t="s">
        <v>92</v>
      </c>
      <c r="F58" s="93"/>
      <c r="G58" s="97"/>
      <c r="H58" s="97"/>
      <c r="I58" s="97"/>
      <c r="J58" s="97"/>
      <c r="K58" s="97"/>
      <c r="L58" s="224">
        <f t="shared" si="36"/>
        <v>0</v>
      </c>
      <c r="M58" s="300"/>
      <c r="N58" s="301"/>
      <c r="O58" s="342"/>
      <c r="P58" s="313" t="s">
        <v>66</v>
      </c>
      <c r="Q58" s="93"/>
      <c r="R58" s="97"/>
      <c r="S58" s="97"/>
      <c r="T58" s="97"/>
      <c r="U58" s="97"/>
      <c r="V58" s="94"/>
      <c r="W58" s="224">
        <f t="shared" si="37"/>
        <v>0</v>
      </c>
      <c r="X58" s="300"/>
      <c r="Y58" s="301"/>
      <c r="Z58" s="342"/>
      <c r="AA58" s="313" t="s">
        <v>86</v>
      </c>
      <c r="AB58" s="78"/>
      <c r="AC58" s="321"/>
      <c r="AD58" s="321"/>
      <c r="AE58" s="321"/>
      <c r="AF58" s="321"/>
      <c r="AG58" s="322"/>
      <c r="AH58" s="88">
        <f t="shared" si="38"/>
        <v>0</v>
      </c>
      <c r="AI58" s="78"/>
      <c r="AJ58" s="322"/>
      <c r="AK58" s="345"/>
      <c r="AL58" s="102"/>
      <c r="AM58" s="99"/>
      <c r="AN58" s="227"/>
      <c r="AO58" s="221"/>
      <c r="AP58" s="90"/>
      <c r="AQ58" s="221"/>
      <c r="AR58" s="90"/>
      <c r="AS58" s="221"/>
      <c r="AT58" s="90"/>
      <c r="AU58" s="15">
        <f t="shared" si="13"/>
        <v>5.7999999999999995E-6</v>
      </c>
      <c r="AV58" s="15">
        <f t="shared" si="40"/>
        <v>0</v>
      </c>
      <c r="AW58" s="15"/>
      <c r="AX58" s="210">
        <v>48</v>
      </c>
      <c r="AY58" s="84">
        <f t="shared" si="14"/>
        <v>2.8799999999999999E-5</v>
      </c>
      <c r="AZ58" s="207">
        <f t="shared" si="15"/>
        <v>0</v>
      </c>
      <c r="BA58" s="233">
        <f t="shared" si="16"/>
        <v>5.7999999999999995E-6</v>
      </c>
      <c r="BB58" s="15">
        <f t="shared" si="22"/>
        <v>0</v>
      </c>
      <c r="BC58" s="210">
        <v>48</v>
      </c>
      <c r="BD58" s="84">
        <f t="shared" si="17"/>
        <v>2.7199999999999997E-5</v>
      </c>
      <c r="BE58" s="207">
        <f t="shared" si="18"/>
        <v>0</v>
      </c>
      <c r="BF58" s="233">
        <f t="shared" si="19"/>
        <v>5.7999999999999995E-6</v>
      </c>
      <c r="BG58" s="15">
        <f t="shared" si="23"/>
        <v>0</v>
      </c>
      <c r="BH58" s="210">
        <v>48</v>
      </c>
      <c r="BI58" s="84">
        <f t="shared" si="20"/>
        <v>2.7199999999999997E-5</v>
      </c>
      <c r="BJ58" s="207">
        <f t="shared" si="21"/>
        <v>0</v>
      </c>
      <c r="BL58" s="123"/>
      <c r="BM58" s="123"/>
      <c r="BO58" s="173"/>
      <c r="BP58" s="174" t="str">
        <f t="shared" si="24"/>
        <v/>
      </c>
      <c r="BQ58" s="174" t="str">
        <f t="shared" si="25"/>
        <v/>
      </c>
      <c r="BR58" s="174" t="str">
        <f t="shared" si="26"/>
        <v/>
      </c>
      <c r="BS58" s="174" t="str">
        <f t="shared" si="27"/>
        <v/>
      </c>
      <c r="BT58" s="174" t="str">
        <f t="shared" si="28"/>
        <v/>
      </c>
      <c r="BU58" s="174" t="str">
        <f t="shared" si="29"/>
        <v/>
      </c>
      <c r="BV58" s="174" t="str">
        <f t="shared" si="30"/>
        <v/>
      </c>
      <c r="BW58" s="174" t="str">
        <f t="shared" si="31"/>
        <v/>
      </c>
      <c r="BX58" s="174" t="str">
        <f t="shared" si="32"/>
        <v/>
      </c>
      <c r="BY58" s="174" t="str">
        <f t="shared" si="33"/>
        <v/>
      </c>
      <c r="BZ58" s="174" t="str">
        <f t="shared" si="34"/>
        <v/>
      </c>
      <c r="CA58" s="174" t="str">
        <f t="shared" si="35"/>
        <v/>
      </c>
      <c r="CB58" s="161"/>
      <c r="CC58" s="161"/>
      <c r="CD58" s="161"/>
      <c r="CE58" s="161" t="s">
        <v>150</v>
      </c>
      <c r="CF58" s="161" t="s">
        <v>220</v>
      </c>
    </row>
    <row r="59" spans="1:84" ht="14.25" customHeight="1" x14ac:dyDescent="0.25">
      <c r="A59" s="203">
        <v>49</v>
      </c>
      <c r="B59" s="86"/>
      <c r="C59" s="193"/>
      <c r="D59" s="143"/>
      <c r="E59" s="308" t="s">
        <v>92</v>
      </c>
      <c r="F59" s="213"/>
      <c r="G59" s="214"/>
      <c r="H59" s="214"/>
      <c r="I59" s="214"/>
      <c r="J59" s="214"/>
      <c r="K59" s="214"/>
      <c r="L59" s="295">
        <f t="shared" si="36"/>
        <v>0</v>
      </c>
      <c r="M59" s="296"/>
      <c r="N59" s="297"/>
      <c r="O59" s="340"/>
      <c r="P59" s="311" t="s">
        <v>66</v>
      </c>
      <c r="Q59" s="325"/>
      <c r="R59" s="326"/>
      <c r="S59" s="326"/>
      <c r="T59" s="326"/>
      <c r="U59" s="326"/>
      <c r="V59" s="92"/>
      <c r="W59" s="295">
        <f t="shared" si="37"/>
        <v>0</v>
      </c>
      <c r="X59" s="296"/>
      <c r="Y59" s="297"/>
      <c r="Z59" s="346"/>
      <c r="AA59" s="314" t="s">
        <v>148</v>
      </c>
      <c r="AB59" s="13"/>
      <c r="AC59" s="222"/>
      <c r="AD59" s="222"/>
      <c r="AE59" s="222"/>
      <c r="AF59" s="222"/>
      <c r="AG59" s="5"/>
      <c r="AH59" s="20">
        <f t="shared" si="38"/>
        <v>0</v>
      </c>
      <c r="AI59" s="13"/>
      <c r="AJ59" s="5"/>
      <c r="AK59" s="343"/>
      <c r="AL59" s="100"/>
      <c r="AM59" s="98"/>
      <c r="AN59" s="226"/>
      <c r="AO59" s="225"/>
      <c r="AP59" s="89"/>
      <c r="AQ59" s="225"/>
      <c r="AR59" s="89"/>
      <c r="AS59" s="225"/>
      <c r="AT59" s="89"/>
      <c r="AU59" s="15">
        <f t="shared" si="13"/>
        <v>5.8999999999999994E-6</v>
      </c>
      <c r="AV59" s="15">
        <f t="shared" si="40"/>
        <v>0</v>
      </c>
      <c r="AW59" s="15"/>
      <c r="AX59" s="210">
        <v>49</v>
      </c>
      <c r="AY59" s="84">
        <f t="shared" si="14"/>
        <v>2.87E-5</v>
      </c>
      <c r="AZ59" s="207">
        <f t="shared" si="15"/>
        <v>0</v>
      </c>
      <c r="BA59" s="233">
        <f t="shared" si="16"/>
        <v>5.8999999999999994E-6</v>
      </c>
      <c r="BB59" s="15">
        <f t="shared" si="22"/>
        <v>0</v>
      </c>
      <c r="BC59" s="210">
        <v>49</v>
      </c>
      <c r="BD59" s="84">
        <f t="shared" si="17"/>
        <v>2.7099999999999998E-5</v>
      </c>
      <c r="BE59" s="207">
        <f t="shared" si="18"/>
        <v>0</v>
      </c>
      <c r="BF59" s="233">
        <f t="shared" si="19"/>
        <v>5.8999999999999994E-6</v>
      </c>
      <c r="BG59" s="15">
        <f t="shared" si="23"/>
        <v>0</v>
      </c>
      <c r="BH59" s="210">
        <v>49</v>
      </c>
      <c r="BI59" s="84">
        <f t="shared" si="20"/>
        <v>2.7099999999999998E-5</v>
      </c>
      <c r="BJ59" s="207">
        <f t="shared" si="21"/>
        <v>0</v>
      </c>
      <c r="BL59" s="123"/>
      <c r="BM59" s="123"/>
      <c r="BO59" s="173"/>
      <c r="BP59" s="174" t="str">
        <f t="shared" si="24"/>
        <v/>
      </c>
      <c r="BQ59" s="174" t="str">
        <f t="shared" si="25"/>
        <v/>
      </c>
      <c r="BR59" s="174" t="str">
        <f t="shared" si="26"/>
        <v/>
      </c>
      <c r="BS59" s="174" t="str">
        <f t="shared" si="27"/>
        <v/>
      </c>
      <c r="BT59" s="174" t="str">
        <f t="shared" si="28"/>
        <v/>
      </c>
      <c r="BU59" s="174" t="str">
        <f t="shared" si="29"/>
        <v/>
      </c>
      <c r="BV59" s="174" t="str">
        <f t="shared" si="30"/>
        <v/>
      </c>
      <c r="BW59" s="174" t="str">
        <f t="shared" si="31"/>
        <v/>
      </c>
      <c r="BX59" s="174" t="str">
        <f t="shared" si="32"/>
        <v/>
      </c>
      <c r="BY59" s="174" t="str">
        <f t="shared" si="33"/>
        <v/>
      </c>
      <c r="BZ59" s="174" t="str">
        <f t="shared" si="34"/>
        <v/>
      </c>
      <c r="CA59" s="174" t="str">
        <f t="shared" si="35"/>
        <v/>
      </c>
      <c r="CB59" s="161"/>
      <c r="CC59" s="161"/>
      <c r="CD59" s="161"/>
      <c r="CE59" s="161" t="s">
        <v>150</v>
      </c>
      <c r="CF59" s="161" t="s">
        <v>220</v>
      </c>
    </row>
    <row r="60" spans="1:84" ht="14.25" customHeight="1" x14ac:dyDescent="0.25">
      <c r="A60" s="204">
        <v>50</v>
      </c>
      <c r="B60" s="211"/>
      <c r="C60" s="194"/>
      <c r="D60" s="142"/>
      <c r="E60" s="309" t="s">
        <v>92</v>
      </c>
      <c r="F60" s="305"/>
      <c r="G60" s="306"/>
      <c r="H60" s="306"/>
      <c r="I60" s="306"/>
      <c r="J60" s="306"/>
      <c r="K60" s="306"/>
      <c r="L60" s="223">
        <f t="shared" si="36"/>
        <v>0</v>
      </c>
      <c r="M60" s="298"/>
      <c r="N60" s="299"/>
      <c r="O60" s="341"/>
      <c r="P60" s="312" t="s">
        <v>66</v>
      </c>
      <c r="Q60" s="305"/>
      <c r="R60" s="306"/>
      <c r="S60" s="306"/>
      <c r="T60" s="306"/>
      <c r="U60" s="306"/>
      <c r="V60" s="122"/>
      <c r="W60" s="223">
        <f t="shared" si="37"/>
        <v>0</v>
      </c>
      <c r="X60" s="298"/>
      <c r="Y60" s="299"/>
      <c r="Z60" s="341"/>
      <c r="AA60" s="312" t="s">
        <v>86</v>
      </c>
      <c r="AB60" s="77"/>
      <c r="AC60" s="319"/>
      <c r="AD60" s="319"/>
      <c r="AE60" s="319"/>
      <c r="AF60" s="319"/>
      <c r="AG60" s="320"/>
      <c r="AH60" s="20">
        <f t="shared" si="38"/>
        <v>0</v>
      </c>
      <c r="AI60" s="77"/>
      <c r="AJ60" s="320"/>
      <c r="AK60" s="344"/>
      <c r="AL60" s="101"/>
      <c r="AM60" s="209"/>
      <c r="AN60" s="208"/>
      <c r="AO60" s="220"/>
      <c r="AP60" s="212"/>
      <c r="AQ60" s="220"/>
      <c r="AR60" s="212"/>
      <c r="AS60" s="220"/>
      <c r="AT60" s="212"/>
      <c r="AU60" s="15">
        <f t="shared" si="13"/>
        <v>6.0000000000000002E-6</v>
      </c>
      <c r="AV60" s="15">
        <f t="shared" si="40"/>
        <v>0</v>
      </c>
      <c r="AW60" s="15"/>
      <c r="AX60" s="210">
        <v>50</v>
      </c>
      <c r="AY60" s="84">
        <f t="shared" si="14"/>
        <v>2.8599999999999997E-5</v>
      </c>
      <c r="AZ60" s="207">
        <f t="shared" si="15"/>
        <v>0</v>
      </c>
      <c r="BA60" s="233">
        <f t="shared" si="16"/>
        <v>6.0000000000000002E-6</v>
      </c>
      <c r="BB60" s="15">
        <f t="shared" si="22"/>
        <v>0</v>
      </c>
      <c r="BC60" s="210">
        <v>50</v>
      </c>
      <c r="BD60" s="84">
        <f t="shared" si="17"/>
        <v>2.6999999999999999E-5</v>
      </c>
      <c r="BE60" s="207">
        <f t="shared" si="18"/>
        <v>0</v>
      </c>
      <c r="BF60" s="233">
        <f t="shared" si="19"/>
        <v>6.0000000000000002E-6</v>
      </c>
      <c r="BG60" s="15">
        <f t="shared" si="23"/>
        <v>0</v>
      </c>
      <c r="BH60" s="210">
        <v>50</v>
      </c>
      <c r="BI60" s="84">
        <f t="shared" si="20"/>
        <v>2.6999999999999999E-5</v>
      </c>
      <c r="BJ60" s="207">
        <f t="shared" si="21"/>
        <v>0</v>
      </c>
      <c r="BL60" s="123"/>
      <c r="BM60" s="123"/>
      <c r="BO60" s="173"/>
      <c r="BP60" s="174" t="str">
        <f t="shared" si="24"/>
        <v/>
      </c>
      <c r="BQ60" s="174" t="str">
        <f t="shared" si="25"/>
        <v/>
      </c>
      <c r="BR60" s="174" t="str">
        <f t="shared" si="26"/>
        <v/>
      </c>
      <c r="BS60" s="174" t="str">
        <f t="shared" si="27"/>
        <v/>
      </c>
      <c r="BT60" s="174" t="str">
        <f t="shared" si="28"/>
        <v/>
      </c>
      <c r="BU60" s="174" t="str">
        <f t="shared" si="29"/>
        <v/>
      </c>
      <c r="BV60" s="174" t="str">
        <f t="shared" si="30"/>
        <v/>
      </c>
      <c r="BW60" s="174" t="str">
        <f t="shared" si="31"/>
        <v/>
      </c>
      <c r="BX60" s="174" t="str">
        <f t="shared" si="32"/>
        <v/>
      </c>
      <c r="BY60" s="174" t="str">
        <f t="shared" si="33"/>
        <v/>
      </c>
      <c r="BZ60" s="174" t="str">
        <f t="shared" si="34"/>
        <v/>
      </c>
      <c r="CA60" s="174" t="str">
        <f t="shared" si="35"/>
        <v/>
      </c>
      <c r="CB60" s="161"/>
      <c r="CC60" s="161"/>
      <c r="CD60" s="161"/>
      <c r="CE60" s="161" t="s">
        <v>150</v>
      </c>
      <c r="CF60" s="161" t="s">
        <v>220</v>
      </c>
    </row>
    <row r="61" spans="1:84" ht="14.25" customHeight="1" thickBot="1" x14ac:dyDescent="0.3">
      <c r="A61" s="205">
        <v>51</v>
      </c>
      <c r="B61" s="85"/>
      <c r="C61" s="195"/>
      <c r="D61" s="91"/>
      <c r="E61" s="310" t="s">
        <v>92</v>
      </c>
      <c r="F61" s="93"/>
      <c r="G61" s="97"/>
      <c r="H61" s="97"/>
      <c r="I61" s="97"/>
      <c r="J61" s="97"/>
      <c r="K61" s="97"/>
      <c r="L61" s="224">
        <f t="shared" si="36"/>
        <v>0</v>
      </c>
      <c r="M61" s="300"/>
      <c r="N61" s="301"/>
      <c r="O61" s="342"/>
      <c r="P61" s="313" t="s">
        <v>66</v>
      </c>
      <c r="Q61" s="93"/>
      <c r="R61" s="97"/>
      <c r="S61" s="97"/>
      <c r="T61" s="97"/>
      <c r="U61" s="97"/>
      <c r="V61" s="94"/>
      <c r="W61" s="224">
        <f t="shared" si="37"/>
        <v>0</v>
      </c>
      <c r="X61" s="300"/>
      <c r="Y61" s="301"/>
      <c r="Z61" s="342"/>
      <c r="AA61" s="313" t="s">
        <v>86</v>
      </c>
      <c r="AB61" s="78"/>
      <c r="AC61" s="321"/>
      <c r="AD61" s="321"/>
      <c r="AE61" s="321"/>
      <c r="AF61" s="321"/>
      <c r="AG61" s="322"/>
      <c r="AH61" s="88">
        <f t="shared" si="38"/>
        <v>0</v>
      </c>
      <c r="AI61" s="78"/>
      <c r="AJ61" s="322"/>
      <c r="AK61" s="345"/>
      <c r="AL61" s="102"/>
      <c r="AM61" s="99"/>
      <c r="AN61" s="227"/>
      <c r="AO61" s="221"/>
      <c r="AP61" s="90"/>
      <c r="AQ61" s="221"/>
      <c r="AR61" s="90"/>
      <c r="AS61" s="221"/>
      <c r="AT61" s="90"/>
      <c r="AU61" s="15">
        <f t="shared" si="13"/>
        <v>6.1E-6</v>
      </c>
      <c r="AV61" s="15">
        <f t="shared" si="40"/>
        <v>0</v>
      </c>
      <c r="AW61" s="15"/>
      <c r="AX61" s="210">
        <v>51</v>
      </c>
      <c r="AY61" s="84">
        <f t="shared" si="14"/>
        <v>2.8499999999999998E-5</v>
      </c>
      <c r="AZ61" s="207">
        <f t="shared" si="15"/>
        <v>0</v>
      </c>
      <c r="BA61" s="233">
        <f t="shared" si="16"/>
        <v>6.1E-6</v>
      </c>
      <c r="BB61" s="15">
        <f t="shared" si="22"/>
        <v>0</v>
      </c>
      <c r="BC61" s="210">
        <v>51</v>
      </c>
      <c r="BD61" s="84">
        <f t="shared" si="17"/>
        <v>2.69E-5</v>
      </c>
      <c r="BE61" s="207">
        <f t="shared" si="18"/>
        <v>0</v>
      </c>
      <c r="BF61" s="233">
        <f t="shared" si="19"/>
        <v>6.1E-6</v>
      </c>
      <c r="BG61" s="15">
        <f t="shared" si="23"/>
        <v>0</v>
      </c>
      <c r="BH61" s="210">
        <v>51</v>
      </c>
      <c r="BI61" s="84">
        <f t="shared" si="20"/>
        <v>2.69E-5</v>
      </c>
      <c r="BJ61" s="207">
        <f t="shared" si="21"/>
        <v>0</v>
      </c>
      <c r="BL61" s="123"/>
      <c r="BM61" s="123"/>
      <c r="BO61" s="173"/>
      <c r="BP61" s="174" t="str">
        <f t="shared" si="24"/>
        <v/>
      </c>
      <c r="BQ61" s="174" t="str">
        <f t="shared" si="25"/>
        <v/>
      </c>
      <c r="BR61" s="174" t="str">
        <f t="shared" si="26"/>
        <v/>
      </c>
      <c r="BS61" s="174" t="str">
        <f t="shared" si="27"/>
        <v/>
      </c>
      <c r="BT61" s="174" t="str">
        <f t="shared" si="28"/>
        <v/>
      </c>
      <c r="BU61" s="174" t="str">
        <f t="shared" si="29"/>
        <v/>
      </c>
      <c r="BV61" s="174" t="str">
        <f t="shared" si="30"/>
        <v/>
      </c>
      <c r="BW61" s="174" t="str">
        <f t="shared" si="31"/>
        <v/>
      </c>
      <c r="BX61" s="174" t="str">
        <f t="shared" si="32"/>
        <v/>
      </c>
      <c r="BY61" s="174" t="str">
        <f t="shared" si="33"/>
        <v/>
      </c>
      <c r="BZ61" s="174" t="str">
        <f t="shared" si="34"/>
        <v/>
      </c>
      <c r="CA61" s="174" t="str">
        <f t="shared" si="35"/>
        <v/>
      </c>
      <c r="CB61" s="161"/>
      <c r="CC61" s="161"/>
      <c r="CD61" s="161"/>
      <c r="CE61" s="161" t="s">
        <v>150</v>
      </c>
      <c r="CF61" s="161" t="s">
        <v>220</v>
      </c>
    </row>
    <row r="62" spans="1:84" ht="14.25" customHeight="1" x14ac:dyDescent="0.25">
      <c r="A62" s="203">
        <v>52</v>
      </c>
      <c r="B62" s="86"/>
      <c r="C62" s="193"/>
      <c r="D62" s="143"/>
      <c r="E62" s="308" t="s">
        <v>92</v>
      </c>
      <c r="F62" s="213"/>
      <c r="G62" s="214"/>
      <c r="H62" s="214"/>
      <c r="I62" s="214"/>
      <c r="J62" s="214"/>
      <c r="K62" s="214"/>
      <c r="L62" s="295">
        <f t="shared" si="36"/>
        <v>0</v>
      </c>
      <c r="M62" s="296"/>
      <c r="N62" s="297"/>
      <c r="O62" s="340"/>
      <c r="P62" s="311" t="s">
        <v>66</v>
      </c>
      <c r="Q62" s="325"/>
      <c r="R62" s="326"/>
      <c r="S62" s="326"/>
      <c r="T62" s="326"/>
      <c r="U62" s="326"/>
      <c r="V62" s="92"/>
      <c r="W62" s="295">
        <f t="shared" si="37"/>
        <v>0</v>
      </c>
      <c r="X62" s="296"/>
      <c r="Y62" s="297"/>
      <c r="Z62" s="346"/>
      <c r="AA62" s="314" t="s">
        <v>148</v>
      </c>
      <c r="AB62" s="13"/>
      <c r="AC62" s="222"/>
      <c r="AD62" s="222"/>
      <c r="AE62" s="222"/>
      <c r="AF62" s="222"/>
      <c r="AG62" s="5"/>
      <c r="AH62" s="20">
        <f t="shared" si="38"/>
        <v>0</v>
      </c>
      <c r="AI62" s="13"/>
      <c r="AJ62" s="5"/>
      <c r="AK62" s="343"/>
      <c r="AL62" s="100"/>
      <c r="AM62" s="98"/>
      <c r="AN62" s="226"/>
      <c r="AO62" s="225"/>
      <c r="AP62" s="89"/>
      <c r="AQ62" s="225"/>
      <c r="AR62" s="89"/>
      <c r="AS62" s="225"/>
      <c r="AT62" s="89"/>
      <c r="AU62" s="15">
        <f t="shared" si="13"/>
        <v>6.1999999999999999E-6</v>
      </c>
      <c r="AV62" s="15">
        <f t="shared" si="40"/>
        <v>0</v>
      </c>
      <c r="AW62" s="15"/>
      <c r="AX62" s="210">
        <v>52</v>
      </c>
      <c r="AY62" s="84">
        <f t="shared" si="14"/>
        <v>2.8399999999999999E-5</v>
      </c>
      <c r="AZ62" s="207">
        <f t="shared" si="15"/>
        <v>0</v>
      </c>
      <c r="BA62" s="233">
        <f t="shared" si="16"/>
        <v>6.1999999999999999E-6</v>
      </c>
      <c r="BB62" s="15">
        <f t="shared" si="22"/>
        <v>0</v>
      </c>
      <c r="BC62" s="210">
        <v>52</v>
      </c>
      <c r="BD62" s="84">
        <f t="shared" si="17"/>
        <v>2.6799999999999998E-5</v>
      </c>
      <c r="BE62" s="207">
        <f t="shared" si="18"/>
        <v>0</v>
      </c>
      <c r="BF62" s="233">
        <f t="shared" si="19"/>
        <v>6.1999999999999999E-6</v>
      </c>
      <c r="BG62" s="15">
        <f t="shared" si="23"/>
        <v>0</v>
      </c>
      <c r="BH62" s="210">
        <v>52</v>
      </c>
      <c r="BI62" s="84">
        <f t="shared" si="20"/>
        <v>2.6799999999999998E-5</v>
      </c>
      <c r="BJ62" s="207">
        <f t="shared" si="21"/>
        <v>0</v>
      </c>
      <c r="BL62" s="123"/>
      <c r="BM62" s="123"/>
      <c r="BO62" s="173"/>
      <c r="BP62" s="174" t="str">
        <f t="shared" si="24"/>
        <v/>
      </c>
      <c r="BQ62" s="174" t="str">
        <f t="shared" si="25"/>
        <v/>
      </c>
      <c r="BR62" s="174" t="str">
        <f t="shared" si="26"/>
        <v/>
      </c>
      <c r="BS62" s="174" t="str">
        <f t="shared" si="27"/>
        <v/>
      </c>
      <c r="BT62" s="174" t="str">
        <f t="shared" si="28"/>
        <v/>
      </c>
      <c r="BU62" s="174" t="str">
        <f t="shared" si="29"/>
        <v/>
      </c>
      <c r="BV62" s="174" t="str">
        <f t="shared" si="30"/>
        <v/>
      </c>
      <c r="BW62" s="174" t="str">
        <f t="shared" si="31"/>
        <v/>
      </c>
      <c r="BX62" s="174" t="str">
        <f t="shared" si="32"/>
        <v/>
      </c>
      <c r="BY62" s="174" t="str">
        <f t="shared" si="33"/>
        <v/>
      </c>
      <c r="BZ62" s="174" t="str">
        <f t="shared" si="34"/>
        <v/>
      </c>
      <c r="CA62" s="174" t="str">
        <f t="shared" si="35"/>
        <v/>
      </c>
      <c r="CB62" s="161"/>
      <c r="CC62" s="161"/>
      <c r="CD62" s="161"/>
      <c r="CE62" s="161" t="s">
        <v>150</v>
      </c>
      <c r="CF62" s="161" t="s">
        <v>220</v>
      </c>
    </row>
    <row r="63" spans="1:84" ht="14.25" customHeight="1" x14ac:dyDescent="0.25">
      <c r="A63" s="204">
        <v>53</v>
      </c>
      <c r="B63" s="211"/>
      <c r="C63" s="194"/>
      <c r="D63" s="142"/>
      <c r="E63" s="309" t="s">
        <v>92</v>
      </c>
      <c r="F63" s="305"/>
      <c r="G63" s="306"/>
      <c r="H63" s="306"/>
      <c r="I63" s="306"/>
      <c r="J63" s="306"/>
      <c r="K63" s="306"/>
      <c r="L63" s="223">
        <f t="shared" si="36"/>
        <v>0</v>
      </c>
      <c r="M63" s="298"/>
      <c r="N63" s="299"/>
      <c r="O63" s="341"/>
      <c r="P63" s="312" t="s">
        <v>66</v>
      </c>
      <c r="Q63" s="305"/>
      <c r="R63" s="306"/>
      <c r="S63" s="306"/>
      <c r="T63" s="306"/>
      <c r="U63" s="306"/>
      <c r="V63" s="122"/>
      <c r="W63" s="223">
        <f t="shared" si="37"/>
        <v>0</v>
      </c>
      <c r="X63" s="298"/>
      <c r="Y63" s="299"/>
      <c r="Z63" s="341"/>
      <c r="AA63" s="312" t="s">
        <v>86</v>
      </c>
      <c r="AB63" s="77"/>
      <c r="AC63" s="319"/>
      <c r="AD63" s="319"/>
      <c r="AE63" s="319"/>
      <c r="AF63" s="319"/>
      <c r="AG63" s="320"/>
      <c r="AH63" s="20">
        <f t="shared" si="38"/>
        <v>0</v>
      </c>
      <c r="AI63" s="77"/>
      <c r="AJ63" s="320"/>
      <c r="AK63" s="344"/>
      <c r="AL63" s="101"/>
      <c r="AM63" s="209"/>
      <c r="AN63" s="208"/>
      <c r="AO63" s="220"/>
      <c r="AP63" s="212"/>
      <c r="AQ63" s="220"/>
      <c r="AR63" s="212"/>
      <c r="AS63" s="220"/>
      <c r="AT63" s="212"/>
      <c r="AU63" s="15">
        <f t="shared" si="13"/>
        <v>6.2999999999999998E-6</v>
      </c>
      <c r="AV63" s="15">
        <f t="shared" si="40"/>
        <v>0</v>
      </c>
      <c r="AW63" s="15"/>
      <c r="AX63" s="210">
        <v>53</v>
      </c>
      <c r="AY63" s="84">
        <f t="shared" si="14"/>
        <v>2.83E-5</v>
      </c>
      <c r="AZ63" s="207">
        <f t="shared" si="15"/>
        <v>0</v>
      </c>
      <c r="BA63" s="233">
        <f t="shared" si="16"/>
        <v>6.2999999999999998E-6</v>
      </c>
      <c r="BB63" s="15">
        <f t="shared" si="22"/>
        <v>0</v>
      </c>
      <c r="BC63" s="210">
        <v>53</v>
      </c>
      <c r="BD63" s="84">
        <f t="shared" si="17"/>
        <v>2.6699999999999998E-5</v>
      </c>
      <c r="BE63" s="207">
        <f t="shared" si="18"/>
        <v>0</v>
      </c>
      <c r="BF63" s="233">
        <f t="shared" si="19"/>
        <v>6.2999999999999998E-6</v>
      </c>
      <c r="BG63" s="15">
        <f t="shared" si="23"/>
        <v>0</v>
      </c>
      <c r="BH63" s="210">
        <v>53</v>
      </c>
      <c r="BI63" s="84">
        <f t="shared" si="20"/>
        <v>2.6699999999999998E-5</v>
      </c>
      <c r="BJ63" s="207">
        <f t="shared" si="21"/>
        <v>0</v>
      </c>
      <c r="BL63" s="123"/>
      <c r="BM63" s="123"/>
      <c r="BO63" s="173"/>
      <c r="BP63" s="174" t="str">
        <f t="shared" si="24"/>
        <v/>
      </c>
      <c r="BQ63" s="174" t="str">
        <f t="shared" si="25"/>
        <v/>
      </c>
      <c r="BR63" s="174" t="str">
        <f t="shared" si="26"/>
        <v/>
      </c>
      <c r="BS63" s="174" t="str">
        <f t="shared" si="27"/>
        <v/>
      </c>
      <c r="BT63" s="174" t="str">
        <f t="shared" si="28"/>
        <v/>
      </c>
      <c r="BU63" s="174" t="str">
        <f t="shared" si="29"/>
        <v/>
      </c>
      <c r="BV63" s="174" t="str">
        <f t="shared" si="30"/>
        <v/>
      </c>
      <c r="BW63" s="174" t="str">
        <f t="shared" si="31"/>
        <v/>
      </c>
      <c r="BX63" s="174" t="str">
        <f t="shared" si="32"/>
        <v/>
      </c>
      <c r="BY63" s="174" t="str">
        <f t="shared" si="33"/>
        <v/>
      </c>
      <c r="BZ63" s="174" t="str">
        <f t="shared" si="34"/>
        <v/>
      </c>
      <c r="CA63" s="174" t="str">
        <f t="shared" si="35"/>
        <v/>
      </c>
      <c r="CB63" s="161"/>
      <c r="CC63" s="161"/>
      <c r="CD63" s="161"/>
      <c r="CE63" s="161" t="s">
        <v>150</v>
      </c>
      <c r="CF63" s="161" t="s">
        <v>220</v>
      </c>
    </row>
    <row r="64" spans="1:84" ht="14.25" customHeight="1" thickBot="1" x14ac:dyDescent="0.3">
      <c r="A64" s="205">
        <v>54</v>
      </c>
      <c r="B64" s="85"/>
      <c r="C64" s="195"/>
      <c r="D64" s="91"/>
      <c r="E64" s="310" t="s">
        <v>92</v>
      </c>
      <c r="F64" s="93"/>
      <c r="G64" s="97"/>
      <c r="H64" s="97"/>
      <c r="I64" s="97"/>
      <c r="J64" s="97"/>
      <c r="K64" s="97"/>
      <c r="L64" s="224">
        <f t="shared" si="36"/>
        <v>0</v>
      </c>
      <c r="M64" s="300"/>
      <c r="N64" s="301"/>
      <c r="O64" s="342"/>
      <c r="P64" s="313" t="s">
        <v>66</v>
      </c>
      <c r="Q64" s="93"/>
      <c r="R64" s="97"/>
      <c r="S64" s="97"/>
      <c r="T64" s="97"/>
      <c r="U64" s="97"/>
      <c r="V64" s="94"/>
      <c r="W64" s="224">
        <f t="shared" si="37"/>
        <v>0</v>
      </c>
      <c r="X64" s="300"/>
      <c r="Y64" s="301"/>
      <c r="Z64" s="342"/>
      <c r="AA64" s="313" t="s">
        <v>86</v>
      </c>
      <c r="AB64" s="78"/>
      <c r="AC64" s="321"/>
      <c r="AD64" s="321"/>
      <c r="AE64" s="321"/>
      <c r="AF64" s="321"/>
      <c r="AG64" s="322"/>
      <c r="AH64" s="88">
        <f t="shared" si="38"/>
        <v>0</v>
      </c>
      <c r="AI64" s="78"/>
      <c r="AJ64" s="322"/>
      <c r="AK64" s="345"/>
      <c r="AL64" s="102"/>
      <c r="AM64" s="99"/>
      <c r="AN64" s="227"/>
      <c r="AO64" s="221"/>
      <c r="AP64" s="90"/>
      <c r="AQ64" s="221"/>
      <c r="AR64" s="90"/>
      <c r="AS64" s="221"/>
      <c r="AT64" s="90"/>
      <c r="AU64" s="15">
        <f t="shared" si="13"/>
        <v>6.3999999999999997E-6</v>
      </c>
      <c r="AV64" s="15">
        <f t="shared" si="40"/>
        <v>0</v>
      </c>
      <c r="AW64" s="15"/>
      <c r="AX64" s="210">
        <v>54</v>
      </c>
      <c r="AY64" s="84">
        <f t="shared" si="14"/>
        <v>2.8199999999999998E-5</v>
      </c>
      <c r="AZ64" s="207">
        <f t="shared" si="15"/>
        <v>0</v>
      </c>
      <c r="BA64" s="233">
        <f t="shared" si="16"/>
        <v>6.3999999999999997E-6</v>
      </c>
      <c r="BB64" s="15">
        <f t="shared" si="22"/>
        <v>0</v>
      </c>
      <c r="BC64" s="210">
        <v>54</v>
      </c>
      <c r="BD64" s="84">
        <f t="shared" si="17"/>
        <v>2.6599999999999999E-5</v>
      </c>
      <c r="BE64" s="207">
        <f t="shared" si="18"/>
        <v>0</v>
      </c>
      <c r="BF64" s="233">
        <f t="shared" si="19"/>
        <v>6.3999999999999997E-6</v>
      </c>
      <c r="BG64" s="15">
        <f t="shared" si="23"/>
        <v>0</v>
      </c>
      <c r="BH64" s="210">
        <v>54</v>
      </c>
      <c r="BI64" s="84">
        <f t="shared" si="20"/>
        <v>2.6599999999999999E-5</v>
      </c>
      <c r="BJ64" s="207">
        <f t="shared" si="21"/>
        <v>0</v>
      </c>
      <c r="BL64" s="123"/>
      <c r="BM64" s="123"/>
      <c r="BO64" s="173"/>
      <c r="BP64" s="174" t="str">
        <f t="shared" si="24"/>
        <v/>
      </c>
      <c r="BQ64" s="174" t="str">
        <f t="shared" si="25"/>
        <v/>
      </c>
      <c r="BR64" s="174" t="str">
        <f t="shared" si="26"/>
        <v/>
      </c>
      <c r="BS64" s="174" t="str">
        <f t="shared" si="27"/>
        <v/>
      </c>
      <c r="BT64" s="174" t="str">
        <f t="shared" si="28"/>
        <v/>
      </c>
      <c r="BU64" s="174" t="str">
        <f t="shared" si="29"/>
        <v/>
      </c>
      <c r="BV64" s="174" t="str">
        <f t="shared" si="30"/>
        <v/>
      </c>
      <c r="BW64" s="174" t="str">
        <f t="shared" si="31"/>
        <v/>
      </c>
      <c r="BX64" s="174" t="str">
        <f t="shared" si="32"/>
        <v/>
      </c>
      <c r="BY64" s="174" t="str">
        <f t="shared" si="33"/>
        <v/>
      </c>
      <c r="BZ64" s="174" t="str">
        <f t="shared" si="34"/>
        <v/>
      </c>
      <c r="CA64" s="174" t="str">
        <f t="shared" si="35"/>
        <v/>
      </c>
      <c r="CB64" s="161"/>
      <c r="CC64" s="161"/>
      <c r="CD64" s="161"/>
      <c r="CE64" s="161" t="s">
        <v>150</v>
      </c>
      <c r="CF64" s="161" t="s">
        <v>220</v>
      </c>
    </row>
    <row r="65" spans="1:84" ht="14.25" customHeight="1" x14ac:dyDescent="0.25">
      <c r="A65" s="203">
        <v>55</v>
      </c>
      <c r="B65" s="86"/>
      <c r="C65" s="193"/>
      <c r="D65" s="143"/>
      <c r="E65" s="308" t="s">
        <v>92</v>
      </c>
      <c r="F65" s="213"/>
      <c r="G65" s="214"/>
      <c r="H65" s="214"/>
      <c r="I65" s="214"/>
      <c r="J65" s="214"/>
      <c r="K65" s="214"/>
      <c r="L65" s="295">
        <f t="shared" si="36"/>
        <v>0</v>
      </c>
      <c r="M65" s="296"/>
      <c r="N65" s="297"/>
      <c r="O65" s="340"/>
      <c r="P65" s="311" t="s">
        <v>66</v>
      </c>
      <c r="Q65" s="325"/>
      <c r="R65" s="326"/>
      <c r="S65" s="326"/>
      <c r="T65" s="326"/>
      <c r="U65" s="326"/>
      <c r="V65" s="92"/>
      <c r="W65" s="295">
        <f t="shared" si="37"/>
        <v>0</v>
      </c>
      <c r="X65" s="296"/>
      <c r="Y65" s="297"/>
      <c r="Z65" s="346"/>
      <c r="AA65" s="314" t="s">
        <v>148</v>
      </c>
      <c r="AB65" s="13"/>
      <c r="AC65" s="222"/>
      <c r="AD65" s="222"/>
      <c r="AE65" s="222"/>
      <c r="AF65" s="222"/>
      <c r="AG65" s="5"/>
      <c r="AH65" s="20">
        <f t="shared" si="38"/>
        <v>0</v>
      </c>
      <c r="AI65" s="13"/>
      <c r="AJ65" s="5"/>
      <c r="AK65" s="343"/>
      <c r="AL65" s="100"/>
      <c r="AM65" s="98"/>
      <c r="AN65" s="226"/>
      <c r="AO65" s="225"/>
      <c r="AP65" s="89"/>
      <c r="AQ65" s="225"/>
      <c r="AR65" s="89"/>
      <c r="AS65" s="225"/>
      <c r="AT65" s="89"/>
      <c r="AU65" s="15">
        <f t="shared" si="13"/>
        <v>6.4999999999999996E-6</v>
      </c>
      <c r="AV65" s="15">
        <f t="shared" si="40"/>
        <v>0</v>
      </c>
      <c r="AW65" s="15"/>
      <c r="AX65" s="210">
        <v>55</v>
      </c>
      <c r="AY65" s="84">
        <f t="shared" si="14"/>
        <v>2.8099999999999999E-5</v>
      </c>
      <c r="AZ65" s="207">
        <f t="shared" si="15"/>
        <v>0</v>
      </c>
      <c r="BA65" s="233">
        <f t="shared" si="16"/>
        <v>6.4999999999999996E-6</v>
      </c>
      <c r="BB65" s="15">
        <f t="shared" si="22"/>
        <v>0</v>
      </c>
      <c r="BC65" s="210">
        <v>55</v>
      </c>
      <c r="BD65" s="84">
        <f t="shared" si="17"/>
        <v>2.65E-5</v>
      </c>
      <c r="BE65" s="207">
        <f t="shared" si="18"/>
        <v>0</v>
      </c>
      <c r="BF65" s="233">
        <f t="shared" si="19"/>
        <v>6.4999999999999996E-6</v>
      </c>
      <c r="BG65" s="15">
        <f t="shared" si="23"/>
        <v>0</v>
      </c>
      <c r="BH65" s="210">
        <v>55</v>
      </c>
      <c r="BI65" s="84">
        <f t="shared" si="20"/>
        <v>2.65E-5</v>
      </c>
      <c r="BJ65" s="207">
        <f t="shared" si="21"/>
        <v>0</v>
      </c>
      <c r="BL65" s="123"/>
      <c r="BM65" s="123"/>
      <c r="BO65" s="173"/>
      <c r="BP65" s="174" t="str">
        <f t="shared" si="24"/>
        <v/>
      </c>
      <c r="BQ65" s="174" t="str">
        <f t="shared" si="25"/>
        <v/>
      </c>
      <c r="BR65" s="174" t="str">
        <f t="shared" si="26"/>
        <v/>
      </c>
      <c r="BS65" s="174" t="str">
        <f t="shared" si="27"/>
        <v/>
      </c>
      <c r="BT65" s="174" t="str">
        <f t="shared" si="28"/>
        <v/>
      </c>
      <c r="BU65" s="174" t="str">
        <f t="shared" si="29"/>
        <v/>
      </c>
      <c r="BV65" s="174" t="str">
        <f t="shared" si="30"/>
        <v/>
      </c>
      <c r="BW65" s="174" t="str">
        <f t="shared" si="31"/>
        <v/>
      </c>
      <c r="BX65" s="174" t="str">
        <f t="shared" si="32"/>
        <v/>
      </c>
      <c r="BY65" s="174" t="str">
        <f t="shared" si="33"/>
        <v/>
      </c>
      <c r="BZ65" s="174" t="str">
        <f t="shared" si="34"/>
        <v/>
      </c>
      <c r="CA65" s="174" t="str">
        <f t="shared" si="35"/>
        <v/>
      </c>
      <c r="CB65" s="161"/>
      <c r="CC65" s="161"/>
      <c r="CD65" s="161"/>
      <c r="CE65" s="161" t="s">
        <v>150</v>
      </c>
      <c r="CF65" s="161" t="s">
        <v>220</v>
      </c>
    </row>
    <row r="66" spans="1:84" ht="14.25" customHeight="1" x14ac:dyDescent="0.25">
      <c r="A66" s="204">
        <v>56</v>
      </c>
      <c r="B66" s="211"/>
      <c r="C66" s="194"/>
      <c r="D66" s="142"/>
      <c r="E66" s="309" t="s">
        <v>92</v>
      </c>
      <c r="F66" s="305"/>
      <c r="G66" s="306"/>
      <c r="H66" s="306"/>
      <c r="I66" s="306"/>
      <c r="J66" s="306"/>
      <c r="K66" s="306"/>
      <c r="L66" s="223">
        <f t="shared" si="36"/>
        <v>0</v>
      </c>
      <c r="M66" s="298"/>
      <c r="N66" s="299"/>
      <c r="O66" s="341"/>
      <c r="P66" s="312" t="s">
        <v>66</v>
      </c>
      <c r="Q66" s="305"/>
      <c r="R66" s="306"/>
      <c r="S66" s="306"/>
      <c r="T66" s="306"/>
      <c r="U66" s="306"/>
      <c r="V66" s="122"/>
      <c r="W66" s="223">
        <f t="shared" si="37"/>
        <v>0</v>
      </c>
      <c r="X66" s="298"/>
      <c r="Y66" s="299"/>
      <c r="Z66" s="341"/>
      <c r="AA66" s="312" t="s">
        <v>86</v>
      </c>
      <c r="AB66" s="77"/>
      <c r="AC66" s="319"/>
      <c r="AD66" s="319"/>
      <c r="AE66" s="319"/>
      <c r="AF66" s="319"/>
      <c r="AG66" s="320"/>
      <c r="AH66" s="20">
        <f t="shared" si="38"/>
        <v>0</v>
      </c>
      <c r="AI66" s="77"/>
      <c r="AJ66" s="320"/>
      <c r="AK66" s="344"/>
      <c r="AL66" s="101"/>
      <c r="AM66" s="209"/>
      <c r="AN66" s="208"/>
      <c r="AO66" s="220"/>
      <c r="AP66" s="212"/>
      <c r="AQ66" s="220"/>
      <c r="AR66" s="212"/>
      <c r="AS66" s="220"/>
      <c r="AT66" s="212"/>
      <c r="AU66" s="15">
        <f t="shared" si="13"/>
        <v>6.5999999999999995E-6</v>
      </c>
      <c r="AV66" s="15">
        <f t="shared" si="40"/>
        <v>0</v>
      </c>
      <c r="AW66" s="15"/>
      <c r="AX66" s="210">
        <v>56</v>
      </c>
      <c r="AY66" s="84">
        <f t="shared" si="14"/>
        <v>2.8E-5</v>
      </c>
      <c r="AZ66" s="207">
        <f t="shared" si="15"/>
        <v>0</v>
      </c>
      <c r="BA66" s="233">
        <f t="shared" si="16"/>
        <v>6.5999999999999995E-6</v>
      </c>
      <c r="BB66" s="15">
        <f t="shared" si="22"/>
        <v>0</v>
      </c>
      <c r="BC66" s="210">
        <v>56</v>
      </c>
      <c r="BD66" s="84">
        <f t="shared" si="17"/>
        <v>2.6399999999999998E-5</v>
      </c>
      <c r="BE66" s="207">
        <f t="shared" si="18"/>
        <v>0</v>
      </c>
      <c r="BF66" s="233">
        <f t="shared" si="19"/>
        <v>6.5999999999999995E-6</v>
      </c>
      <c r="BG66" s="15">
        <f t="shared" si="23"/>
        <v>0</v>
      </c>
      <c r="BH66" s="210">
        <v>56</v>
      </c>
      <c r="BI66" s="84">
        <f t="shared" si="20"/>
        <v>2.6399999999999998E-5</v>
      </c>
      <c r="BJ66" s="207">
        <f t="shared" si="21"/>
        <v>0</v>
      </c>
      <c r="BL66" s="123"/>
      <c r="BM66" s="123"/>
      <c r="BO66" s="173"/>
      <c r="BP66" s="174" t="str">
        <f t="shared" si="24"/>
        <v/>
      </c>
      <c r="BQ66" s="174" t="str">
        <f t="shared" si="25"/>
        <v/>
      </c>
      <c r="BR66" s="174" t="str">
        <f t="shared" si="26"/>
        <v/>
      </c>
      <c r="BS66" s="174" t="str">
        <f t="shared" si="27"/>
        <v/>
      </c>
      <c r="BT66" s="174" t="str">
        <f t="shared" si="28"/>
        <v/>
      </c>
      <c r="BU66" s="174" t="str">
        <f t="shared" si="29"/>
        <v/>
      </c>
      <c r="BV66" s="174" t="str">
        <f t="shared" si="30"/>
        <v/>
      </c>
      <c r="BW66" s="174" t="str">
        <f t="shared" si="31"/>
        <v/>
      </c>
      <c r="BX66" s="174" t="str">
        <f t="shared" si="32"/>
        <v/>
      </c>
      <c r="BY66" s="174" t="str">
        <f t="shared" si="33"/>
        <v/>
      </c>
      <c r="BZ66" s="174" t="str">
        <f t="shared" si="34"/>
        <v/>
      </c>
      <c r="CA66" s="174" t="str">
        <f t="shared" si="35"/>
        <v/>
      </c>
      <c r="CB66" s="161"/>
      <c r="CC66" s="161"/>
      <c r="CD66" s="161"/>
      <c r="CE66" s="161" t="s">
        <v>150</v>
      </c>
      <c r="CF66" s="161" t="s">
        <v>220</v>
      </c>
    </row>
    <row r="67" spans="1:84" ht="14.25" customHeight="1" thickBot="1" x14ac:dyDescent="0.3">
      <c r="A67" s="205">
        <v>57</v>
      </c>
      <c r="B67" s="85"/>
      <c r="C67" s="195"/>
      <c r="D67" s="91"/>
      <c r="E67" s="310" t="s">
        <v>92</v>
      </c>
      <c r="F67" s="93"/>
      <c r="G67" s="97"/>
      <c r="H67" s="97"/>
      <c r="I67" s="97"/>
      <c r="J67" s="97"/>
      <c r="K67" s="97"/>
      <c r="L67" s="224">
        <f t="shared" si="36"/>
        <v>0</v>
      </c>
      <c r="M67" s="300"/>
      <c r="N67" s="301"/>
      <c r="O67" s="342"/>
      <c r="P67" s="313" t="s">
        <v>66</v>
      </c>
      <c r="Q67" s="93"/>
      <c r="R67" s="97"/>
      <c r="S67" s="97"/>
      <c r="T67" s="97"/>
      <c r="U67" s="97"/>
      <c r="V67" s="94"/>
      <c r="W67" s="224">
        <f t="shared" si="37"/>
        <v>0</v>
      </c>
      <c r="X67" s="300"/>
      <c r="Y67" s="301"/>
      <c r="Z67" s="342"/>
      <c r="AA67" s="313" t="s">
        <v>86</v>
      </c>
      <c r="AB67" s="78"/>
      <c r="AC67" s="321"/>
      <c r="AD67" s="321"/>
      <c r="AE67" s="321"/>
      <c r="AF67" s="321"/>
      <c r="AG67" s="322"/>
      <c r="AH67" s="88">
        <f t="shared" si="38"/>
        <v>0</v>
      </c>
      <c r="AI67" s="78"/>
      <c r="AJ67" s="322"/>
      <c r="AK67" s="345"/>
      <c r="AL67" s="102"/>
      <c r="AM67" s="99"/>
      <c r="AN67" s="227"/>
      <c r="AO67" s="221"/>
      <c r="AP67" s="90"/>
      <c r="AQ67" s="221"/>
      <c r="AR67" s="90"/>
      <c r="AS67" s="221"/>
      <c r="AT67" s="90"/>
      <c r="AU67" s="15">
        <f t="shared" si="13"/>
        <v>6.6999999999999994E-6</v>
      </c>
      <c r="AV67" s="15">
        <f t="shared" si="40"/>
        <v>0</v>
      </c>
      <c r="AW67" s="15"/>
      <c r="AX67" s="210">
        <v>57</v>
      </c>
      <c r="AY67" s="84">
        <f t="shared" si="14"/>
        <v>2.7899999999999997E-5</v>
      </c>
      <c r="AZ67" s="207">
        <f t="shared" si="15"/>
        <v>0</v>
      </c>
      <c r="BA67" s="233">
        <f t="shared" si="16"/>
        <v>6.6999999999999994E-6</v>
      </c>
      <c r="BB67" s="15">
        <f t="shared" si="22"/>
        <v>0</v>
      </c>
      <c r="BC67" s="210">
        <v>57</v>
      </c>
      <c r="BD67" s="84">
        <f t="shared" si="17"/>
        <v>2.6299999999999999E-5</v>
      </c>
      <c r="BE67" s="207">
        <f t="shared" si="18"/>
        <v>0</v>
      </c>
      <c r="BF67" s="233">
        <f t="shared" si="19"/>
        <v>6.6999999999999994E-6</v>
      </c>
      <c r="BG67" s="15">
        <f t="shared" si="23"/>
        <v>0</v>
      </c>
      <c r="BH67" s="210">
        <v>57</v>
      </c>
      <c r="BI67" s="84">
        <f t="shared" si="20"/>
        <v>2.6299999999999999E-5</v>
      </c>
      <c r="BJ67" s="207">
        <f t="shared" si="21"/>
        <v>0</v>
      </c>
      <c r="BL67" s="123"/>
      <c r="BM67" s="123"/>
      <c r="BO67" s="173"/>
      <c r="BP67" s="174" t="str">
        <f t="shared" si="24"/>
        <v/>
      </c>
      <c r="BQ67" s="174" t="str">
        <f t="shared" si="25"/>
        <v/>
      </c>
      <c r="BR67" s="174" t="str">
        <f t="shared" si="26"/>
        <v/>
      </c>
      <c r="BS67" s="174" t="str">
        <f t="shared" si="27"/>
        <v/>
      </c>
      <c r="BT67" s="174" t="str">
        <f t="shared" si="28"/>
        <v/>
      </c>
      <c r="BU67" s="174" t="str">
        <f t="shared" si="29"/>
        <v/>
      </c>
      <c r="BV67" s="174" t="str">
        <f t="shared" si="30"/>
        <v/>
      </c>
      <c r="BW67" s="174" t="str">
        <f t="shared" si="31"/>
        <v/>
      </c>
      <c r="BX67" s="174" t="str">
        <f t="shared" si="32"/>
        <v/>
      </c>
      <c r="BY67" s="174" t="str">
        <f t="shared" si="33"/>
        <v/>
      </c>
      <c r="BZ67" s="174" t="str">
        <f t="shared" si="34"/>
        <v/>
      </c>
      <c r="CA67" s="174" t="str">
        <f t="shared" si="35"/>
        <v/>
      </c>
      <c r="CB67" s="161"/>
      <c r="CC67" s="161"/>
      <c r="CD67" s="161"/>
      <c r="CE67" s="161" t="s">
        <v>150</v>
      </c>
      <c r="CF67" s="161" t="s">
        <v>220</v>
      </c>
    </row>
    <row r="68" spans="1:84" ht="14.25" customHeight="1" x14ac:dyDescent="0.25">
      <c r="A68" s="203">
        <v>58</v>
      </c>
      <c r="B68" s="86"/>
      <c r="C68" s="193"/>
      <c r="D68" s="143"/>
      <c r="E68" s="308" t="s">
        <v>92</v>
      </c>
      <c r="F68" s="213"/>
      <c r="G68" s="214"/>
      <c r="H68" s="214"/>
      <c r="I68" s="214"/>
      <c r="J68" s="214"/>
      <c r="K68" s="214"/>
      <c r="L68" s="295">
        <f t="shared" si="36"/>
        <v>0</v>
      </c>
      <c r="M68" s="296"/>
      <c r="N68" s="297"/>
      <c r="O68" s="340"/>
      <c r="P68" s="311" t="s">
        <v>66</v>
      </c>
      <c r="Q68" s="325"/>
      <c r="R68" s="326"/>
      <c r="S68" s="326"/>
      <c r="T68" s="326"/>
      <c r="U68" s="326"/>
      <c r="V68" s="92"/>
      <c r="W68" s="295">
        <f t="shared" si="37"/>
        <v>0</v>
      </c>
      <c r="X68" s="296"/>
      <c r="Y68" s="297"/>
      <c r="Z68" s="346"/>
      <c r="AA68" s="314" t="s">
        <v>148</v>
      </c>
      <c r="AB68" s="13"/>
      <c r="AC68" s="222"/>
      <c r="AD68" s="222"/>
      <c r="AE68" s="222"/>
      <c r="AF68" s="222"/>
      <c r="AG68" s="5"/>
      <c r="AH68" s="20">
        <f t="shared" si="38"/>
        <v>0</v>
      </c>
      <c r="AI68" s="13"/>
      <c r="AJ68" s="5"/>
      <c r="AK68" s="343"/>
      <c r="AL68" s="100"/>
      <c r="AM68" s="98"/>
      <c r="AN68" s="226"/>
      <c r="AO68" s="225"/>
      <c r="AP68" s="89"/>
      <c r="AQ68" s="225"/>
      <c r="AR68" s="89"/>
      <c r="AS68" s="225"/>
      <c r="AT68" s="89"/>
      <c r="AU68" s="15">
        <f t="shared" si="13"/>
        <v>6.7999999999999993E-6</v>
      </c>
      <c r="AV68" s="15">
        <f t="shared" si="40"/>
        <v>0</v>
      </c>
      <c r="AW68" s="15"/>
      <c r="AX68" s="210">
        <v>58</v>
      </c>
      <c r="AY68" s="84">
        <f t="shared" si="14"/>
        <v>2.7799999999999998E-5</v>
      </c>
      <c r="AZ68" s="207">
        <f t="shared" si="15"/>
        <v>0</v>
      </c>
      <c r="BA68" s="233">
        <f t="shared" si="16"/>
        <v>6.7999999999999993E-6</v>
      </c>
      <c r="BB68" s="15">
        <f t="shared" si="22"/>
        <v>0</v>
      </c>
      <c r="BC68" s="210">
        <v>58</v>
      </c>
      <c r="BD68" s="84">
        <f t="shared" si="17"/>
        <v>2.62E-5</v>
      </c>
      <c r="BE68" s="207">
        <f t="shared" si="18"/>
        <v>0</v>
      </c>
      <c r="BF68" s="233">
        <f t="shared" si="19"/>
        <v>6.7999999999999993E-6</v>
      </c>
      <c r="BG68" s="15">
        <f t="shared" si="23"/>
        <v>0</v>
      </c>
      <c r="BH68" s="210">
        <v>58</v>
      </c>
      <c r="BI68" s="84">
        <f t="shared" si="20"/>
        <v>2.62E-5</v>
      </c>
      <c r="BJ68" s="207">
        <f t="shared" si="21"/>
        <v>0</v>
      </c>
      <c r="BL68" s="123"/>
      <c r="BM68" s="123"/>
      <c r="BO68" s="173"/>
      <c r="BP68" s="174" t="str">
        <f t="shared" si="24"/>
        <v/>
      </c>
      <c r="BQ68" s="174" t="str">
        <f t="shared" si="25"/>
        <v/>
      </c>
      <c r="BR68" s="174" t="str">
        <f t="shared" si="26"/>
        <v/>
      </c>
      <c r="BS68" s="174" t="str">
        <f t="shared" si="27"/>
        <v/>
      </c>
      <c r="BT68" s="174" t="str">
        <f t="shared" si="28"/>
        <v/>
      </c>
      <c r="BU68" s="174" t="str">
        <f t="shared" si="29"/>
        <v/>
      </c>
      <c r="BV68" s="174" t="str">
        <f t="shared" si="30"/>
        <v/>
      </c>
      <c r="BW68" s="174" t="str">
        <f t="shared" si="31"/>
        <v/>
      </c>
      <c r="BX68" s="174" t="str">
        <f t="shared" si="32"/>
        <v/>
      </c>
      <c r="BY68" s="174" t="str">
        <f t="shared" si="33"/>
        <v/>
      </c>
      <c r="BZ68" s="174" t="str">
        <f t="shared" si="34"/>
        <v/>
      </c>
      <c r="CA68" s="174" t="str">
        <f t="shared" si="35"/>
        <v/>
      </c>
      <c r="CB68" s="161"/>
      <c r="CC68" s="161"/>
      <c r="CD68" s="161"/>
      <c r="CE68" s="161" t="s">
        <v>150</v>
      </c>
      <c r="CF68" s="161" t="s">
        <v>220</v>
      </c>
    </row>
    <row r="69" spans="1:84" ht="14.25" customHeight="1" x14ac:dyDescent="0.25">
      <c r="A69" s="204">
        <v>59</v>
      </c>
      <c r="B69" s="211"/>
      <c r="C69" s="194"/>
      <c r="D69" s="142"/>
      <c r="E69" s="309" t="s">
        <v>92</v>
      </c>
      <c r="F69" s="305"/>
      <c r="G69" s="306"/>
      <c r="H69" s="306"/>
      <c r="I69" s="306"/>
      <c r="J69" s="306"/>
      <c r="K69" s="306"/>
      <c r="L69" s="223">
        <f t="shared" si="36"/>
        <v>0</v>
      </c>
      <c r="M69" s="298"/>
      <c r="N69" s="299"/>
      <c r="O69" s="341"/>
      <c r="P69" s="312" t="s">
        <v>66</v>
      </c>
      <c r="Q69" s="305"/>
      <c r="R69" s="306"/>
      <c r="S69" s="306"/>
      <c r="T69" s="306"/>
      <c r="U69" s="306"/>
      <c r="V69" s="122"/>
      <c r="W69" s="223">
        <f t="shared" si="37"/>
        <v>0</v>
      </c>
      <c r="X69" s="298"/>
      <c r="Y69" s="299"/>
      <c r="Z69" s="341"/>
      <c r="AA69" s="312" t="s">
        <v>86</v>
      </c>
      <c r="AB69" s="77"/>
      <c r="AC69" s="319"/>
      <c r="AD69" s="319"/>
      <c r="AE69" s="319"/>
      <c r="AF69" s="319"/>
      <c r="AG69" s="320"/>
      <c r="AH69" s="20">
        <f t="shared" si="38"/>
        <v>0</v>
      </c>
      <c r="AI69" s="77"/>
      <c r="AJ69" s="320"/>
      <c r="AK69" s="344"/>
      <c r="AL69" s="101"/>
      <c r="AM69" s="209"/>
      <c r="AN69" s="208"/>
      <c r="AO69" s="220"/>
      <c r="AP69" s="212"/>
      <c r="AQ69" s="220"/>
      <c r="AR69" s="212"/>
      <c r="AS69" s="220"/>
      <c r="AT69" s="212"/>
      <c r="AU69" s="15">
        <f t="shared" si="13"/>
        <v>6.9E-6</v>
      </c>
      <c r="AV69" s="15">
        <f t="shared" si="40"/>
        <v>0</v>
      </c>
      <c r="AW69" s="15"/>
      <c r="AX69" s="210">
        <v>59</v>
      </c>
      <c r="AY69" s="84">
        <f t="shared" si="14"/>
        <v>2.7699999999999999E-5</v>
      </c>
      <c r="AZ69" s="207">
        <f t="shared" si="15"/>
        <v>0</v>
      </c>
      <c r="BA69" s="233">
        <f t="shared" si="16"/>
        <v>6.9E-6</v>
      </c>
      <c r="BB69" s="15">
        <f t="shared" si="22"/>
        <v>0</v>
      </c>
      <c r="BC69" s="210">
        <v>59</v>
      </c>
      <c r="BD69" s="84">
        <f t="shared" si="17"/>
        <v>2.6099999999999997E-5</v>
      </c>
      <c r="BE69" s="207">
        <f t="shared" si="18"/>
        <v>0</v>
      </c>
      <c r="BF69" s="233">
        <f t="shared" si="19"/>
        <v>6.9E-6</v>
      </c>
      <c r="BG69" s="15">
        <f t="shared" si="23"/>
        <v>0</v>
      </c>
      <c r="BH69" s="210">
        <v>59</v>
      </c>
      <c r="BI69" s="84">
        <f t="shared" si="20"/>
        <v>2.6099999999999997E-5</v>
      </c>
      <c r="BJ69" s="207">
        <f t="shared" si="21"/>
        <v>0</v>
      </c>
      <c r="BL69" s="123"/>
      <c r="BM69" s="123"/>
      <c r="BO69" s="173"/>
      <c r="BP69" s="174" t="str">
        <f t="shared" si="24"/>
        <v/>
      </c>
      <c r="BQ69" s="174" t="str">
        <f t="shared" si="25"/>
        <v/>
      </c>
      <c r="BR69" s="174" t="str">
        <f t="shared" si="26"/>
        <v/>
      </c>
      <c r="BS69" s="174" t="str">
        <f t="shared" si="27"/>
        <v/>
      </c>
      <c r="BT69" s="174" t="str">
        <f t="shared" si="28"/>
        <v/>
      </c>
      <c r="BU69" s="174" t="str">
        <f t="shared" si="29"/>
        <v/>
      </c>
      <c r="BV69" s="174" t="str">
        <f t="shared" si="30"/>
        <v/>
      </c>
      <c r="BW69" s="174" t="str">
        <f t="shared" si="31"/>
        <v/>
      </c>
      <c r="BX69" s="174" t="str">
        <f t="shared" si="32"/>
        <v/>
      </c>
      <c r="BY69" s="174" t="str">
        <f t="shared" si="33"/>
        <v/>
      </c>
      <c r="BZ69" s="174" t="str">
        <f t="shared" si="34"/>
        <v/>
      </c>
      <c r="CA69" s="174" t="str">
        <f t="shared" si="35"/>
        <v/>
      </c>
      <c r="CB69" s="161"/>
      <c r="CC69" s="161"/>
      <c r="CD69" s="161"/>
      <c r="CE69" s="161" t="s">
        <v>150</v>
      </c>
      <c r="CF69" s="161" t="s">
        <v>220</v>
      </c>
    </row>
    <row r="70" spans="1:84" ht="14.25" customHeight="1" thickBot="1" x14ac:dyDescent="0.3">
      <c r="A70" s="205">
        <v>60</v>
      </c>
      <c r="B70" s="85"/>
      <c r="C70" s="195"/>
      <c r="D70" s="91"/>
      <c r="E70" s="310" t="s">
        <v>92</v>
      </c>
      <c r="F70" s="93"/>
      <c r="G70" s="97"/>
      <c r="H70" s="97"/>
      <c r="I70" s="97"/>
      <c r="J70" s="97"/>
      <c r="K70" s="97"/>
      <c r="L70" s="224">
        <f t="shared" si="36"/>
        <v>0</v>
      </c>
      <c r="M70" s="300"/>
      <c r="N70" s="301"/>
      <c r="O70" s="342"/>
      <c r="P70" s="313" t="s">
        <v>66</v>
      </c>
      <c r="Q70" s="93"/>
      <c r="R70" s="97"/>
      <c r="S70" s="97"/>
      <c r="T70" s="97"/>
      <c r="U70" s="97"/>
      <c r="V70" s="94"/>
      <c r="W70" s="224">
        <f t="shared" si="37"/>
        <v>0</v>
      </c>
      <c r="X70" s="300"/>
      <c r="Y70" s="301"/>
      <c r="Z70" s="342"/>
      <c r="AA70" s="313" t="s">
        <v>86</v>
      </c>
      <c r="AB70" s="78"/>
      <c r="AC70" s="321"/>
      <c r="AD70" s="321"/>
      <c r="AE70" s="321"/>
      <c r="AF70" s="321"/>
      <c r="AG70" s="322"/>
      <c r="AH70" s="88">
        <f t="shared" si="38"/>
        <v>0</v>
      </c>
      <c r="AI70" s="78"/>
      <c r="AJ70" s="322"/>
      <c r="AK70" s="345"/>
      <c r="AL70" s="102"/>
      <c r="AM70" s="99"/>
      <c r="AN70" s="227"/>
      <c r="AO70" s="221"/>
      <c r="AP70" s="90"/>
      <c r="AQ70" s="221"/>
      <c r="AR70" s="90"/>
      <c r="AS70" s="221"/>
      <c r="AT70" s="90"/>
      <c r="AU70" s="15">
        <f t="shared" si="13"/>
        <v>6.9999999999999999E-6</v>
      </c>
      <c r="AV70" s="15">
        <f t="shared" si="40"/>
        <v>0</v>
      </c>
      <c r="AW70" s="15"/>
      <c r="AX70" s="210">
        <v>60</v>
      </c>
      <c r="AY70" s="84">
        <f t="shared" si="14"/>
        <v>2.76E-5</v>
      </c>
      <c r="AZ70" s="207">
        <f t="shared" si="15"/>
        <v>0</v>
      </c>
      <c r="BA70" s="233">
        <f t="shared" si="16"/>
        <v>6.9999999999999999E-6</v>
      </c>
      <c r="BB70" s="15">
        <f t="shared" si="22"/>
        <v>0</v>
      </c>
      <c r="BC70" s="210">
        <v>60</v>
      </c>
      <c r="BD70" s="84">
        <f t="shared" si="17"/>
        <v>2.5999999999999998E-5</v>
      </c>
      <c r="BE70" s="207">
        <f t="shared" si="18"/>
        <v>0</v>
      </c>
      <c r="BF70" s="233">
        <f t="shared" si="19"/>
        <v>6.9999999999999999E-6</v>
      </c>
      <c r="BG70" s="15">
        <f t="shared" si="23"/>
        <v>0</v>
      </c>
      <c r="BH70" s="210">
        <v>60</v>
      </c>
      <c r="BI70" s="84">
        <f t="shared" si="20"/>
        <v>2.5999999999999998E-5</v>
      </c>
      <c r="BJ70" s="207">
        <f t="shared" si="21"/>
        <v>0</v>
      </c>
      <c r="BL70" s="123"/>
      <c r="BM70" s="123"/>
      <c r="BO70" s="173"/>
      <c r="BP70" s="174" t="str">
        <f t="shared" si="24"/>
        <v/>
      </c>
      <c r="BQ70" s="174" t="str">
        <f t="shared" si="25"/>
        <v/>
      </c>
      <c r="BR70" s="174" t="str">
        <f t="shared" si="26"/>
        <v/>
      </c>
      <c r="BS70" s="174" t="str">
        <f t="shared" si="27"/>
        <v/>
      </c>
      <c r="BT70" s="174" t="str">
        <f t="shared" si="28"/>
        <v/>
      </c>
      <c r="BU70" s="174" t="str">
        <f t="shared" si="29"/>
        <v/>
      </c>
      <c r="BV70" s="174" t="str">
        <f t="shared" si="30"/>
        <v/>
      </c>
      <c r="BW70" s="174" t="str">
        <f t="shared" si="31"/>
        <v/>
      </c>
      <c r="BX70" s="174" t="str">
        <f t="shared" si="32"/>
        <v/>
      </c>
      <c r="BY70" s="174" t="str">
        <f t="shared" si="33"/>
        <v/>
      </c>
      <c r="BZ70" s="174" t="str">
        <f t="shared" si="34"/>
        <v/>
      </c>
      <c r="CA70" s="174" t="str">
        <f t="shared" si="35"/>
        <v/>
      </c>
      <c r="CB70" s="161"/>
      <c r="CC70" s="161"/>
      <c r="CD70" s="161"/>
      <c r="CE70" s="161" t="s">
        <v>150</v>
      </c>
      <c r="CF70" s="161" t="s">
        <v>220</v>
      </c>
    </row>
    <row r="71" spans="1:84" ht="14.25" customHeight="1" x14ac:dyDescent="0.25">
      <c r="A71" s="203">
        <v>61</v>
      </c>
      <c r="B71" s="86"/>
      <c r="C71" s="193"/>
      <c r="D71" s="143"/>
      <c r="E71" s="308" t="s">
        <v>92</v>
      </c>
      <c r="F71" s="213"/>
      <c r="G71" s="214"/>
      <c r="H71" s="214"/>
      <c r="I71" s="214"/>
      <c r="J71" s="214"/>
      <c r="K71" s="214"/>
      <c r="L71" s="295">
        <f t="shared" si="36"/>
        <v>0</v>
      </c>
      <c r="M71" s="296"/>
      <c r="N71" s="297"/>
      <c r="O71" s="340"/>
      <c r="P71" s="311" t="s">
        <v>66</v>
      </c>
      <c r="Q71" s="325"/>
      <c r="R71" s="326"/>
      <c r="S71" s="326"/>
      <c r="T71" s="326"/>
      <c r="U71" s="326"/>
      <c r="V71" s="92"/>
      <c r="W71" s="295">
        <f t="shared" si="37"/>
        <v>0</v>
      </c>
      <c r="X71" s="296"/>
      <c r="Y71" s="297"/>
      <c r="Z71" s="346"/>
      <c r="AA71" s="314" t="s">
        <v>148</v>
      </c>
      <c r="AB71" s="13"/>
      <c r="AC71" s="222"/>
      <c r="AD71" s="222"/>
      <c r="AE71" s="222"/>
      <c r="AF71" s="222"/>
      <c r="AG71" s="5"/>
      <c r="AH71" s="20">
        <f t="shared" si="38"/>
        <v>0</v>
      </c>
      <c r="AI71" s="13"/>
      <c r="AJ71" s="5"/>
      <c r="AK71" s="343"/>
      <c r="AL71" s="100"/>
      <c r="AM71" s="98"/>
      <c r="AN71" s="226"/>
      <c r="AO71" s="225"/>
      <c r="AP71" s="89"/>
      <c r="AQ71" s="225"/>
      <c r="AR71" s="89"/>
      <c r="AS71" s="225"/>
      <c r="AT71" s="89"/>
      <c r="AU71" s="15">
        <f t="shared" si="13"/>
        <v>7.0999999999999998E-6</v>
      </c>
      <c r="AV71" s="15">
        <f t="shared" si="40"/>
        <v>0</v>
      </c>
      <c r="AW71" s="15"/>
      <c r="AX71" s="210">
        <v>61</v>
      </c>
      <c r="AY71" s="84">
        <f t="shared" si="14"/>
        <v>2.7499999999999998E-5</v>
      </c>
      <c r="AZ71" s="207">
        <f t="shared" si="15"/>
        <v>0</v>
      </c>
      <c r="BA71" s="233">
        <f t="shared" si="16"/>
        <v>7.0999999999999998E-6</v>
      </c>
      <c r="BB71" s="15">
        <f t="shared" si="22"/>
        <v>0</v>
      </c>
      <c r="BC71" s="210">
        <v>61</v>
      </c>
      <c r="BD71" s="84">
        <f t="shared" si="17"/>
        <v>2.5899999999999999E-5</v>
      </c>
      <c r="BE71" s="207">
        <f t="shared" si="18"/>
        <v>0</v>
      </c>
      <c r="BF71" s="233">
        <f t="shared" si="19"/>
        <v>7.0999999999999998E-6</v>
      </c>
      <c r="BG71" s="15">
        <f t="shared" si="23"/>
        <v>0</v>
      </c>
      <c r="BH71" s="210">
        <v>61</v>
      </c>
      <c r="BI71" s="84">
        <f t="shared" si="20"/>
        <v>2.5899999999999999E-5</v>
      </c>
      <c r="BJ71" s="207">
        <f t="shared" si="21"/>
        <v>0</v>
      </c>
      <c r="BL71" s="123"/>
      <c r="BM71" s="123"/>
      <c r="BO71" s="173"/>
      <c r="BP71" s="174" t="str">
        <f t="shared" si="24"/>
        <v/>
      </c>
      <c r="BQ71" s="174" t="str">
        <f t="shared" si="25"/>
        <v/>
      </c>
      <c r="BR71" s="174" t="str">
        <f t="shared" si="26"/>
        <v/>
      </c>
      <c r="BS71" s="174" t="str">
        <f t="shared" si="27"/>
        <v/>
      </c>
      <c r="BT71" s="174" t="str">
        <f t="shared" si="28"/>
        <v/>
      </c>
      <c r="BU71" s="174" t="str">
        <f t="shared" si="29"/>
        <v/>
      </c>
      <c r="BV71" s="174" t="str">
        <f t="shared" si="30"/>
        <v/>
      </c>
      <c r="BW71" s="174" t="str">
        <f t="shared" si="31"/>
        <v/>
      </c>
      <c r="BX71" s="174" t="str">
        <f t="shared" si="32"/>
        <v/>
      </c>
      <c r="BY71" s="174" t="str">
        <f t="shared" si="33"/>
        <v/>
      </c>
      <c r="BZ71" s="174" t="str">
        <f t="shared" si="34"/>
        <v/>
      </c>
      <c r="CA71" s="174" t="str">
        <f t="shared" si="35"/>
        <v/>
      </c>
      <c r="CB71" s="161"/>
      <c r="CC71" s="161"/>
      <c r="CD71" s="161"/>
      <c r="CE71" s="161" t="s">
        <v>150</v>
      </c>
      <c r="CF71" s="161" t="s">
        <v>220</v>
      </c>
    </row>
    <row r="72" spans="1:84" ht="14.25" customHeight="1" x14ac:dyDescent="0.25">
      <c r="A72" s="204">
        <v>62</v>
      </c>
      <c r="B72" s="211"/>
      <c r="C72" s="194"/>
      <c r="D72" s="142"/>
      <c r="E72" s="309" t="s">
        <v>92</v>
      </c>
      <c r="F72" s="305"/>
      <c r="G72" s="306"/>
      <c r="H72" s="306"/>
      <c r="I72" s="306"/>
      <c r="J72" s="306"/>
      <c r="K72" s="306"/>
      <c r="L72" s="223">
        <f t="shared" si="36"/>
        <v>0</v>
      </c>
      <c r="M72" s="298"/>
      <c r="N72" s="299"/>
      <c r="O72" s="341"/>
      <c r="P72" s="312" t="s">
        <v>66</v>
      </c>
      <c r="Q72" s="305"/>
      <c r="R72" s="306"/>
      <c r="S72" s="306"/>
      <c r="T72" s="306"/>
      <c r="U72" s="306"/>
      <c r="V72" s="122"/>
      <c r="W72" s="223">
        <f t="shared" si="37"/>
        <v>0</v>
      </c>
      <c r="X72" s="298"/>
      <c r="Y72" s="299"/>
      <c r="Z72" s="341"/>
      <c r="AA72" s="312" t="s">
        <v>86</v>
      </c>
      <c r="AB72" s="77"/>
      <c r="AC72" s="319"/>
      <c r="AD72" s="319"/>
      <c r="AE72" s="319"/>
      <c r="AF72" s="319"/>
      <c r="AG72" s="320"/>
      <c r="AH72" s="20">
        <f t="shared" si="38"/>
        <v>0</v>
      </c>
      <c r="AI72" s="77"/>
      <c r="AJ72" s="320"/>
      <c r="AK72" s="344"/>
      <c r="AL72" s="101"/>
      <c r="AM72" s="209"/>
      <c r="AN72" s="208"/>
      <c r="AO72" s="220"/>
      <c r="AP72" s="212"/>
      <c r="AQ72" s="220"/>
      <c r="AR72" s="212"/>
      <c r="AS72" s="220"/>
      <c r="AT72" s="212"/>
      <c r="AU72" s="15">
        <f t="shared" si="13"/>
        <v>7.1999999999999997E-6</v>
      </c>
      <c r="AV72" s="15">
        <f t="shared" si="40"/>
        <v>0</v>
      </c>
      <c r="AW72" s="15"/>
      <c r="AX72" s="210">
        <v>62</v>
      </c>
      <c r="AY72" s="84">
        <f t="shared" si="14"/>
        <v>2.7399999999999999E-5</v>
      </c>
      <c r="AZ72" s="207">
        <f t="shared" si="15"/>
        <v>0</v>
      </c>
      <c r="BA72" s="233">
        <f t="shared" si="16"/>
        <v>7.1999999999999997E-6</v>
      </c>
      <c r="BB72" s="15">
        <f t="shared" si="22"/>
        <v>0</v>
      </c>
      <c r="BC72" s="210">
        <v>62</v>
      </c>
      <c r="BD72" s="84">
        <f t="shared" si="17"/>
        <v>2.58E-5</v>
      </c>
      <c r="BE72" s="207">
        <f t="shared" si="18"/>
        <v>0</v>
      </c>
      <c r="BF72" s="233">
        <f t="shared" si="19"/>
        <v>7.1999999999999997E-6</v>
      </c>
      <c r="BG72" s="15">
        <f t="shared" si="23"/>
        <v>0</v>
      </c>
      <c r="BH72" s="210">
        <v>62</v>
      </c>
      <c r="BI72" s="84">
        <f t="shared" si="20"/>
        <v>2.58E-5</v>
      </c>
      <c r="BJ72" s="207">
        <f t="shared" si="21"/>
        <v>0</v>
      </c>
      <c r="BL72" s="123"/>
      <c r="BM72" s="123"/>
      <c r="BO72" s="173"/>
      <c r="BP72" s="174" t="str">
        <f t="shared" si="24"/>
        <v/>
      </c>
      <c r="BQ72" s="174" t="str">
        <f t="shared" si="25"/>
        <v/>
      </c>
      <c r="BR72" s="174" t="str">
        <f t="shared" si="26"/>
        <v/>
      </c>
      <c r="BS72" s="174" t="str">
        <f t="shared" si="27"/>
        <v/>
      </c>
      <c r="BT72" s="174" t="str">
        <f t="shared" si="28"/>
        <v/>
      </c>
      <c r="BU72" s="174" t="str">
        <f t="shared" si="29"/>
        <v/>
      </c>
      <c r="BV72" s="174" t="str">
        <f t="shared" si="30"/>
        <v/>
      </c>
      <c r="BW72" s="174" t="str">
        <f t="shared" si="31"/>
        <v/>
      </c>
      <c r="BX72" s="174" t="str">
        <f t="shared" si="32"/>
        <v/>
      </c>
      <c r="BY72" s="174" t="str">
        <f t="shared" si="33"/>
        <v/>
      </c>
      <c r="BZ72" s="174" t="str">
        <f t="shared" si="34"/>
        <v/>
      </c>
      <c r="CA72" s="174" t="str">
        <f t="shared" si="35"/>
        <v/>
      </c>
      <c r="CB72" s="161"/>
      <c r="CC72" s="161"/>
      <c r="CD72" s="161"/>
      <c r="CE72" s="161" t="s">
        <v>150</v>
      </c>
      <c r="CF72" s="161" t="s">
        <v>220</v>
      </c>
    </row>
    <row r="73" spans="1:84" ht="14.25" customHeight="1" thickBot="1" x14ac:dyDescent="0.3">
      <c r="A73" s="205">
        <v>63</v>
      </c>
      <c r="B73" s="85"/>
      <c r="C73" s="195"/>
      <c r="D73" s="91"/>
      <c r="E73" s="310" t="s">
        <v>92</v>
      </c>
      <c r="F73" s="93"/>
      <c r="G73" s="97"/>
      <c r="H73" s="97"/>
      <c r="I73" s="97"/>
      <c r="J73" s="97"/>
      <c r="K73" s="97"/>
      <c r="L73" s="224">
        <f t="shared" si="36"/>
        <v>0</v>
      </c>
      <c r="M73" s="300"/>
      <c r="N73" s="301"/>
      <c r="O73" s="342"/>
      <c r="P73" s="313" t="s">
        <v>66</v>
      </c>
      <c r="Q73" s="93"/>
      <c r="R73" s="97"/>
      <c r="S73" s="97"/>
      <c r="T73" s="97"/>
      <c r="U73" s="97"/>
      <c r="V73" s="94"/>
      <c r="W73" s="224">
        <f t="shared" si="37"/>
        <v>0</v>
      </c>
      <c r="X73" s="300"/>
      <c r="Y73" s="301"/>
      <c r="Z73" s="342"/>
      <c r="AA73" s="313" t="s">
        <v>86</v>
      </c>
      <c r="AB73" s="78"/>
      <c r="AC73" s="321"/>
      <c r="AD73" s="321"/>
      <c r="AE73" s="321"/>
      <c r="AF73" s="321"/>
      <c r="AG73" s="322"/>
      <c r="AH73" s="88">
        <f t="shared" si="38"/>
        <v>0</v>
      </c>
      <c r="AI73" s="78"/>
      <c r="AJ73" s="322"/>
      <c r="AK73" s="345"/>
      <c r="AL73" s="102"/>
      <c r="AM73" s="99"/>
      <c r="AN73" s="227"/>
      <c r="AO73" s="221"/>
      <c r="AP73" s="90"/>
      <c r="AQ73" s="221"/>
      <c r="AR73" s="90"/>
      <c r="AS73" s="221"/>
      <c r="AT73" s="90"/>
      <c r="AU73" s="15">
        <f t="shared" si="13"/>
        <v>7.2999999999999996E-6</v>
      </c>
      <c r="AV73" s="15">
        <f t="shared" si="40"/>
        <v>0</v>
      </c>
      <c r="AW73" s="15"/>
      <c r="AX73" s="210">
        <v>63</v>
      </c>
      <c r="AY73" s="84">
        <f t="shared" si="14"/>
        <v>2.73E-5</v>
      </c>
      <c r="AZ73" s="207">
        <f t="shared" si="15"/>
        <v>0</v>
      </c>
      <c r="BA73" s="233">
        <f t="shared" si="16"/>
        <v>7.2999999999999996E-6</v>
      </c>
      <c r="BB73" s="15">
        <f t="shared" si="22"/>
        <v>0</v>
      </c>
      <c r="BC73" s="210">
        <v>63</v>
      </c>
      <c r="BD73" s="84">
        <f t="shared" si="17"/>
        <v>2.5699999999999998E-5</v>
      </c>
      <c r="BE73" s="207">
        <f t="shared" si="18"/>
        <v>0</v>
      </c>
      <c r="BF73" s="233">
        <f t="shared" si="19"/>
        <v>7.2999999999999996E-6</v>
      </c>
      <c r="BG73" s="15">
        <f t="shared" si="23"/>
        <v>0</v>
      </c>
      <c r="BH73" s="210">
        <v>63</v>
      </c>
      <c r="BI73" s="84">
        <f t="shared" si="20"/>
        <v>2.5699999999999998E-5</v>
      </c>
      <c r="BJ73" s="207">
        <f t="shared" si="21"/>
        <v>0</v>
      </c>
      <c r="BL73" s="123"/>
      <c r="BM73" s="123"/>
      <c r="BO73" s="173"/>
      <c r="BP73" s="174" t="str">
        <f t="shared" si="24"/>
        <v/>
      </c>
      <c r="BQ73" s="174" t="str">
        <f t="shared" si="25"/>
        <v/>
      </c>
      <c r="BR73" s="174" t="str">
        <f t="shared" si="26"/>
        <v/>
      </c>
      <c r="BS73" s="174" t="str">
        <f t="shared" si="27"/>
        <v/>
      </c>
      <c r="BT73" s="174" t="str">
        <f t="shared" si="28"/>
        <v/>
      </c>
      <c r="BU73" s="174" t="str">
        <f t="shared" si="29"/>
        <v/>
      </c>
      <c r="BV73" s="174" t="str">
        <f t="shared" si="30"/>
        <v/>
      </c>
      <c r="BW73" s="174" t="str">
        <f t="shared" si="31"/>
        <v/>
      </c>
      <c r="BX73" s="174" t="str">
        <f t="shared" si="32"/>
        <v/>
      </c>
      <c r="BY73" s="174" t="str">
        <f t="shared" si="33"/>
        <v/>
      </c>
      <c r="BZ73" s="174" t="str">
        <f t="shared" si="34"/>
        <v/>
      </c>
      <c r="CA73" s="174" t="str">
        <f t="shared" si="35"/>
        <v/>
      </c>
      <c r="CB73" s="161"/>
      <c r="CC73" s="161"/>
      <c r="CD73" s="161"/>
      <c r="CE73" s="161" t="s">
        <v>150</v>
      </c>
      <c r="CF73" s="161" t="s">
        <v>220</v>
      </c>
    </row>
    <row r="74" spans="1:84" ht="14.25" customHeight="1" x14ac:dyDescent="0.25">
      <c r="A74" s="203">
        <v>64</v>
      </c>
      <c r="B74" s="86"/>
      <c r="C74" s="193"/>
      <c r="D74" s="143"/>
      <c r="E74" s="308" t="s">
        <v>92</v>
      </c>
      <c r="F74" s="213"/>
      <c r="G74" s="214"/>
      <c r="H74" s="214"/>
      <c r="I74" s="214"/>
      <c r="J74" s="214"/>
      <c r="K74" s="214"/>
      <c r="L74" s="295">
        <f t="shared" si="36"/>
        <v>0</v>
      </c>
      <c r="M74" s="296"/>
      <c r="N74" s="297"/>
      <c r="O74" s="340"/>
      <c r="P74" s="311" t="s">
        <v>66</v>
      </c>
      <c r="Q74" s="325"/>
      <c r="R74" s="326"/>
      <c r="S74" s="326"/>
      <c r="T74" s="326"/>
      <c r="U74" s="326"/>
      <c r="V74" s="92"/>
      <c r="W74" s="295">
        <f t="shared" si="37"/>
        <v>0</v>
      </c>
      <c r="X74" s="296"/>
      <c r="Y74" s="297"/>
      <c r="Z74" s="346"/>
      <c r="AA74" s="314" t="s">
        <v>148</v>
      </c>
      <c r="AB74" s="13"/>
      <c r="AC74" s="222"/>
      <c r="AD74" s="222"/>
      <c r="AE74" s="222"/>
      <c r="AF74" s="222"/>
      <c r="AG74" s="5"/>
      <c r="AH74" s="20">
        <f t="shared" si="38"/>
        <v>0</v>
      </c>
      <c r="AI74" s="13"/>
      <c r="AJ74" s="5"/>
      <c r="AK74" s="343"/>
      <c r="AL74" s="100"/>
      <c r="AM74" s="98"/>
      <c r="AN74" s="226"/>
      <c r="AO74" s="225"/>
      <c r="AP74" s="89"/>
      <c r="AQ74" s="225"/>
      <c r="AR74" s="89"/>
      <c r="AS74" s="225"/>
      <c r="AT74" s="89"/>
      <c r="AU74" s="15">
        <f t="shared" si="13"/>
        <v>7.3999999999999995E-6</v>
      </c>
      <c r="AV74" s="15">
        <f t="shared" si="40"/>
        <v>0</v>
      </c>
      <c r="AW74" s="15"/>
      <c r="AX74" s="210">
        <v>64</v>
      </c>
      <c r="AY74" s="84">
        <f t="shared" si="14"/>
        <v>2.7199999999999997E-5</v>
      </c>
      <c r="AZ74" s="207">
        <f t="shared" si="15"/>
        <v>0</v>
      </c>
      <c r="BA74" s="233">
        <f t="shared" si="16"/>
        <v>7.3999999999999995E-6</v>
      </c>
      <c r="BB74" s="15">
        <f t="shared" si="22"/>
        <v>0</v>
      </c>
      <c r="BC74" s="210">
        <v>64</v>
      </c>
      <c r="BD74" s="84">
        <f t="shared" si="17"/>
        <v>2.5599999999999999E-5</v>
      </c>
      <c r="BE74" s="207">
        <f t="shared" si="18"/>
        <v>0</v>
      </c>
      <c r="BF74" s="233">
        <f t="shared" si="19"/>
        <v>7.3999999999999995E-6</v>
      </c>
      <c r="BG74" s="15">
        <f t="shared" si="23"/>
        <v>0</v>
      </c>
      <c r="BH74" s="210">
        <v>64</v>
      </c>
      <c r="BI74" s="84">
        <f t="shared" si="20"/>
        <v>2.5599999999999999E-5</v>
      </c>
      <c r="BJ74" s="207">
        <f t="shared" si="21"/>
        <v>0</v>
      </c>
      <c r="BL74" s="123"/>
      <c r="BM74" s="123"/>
      <c r="BO74" s="173"/>
      <c r="BP74" s="174" t="str">
        <f t="shared" si="24"/>
        <v/>
      </c>
      <c r="BQ74" s="174" t="str">
        <f t="shared" si="25"/>
        <v/>
      </c>
      <c r="BR74" s="174" t="str">
        <f t="shared" si="26"/>
        <v/>
      </c>
      <c r="BS74" s="174" t="str">
        <f t="shared" si="27"/>
        <v/>
      </c>
      <c r="BT74" s="174" t="str">
        <f t="shared" si="28"/>
        <v/>
      </c>
      <c r="BU74" s="174" t="str">
        <f t="shared" si="29"/>
        <v/>
      </c>
      <c r="BV74" s="174" t="str">
        <f t="shared" si="30"/>
        <v/>
      </c>
      <c r="BW74" s="174" t="str">
        <f t="shared" si="31"/>
        <v/>
      </c>
      <c r="BX74" s="174" t="str">
        <f t="shared" si="32"/>
        <v/>
      </c>
      <c r="BY74" s="174" t="str">
        <f t="shared" si="33"/>
        <v/>
      </c>
      <c r="BZ74" s="174" t="str">
        <f t="shared" si="34"/>
        <v/>
      </c>
      <c r="CA74" s="174" t="str">
        <f t="shared" si="35"/>
        <v/>
      </c>
      <c r="CB74" s="161"/>
      <c r="CC74" s="161"/>
      <c r="CD74" s="161"/>
      <c r="CE74" s="161" t="s">
        <v>150</v>
      </c>
      <c r="CF74" s="161" t="s">
        <v>220</v>
      </c>
    </row>
    <row r="75" spans="1:84" ht="14.25" customHeight="1" x14ac:dyDescent="0.25">
      <c r="A75" s="204">
        <v>65</v>
      </c>
      <c r="B75" s="211"/>
      <c r="C75" s="194"/>
      <c r="D75" s="142"/>
      <c r="E75" s="309" t="s">
        <v>92</v>
      </c>
      <c r="F75" s="305"/>
      <c r="G75" s="306"/>
      <c r="H75" s="306"/>
      <c r="I75" s="306"/>
      <c r="J75" s="306"/>
      <c r="K75" s="306"/>
      <c r="L75" s="223">
        <f t="shared" si="36"/>
        <v>0</v>
      </c>
      <c r="M75" s="298"/>
      <c r="N75" s="299"/>
      <c r="O75" s="341"/>
      <c r="P75" s="312" t="s">
        <v>66</v>
      </c>
      <c r="Q75" s="305"/>
      <c r="R75" s="306"/>
      <c r="S75" s="306"/>
      <c r="T75" s="306"/>
      <c r="U75" s="306"/>
      <c r="V75" s="122"/>
      <c r="W75" s="223">
        <f t="shared" si="37"/>
        <v>0</v>
      </c>
      <c r="X75" s="298"/>
      <c r="Y75" s="299"/>
      <c r="Z75" s="341"/>
      <c r="AA75" s="312" t="s">
        <v>86</v>
      </c>
      <c r="AB75" s="77"/>
      <c r="AC75" s="319"/>
      <c r="AD75" s="319"/>
      <c r="AE75" s="319"/>
      <c r="AF75" s="319"/>
      <c r="AG75" s="320"/>
      <c r="AH75" s="20">
        <f t="shared" si="38"/>
        <v>0</v>
      </c>
      <c r="AI75" s="77"/>
      <c r="AJ75" s="320"/>
      <c r="AK75" s="344"/>
      <c r="AL75" s="101"/>
      <c r="AM75" s="209"/>
      <c r="AN75" s="208"/>
      <c r="AO75" s="220"/>
      <c r="AP75" s="212"/>
      <c r="AQ75" s="220"/>
      <c r="AR75" s="212"/>
      <c r="AS75" s="220"/>
      <c r="AT75" s="212"/>
      <c r="AU75" s="15">
        <f t="shared" ref="AU75:AU138" si="41">L75+ROW()*0.0000001</f>
        <v>7.4999999999999993E-6</v>
      </c>
      <c r="AV75" s="15">
        <f t="shared" ref="AV75:AV138" si="42">B75</f>
        <v>0</v>
      </c>
      <c r="AW75" s="15"/>
      <c r="AX75" s="210">
        <v>65</v>
      </c>
      <c r="AY75" s="84">
        <f t="shared" ref="AY75:AY138" si="43">IFERROR(LARGE($AU$11:$AU$319,AX75),"")</f>
        <v>2.7099999999999998E-5</v>
      </c>
      <c r="AZ75" s="207">
        <f t="shared" ref="AZ75:AZ138" si="44">IFERROR(VLOOKUP(AY75,الترتيب1,2,0),"")</f>
        <v>0</v>
      </c>
      <c r="BA75" s="233">
        <f t="shared" ref="BA75:BA138" si="45">W75+ROW()*0.0000001</f>
        <v>7.4999999999999993E-6</v>
      </c>
      <c r="BB75" s="15">
        <f t="shared" si="22"/>
        <v>0</v>
      </c>
      <c r="BC75" s="210">
        <v>65</v>
      </c>
      <c r="BD75" s="84">
        <f t="shared" ref="BD75:BD138" si="46">IFERROR(LARGE($BA$11:$BA$319,BC75),"")</f>
        <v>2.55E-5</v>
      </c>
      <c r="BE75" s="207">
        <f t="shared" ref="BE75:BE138" si="47">IFERROR(VLOOKUP(BD75,الترتيب2,2,0),"")</f>
        <v>0</v>
      </c>
      <c r="BF75" s="233">
        <f t="shared" ref="BF75:BF138" si="48">AH75+ROW()*0.0000001</f>
        <v>7.4999999999999993E-6</v>
      </c>
      <c r="BG75" s="15">
        <f t="shared" si="23"/>
        <v>0</v>
      </c>
      <c r="BH75" s="210">
        <v>65</v>
      </c>
      <c r="BI75" s="84">
        <f t="shared" ref="BI75:BI138" si="49">IFERROR(LARGE($BF$11:$BF$319,BH75),"")</f>
        <v>2.55E-5</v>
      </c>
      <c r="BJ75" s="207">
        <f t="shared" ref="BJ75:BJ138" si="50">IFERROR(VLOOKUP(BI75,الترتيب3,2,0),"")</f>
        <v>0</v>
      </c>
      <c r="BL75" s="123"/>
      <c r="BM75" s="123"/>
      <c r="BO75" s="173"/>
      <c r="BP75" s="174" t="str">
        <f t="shared" si="24"/>
        <v/>
      </c>
      <c r="BQ75" s="174" t="str">
        <f t="shared" si="25"/>
        <v/>
      </c>
      <c r="BR75" s="174" t="str">
        <f t="shared" si="26"/>
        <v/>
      </c>
      <c r="BS75" s="174" t="str">
        <f t="shared" si="27"/>
        <v/>
      </c>
      <c r="BT75" s="174" t="str">
        <f t="shared" si="28"/>
        <v/>
      </c>
      <c r="BU75" s="174" t="str">
        <f t="shared" si="29"/>
        <v/>
      </c>
      <c r="BV75" s="174" t="str">
        <f t="shared" si="30"/>
        <v/>
      </c>
      <c r="BW75" s="174" t="str">
        <f t="shared" si="31"/>
        <v/>
      </c>
      <c r="BX75" s="174" t="str">
        <f t="shared" si="32"/>
        <v/>
      </c>
      <c r="BY75" s="174" t="str">
        <f t="shared" si="33"/>
        <v/>
      </c>
      <c r="BZ75" s="174" t="str">
        <f t="shared" si="34"/>
        <v/>
      </c>
      <c r="CA75" s="174" t="str">
        <f t="shared" si="35"/>
        <v/>
      </c>
      <c r="CB75" s="161"/>
      <c r="CC75" s="161"/>
      <c r="CD75" s="161"/>
      <c r="CE75" s="161" t="s">
        <v>150</v>
      </c>
      <c r="CF75" s="161" t="s">
        <v>220</v>
      </c>
    </row>
    <row r="76" spans="1:84" ht="14.25" customHeight="1" thickBot="1" x14ac:dyDescent="0.3">
      <c r="A76" s="205">
        <v>66</v>
      </c>
      <c r="B76" s="85"/>
      <c r="C76" s="195"/>
      <c r="D76" s="91"/>
      <c r="E76" s="310" t="s">
        <v>92</v>
      </c>
      <c r="F76" s="93"/>
      <c r="G76" s="97"/>
      <c r="H76" s="97"/>
      <c r="I76" s="97"/>
      <c r="J76" s="97"/>
      <c r="K76" s="97"/>
      <c r="L76" s="224">
        <f t="shared" si="36"/>
        <v>0</v>
      </c>
      <c r="M76" s="300"/>
      <c r="N76" s="301"/>
      <c r="O76" s="342"/>
      <c r="P76" s="313" t="s">
        <v>66</v>
      </c>
      <c r="Q76" s="93"/>
      <c r="R76" s="97"/>
      <c r="S76" s="97"/>
      <c r="T76" s="97"/>
      <c r="U76" s="97"/>
      <c r="V76" s="94"/>
      <c r="W76" s="224">
        <f t="shared" si="37"/>
        <v>0</v>
      </c>
      <c r="X76" s="300"/>
      <c r="Y76" s="301"/>
      <c r="Z76" s="342"/>
      <c r="AA76" s="313" t="s">
        <v>86</v>
      </c>
      <c r="AB76" s="78"/>
      <c r="AC76" s="321"/>
      <c r="AD76" s="321"/>
      <c r="AE76" s="321"/>
      <c r="AF76" s="321"/>
      <c r="AG76" s="322"/>
      <c r="AH76" s="88">
        <f t="shared" si="38"/>
        <v>0</v>
      </c>
      <c r="AI76" s="78"/>
      <c r="AJ76" s="322"/>
      <c r="AK76" s="345"/>
      <c r="AL76" s="102"/>
      <c r="AM76" s="99"/>
      <c r="AN76" s="227"/>
      <c r="AO76" s="221"/>
      <c r="AP76" s="90"/>
      <c r="AQ76" s="221"/>
      <c r="AR76" s="90"/>
      <c r="AS76" s="221"/>
      <c r="AT76" s="90"/>
      <c r="AU76" s="15">
        <f t="shared" si="41"/>
        <v>7.6000000000000001E-6</v>
      </c>
      <c r="AV76" s="15">
        <f t="shared" si="42"/>
        <v>0</v>
      </c>
      <c r="AW76" s="15"/>
      <c r="AX76" s="210">
        <v>66</v>
      </c>
      <c r="AY76" s="84">
        <f t="shared" si="43"/>
        <v>2.6999999999999999E-5</v>
      </c>
      <c r="AZ76" s="207">
        <f t="shared" si="44"/>
        <v>0</v>
      </c>
      <c r="BA76" s="233">
        <f t="shared" si="45"/>
        <v>7.6000000000000001E-6</v>
      </c>
      <c r="BB76" s="15">
        <f t="shared" ref="BB76:BB139" si="51">AV76</f>
        <v>0</v>
      </c>
      <c r="BC76" s="210">
        <v>66</v>
      </c>
      <c r="BD76" s="84">
        <f t="shared" si="46"/>
        <v>2.5399999999999997E-5</v>
      </c>
      <c r="BE76" s="207">
        <f t="shared" si="47"/>
        <v>0</v>
      </c>
      <c r="BF76" s="233">
        <f t="shared" si="48"/>
        <v>7.6000000000000001E-6</v>
      </c>
      <c r="BG76" s="15">
        <f t="shared" ref="BG76:BG139" si="52">BB76</f>
        <v>0</v>
      </c>
      <c r="BH76" s="210">
        <v>66</v>
      </c>
      <c r="BI76" s="84">
        <f t="shared" si="49"/>
        <v>2.5399999999999997E-5</v>
      </c>
      <c r="BJ76" s="207">
        <f t="shared" si="50"/>
        <v>0</v>
      </c>
      <c r="BL76" s="123"/>
      <c r="BM76" s="123"/>
      <c r="BO76" s="173"/>
      <c r="BP76" s="174" t="str">
        <f t="shared" ref="BP76:BP139" si="53">MID($BN76,12,1)</f>
        <v/>
      </c>
      <c r="BQ76" s="174" t="str">
        <f t="shared" ref="BQ76:BQ139" si="54">MID($BN76,11,1)</f>
        <v/>
      </c>
      <c r="BR76" s="174" t="str">
        <f t="shared" ref="BR76:BR139" si="55">MID($BN76,10,1)</f>
        <v/>
      </c>
      <c r="BS76" s="174" t="str">
        <f t="shared" ref="BS76:BS139" si="56">MID($BN76,9,1)</f>
        <v/>
      </c>
      <c r="BT76" s="174" t="str">
        <f t="shared" ref="BT76:BT139" si="57">MID($BN76,8,1)</f>
        <v/>
      </c>
      <c r="BU76" s="174" t="str">
        <f t="shared" ref="BU76:BU139" si="58">MID($BN76,7,1)</f>
        <v/>
      </c>
      <c r="BV76" s="174" t="str">
        <f t="shared" ref="BV76:BV139" si="59">MID($BN76,6,1)</f>
        <v/>
      </c>
      <c r="BW76" s="174" t="str">
        <f t="shared" ref="BW76:BW139" si="60">MID($BN76,5,1)</f>
        <v/>
      </c>
      <c r="BX76" s="174" t="str">
        <f t="shared" ref="BX76:BX139" si="61">MID($BN76,4,1)</f>
        <v/>
      </c>
      <c r="BY76" s="174" t="str">
        <f t="shared" ref="BY76:BY139" si="62">MID($BN76,3,1)</f>
        <v/>
      </c>
      <c r="BZ76" s="174" t="str">
        <f t="shared" ref="BZ76:BZ139" si="63">MID($BN76,2,1)</f>
        <v/>
      </c>
      <c r="CA76" s="174" t="str">
        <f t="shared" ref="CA76:CA139" si="64">MID($BN76,1,1)</f>
        <v/>
      </c>
      <c r="CB76" s="161"/>
      <c r="CC76" s="161"/>
      <c r="CD76" s="161"/>
      <c r="CE76" s="161" t="s">
        <v>150</v>
      </c>
      <c r="CF76" s="161" t="s">
        <v>220</v>
      </c>
    </row>
    <row r="77" spans="1:84" ht="14.25" customHeight="1" x14ac:dyDescent="0.25">
      <c r="A77" s="203">
        <v>67</v>
      </c>
      <c r="B77" s="86"/>
      <c r="C77" s="193"/>
      <c r="D77" s="143"/>
      <c r="E77" s="308" t="s">
        <v>92</v>
      </c>
      <c r="F77" s="213"/>
      <c r="G77" s="214"/>
      <c r="H77" s="214"/>
      <c r="I77" s="214"/>
      <c r="J77" s="214"/>
      <c r="K77" s="214"/>
      <c r="L77" s="295">
        <f t="shared" si="36"/>
        <v>0</v>
      </c>
      <c r="M77" s="296"/>
      <c r="N77" s="297"/>
      <c r="O77" s="340"/>
      <c r="P77" s="311" t="s">
        <v>66</v>
      </c>
      <c r="Q77" s="325"/>
      <c r="R77" s="326"/>
      <c r="S77" s="326"/>
      <c r="T77" s="326"/>
      <c r="U77" s="326"/>
      <c r="V77" s="92"/>
      <c r="W77" s="295">
        <f t="shared" si="37"/>
        <v>0</v>
      </c>
      <c r="X77" s="296"/>
      <c r="Y77" s="297"/>
      <c r="Z77" s="346"/>
      <c r="AA77" s="314" t="s">
        <v>148</v>
      </c>
      <c r="AB77" s="13"/>
      <c r="AC77" s="222"/>
      <c r="AD77" s="222"/>
      <c r="AE77" s="222"/>
      <c r="AF77" s="222"/>
      <c r="AG77" s="5"/>
      <c r="AH77" s="20">
        <f t="shared" si="38"/>
        <v>0</v>
      </c>
      <c r="AI77" s="13"/>
      <c r="AJ77" s="5"/>
      <c r="AK77" s="343"/>
      <c r="AL77" s="100"/>
      <c r="AM77" s="98"/>
      <c r="AN77" s="226"/>
      <c r="AO77" s="225"/>
      <c r="AP77" s="89"/>
      <c r="AQ77" s="225"/>
      <c r="AR77" s="89"/>
      <c r="AS77" s="225"/>
      <c r="AT77" s="89"/>
      <c r="AU77" s="15">
        <f t="shared" si="41"/>
        <v>7.6999999999999991E-6</v>
      </c>
      <c r="AV77" s="15">
        <f t="shared" si="42"/>
        <v>0</v>
      </c>
      <c r="AW77" s="15"/>
      <c r="AX77" s="210">
        <v>67</v>
      </c>
      <c r="AY77" s="84">
        <f t="shared" si="43"/>
        <v>2.69E-5</v>
      </c>
      <c r="AZ77" s="207">
        <f t="shared" si="44"/>
        <v>0</v>
      </c>
      <c r="BA77" s="233">
        <f t="shared" si="45"/>
        <v>7.6999999999999991E-6</v>
      </c>
      <c r="BB77" s="15">
        <f t="shared" si="51"/>
        <v>0</v>
      </c>
      <c r="BC77" s="210">
        <v>67</v>
      </c>
      <c r="BD77" s="84">
        <f t="shared" si="46"/>
        <v>2.5299999999999998E-5</v>
      </c>
      <c r="BE77" s="207">
        <f t="shared" si="47"/>
        <v>0</v>
      </c>
      <c r="BF77" s="233">
        <f t="shared" si="48"/>
        <v>7.6999999999999991E-6</v>
      </c>
      <c r="BG77" s="15">
        <f t="shared" si="52"/>
        <v>0</v>
      </c>
      <c r="BH77" s="210">
        <v>67</v>
      </c>
      <c r="BI77" s="84">
        <f t="shared" si="49"/>
        <v>2.5299999999999998E-5</v>
      </c>
      <c r="BJ77" s="207">
        <f t="shared" si="50"/>
        <v>0</v>
      </c>
      <c r="BL77" s="123"/>
      <c r="BM77" s="123"/>
      <c r="BO77" s="173"/>
      <c r="BP77" s="174" t="str">
        <f t="shared" si="53"/>
        <v/>
      </c>
      <c r="BQ77" s="174" t="str">
        <f t="shared" si="54"/>
        <v/>
      </c>
      <c r="BR77" s="174" t="str">
        <f t="shared" si="55"/>
        <v/>
      </c>
      <c r="BS77" s="174" t="str">
        <f t="shared" si="56"/>
        <v/>
      </c>
      <c r="BT77" s="174" t="str">
        <f t="shared" si="57"/>
        <v/>
      </c>
      <c r="BU77" s="174" t="str">
        <f t="shared" si="58"/>
        <v/>
      </c>
      <c r="BV77" s="174" t="str">
        <f t="shared" si="59"/>
        <v/>
      </c>
      <c r="BW77" s="174" t="str">
        <f t="shared" si="60"/>
        <v/>
      </c>
      <c r="BX77" s="174" t="str">
        <f t="shared" si="61"/>
        <v/>
      </c>
      <c r="BY77" s="174" t="str">
        <f t="shared" si="62"/>
        <v/>
      </c>
      <c r="BZ77" s="174" t="str">
        <f t="shared" si="63"/>
        <v/>
      </c>
      <c r="CA77" s="174" t="str">
        <f t="shared" si="64"/>
        <v/>
      </c>
      <c r="CB77" s="161"/>
      <c r="CC77" s="161"/>
      <c r="CD77" s="161"/>
      <c r="CE77" s="161" t="s">
        <v>150</v>
      </c>
      <c r="CF77" s="161" t="s">
        <v>220</v>
      </c>
    </row>
    <row r="78" spans="1:84" ht="14.25" customHeight="1" x14ac:dyDescent="0.25">
      <c r="A78" s="204">
        <v>68</v>
      </c>
      <c r="B78" s="211"/>
      <c r="C78" s="194"/>
      <c r="D78" s="142"/>
      <c r="E78" s="309" t="s">
        <v>92</v>
      </c>
      <c r="F78" s="305"/>
      <c r="G78" s="306"/>
      <c r="H78" s="306"/>
      <c r="I78" s="306"/>
      <c r="J78" s="306"/>
      <c r="K78" s="306"/>
      <c r="L78" s="223">
        <f t="shared" ref="L78:L141" si="65">SUM(F78:K78)</f>
        <v>0</v>
      </c>
      <c r="M78" s="298"/>
      <c r="N78" s="299"/>
      <c r="O78" s="341"/>
      <c r="P78" s="312" t="s">
        <v>66</v>
      </c>
      <c r="Q78" s="305"/>
      <c r="R78" s="306"/>
      <c r="S78" s="306"/>
      <c r="T78" s="306"/>
      <c r="U78" s="306"/>
      <c r="V78" s="122"/>
      <c r="W78" s="223">
        <f t="shared" ref="W78:W141" si="66">SUM(Q78:V78)</f>
        <v>0</v>
      </c>
      <c r="X78" s="298"/>
      <c r="Y78" s="299"/>
      <c r="Z78" s="341"/>
      <c r="AA78" s="312" t="s">
        <v>86</v>
      </c>
      <c r="AB78" s="77"/>
      <c r="AC78" s="319"/>
      <c r="AD78" s="319"/>
      <c r="AE78" s="319"/>
      <c r="AF78" s="319"/>
      <c r="AG78" s="320"/>
      <c r="AH78" s="20">
        <f t="shared" ref="AH78:AH141" si="67">SUM(AB78:AG78)</f>
        <v>0</v>
      </c>
      <c r="AI78" s="77"/>
      <c r="AJ78" s="320"/>
      <c r="AK78" s="344"/>
      <c r="AL78" s="101"/>
      <c r="AM78" s="209"/>
      <c r="AN78" s="208"/>
      <c r="AO78" s="220"/>
      <c r="AP78" s="212"/>
      <c r="AQ78" s="220"/>
      <c r="AR78" s="212"/>
      <c r="AS78" s="220"/>
      <c r="AT78" s="212"/>
      <c r="AU78" s="15">
        <f t="shared" si="41"/>
        <v>7.7999999999999999E-6</v>
      </c>
      <c r="AV78" s="15">
        <f t="shared" si="42"/>
        <v>0</v>
      </c>
      <c r="AW78" s="15"/>
      <c r="AX78" s="210">
        <v>68</v>
      </c>
      <c r="AY78" s="84">
        <f t="shared" si="43"/>
        <v>2.6799999999999998E-5</v>
      </c>
      <c r="AZ78" s="207">
        <f t="shared" si="44"/>
        <v>0</v>
      </c>
      <c r="BA78" s="233">
        <f t="shared" si="45"/>
        <v>7.7999999999999999E-6</v>
      </c>
      <c r="BB78" s="15">
        <f t="shared" si="51"/>
        <v>0</v>
      </c>
      <c r="BC78" s="210">
        <v>68</v>
      </c>
      <c r="BD78" s="84">
        <f t="shared" si="46"/>
        <v>2.5199999999999999E-5</v>
      </c>
      <c r="BE78" s="207">
        <f t="shared" si="47"/>
        <v>0</v>
      </c>
      <c r="BF78" s="233">
        <f t="shared" si="48"/>
        <v>7.7999999999999999E-6</v>
      </c>
      <c r="BG78" s="15">
        <f t="shared" si="52"/>
        <v>0</v>
      </c>
      <c r="BH78" s="210">
        <v>68</v>
      </c>
      <c r="BI78" s="84">
        <f t="shared" si="49"/>
        <v>2.5199999999999999E-5</v>
      </c>
      <c r="BJ78" s="207">
        <f t="shared" si="50"/>
        <v>0</v>
      </c>
      <c r="BL78" s="123"/>
      <c r="BM78" s="123"/>
      <c r="BO78" s="173"/>
      <c r="BP78" s="174" t="str">
        <f t="shared" si="53"/>
        <v/>
      </c>
      <c r="BQ78" s="174" t="str">
        <f t="shared" si="54"/>
        <v/>
      </c>
      <c r="BR78" s="174" t="str">
        <f t="shared" si="55"/>
        <v/>
      </c>
      <c r="BS78" s="174" t="str">
        <f t="shared" si="56"/>
        <v/>
      </c>
      <c r="BT78" s="174" t="str">
        <f t="shared" si="57"/>
        <v/>
      </c>
      <c r="BU78" s="174" t="str">
        <f t="shared" si="58"/>
        <v/>
      </c>
      <c r="BV78" s="174" t="str">
        <f t="shared" si="59"/>
        <v/>
      </c>
      <c r="BW78" s="174" t="str">
        <f t="shared" si="60"/>
        <v/>
      </c>
      <c r="BX78" s="174" t="str">
        <f t="shared" si="61"/>
        <v/>
      </c>
      <c r="BY78" s="174" t="str">
        <f t="shared" si="62"/>
        <v/>
      </c>
      <c r="BZ78" s="174" t="str">
        <f t="shared" si="63"/>
        <v/>
      </c>
      <c r="CA78" s="174" t="str">
        <f t="shared" si="64"/>
        <v/>
      </c>
      <c r="CB78" s="161"/>
      <c r="CC78" s="161"/>
      <c r="CD78" s="161"/>
      <c r="CE78" s="161" t="s">
        <v>150</v>
      </c>
      <c r="CF78" s="161" t="s">
        <v>220</v>
      </c>
    </row>
    <row r="79" spans="1:84" ht="14.25" customHeight="1" thickBot="1" x14ac:dyDescent="0.3">
      <c r="A79" s="205">
        <v>69</v>
      </c>
      <c r="B79" s="85"/>
      <c r="C79" s="195"/>
      <c r="D79" s="91"/>
      <c r="E79" s="310" t="s">
        <v>92</v>
      </c>
      <c r="F79" s="93"/>
      <c r="G79" s="97"/>
      <c r="H79" s="97"/>
      <c r="I79" s="97"/>
      <c r="J79" s="97"/>
      <c r="K79" s="97"/>
      <c r="L79" s="224">
        <f t="shared" si="65"/>
        <v>0</v>
      </c>
      <c r="M79" s="300"/>
      <c r="N79" s="301"/>
      <c r="O79" s="342"/>
      <c r="P79" s="313" t="s">
        <v>66</v>
      </c>
      <c r="Q79" s="93"/>
      <c r="R79" s="97"/>
      <c r="S79" s="97"/>
      <c r="T79" s="97"/>
      <c r="U79" s="97"/>
      <c r="V79" s="94"/>
      <c r="W79" s="224">
        <f t="shared" si="66"/>
        <v>0</v>
      </c>
      <c r="X79" s="300"/>
      <c r="Y79" s="301"/>
      <c r="Z79" s="342"/>
      <c r="AA79" s="313" t="s">
        <v>86</v>
      </c>
      <c r="AB79" s="78"/>
      <c r="AC79" s="321"/>
      <c r="AD79" s="321"/>
      <c r="AE79" s="321"/>
      <c r="AF79" s="321"/>
      <c r="AG79" s="322"/>
      <c r="AH79" s="88">
        <f t="shared" si="67"/>
        <v>0</v>
      </c>
      <c r="AI79" s="78"/>
      <c r="AJ79" s="322"/>
      <c r="AK79" s="345"/>
      <c r="AL79" s="102"/>
      <c r="AM79" s="99"/>
      <c r="AN79" s="227"/>
      <c r="AO79" s="221"/>
      <c r="AP79" s="90"/>
      <c r="AQ79" s="221"/>
      <c r="AR79" s="90"/>
      <c r="AS79" s="221"/>
      <c r="AT79" s="90"/>
      <c r="AU79" s="15">
        <f t="shared" si="41"/>
        <v>7.8999999999999989E-6</v>
      </c>
      <c r="AV79" s="15">
        <f t="shared" si="42"/>
        <v>0</v>
      </c>
      <c r="AW79" s="15"/>
      <c r="AX79" s="210">
        <v>69</v>
      </c>
      <c r="AY79" s="84">
        <f t="shared" si="43"/>
        <v>2.6699999999999998E-5</v>
      </c>
      <c r="AZ79" s="207">
        <f t="shared" si="44"/>
        <v>0</v>
      </c>
      <c r="BA79" s="233">
        <f t="shared" si="45"/>
        <v>7.8999999999999989E-6</v>
      </c>
      <c r="BB79" s="15">
        <f t="shared" si="51"/>
        <v>0</v>
      </c>
      <c r="BC79" s="210">
        <v>69</v>
      </c>
      <c r="BD79" s="84">
        <f t="shared" si="46"/>
        <v>2.51E-5</v>
      </c>
      <c r="BE79" s="207">
        <f t="shared" si="47"/>
        <v>0</v>
      </c>
      <c r="BF79" s="233">
        <f t="shared" si="48"/>
        <v>7.8999999999999989E-6</v>
      </c>
      <c r="BG79" s="15">
        <f t="shared" si="52"/>
        <v>0</v>
      </c>
      <c r="BH79" s="210">
        <v>69</v>
      </c>
      <c r="BI79" s="84">
        <f t="shared" si="49"/>
        <v>2.51E-5</v>
      </c>
      <c r="BJ79" s="207">
        <f t="shared" si="50"/>
        <v>0</v>
      </c>
      <c r="BL79" s="123"/>
      <c r="BM79" s="123"/>
      <c r="BO79" s="173"/>
      <c r="BP79" s="174" t="str">
        <f t="shared" si="53"/>
        <v/>
      </c>
      <c r="BQ79" s="174" t="str">
        <f t="shared" si="54"/>
        <v/>
      </c>
      <c r="BR79" s="174" t="str">
        <f t="shared" si="55"/>
        <v/>
      </c>
      <c r="BS79" s="174" t="str">
        <f t="shared" si="56"/>
        <v/>
      </c>
      <c r="BT79" s="174" t="str">
        <f t="shared" si="57"/>
        <v/>
      </c>
      <c r="BU79" s="174" t="str">
        <f t="shared" si="58"/>
        <v/>
      </c>
      <c r="BV79" s="174" t="str">
        <f t="shared" si="59"/>
        <v/>
      </c>
      <c r="BW79" s="174" t="str">
        <f t="shared" si="60"/>
        <v/>
      </c>
      <c r="BX79" s="174" t="str">
        <f t="shared" si="61"/>
        <v/>
      </c>
      <c r="BY79" s="174" t="str">
        <f t="shared" si="62"/>
        <v/>
      </c>
      <c r="BZ79" s="174" t="str">
        <f t="shared" si="63"/>
        <v/>
      </c>
      <c r="CA79" s="174" t="str">
        <f t="shared" si="64"/>
        <v/>
      </c>
      <c r="CB79" s="161"/>
      <c r="CC79" s="161"/>
      <c r="CD79" s="161"/>
      <c r="CE79" s="161" t="s">
        <v>150</v>
      </c>
      <c r="CF79" s="161" t="s">
        <v>220</v>
      </c>
    </row>
    <row r="80" spans="1:84" ht="14.25" customHeight="1" x14ac:dyDescent="0.25">
      <c r="A80" s="203">
        <v>70</v>
      </c>
      <c r="B80" s="86"/>
      <c r="C80" s="193"/>
      <c r="D80" s="143"/>
      <c r="E80" s="308" t="s">
        <v>92</v>
      </c>
      <c r="F80" s="213"/>
      <c r="G80" s="214"/>
      <c r="H80" s="214"/>
      <c r="I80" s="214"/>
      <c r="J80" s="214"/>
      <c r="K80" s="214"/>
      <c r="L80" s="295">
        <f t="shared" si="65"/>
        <v>0</v>
      </c>
      <c r="M80" s="296"/>
      <c r="N80" s="297"/>
      <c r="O80" s="340"/>
      <c r="P80" s="311" t="s">
        <v>66</v>
      </c>
      <c r="Q80" s="325"/>
      <c r="R80" s="326"/>
      <c r="S80" s="326"/>
      <c r="T80" s="326"/>
      <c r="U80" s="326"/>
      <c r="V80" s="92"/>
      <c r="W80" s="295">
        <f t="shared" si="66"/>
        <v>0</v>
      </c>
      <c r="X80" s="296"/>
      <c r="Y80" s="297"/>
      <c r="Z80" s="346"/>
      <c r="AA80" s="314" t="s">
        <v>148</v>
      </c>
      <c r="AB80" s="13"/>
      <c r="AC80" s="222"/>
      <c r="AD80" s="222"/>
      <c r="AE80" s="222"/>
      <c r="AF80" s="222"/>
      <c r="AG80" s="5"/>
      <c r="AH80" s="20">
        <f t="shared" si="67"/>
        <v>0</v>
      </c>
      <c r="AI80" s="13"/>
      <c r="AJ80" s="5"/>
      <c r="AK80" s="343"/>
      <c r="AL80" s="100"/>
      <c r="AM80" s="98"/>
      <c r="AN80" s="226"/>
      <c r="AO80" s="225"/>
      <c r="AP80" s="89"/>
      <c r="AQ80" s="225"/>
      <c r="AR80" s="89"/>
      <c r="AS80" s="225"/>
      <c r="AT80" s="89"/>
      <c r="AU80" s="15">
        <f t="shared" si="41"/>
        <v>7.9999999999999996E-6</v>
      </c>
      <c r="AV80" s="15">
        <f t="shared" si="42"/>
        <v>0</v>
      </c>
      <c r="AW80" s="15"/>
      <c r="AX80" s="210">
        <v>70</v>
      </c>
      <c r="AY80" s="84">
        <f t="shared" si="43"/>
        <v>2.6599999999999999E-5</v>
      </c>
      <c r="AZ80" s="207">
        <f t="shared" si="44"/>
        <v>0</v>
      </c>
      <c r="BA80" s="233">
        <f t="shared" si="45"/>
        <v>7.9999999999999996E-6</v>
      </c>
      <c r="BB80" s="15">
        <f t="shared" si="51"/>
        <v>0</v>
      </c>
      <c r="BC80" s="210">
        <v>70</v>
      </c>
      <c r="BD80" s="84">
        <f t="shared" si="46"/>
        <v>2.4999999999999998E-5</v>
      </c>
      <c r="BE80" s="207">
        <f t="shared" si="47"/>
        <v>0</v>
      </c>
      <c r="BF80" s="233">
        <f t="shared" si="48"/>
        <v>7.9999999999999996E-6</v>
      </c>
      <c r="BG80" s="15">
        <f t="shared" si="52"/>
        <v>0</v>
      </c>
      <c r="BH80" s="210">
        <v>70</v>
      </c>
      <c r="BI80" s="84">
        <f t="shared" si="49"/>
        <v>2.4999999999999998E-5</v>
      </c>
      <c r="BJ80" s="207">
        <f t="shared" si="50"/>
        <v>0</v>
      </c>
      <c r="BL80" s="123"/>
      <c r="BM80" s="123"/>
      <c r="BO80" s="173"/>
      <c r="BP80" s="174" t="str">
        <f t="shared" si="53"/>
        <v/>
      </c>
      <c r="BQ80" s="174" t="str">
        <f t="shared" si="54"/>
        <v/>
      </c>
      <c r="BR80" s="174" t="str">
        <f t="shared" si="55"/>
        <v/>
      </c>
      <c r="BS80" s="174" t="str">
        <f t="shared" si="56"/>
        <v/>
      </c>
      <c r="BT80" s="174" t="str">
        <f t="shared" si="57"/>
        <v/>
      </c>
      <c r="BU80" s="174" t="str">
        <f t="shared" si="58"/>
        <v/>
      </c>
      <c r="BV80" s="174" t="str">
        <f t="shared" si="59"/>
        <v/>
      </c>
      <c r="BW80" s="174" t="str">
        <f t="shared" si="60"/>
        <v/>
      </c>
      <c r="BX80" s="174" t="str">
        <f t="shared" si="61"/>
        <v/>
      </c>
      <c r="BY80" s="174" t="str">
        <f t="shared" si="62"/>
        <v/>
      </c>
      <c r="BZ80" s="174" t="str">
        <f t="shared" si="63"/>
        <v/>
      </c>
      <c r="CA80" s="174" t="str">
        <f t="shared" si="64"/>
        <v/>
      </c>
      <c r="CB80" s="161"/>
      <c r="CC80" s="161"/>
      <c r="CD80" s="161"/>
      <c r="CE80" s="161" t="s">
        <v>150</v>
      </c>
      <c r="CF80" s="161" t="s">
        <v>220</v>
      </c>
    </row>
    <row r="81" spans="1:84" ht="14.25" customHeight="1" x14ac:dyDescent="0.25">
      <c r="A81" s="204">
        <v>71</v>
      </c>
      <c r="B81" s="211"/>
      <c r="C81" s="194"/>
      <c r="D81" s="142"/>
      <c r="E81" s="309" t="s">
        <v>92</v>
      </c>
      <c r="F81" s="305"/>
      <c r="G81" s="306"/>
      <c r="H81" s="306"/>
      <c r="I81" s="306"/>
      <c r="J81" s="306"/>
      <c r="K81" s="306"/>
      <c r="L81" s="223">
        <f t="shared" si="65"/>
        <v>0</v>
      </c>
      <c r="M81" s="298"/>
      <c r="N81" s="299"/>
      <c r="O81" s="341"/>
      <c r="P81" s="312" t="s">
        <v>66</v>
      </c>
      <c r="Q81" s="305"/>
      <c r="R81" s="306"/>
      <c r="S81" s="306"/>
      <c r="T81" s="306"/>
      <c r="U81" s="306"/>
      <c r="V81" s="122"/>
      <c r="W81" s="223">
        <f t="shared" si="66"/>
        <v>0</v>
      </c>
      <c r="X81" s="298"/>
      <c r="Y81" s="299"/>
      <c r="Z81" s="341"/>
      <c r="AA81" s="312" t="s">
        <v>86</v>
      </c>
      <c r="AB81" s="77"/>
      <c r="AC81" s="319"/>
      <c r="AD81" s="319"/>
      <c r="AE81" s="319"/>
      <c r="AF81" s="319"/>
      <c r="AG81" s="320"/>
      <c r="AH81" s="20">
        <f t="shared" si="67"/>
        <v>0</v>
      </c>
      <c r="AI81" s="77"/>
      <c r="AJ81" s="320"/>
      <c r="AK81" s="344"/>
      <c r="AL81" s="101"/>
      <c r="AM81" s="209"/>
      <c r="AN81" s="208"/>
      <c r="AO81" s="220"/>
      <c r="AP81" s="212"/>
      <c r="AQ81" s="220"/>
      <c r="AR81" s="212"/>
      <c r="AS81" s="220"/>
      <c r="AT81" s="212"/>
      <c r="AU81" s="15">
        <f t="shared" si="41"/>
        <v>8.1000000000000004E-6</v>
      </c>
      <c r="AV81" s="15">
        <f t="shared" si="42"/>
        <v>0</v>
      </c>
      <c r="AW81" s="15"/>
      <c r="AX81" s="210">
        <v>71</v>
      </c>
      <c r="AY81" s="84">
        <f t="shared" si="43"/>
        <v>2.65E-5</v>
      </c>
      <c r="AZ81" s="207">
        <f t="shared" si="44"/>
        <v>0</v>
      </c>
      <c r="BA81" s="233">
        <f t="shared" si="45"/>
        <v>8.1000000000000004E-6</v>
      </c>
      <c r="BB81" s="15">
        <f t="shared" si="51"/>
        <v>0</v>
      </c>
      <c r="BC81" s="210">
        <v>71</v>
      </c>
      <c r="BD81" s="84">
        <f t="shared" si="46"/>
        <v>2.4899999999999999E-5</v>
      </c>
      <c r="BE81" s="207">
        <f t="shared" si="47"/>
        <v>0</v>
      </c>
      <c r="BF81" s="233">
        <f t="shared" si="48"/>
        <v>8.1000000000000004E-6</v>
      </c>
      <c r="BG81" s="15">
        <f t="shared" si="52"/>
        <v>0</v>
      </c>
      <c r="BH81" s="210">
        <v>71</v>
      </c>
      <c r="BI81" s="84">
        <f t="shared" si="49"/>
        <v>2.4899999999999999E-5</v>
      </c>
      <c r="BJ81" s="207">
        <f t="shared" si="50"/>
        <v>0</v>
      </c>
      <c r="BL81" s="123"/>
      <c r="BM81" s="123"/>
      <c r="BO81" s="173"/>
      <c r="BP81" s="174" t="str">
        <f t="shared" si="53"/>
        <v/>
      </c>
      <c r="BQ81" s="174" t="str">
        <f t="shared" si="54"/>
        <v/>
      </c>
      <c r="BR81" s="174" t="str">
        <f t="shared" si="55"/>
        <v/>
      </c>
      <c r="BS81" s="174" t="str">
        <f t="shared" si="56"/>
        <v/>
      </c>
      <c r="BT81" s="174" t="str">
        <f t="shared" si="57"/>
        <v/>
      </c>
      <c r="BU81" s="174" t="str">
        <f t="shared" si="58"/>
        <v/>
      </c>
      <c r="BV81" s="174" t="str">
        <f t="shared" si="59"/>
        <v/>
      </c>
      <c r="BW81" s="174" t="str">
        <f t="shared" si="60"/>
        <v/>
      </c>
      <c r="BX81" s="174" t="str">
        <f t="shared" si="61"/>
        <v/>
      </c>
      <c r="BY81" s="174" t="str">
        <f t="shared" si="62"/>
        <v/>
      </c>
      <c r="BZ81" s="174" t="str">
        <f t="shared" si="63"/>
        <v/>
      </c>
      <c r="CA81" s="174" t="str">
        <f t="shared" si="64"/>
        <v/>
      </c>
      <c r="CB81" s="161"/>
      <c r="CC81" s="161"/>
      <c r="CD81" s="161"/>
      <c r="CE81" s="161" t="s">
        <v>150</v>
      </c>
      <c r="CF81" s="161" t="s">
        <v>220</v>
      </c>
    </row>
    <row r="82" spans="1:84" ht="14.25" customHeight="1" thickBot="1" x14ac:dyDescent="0.3">
      <c r="A82" s="205">
        <v>72</v>
      </c>
      <c r="B82" s="85"/>
      <c r="C82" s="195"/>
      <c r="D82" s="91"/>
      <c r="E82" s="310" t="s">
        <v>92</v>
      </c>
      <c r="F82" s="93"/>
      <c r="G82" s="97"/>
      <c r="H82" s="97"/>
      <c r="I82" s="97"/>
      <c r="J82" s="97"/>
      <c r="K82" s="97"/>
      <c r="L82" s="224">
        <f t="shared" si="65"/>
        <v>0</v>
      </c>
      <c r="M82" s="300"/>
      <c r="N82" s="301"/>
      <c r="O82" s="342"/>
      <c r="P82" s="313" t="s">
        <v>66</v>
      </c>
      <c r="Q82" s="93"/>
      <c r="R82" s="97"/>
      <c r="S82" s="97"/>
      <c r="T82" s="97"/>
      <c r="U82" s="97"/>
      <c r="V82" s="94"/>
      <c r="W82" s="224">
        <f t="shared" si="66"/>
        <v>0</v>
      </c>
      <c r="X82" s="300"/>
      <c r="Y82" s="301"/>
      <c r="Z82" s="342"/>
      <c r="AA82" s="313" t="s">
        <v>86</v>
      </c>
      <c r="AB82" s="78"/>
      <c r="AC82" s="321"/>
      <c r="AD82" s="321"/>
      <c r="AE82" s="321"/>
      <c r="AF82" s="321"/>
      <c r="AG82" s="322"/>
      <c r="AH82" s="88">
        <f t="shared" si="67"/>
        <v>0</v>
      </c>
      <c r="AI82" s="78"/>
      <c r="AJ82" s="322"/>
      <c r="AK82" s="345"/>
      <c r="AL82" s="102"/>
      <c r="AM82" s="99"/>
      <c r="AN82" s="227"/>
      <c r="AO82" s="221"/>
      <c r="AP82" s="90"/>
      <c r="AQ82" s="221"/>
      <c r="AR82" s="90"/>
      <c r="AS82" s="221"/>
      <c r="AT82" s="90"/>
      <c r="AU82" s="15">
        <f t="shared" si="41"/>
        <v>8.1999999999999994E-6</v>
      </c>
      <c r="AV82" s="15">
        <f t="shared" si="42"/>
        <v>0</v>
      </c>
      <c r="AW82" s="15"/>
      <c r="AX82" s="210">
        <v>72</v>
      </c>
      <c r="AY82" s="84">
        <f t="shared" si="43"/>
        <v>2.6399999999999998E-5</v>
      </c>
      <c r="AZ82" s="207">
        <f t="shared" si="44"/>
        <v>0</v>
      </c>
      <c r="BA82" s="233">
        <f t="shared" si="45"/>
        <v>8.1999999999999994E-6</v>
      </c>
      <c r="BB82" s="15">
        <f t="shared" si="51"/>
        <v>0</v>
      </c>
      <c r="BC82" s="210">
        <v>72</v>
      </c>
      <c r="BD82" s="84">
        <f t="shared" si="46"/>
        <v>2.48E-5</v>
      </c>
      <c r="BE82" s="207">
        <f t="shared" si="47"/>
        <v>0</v>
      </c>
      <c r="BF82" s="233">
        <f t="shared" si="48"/>
        <v>8.1999999999999994E-6</v>
      </c>
      <c r="BG82" s="15">
        <f t="shared" si="52"/>
        <v>0</v>
      </c>
      <c r="BH82" s="210">
        <v>72</v>
      </c>
      <c r="BI82" s="84">
        <f t="shared" si="49"/>
        <v>2.48E-5</v>
      </c>
      <c r="BJ82" s="207">
        <f t="shared" si="50"/>
        <v>0</v>
      </c>
      <c r="BL82" s="123"/>
      <c r="BM82" s="123"/>
      <c r="BO82" s="173"/>
      <c r="BP82" s="174" t="str">
        <f t="shared" si="53"/>
        <v/>
      </c>
      <c r="BQ82" s="174" t="str">
        <f t="shared" si="54"/>
        <v/>
      </c>
      <c r="BR82" s="174" t="str">
        <f t="shared" si="55"/>
        <v/>
      </c>
      <c r="BS82" s="174" t="str">
        <f t="shared" si="56"/>
        <v/>
      </c>
      <c r="BT82" s="174" t="str">
        <f t="shared" si="57"/>
        <v/>
      </c>
      <c r="BU82" s="174" t="str">
        <f t="shared" si="58"/>
        <v/>
      </c>
      <c r="BV82" s="174" t="str">
        <f t="shared" si="59"/>
        <v/>
      </c>
      <c r="BW82" s="174" t="str">
        <f t="shared" si="60"/>
        <v/>
      </c>
      <c r="BX82" s="174" t="str">
        <f t="shared" si="61"/>
        <v/>
      </c>
      <c r="BY82" s="174" t="str">
        <f t="shared" si="62"/>
        <v/>
      </c>
      <c r="BZ82" s="174" t="str">
        <f t="shared" si="63"/>
        <v/>
      </c>
      <c r="CA82" s="174" t="str">
        <f t="shared" si="64"/>
        <v/>
      </c>
      <c r="CB82" s="161"/>
      <c r="CC82" s="161"/>
      <c r="CD82" s="161"/>
      <c r="CE82" s="161" t="s">
        <v>150</v>
      </c>
      <c r="CF82" s="161" t="s">
        <v>220</v>
      </c>
    </row>
    <row r="83" spans="1:84" ht="14.25" customHeight="1" x14ac:dyDescent="0.25">
      <c r="A83" s="203">
        <v>73</v>
      </c>
      <c r="B83" s="86"/>
      <c r="C83" s="193"/>
      <c r="D83" s="143"/>
      <c r="E83" s="308" t="s">
        <v>92</v>
      </c>
      <c r="F83" s="213"/>
      <c r="G83" s="214"/>
      <c r="H83" s="214"/>
      <c r="I83" s="214"/>
      <c r="J83" s="214"/>
      <c r="K83" s="214"/>
      <c r="L83" s="295">
        <f t="shared" si="65"/>
        <v>0</v>
      </c>
      <c r="M83" s="296"/>
      <c r="N83" s="297"/>
      <c r="O83" s="340"/>
      <c r="P83" s="311" t="s">
        <v>66</v>
      </c>
      <c r="Q83" s="325"/>
      <c r="R83" s="326"/>
      <c r="S83" s="326"/>
      <c r="T83" s="326"/>
      <c r="U83" s="326"/>
      <c r="V83" s="92"/>
      <c r="W83" s="295">
        <f t="shared" si="66"/>
        <v>0</v>
      </c>
      <c r="X83" s="296"/>
      <c r="Y83" s="297"/>
      <c r="Z83" s="346"/>
      <c r="AA83" s="314" t="s">
        <v>148</v>
      </c>
      <c r="AB83" s="13"/>
      <c r="AC83" s="222"/>
      <c r="AD83" s="222"/>
      <c r="AE83" s="222"/>
      <c r="AF83" s="222"/>
      <c r="AG83" s="5"/>
      <c r="AH83" s="20">
        <f t="shared" si="67"/>
        <v>0</v>
      </c>
      <c r="AI83" s="13"/>
      <c r="AJ83" s="5"/>
      <c r="AK83" s="343"/>
      <c r="AL83" s="100"/>
      <c r="AM83" s="98"/>
      <c r="AN83" s="226"/>
      <c r="AO83" s="225"/>
      <c r="AP83" s="89"/>
      <c r="AQ83" s="225"/>
      <c r="AR83" s="89"/>
      <c r="AS83" s="225"/>
      <c r="AT83" s="89"/>
      <c r="AU83" s="15">
        <f t="shared" si="41"/>
        <v>8.3000000000000002E-6</v>
      </c>
      <c r="AV83" s="15">
        <f t="shared" si="42"/>
        <v>0</v>
      </c>
      <c r="AW83" s="15"/>
      <c r="AX83" s="210">
        <v>73</v>
      </c>
      <c r="AY83" s="84">
        <f t="shared" si="43"/>
        <v>2.6299999999999999E-5</v>
      </c>
      <c r="AZ83" s="207">
        <f t="shared" si="44"/>
        <v>0</v>
      </c>
      <c r="BA83" s="233">
        <f t="shared" si="45"/>
        <v>8.3000000000000002E-6</v>
      </c>
      <c r="BB83" s="15">
        <f t="shared" si="51"/>
        <v>0</v>
      </c>
      <c r="BC83" s="210">
        <v>73</v>
      </c>
      <c r="BD83" s="84">
        <f t="shared" si="46"/>
        <v>2.4699999999999997E-5</v>
      </c>
      <c r="BE83" s="207">
        <f t="shared" si="47"/>
        <v>0</v>
      </c>
      <c r="BF83" s="233">
        <f t="shared" si="48"/>
        <v>8.3000000000000002E-6</v>
      </c>
      <c r="BG83" s="15">
        <f t="shared" si="52"/>
        <v>0</v>
      </c>
      <c r="BH83" s="210">
        <v>73</v>
      </c>
      <c r="BI83" s="84">
        <f t="shared" si="49"/>
        <v>2.4699999999999997E-5</v>
      </c>
      <c r="BJ83" s="207">
        <f t="shared" si="50"/>
        <v>0</v>
      </c>
      <c r="BL83" s="123"/>
      <c r="BM83" s="123"/>
      <c r="BO83" s="173"/>
      <c r="BP83" s="174" t="str">
        <f t="shared" si="53"/>
        <v/>
      </c>
      <c r="BQ83" s="174" t="str">
        <f t="shared" si="54"/>
        <v/>
      </c>
      <c r="BR83" s="174" t="str">
        <f t="shared" si="55"/>
        <v/>
      </c>
      <c r="BS83" s="174" t="str">
        <f t="shared" si="56"/>
        <v/>
      </c>
      <c r="BT83" s="174" t="str">
        <f t="shared" si="57"/>
        <v/>
      </c>
      <c r="BU83" s="174" t="str">
        <f t="shared" si="58"/>
        <v/>
      </c>
      <c r="BV83" s="174" t="str">
        <f t="shared" si="59"/>
        <v/>
      </c>
      <c r="BW83" s="174" t="str">
        <f t="shared" si="60"/>
        <v/>
      </c>
      <c r="BX83" s="174" t="str">
        <f t="shared" si="61"/>
        <v/>
      </c>
      <c r="BY83" s="174" t="str">
        <f t="shared" si="62"/>
        <v/>
      </c>
      <c r="BZ83" s="174" t="str">
        <f t="shared" si="63"/>
        <v/>
      </c>
      <c r="CA83" s="174" t="str">
        <f t="shared" si="64"/>
        <v/>
      </c>
      <c r="CB83" s="161"/>
      <c r="CC83" s="161"/>
      <c r="CD83" s="161"/>
      <c r="CE83" s="161" t="s">
        <v>150</v>
      </c>
      <c r="CF83" s="161" t="s">
        <v>220</v>
      </c>
    </row>
    <row r="84" spans="1:84" ht="14.25" customHeight="1" x14ac:dyDescent="0.25">
      <c r="A84" s="204">
        <v>74</v>
      </c>
      <c r="B84" s="211"/>
      <c r="C84" s="194"/>
      <c r="D84" s="142"/>
      <c r="E84" s="309" t="s">
        <v>92</v>
      </c>
      <c r="F84" s="305"/>
      <c r="G84" s="306"/>
      <c r="H84" s="306"/>
      <c r="I84" s="306"/>
      <c r="J84" s="306"/>
      <c r="K84" s="306"/>
      <c r="L84" s="223">
        <f t="shared" si="65"/>
        <v>0</v>
      </c>
      <c r="M84" s="298"/>
      <c r="N84" s="299"/>
      <c r="O84" s="341"/>
      <c r="P84" s="312" t="s">
        <v>66</v>
      </c>
      <c r="Q84" s="305"/>
      <c r="R84" s="306"/>
      <c r="S84" s="306"/>
      <c r="T84" s="306"/>
      <c r="U84" s="306"/>
      <c r="V84" s="122"/>
      <c r="W84" s="223">
        <f t="shared" si="66"/>
        <v>0</v>
      </c>
      <c r="X84" s="298"/>
      <c r="Y84" s="299"/>
      <c r="Z84" s="341"/>
      <c r="AA84" s="312" t="s">
        <v>86</v>
      </c>
      <c r="AB84" s="77"/>
      <c r="AC84" s="319"/>
      <c r="AD84" s="319"/>
      <c r="AE84" s="319"/>
      <c r="AF84" s="319"/>
      <c r="AG84" s="320"/>
      <c r="AH84" s="20">
        <f t="shared" si="67"/>
        <v>0</v>
      </c>
      <c r="AI84" s="77"/>
      <c r="AJ84" s="320"/>
      <c r="AK84" s="344"/>
      <c r="AL84" s="101"/>
      <c r="AM84" s="209"/>
      <c r="AN84" s="208"/>
      <c r="AO84" s="220"/>
      <c r="AP84" s="212"/>
      <c r="AQ84" s="220"/>
      <c r="AR84" s="212"/>
      <c r="AS84" s="220"/>
      <c r="AT84" s="212"/>
      <c r="AU84" s="15">
        <f t="shared" si="41"/>
        <v>8.3999999999999992E-6</v>
      </c>
      <c r="AV84" s="15">
        <f t="shared" si="42"/>
        <v>0</v>
      </c>
      <c r="AW84" s="15"/>
      <c r="AX84" s="210">
        <v>74</v>
      </c>
      <c r="AY84" s="84">
        <f t="shared" si="43"/>
        <v>2.62E-5</v>
      </c>
      <c r="AZ84" s="207">
        <f t="shared" si="44"/>
        <v>0</v>
      </c>
      <c r="BA84" s="233">
        <f t="shared" si="45"/>
        <v>8.3999999999999992E-6</v>
      </c>
      <c r="BB84" s="15">
        <f t="shared" si="51"/>
        <v>0</v>
      </c>
      <c r="BC84" s="210">
        <v>74</v>
      </c>
      <c r="BD84" s="84">
        <f t="shared" si="46"/>
        <v>2.4599999999999998E-5</v>
      </c>
      <c r="BE84" s="207">
        <f t="shared" si="47"/>
        <v>0</v>
      </c>
      <c r="BF84" s="233">
        <f t="shared" si="48"/>
        <v>8.3999999999999992E-6</v>
      </c>
      <c r="BG84" s="15">
        <f t="shared" si="52"/>
        <v>0</v>
      </c>
      <c r="BH84" s="210">
        <v>74</v>
      </c>
      <c r="BI84" s="84">
        <f t="shared" si="49"/>
        <v>2.4599999999999998E-5</v>
      </c>
      <c r="BJ84" s="207">
        <f t="shared" si="50"/>
        <v>0</v>
      </c>
      <c r="BL84" s="123"/>
      <c r="BM84" s="123"/>
      <c r="BO84" s="173"/>
      <c r="BP84" s="174" t="str">
        <f t="shared" si="53"/>
        <v/>
      </c>
      <c r="BQ84" s="174" t="str">
        <f t="shared" si="54"/>
        <v/>
      </c>
      <c r="BR84" s="174" t="str">
        <f t="shared" si="55"/>
        <v/>
      </c>
      <c r="BS84" s="174" t="str">
        <f t="shared" si="56"/>
        <v/>
      </c>
      <c r="BT84" s="174" t="str">
        <f t="shared" si="57"/>
        <v/>
      </c>
      <c r="BU84" s="174" t="str">
        <f t="shared" si="58"/>
        <v/>
      </c>
      <c r="BV84" s="174" t="str">
        <f t="shared" si="59"/>
        <v/>
      </c>
      <c r="BW84" s="174" t="str">
        <f t="shared" si="60"/>
        <v/>
      </c>
      <c r="BX84" s="174" t="str">
        <f t="shared" si="61"/>
        <v/>
      </c>
      <c r="BY84" s="174" t="str">
        <f t="shared" si="62"/>
        <v/>
      </c>
      <c r="BZ84" s="174" t="str">
        <f t="shared" si="63"/>
        <v/>
      </c>
      <c r="CA84" s="174" t="str">
        <f t="shared" si="64"/>
        <v/>
      </c>
      <c r="CB84" s="161"/>
      <c r="CC84" s="161"/>
      <c r="CD84" s="161"/>
      <c r="CE84" s="161" t="s">
        <v>150</v>
      </c>
      <c r="CF84" s="161" t="s">
        <v>220</v>
      </c>
    </row>
    <row r="85" spans="1:84" ht="14.25" customHeight="1" thickBot="1" x14ac:dyDescent="0.3">
      <c r="A85" s="205">
        <v>75</v>
      </c>
      <c r="B85" s="85"/>
      <c r="C85" s="195"/>
      <c r="D85" s="91"/>
      <c r="E85" s="310" t="s">
        <v>92</v>
      </c>
      <c r="F85" s="93"/>
      <c r="G85" s="97"/>
      <c r="H85" s="97"/>
      <c r="I85" s="97"/>
      <c r="J85" s="97"/>
      <c r="K85" s="97"/>
      <c r="L85" s="224">
        <f t="shared" si="65"/>
        <v>0</v>
      </c>
      <c r="M85" s="300"/>
      <c r="N85" s="301"/>
      <c r="O85" s="342"/>
      <c r="P85" s="313" t="s">
        <v>66</v>
      </c>
      <c r="Q85" s="93"/>
      <c r="R85" s="97"/>
      <c r="S85" s="97"/>
      <c r="T85" s="97"/>
      <c r="U85" s="97"/>
      <c r="V85" s="94"/>
      <c r="W85" s="224">
        <f t="shared" si="66"/>
        <v>0</v>
      </c>
      <c r="X85" s="300"/>
      <c r="Y85" s="301"/>
      <c r="Z85" s="342"/>
      <c r="AA85" s="313" t="s">
        <v>86</v>
      </c>
      <c r="AB85" s="78"/>
      <c r="AC85" s="321"/>
      <c r="AD85" s="321"/>
      <c r="AE85" s="321"/>
      <c r="AF85" s="321"/>
      <c r="AG85" s="322"/>
      <c r="AH85" s="88">
        <f t="shared" si="67"/>
        <v>0</v>
      </c>
      <c r="AI85" s="78"/>
      <c r="AJ85" s="322"/>
      <c r="AK85" s="345"/>
      <c r="AL85" s="102"/>
      <c r="AM85" s="99"/>
      <c r="AN85" s="227"/>
      <c r="AO85" s="221"/>
      <c r="AP85" s="90"/>
      <c r="AQ85" s="221"/>
      <c r="AR85" s="90"/>
      <c r="AS85" s="221"/>
      <c r="AT85" s="90"/>
      <c r="AU85" s="15">
        <f t="shared" si="41"/>
        <v>8.4999999999999999E-6</v>
      </c>
      <c r="AV85" s="15">
        <f t="shared" si="42"/>
        <v>0</v>
      </c>
      <c r="AW85" s="15"/>
      <c r="AX85" s="210">
        <v>75</v>
      </c>
      <c r="AY85" s="84">
        <f t="shared" si="43"/>
        <v>2.6099999999999997E-5</v>
      </c>
      <c r="AZ85" s="207">
        <f t="shared" si="44"/>
        <v>0</v>
      </c>
      <c r="BA85" s="233">
        <f t="shared" si="45"/>
        <v>8.4999999999999999E-6</v>
      </c>
      <c r="BB85" s="15">
        <f t="shared" si="51"/>
        <v>0</v>
      </c>
      <c r="BC85" s="210">
        <v>75</v>
      </c>
      <c r="BD85" s="84">
        <f t="shared" si="46"/>
        <v>2.4499999999999999E-5</v>
      </c>
      <c r="BE85" s="207">
        <f t="shared" si="47"/>
        <v>0</v>
      </c>
      <c r="BF85" s="233">
        <f t="shared" si="48"/>
        <v>8.4999999999999999E-6</v>
      </c>
      <c r="BG85" s="15">
        <f t="shared" si="52"/>
        <v>0</v>
      </c>
      <c r="BH85" s="210">
        <v>75</v>
      </c>
      <c r="BI85" s="84">
        <f t="shared" si="49"/>
        <v>2.4499999999999999E-5</v>
      </c>
      <c r="BJ85" s="207">
        <f t="shared" si="50"/>
        <v>0</v>
      </c>
      <c r="BL85" s="123"/>
      <c r="BM85" s="123"/>
      <c r="BO85" s="173"/>
      <c r="BP85" s="174" t="str">
        <f t="shared" si="53"/>
        <v/>
      </c>
      <c r="BQ85" s="174" t="str">
        <f t="shared" si="54"/>
        <v/>
      </c>
      <c r="BR85" s="174" t="str">
        <f t="shared" si="55"/>
        <v/>
      </c>
      <c r="BS85" s="174" t="str">
        <f t="shared" si="56"/>
        <v/>
      </c>
      <c r="BT85" s="174" t="str">
        <f t="shared" si="57"/>
        <v/>
      </c>
      <c r="BU85" s="174" t="str">
        <f t="shared" si="58"/>
        <v/>
      </c>
      <c r="BV85" s="174" t="str">
        <f t="shared" si="59"/>
        <v/>
      </c>
      <c r="BW85" s="174" t="str">
        <f t="shared" si="60"/>
        <v/>
      </c>
      <c r="BX85" s="174" t="str">
        <f t="shared" si="61"/>
        <v/>
      </c>
      <c r="BY85" s="174" t="str">
        <f t="shared" si="62"/>
        <v/>
      </c>
      <c r="BZ85" s="174" t="str">
        <f t="shared" si="63"/>
        <v/>
      </c>
      <c r="CA85" s="174" t="str">
        <f t="shared" si="64"/>
        <v/>
      </c>
      <c r="CB85" s="161"/>
      <c r="CC85" s="161"/>
      <c r="CD85" s="161"/>
      <c r="CE85" s="161" t="s">
        <v>150</v>
      </c>
      <c r="CF85" s="161" t="s">
        <v>220</v>
      </c>
    </row>
    <row r="86" spans="1:84" ht="14.25" customHeight="1" x14ac:dyDescent="0.25">
      <c r="A86" s="203">
        <v>76</v>
      </c>
      <c r="B86" s="86"/>
      <c r="C86" s="193"/>
      <c r="D86" s="143"/>
      <c r="E86" s="308" t="s">
        <v>92</v>
      </c>
      <c r="F86" s="213"/>
      <c r="G86" s="214"/>
      <c r="H86" s="214"/>
      <c r="I86" s="214"/>
      <c r="J86" s="214"/>
      <c r="K86" s="214"/>
      <c r="L86" s="295">
        <f t="shared" si="65"/>
        <v>0</v>
      </c>
      <c r="M86" s="296"/>
      <c r="N86" s="297"/>
      <c r="O86" s="340"/>
      <c r="P86" s="311" t="s">
        <v>66</v>
      </c>
      <c r="Q86" s="325"/>
      <c r="R86" s="326"/>
      <c r="S86" s="326"/>
      <c r="T86" s="326"/>
      <c r="U86" s="326"/>
      <c r="V86" s="92"/>
      <c r="W86" s="295">
        <f t="shared" si="66"/>
        <v>0</v>
      </c>
      <c r="X86" s="296"/>
      <c r="Y86" s="297"/>
      <c r="Z86" s="346"/>
      <c r="AA86" s="314" t="s">
        <v>148</v>
      </c>
      <c r="AB86" s="13"/>
      <c r="AC86" s="222"/>
      <c r="AD86" s="222"/>
      <c r="AE86" s="222"/>
      <c r="AF86" s="222"/>
      <c r="AG86" s="5"/>
      <c r="AH86" s="20">
        <f t="shared" si="67"/>
        <v>0</v>
      </c>
      <c r="AI86" s="13"/>
      <c r="AJ86" s="5"/>
      <c r="AK86" s="343"/>
      <c r="AL86" s="100"/>
      <c r="AM86" s="98"/>
      <c r="AN86" s="226"/>
      <c r="AO86" s="225"/>
      <c r="AP86" s="89"/>
      <c r="AQ86" s="225"/>
      <c r="AR86" s="89"/>
      <c r="AS86" s="225"/>
      <c r="AT86" s="89"/>
      <c r="AU86" s="15">
        <f t="shared" si="41"/>
        <v>8.599999999999999E-6</v>
      </c>
      <c r="AV86" s="15">
        <f t="shared" si="42"/>
        <v>0</v>
      </c>
      <c r="AW86" s="15"/>
      <c r="AX86" s="210">
        <v>76</v>
      </c>
      <c r="AY86" s="84">
        <f t="shared" si="43"/>
        <v>2.5999999999999998E-5</v>
      </c>
      <c r="AZ86" s="207">
        <f t="shared" si="44"/>
        <v>0</v>
      </c>
      <c r="BA86" s="233">
        <f t="shared" si="45"/>
        <v>8.599999999999999E-6</v>
      </c>
      <c r="BB86" s="15">
        <f t="shared" si="51"/>
        <v>0</v>
      </c>
      <c r="BC86" s="210">
        <v>76</v>
      </c>
      <c r="BD86" s="84">
        <f t="shared" si="46"/>
        <v>2.44E-5</v>
      </c>
      <c r="BE86" s="207">
        <f t="shared" si="47"/>
        <v>0</v>
      </c>
      <c r="BF86" s="233">
        <f t="shared" si="48"/>
        <v>8.599999999999999E-6</v>
      </c>
      <c r="BG86" s="15">
        <f t="shared" si="52"/>
        <v>0</v>
      </c>
      <c r="BH86" s="210">
        <v>76</v>
      </c>
      <c r="BI86" s="84">
        <f t="shared" si="49"/>
        <v>2.44E-5</v>
      </c>
      <c r="BJ86" s="207">
        <f t="shared" si="50"/>
        <v>0</v>
      </c>
      <c r="BL86" s="123"/>
      <c r="BM86" s="123"/>
      <c r="BO86" s="173"/>
      <c r="BP86" s="174" t="str">
        <f t="shared" si="53"/>
        <v/>
      </c>
      <c r="BQ86" s="174" t="str">
        <f t="shared" si="54"/>
        <v/>
      </c>
      <c r="BR86" s="174" t="str">
        <f t="shared" si="55"/>
        <v/>
      </c>
      <c r="BS86" s="174" t="str">
        <f t="shared" si="56"/>
        <v/>
      </c>
      <c r="BT86" s="174" t="str">
        <f t="shared" si="57"/>
        <v/>
      </c>
      <c r="BU86" s="174" t="str">
        <f t="shared" si="58"/>
        <v/>
      </c>
      <c r="BV86" s="174" t="str">
        <f t="shared" si="59"/>
        <v/>
      </c>
      <c r="BW86" s="174" t="str">
        <f t="shared" si="60"/>
        <v/>
      </c>
      <c r="BX86" s="174" t="str">
        <f t="shared" si="61"/>
        <v/>
      </c>
      <c r="BY86" s="174" t="str">
        <f t="shared" si="62"/>
        <v/>
      </c>
      <c r="BZ86" s="174" t="str">
        <f t="shared" si="63"/>
        <v/>
      </c>
      <c r="CA86" s="174" t="str">
        <f t="shared" si="64"/>
        <v/>
      </c>
      <c r="CB86" s="161"/>
      <c r="CC86" s="161"/>
      <c r="CD86" s="161"/>
      <c r="CE86" s="161" t="s">
        <v>150</v>
      </c>
      <c r="CF86" s="161" t="s">
        <v>220</v>
      </c>
    </row>
    <row r="87" spans="1:84" ht="14.25" customHeight="1" x14ac:dyDescent="0.25">
      <c r="A87" s="204">
        <v>77</v>
      </c>
      <c r="B87" s="211"/>
      <c r="C87" s="194"/>
      <c r="D87" s="142"/>
      <c r="E87" s="309" t="s">
        <v>92</v>
      </c>
      <c r="F87" s="305"/>
      <c r="G87" s="306"/>
      <c r="H87" s="306"/>
      <c r="I87" s="306"/>
      <c r="J87" s="306"/>
      <c r="K87" s="306"/>
      <c r="L87" s="223">
        <f t="shared" si="65"/>
        <v>0</v>
      </c>
      <c r="M87" s="298"/>
      <c r="N87" s="299"/>
      <c r="O87" s="341"/>
      <c r="P87" s="312" t="s">
        <v>66</v>
      </c>
      <c r="Q87" s="305"/>
      <c r="R87" s="306"/>
      <c r="S87" s="306"/>
      <c r="T87" s="306"/>
      <c r="U87" s="306"/>
      <c r="V87" s="122"/>
      <c r="W87" s="223">
        <f t="shared" si="66"/>
        <v>0</v>
      </c>
      <c r="X87" s="298"/>
      <c r="Y87" s="299"/>
      <c r="Z87" s="341"/>
      <c r="AA87" s="312" t="s">
        <v>86</v>
      </c>
      <c r="AB87" s="77"/>
      <c r="AC87" s="319"/>
      <c r="AD87" s="319"/>
      <c r="AE87" s="319"/>
      <c r="AF87" s="319"/>
      <c r="AG87" s="320"/>
      <c r="AH87" s="20">
        <f t="shared" si="67"/>
        <v>0</v>
      </c>
      <c r="AI87" s="77"/>
      <c r="AJ87" s="320"/>
      <c r="AK87" s="344"/>
      <c r="AL87" s="101"/>
      <c r="AM87" s="209"/>
      <c r="AN87" s="208"/>
      <c r="AO87" s="220"/>
      <c r="AP87" s="212"/>
      <c r="AQ87" s="220"/>
      <c r="AR87" s="212"/>
      <c r="AS87" s="220"/>
      <c r="AT87" s="212"/>
      <c r="AU87" s="15">
        <f t="shared" si="41"/>
        <v>8.6999999999999997E-6</v>
      </c>
      <c r="AV87" s="15">
        <f t="shared" si="42"/>
        <v>0</v>
      </c>
      <c r="AW87" s="15"/>
      <c r="AX87" s="210">
        <v>77</v>
      </c>
      <c r="AY87" s="84">
        <f t="shared" si="43"/>
        <v>2.5899999999999999E-5</v>
      </c>
      <c r="AZ87" s="207">
        <f t="shared" si="44"/>
        <v>0</v>
      </c>
      <c r="BA87" s="233">
        <f t="shared" si="45"/>
        <v>8.6999999999999997E-6</v>
      </c>
      <c r="BB87" s="15">
        <f t="shared" si="51"/>
        <v>0</v>
      </c>
      <c r="BC87" s="210">
        <v>77</v>
      </c>
      <c r="BD87" s="84">
        <f t="shared" si="46"/>
        <v>2.4299999999999998E-5</v>
      </c>
      <c r="BE87" s="207">
        <f t="shared" si="47"/>
        <v>0</v>
      </c>
      <c r="BF87" s="233">
        <f t="shared" si="48"/>
        <v>8.6999999999999997E-6</v>
      </c>
      <c r="BG87" s="15">
        <f t="shared" si="52"/>
        <v>0</v>
      </c>
      <c r="BH87" s="210">
        <v>77</v>
      </c>
      <c r="BI87" s="84">
        <f t="shared" si="49"/>
        <v>2.4299999999999998E-5</v>
      </c>
      <c r="BJ87" s="207">
        <f t="shared" si="50"/>
        <v>0</v>
      </c>
      <c r="BL87" s="123"/>
      <c r="BM87" s="123"/>
      <c r="BO87" s="173"/>
      <c r="BP87" s="174" t="str">
        <f t="shared" si="53"/>
        <v/>
      </c>
      <c r="BQ87" s="174" t="str">
        <f t="shared" si="54"/>
        <v/>
      </c>
      <c r="BR87" s="174" t="str">
        <f t="shared" si="55"/>
        <v/>
      </c>
      <c r="BS87" s="174" t="str">
        <f t="shared" si="56"/>
        <v/>
      </c>
      <c r="BT87" s="174" t="str">
        <f t="shared" si="57"/>
        <v/>
      </c>
      <c r="BU87" s="174" t="str">
        <f t="shared" si="58"/>
        <v/>
      </c>
      <c r="BV87" s="174" t="str">
        <f t="shared" si="59"/>
        <v/>
      </c>
      <c r="BW87" s="174" t="str">
        <f t="shared" si="60"/>
        <v/>
      </c>
      <c r="BX87" s="174" t="str">
        <f t="shared" si="61"/>
        <v/>
      </c>
      <c r="BY87" s="174" t="str">
        <f t="shared" si="62"/>
        <v/>
      </c>
      <c r="BZ87" s="174" t="str">
        <f t="shared" si="63"/>
        <v/>
      </c>
      <c r="CA87" s="174" t="str">
        <f t="shared" si="64"/>
        <v/>
      </c>
      <c r="CB87" s="161"/>
      <c r="CC87" s="161"/>
      <c r="CD87" s="161"/>
      <c r="CE87" s="161" t="s">
        <v>150</v>
      </c>
      <c r="CF87" s="161" t="s">
        <v>220</v>
      </c>
    </row>
    <row r="88" spans="1:84" ht="14.25" customHeight="1" thickBot="1" x14ac:dyDescent="0.3">
      <c r="A88" s="205">
        <v>78</v>
      </c>
      <c r="B88" s="85"/>
      <c r="C88" s="195"/>
      <c r="D88" s="91"/>
      <c r="E88" s="310" t="s">
        <v>92</v>
      </c>
      <c r="F88" s="93"/>
      <c r="G88" s="97"/>
      <c r="H88" s="97"/>
      <c r="I88" s="97"/>
      <c r="J88" s="97"/>
      <c r="K88" s="97"/>
      <c r="L88" s="224">
        <f t="shared" si="65"/>
        <v>0</v>
      </c>
      <c r="M88" s="300"/>
      <c r="N88" s="301"/>
      <c r="O88" s="342"/>
      <c r="P88" s="313" t="s">
        <v>66</v>
      </c>
      <c r="Q88" s="93"/>
      <c r="R88" s="97"/>
      <c r="S88" s="97"/>
      <c r="T88" s="97"/>
      <c r="U88" s="97"/>
      <c r="V88" s="94"/>
      <c r="W88" s="224">
        <f t="shared" si="66"/>
        <v>0</v>
      </c>
      <c r="X88" s="300"/>
      <c r="Y88" s="301"/>
      <c r="Z88" s="342"/>
      <c r="AA88" s="313" t="s">
        <v>86</v>
      </c>
      <c r="AB88" s="78"/>
      <c r="AC88" s="321"/>
      <c r="AD88" s="321"/>
      <c r="AE88" s="321"/>
      <c r="AF88" s="321"/>
      <c r="AG88" s="322"/>
      <c r="AH88" s="88">
        <f t="shared" si="67"/>
        <v>0</v>
      </c>
      <c r="AI88" s="78"/>
      <c r="AJ88" s="322"/>
      <c r="AK88" s="345"/>
      <c r="AL88" s="102"/>
      <c r="AM88" s="99"/>
      <c r="AN88" s="227"/>
      <c r="AO88" s="221"/>
      <c r="AP88" s="90"/>
      <c r="AQ88" s="221"/>
      <c r="AR88" s="90"/>
      <c r="AS88" s="221"/>
      <c r="AT88" s="90"/>
      <c r="AU88" s="15">
        <f t="shared" si="41"/>
        <v>8.8000000000000004E-6</v>
      </c>
      <c r="AV88" s="15">
        <f t="shared" si="42"/>
        <v>0</v>
      </c>
      <c r="AW88" s="15"/>
      <c r="AX88" s="210">
        <v>78</v>
      </c>
      <c r="AY88" s="84">
        <f t="shared" si="43"/>
        <v>2.58E-5</v>
      </c>
      <c r="AZ88" s="207">
        <f t="shared" si="44"/>
        <v>0</v>
      </c>
      <c r="BA88" s="233">
        <f t="shared" si="45"/>
        <v>8.8000000000000004E-6</v>
      </c>
      <c r="BB88" s="15">
        <f t="shared" si="51"/>
        <v>0</v>
      </c>
      <c r="BC88" s="210">
        <v>78</v>
      </c>
      <c r="BD88" s="84">
        <f t="shared" si="46"/>
        <v>2.4199999999999999E-5</v>
      </c>
      <c r="BE88" s="207">
        <f t="shared" si="47"/>
        <v>0</v>
      </c>
      <c r="BF88" s="233">
        <f t="shared" si="48"/>
        <v>8.8000000000000004E-6</v>
      </c>
      <c r="BG88" s="15">
        <f t="shared" si="52"/>
        <v>0</v>
      </c>
      <c r="BH88" s="210">
        <v>78</v>
      </c>
      <c r="BI88" s="84">
        <f t="shared" si="49"/>
        <v>2.4199999999999999E-5</v>
      </c>
      <c r="BJ88" s="207">
        <f t="shared" si="50"/>
        <v>0</v>
      </c>
      <c r="BL88" s="123"/>
      <c r="BM88" s="123"/>
      <c r="BO88" s="173"/>
      <c r="BP88" s="174" t="str">
        <f t="shared" si="53"/>
        <v/>
      </c>
      <c r="BQ88" s="174" t="str">
        <f t="shared" si="54"/>
        <v/>
      </c>
      <c r="BR88" s="174" t="str">
        <f t="shared" si="55"/>
        <v/>
      </c>
      <c r="BS88" s="174" t="str">
        <f t="shared" si="56"/>
        <v/>
      </c>
      <c r="BT88" s="174" t="str">
        <f t="shared" si="57"/>
        <v/>
      </c>
      <c r="BU88" s="174" t="str">
        <f t="shared" si="58"/>
        <v/>
      </c>
      <c r="BV88" s="174" t="str">
        <f t="shared" si="59"/>
        <v/>
      </c>
      <c r="BW88" s="174" t="str">
        <f t="shared" si="60"/>
        <v/>
      </c>
      <c r="BX88" s="174" t="str">
        <f t="shared" si="61"/>
        <v/>
      </c>
      <c r="BY88" s="174" t="str">
        <f t="shared" si="62"/>
        <v/>
      </c>
      <c r="BZ88" s="174" t="str">
        <f t="shared" si="63"/>
        <v/>
      </c>
      <c r="CA88" s="174" t="str">
        <f t="shared" si="64"/>
        <v/>
      </c>
      <c r="CB88" s="161"/>
      <c r="CC88" s="161"/>
      <c r="CD88" s="161"/>
      <c r="CE88" s="161" t="s">
        <v>150</v>
      </c>
      <c r="CF88" s="161" t="s">
        <v>220</v>
      </c>
    </row>
    <row r="89" spans="1:84" ht="14.25" customHeight="1" x14ac:dyDescent="0.25">
      <c r="A89" s="203">
        <v>79</v>
      </c>
      <c r="B89" s="86"/>
      <c r="C89" s="193"/>
      <c r="D89" s="143"/>
      <c r="E89" s="308" t="s">
        <v>92</v>
      </c>
      <c r="F89" s="213"/>
      <c r="G89" s="214"/>
      <c r="H89" s="214"/>
      <c r="I89" s="214"/>
      <c r="J89" s="214"/>
      <c r="K89" s="214"/>
      <c r="L89" s="295">
        <f t="shared" si="65"/>
        <v>0</v>
      </c>
      <c r="M89" s="296"/>
      <c r="N89" s="297"/>
      <c r="O89" s="340"/>
      <c r="P89" s="311" t="s">
        <v>66</v>
      </c>
      <c r="Q89" s="325"/>
      <c r="R89" s="326"/>
      <c r="S89" s="326"/>
      <c r="T89" s="326"/>
      <c r="U89" s="326"/>
      <c r="V89" s="92"/>
      <c r="W89" s="295">
        <f t="shared" si="66"/>
        <v>0</v>
      </c>
      <c r="X89" s="296"/>
      <c r="Y89" s="297"/>
      <c r="Z89" s="346"/>
      <c r="AA89" s="314" t="s">
        <v>148</v>
      </c>
      <c r="AB89" s="13"/>
      <c r="AC89" s="222"/>
      <c r="AD89" s="222"/>
      <c r="AE89" s="222"/>
      <c r="AF89" s="222"/>
      <c r="AG89" s="5"/>
      <c r="AH89" s="20">
        <f t="shared" si="67"/>
        <v>0</v>
      </c>
      <c r="AI89" s="13"/>
      <c r="AJ89" s="5"/>
      <c r="AK89" s="343"/>
      <c r="AL89" s="100"/>
      <c r="AM89" s="98"/>
      <c r="AN89" s="226"/>
      <c r="AO89" s="225"/>
      <c r="AP89" s="89"/>
      <c r="AQ89" s="225"/>
      <c r="AR89" s="89"/>
      <c r="AS89" s="225"/>
      <c r="AT89" s="89"/>
      <c r="AU89" s="15">
        <f t="shared" si="41"/>
        <v>8.8999999999999995E-6</v>
      </c>
      <c r="AV89" s="15">
        <f t="shared" si="42"/>
        <v>0</v>
      </c>
      <c r="AW89" s="15"/>
      <c r="AX89" s="210">
        <v>79</v>
      </c>
      <c r="AY89" s="84">
        <f t="shared" si="43"/>
        <v>2.5699999999999998E-5</v>
      </c>
      <c r="AZ89" s="207">
        <f t="shared" si="44"/>
        <v>0</v>
      </c>
      <c r="BA89" s="233">
        <f t="shared" si="45"/>
        <v>8.8999999999999995E-6</v>
      </c>
      <c r="BB89" s="15">
        <f t="shared" si="51"/>
        <v>0</v>
      </c>
      <c r="BC89" s="210">
        <v>79</v>
      </c>
      <c r="BD89" s="84">
        <f t="shared" si="46"/>
        <v>2.41E-5</v>
      </c>
      <c r="BE89" s="207">
        <f t="shared" si="47"/>
        <v>0</v>
      </c>
      <c r="BF89" s="233">
        <f t="shared" si="48"/>
        <v>8.8999999999999995E-6</v>
      </c>
      <c r="BG89" s="15">
        <f t="shared" si="52"/>
        <v>0</v>
      </c>
      <c r="BH89" s="210">
        <v>79</v>
      </c>
      <c r="BI89" s="84">
        <f t="shared" si="49"/>
        <v>2.41E-5</v>
      </c>
      <c r="BJ89" s="207">
        <f t="shared" si="50"/>
        <v>0</v>
      </c>
      <c r="BL89" s="123"/>
      <c r="BM89" s="123"/>
      <c r="BO89" s="173"/>
      <c r="BP89" s="174" t="str">
        <f t="shared" si="53"/>
        <v/>
      </c>
      <c r="BQ89" s="174" t="str">
        <f t="shared" si="54"/>
        <v/>
      </c>
      <c r="BR89" s="174" t="str">
        <f t="shared" si="55"/>
        <v/>
      </c>
      <c r="BS89" s="174" t="str">
        <f t="shared" si="56"/>
        <v/>
      </c>
      <c r="BT89" s="174" t="str">
        <f t="shared" si="57"/>
        <v/>
      </c>
      <c r="BU89" s="174" t="str">
        <f t="shared" si="58"/>
        <v/>
      </c>
      <c r="BV89" s="174" t="str">
        <f t="shared" si="59"/>
        <v/>
      </c>
      <c r="BW89" s="174" t="str">
        <f t="shared" si="60"/>
        <v/>
      </c>
      <c r="BX89" s="174" t="str">
        <f t="shared" si="61"/>
        <v/>
      </c>
      <c r="BY89" s="174" t="str">
        <f t="shared" si="62"/>
        <v/>
      </c>
      <c r="BZ89" s="174" t="str">
        <f t="shared" si="63"/>
        <v/>
      </c>
      <c r="CA89" s="174" t="str">
        <f t="shared" si="64"/>
        <v/>
      </c>
      <c r="CB89" s="161"/>
      <c r="CC89" s="161"/>
      <c r="CD89" s="161"/>
      <c r="CE89" s="161" t="s">
        <v>150</v>
      </c>
      <c r="CF89" s="161" t="s">
        <v>220</v>
      </c>
    </row>
    <row r="90" spans="1:84" ht="14.25" customHeight="1" x14ac:dyDescent="0.25">
      <c r="A90" s="204">
        <v>80</v>
      </c>
      <c r="B90" s="211"/>
      <c r="C90" s="194"/>
      <c r="D90" s="142"/>
      <c r="E90" s="309" t="s">
        <v>92</v>
      </c>
      <c r="F90" s="305"/>
      <c r="G90" s="306"/>
      <c r="H90" s="306"/>
      <c r="I90" s="306"/>
      <c r="J90" s="306"/>
      <c r="K90" s="306"/>
      <c r="L90" s="223">
        <f t="shared" si="65"/>
        <v>0</v>
      </c>
      <c r="M90" s="298"/>
      <c r="N90" s="299"/>
      <c r="O90" s="341"/>
      <c r="P90" s="312" t="s">
        <v>66</v>
      </c>
      <c r="Q90" s="305"/>
      <c r="R90" s="306"/>
      <c r="S90" s="306"/>
      <c r="T90" s="306"/>
      <c r="U90" s="306"/>
      <c r="V90" s="122"/>
      <c r="W90" s="223">
        <f t="shared" si="66"/>
        <v>0</v>
      </c>
      <c r="X90" s="298"/>
      <c r="Y90" s="299"/>
      <c r="Z90" s="341"/>
      <c r="AA90" s="312" t="s">
        <v>86</v>
      </c>
      <c r="AB90" s="77"/>
      <c r="AC90" s="319"/>
      <c r="AD90" s="319"/>
      <c r="AE90" s="319"/>
      <c r="AF90" s="319"/>
      <c r="AG90" s="320"/>
      <c r="AH90" s="20">
        <f t="shared" si="67"/>
        <v>0</v>
      </c>
      <c r="AI90" s="77"/>
      <c r="AJ90" s="320"/>
      <c r="AK90" s="344"/>
      <c r="AL90" s="101"/>
      <c r="AM90" s="209"/>
      <c r="AN90" s="208"/>
      <c r="AO90" s="220"/>
      <c r="AP90" s="212"/>
      <c r="AQ90" s="220"/>
      <c r="AR90" s="212"/>
      <c r="AS90" s="220"/>
      <c r="AT90" s="212"/>
      <c r="AU90" s="15">
        <f t="shared" si="41"/>
        <v>9.0000000000000002E-6</v>
      </c>
      <c r="AV90" s="15">
        <f t="shared" si="42"/>
        <v>0</v>
      </c>
      <c r="AW90" s="15"/>
      <c r="AX90" s="210">
        <v>80</v>
      </c>
      <c r="AY90" s="84">
        <f t="shared" si="43"/>
        <v>2.5599999999999999E-5</v>
      </c>
      <c r="AZ90" s="207">
        <f t="shared" si="44"/>
        <v>0</v>
      </c>
      <c r="BA90" s="233">
        <f t="shared" si="45"/>
        <v>9.0000000000000002E-6</v>
      </c>
      <c r="BB90" s="15">
        <f t="shared" si="51"/>
        <v>0</v>
      </c>
      <c r="BC90" s="210">
        <v>80</v>
      </c>
      <c r="BD90" s="84">
        <f t="shared" si="46"/>
        <v>2.4000000000000001E-5</v>
      </c>
      <c r="BE90" s="207">
        <f t="shared" si="47"/>
        <v>0</v>
      </c>
      <c r="BF90" s="233">
        <f t="shared" si="48"/>
        <v>9.0000000000000002E-6</v>
      </c>
      <c r="BG90" s="15">
        <f t="shared" si="52"/>
        <v>0</v>
      </c>
      <c r="BH90" s="210">
        <v>80</v>
      </c>
      <c r="BI90" s="84">
        <f t="shared" si="49"/>
        <v>2.4000000000000001E-5</v>
      </c>
      <c r="BJ90" s="207">
        <f t="shared" si="50"/>
        <v>0</v>
      </c>
      <c r="BL90" s="123"/>
      <c r="BM90" s="123"/>
      <c r="BO90" s="173"/>
      <c r="BP90" s="174" t="str">
        <f t="shared" si="53"/>
        <v/>
      </c>
      <c r="BQ90" s="174" t="str">
        <f t="shared" si="54"/>
        <v/>
      </c>
      <c r="BR90" s="174" t="str">
        <f t="shared" si="55"/>
        <v/>
      </c>
      <c r="BS90" s="174" t="str">
        <f t="shared" si="56"/>
        <v/>
      </c>
      <c r="BT90" s="174" t="str">
        <f t="shared" si="57"/>
        <v/>
      </c>
      <c r="BU90" s="174" t="str">
        <f t="shared" si="58"/>
        <v/>
      </c>
      <c r="BV90" s="174" t="str">
        <f t="shared" si="59"/>
        <v/>
      </c>
      <c r="BW90" s="174" t="str">
        <f t="shared" si="60"/>
        <v/>
      </c>
      <c r="BX90" s="174" t="str">
        <f t="shared" si="61"/>
        <v/>
      </c>
      <c r="BY90" s="174" t="str">
        <f t="shared" si="62"/>
        <v/>
      </c>
      <c r="BZ90" s="174" t="str">
        <f t="shared" si="63"/>
        <v/>
      </c>
      <c r="CA90" s="174" t="str">
        <f t="shared" si="64"/>
        <v/>
      </c>
      <c r="CB90" s="161"/>
      <c r="CC90" s="161"/>
      <c r="CD90" s="161"/>
      <c r="CE90" s="161" t="s">
        <v>150</v>
      </c>
      <c r="CF90" s="161" t="s">
        <v>220</v>
      </c>
    </row>
    <row r="91" spans="1:84" ht="14.25" customHeight="1" thickBot="1" x14ac:dyDescent="0.3">
      <c r="A91" s="205">
        <v>81</v>
      </c>
      <c r="B91" s="85"/>
      <c r="C91" s="195"/>
      <c r="D91" s="91"/>
      <c r="E91" s="310" t="s">
        <v>92</v>
      </c>
      <c r="F91" s="93"/>
      <c r="G91" s="97"/>
      <c r="H91" s="97"/>
      <c r="I91" s="97"/>
      <c r="J91" s="97"/>
      <c r="K91" s="97"/>
      <c r="L91" s="224">
        <f t="shared" si="65"/>
        <v>0</v>
      </c>
      <c r="M91" s="300"/>
      <c r="N91" s="301"/>
      <c r="O91" s="342"/>
      <c r="P91" s="313" t="s">
        <v>66</v>
      </c>
      <c r="Q91" s="93"/>
      <c r="R91" s="97"/>
      <c r="S91" s="97"/>
      <c r="T91" s="97"/>
      <c r="U91" s="97"/>
      <c r="V91" s="94"/>
      <c r="W91" s="224">
        <f t="shared" si="66"/>
        <v>0</v>
      </c>
      <c r="X91" s="300"/>
      <c r="Y91" s="301"/>
      <c r="Z91" s="342"/>
      <c r="AA91" s="313" t="s">
        <v>86</v>
      </c>
      <c r="AB91" s="78"/>
      <c r="AC91" s="321"/>
      <c r="AD91" s="321"/>
      <c r="AE91" s="321"/>
      <c r="AF91" s="321"/>
      <c r="AG91" s="322"/>
      <c r="AH91" s="88">
        <f t="shared" si="67"/>
        <v>0</v>
      </c>
      <c r="AI91" s="78"/>
      <c r="AJ91" s="322"/>
      <c r="AK91" s="345"/>
      <c r="AL91" s="102"/>
      <c r="AM91" s="99"/>
      <c r="AN91" s="227"/>
      <c r="AO91" s="221"/>
      <c r="AP91" s="90"/>
      <c r="AQ91" s="221"/>
      <c r="AR91" s="90"/>
      <c r="AS91" s="221"/>
      <c r="AT91" s="90"/>
      <c r="AU91" s="15">
        <f t="shared" si="41"/>
        <v>9.0999999999999993E-6</v>
      </c>
      <c r="AV91" s="15">
        <f t="shared" si="42"/>
        <v>0</v>
      </c>
      <c r="AW91" s="15"/>
      <c r="AX91" s="210">
        <v>81</v>
      </c>
      <c r="AY91" s="84">
        <f t="shared" si="43"/>
        <v>2.55E-5</v>
      </c>
      <c r="AZ91" s="207">
        <f t="shared" si="44"/>
        <v>0</v>
      </c>
      <c r="BA91" s="233">
        <f t="shared" si="45"/>
        <v>9.0999999999999993E-6</v>
      </c>
      <c r="BB91" s="15">
        <f t="shared" si="51"/>
        <v>0</v>
      </c>
      <c r="BC91" s="210">
        <v>81</v>
      </c>
      <c r="BD91" s="84">
        <f t="shared" si="46"/>
        <v>2.3899999999999998E-5</v>
      </c>
      <c r="BE91" s="207">
        <f t="shared" si="47"/>
        <v>0</v>
      </c>
      <c r="BF91" s="233">
        <f t="shared" si="48"/>
        <v>9.0999999999999993E-6</v>
      </c>
      <c r="BG91" s="15">
        <f t="shared" si="52"/>
        <v>0</v>
      </c>
      <c r="BH91" s="210">
        <v>81</v>
      </c>
      <c r="BI91" s="84">
        <f t="shared" si="49"/>
        <v>2.3899999999999998E-5</v>
      </c>
      <c r="BJ91" s="207">
        <f t="shared" si="50"/>
        <v>0</v>
      </c>
      <c r="BL91" s="123"/>
      <c r="BM91" s="123"/>
      <c r="BO91" s="173"/>
      <c r="BP91" s="174" t="str">
        <f t="shared" si="53"/>
        <v/>
      </c>
      <c r="BQ91" s="174" t="str">
        <f t="shared" si="54"/>
        <v/>
      </c>
      <c r="BR91" s="174" t="str">
        <f t="shared" si="55"/>
        <v/>
      </c>
      <c r="BS91" s="174" t="str">
        <f t="shared" si="56"/>
        <v/>
      </c>
      <c r="BT91" s="174" t="str">
        <f t="shared" si="57"/>
        <v/>
      </c>
      <c r="BU91" s="174" t="str">
        <f t="shared" si="58"/>
        <v/>
      </c>
      <c r="BV91" s="174" t="str">
        <f t="shared" si="59"/>
        <v/>
      </c>
      <c r="BW91" s="174" t="str">
        <f t="shared" si="60"/>
        <v/>
      </c>
      <c r="BX91" s="174" t="str">
        <f t="shared" si="61"/>
        <v/>
      </c>
      <c r="BY91" s="174" t="str">
        <f t="shared" si="62"/>
        <v/>
      </c>
      <c r="BZ91" s="174" t="str">
        <f t="shared" si="63"/>
        <v/>
      </c>
      <c r="CA91" s="174" t="str">
        <f t="shared" si="64"/>
        <v/>
      </c>
      <c r="CB91" s="161"/>
      <c r="CC91" s="161"/>
      <c r="CD91" s="161"/>
      <c r="CE91" s="161" t="s">
        <v>150</v>
      </c>
      <c r="CF91" s="161" t="s">
        <v>220</v>
      </c>
    </row>
    <row r="92" spans="1:84" ht="14.25" customHeight="1" x14ac:dyDescent="0.25">
      <c r="A92" s="203">
        <v>82</v>
      </c>
      <c r="B92" s="86"/>
      <c r="C92" s="193"/>
      <c r="D92" s="143"/>
      <c r="E92" s="308" t="s">
        <v>92</v>
      </c>
      <c r="F92" s="213"/>
      <c r="G92" s="214"/>
      <c r="H92" s="214"/>
      <c r="I92" s="214"/>
      <c r="J92" s="214"/>
      <c r="K92" s="214"/>
      <c r="L92" s="295">
        <f t="shared" si="65"/>
        <v>0</v>
      </c>
      <c r="M92" s="296"/>
      <c r="N92" s="297"/>
      <c r="O92" s="340"/>
      <c r="P92" s="311" t="s">
        <v>66</v>
      </c>
      <c r="Q92" s="325"/>
      <c r="R92" s="326"/>
      <c r="S92" s="326"/>
      <c r="T92" s="326"/>
      <c r="U92" s="326"/>
      <c r="V92" s="92"/>
      <c r="W92" s="295">
        <f t="shared" si="66"/>
        <v>0</v>
      </c>
      <c r="X92" s="296"/>
      <c r="Y92" s="297"/>
      <c r="Z92" s="346"/>
      <c r="AA92" s="314" t="s">
        <v>148</v>
      </c>
      <c r="AB92" s="13"/>
      <c r="AC92" s="222"/>
      <c r="AD92" s="222"/>
      <c r="AE92" s="222"/>
      <c r="AF92" s="222"/>
      <c r="AG92" s="5"/>
      <c r="AH92" s="20">
        <f t="shared" si="67"/>
        <v>0</v>
      </c>
      <c r="AI92" s="13"/>
      <c r="AJ92" s="5"/>
      <c r="AK92" s="343"/>
      <c r="AL92" s="100"/>
      <c r="AM92" s="98"/>
      <c r="AN92" s="226"/>
      <c r="AO92" s="225"/>
      <c r="AP92" s="89"/>
      <c r="AQ92" s="225"/>
      <c r="AR92" s="89"/>
      <c r="AS92" s="225"/>
      <c r="AT92" s="89"/>
      <c r="AU92" s="15">
        <f t="shared" si="41"/>
        <v>9.2E-6</v>
      </c>
      <c r="AV92" s="15">
        <f t="shared" si="42"/>
        <v>0</v>
      </c>
      <c r="AW92" s="15"/>
      <c r="AX92" s="210">
        <v>82</v>
      </c>
      <c r="AY92" s="84">
        <f t="shared" si="43"/>
        <v>2.5399999999999997E-5</v>
      </c>
      <c r="AZ92" s="207">
        <f t="shared" si="44"/>
        <v>0</v>
      </c>
      <c r="BA92" s="233">
        <f t="shared" si="45"/>
        <v>9.2E-6</v>
      </c>
      <c r="BB92" s="15">
        <f t="shared" si="51"/>
        <v>0</v>
      </c>
      <c r="BC92" s="210">
        <v>82</v>
      </c>
      <c r="BD92" s="84">
        <f t="shared" si="46"/>
        <v>2.3799999999999999E-5</v>
      </c>
      <c r="BE92" s="207">
        <f t="shared" si="47"/>
        <v>0</v>
      </c>
      <c r="BF92" s="233">
        <f t="shared" si="48"/>
        <v>9.2E-6</v>
      </c>
      <c r="BG92" s="15">
        <f t="shared" si="52"/>
        <v>0</v>
      </c>
      <c r="BH92" s="210">
        <v>82</v>
      </c>
      <c r="BI92" s="84">
        <f t="shared" si="49"/>
        <v>2.3799999999999999E-5</v>
      </c>
      <c r="BJ92" s="207">
        <f t="shared" si="50"/>
        <v>0</v>
      </c>
      <c r="BL92" s="123"/>
      <c r="BM92" s="123"/>
      <c r="BO92" s="173"/>
      <c r="BP92" s="174" t="str">
        <f t="shared" si="53"/>
        <v/>
      </c>
      <c r="BQ92" s="174" t="str">
        <f t="shared" si="54"/>
        <v/>
      </c>
      <c r="BR92" s="174" t="str">
        <f t="shared" si="55"/>
        <v/>
      </c>
      <c r="BS92" s="174" t="str">
        <f t="shared" si="56"/>
        <v/>
      </c>
      <c r="BT92" s="174" t="str">
        <f t="shared" si="57"/>
        <v/>
      </c>
      <c r="BU92" s="174" t="str">
        <f t="shared" si="58"/>
        <v/>
      </c>
      <c r="BV92" s="174" t="str">
        <f t="shared" si="59"/>
        <v/>
      </c>
      <c r="BW92" s="174" t="str">
        <f t="shared" si="60"/>
        <v/>
      </c>
      <c r="BX92" s="174" t="str">
        <f t="shared" si="61"/>
        <v/>
      </c>
      <c r="BY92" s="174" t="str">
        <f t="shared" si="62"/>
        <v/>
      </c>
      <c r="BZ92" s="174" t="str">
        <f t="shared" si="63"/>
        <v/>
      </c>
      <c r="CA92" s="174" t="str">
        <f t="shared" si="64"/>
        <v/>
      </c>
      <c r="CB92" s="161"/>
      <c r="CC92" s="161"/>
      <c r="CD92" s="161"/>
      <c r="CE92" s="161" t="s">
        <v>150</v>
      </c>
      <c r="CF92" s="161" t="s">
        <v>220</v>
      </c>
    </row>
    <row r="93" spans="1:84" ht="14.25" customHeight="1" x14ac:dyDescent="0.25">
      <c r="A93" s="204">
        <v>83</v>
      </c>
      <c r="B93" s="211"/>
      <c r="C93" s="194"/>
      <c r="D93" s="142"/>
      <c r="E93" s="309" t="s">
        <v>92</v>
      </c>
      <c r="F93" s="305"/>
      <c r="G93" s="306"/>
      <c r="H93" s="306"/>
      <c r="I93" s="306"/>
      <c r="J93" s="306"/>
      <c r="K93" s="306"/>
      <c r="L93" s="223">
        <f t="shared" si="65"/>
        <v>0</v>
      </c>
      <c r="M93" s="298"/>
      <c r="N93" s="299"/>
      <c r="O93" s="341"/>
      <c r="P93" s="312" t="s">
        <v>66</v>
      </c>
      <c r="Q93" s="305"/>
      <c r="R93" s="306"/>
      <c r="S93" s="306"/>
      <c r="T93" s="306"/>
      <c r="U93" s="306"/>
      <c r="V93" s="122"/>
      <c r="W93" s="223">
        <f t="shared" si="66"/>
        <v>0</v>
      </c>
      <c r="X93" s="298"/>
      <c r="Y93" s="299"/>
      <c r="Z93" s="341"/>
      <c r="AA93" s="312" t="s">
        <v>86</v>
      </c>
      <c r="AB93" s="77"/>
      <c r="AC93" s="319"/>
      <c r="AD93" s="319"/>
      <c r="AE93" s="319"/>
      <c r="AF93" s="319"/>
      <c r="AG93" s="320"/>
      <c r="AH93" s="20">
        <f t="shared" si="67"/>
        <v>0</v>
      </c>
      <c r="AI93" s="77"/>
      <c r="AJ93" s="320"/>
      <c r="AK93" s="344"/>
      <c r="AL93" s="101"/>
      <c r="AM93" s="209"/>
      <c r="AN93" s="208"/>
      <c r="AO93" s="220"/>
      <c r="AP93" s="212"/>
      <c r="AQ93" s="220"/>
      <c r="AR93" s="212"/>
      <c r="AS93" s="220"/>
      <c r="AT93" s="212"/>
      <c r="AU93" s="15">
        <f t="shared" si="41"/>
        <v>9.299999999999999E-6</v>
      </c>
      <c r="AV93" s="15">
        <f t="shared" si="42"/>
        <v>0</v>
      </c>
      <c r="AW93" s="15"/>
      <c r="AX93" s="210">
        <v>83</v>
      </c>
      <c r="AY93" s="84">
        <f t="shared" si="43"/>
        <v>2.5299999999999998E-5</v>
      </c>
      <c r="AZ93" s="207">
        <f t="shared" si="44"/>
        <v>0</v>
      </c>
      <c r="BA93" s="233">
        <f t="shared" si="45"/>
        <v>9.299999999999999E-6</v>
      </c>
      <c r="BB93" s="15">
        <f t="shared" si="51"/>
        <v>0</v>
      </c>
      <c r="BC93" s="210">
        <v>83</v>
      </c>
      <c r="BD93" s="84">
        <f t="shared" si="46"/>
        <v>2.37E-5</v>
      </c>
      <c r="BE93" s="207">
        <f t="shared" si="47"/>
        <v>0</v>
      </c>
      <c r="BF93" s="233">
        <f t="shared" si="48"/>
        <v>9.299999999999999E-6</v>
      </c>
      <c r="BG93" s="15">
        <f t="shared" si="52"/>
        <v>0</v>
      </c>
      <c r="BH93" s="210">
        <v>83</v>
      </c>
      <c r="BI93" s="84">
        <f t="shared" si="49"/>
        <v>2.37E-5</v>
      </c>
      <c r="BJ93" s="207">
        <f t="shared" si="50"/>
        <v>0</v>
      </c>
      <c r="BL93" s="123"/>
      <c r="BM93" s="123"/>
      <c r="BO93" s="173"/>
      <c r="BP93" s="174" t="str">
        <f t="shared" si="53"/>
        <v/>
      </c>
      <c r="BQ93" s="174" t="str">
        <f t="shared" si="54"/>
        <v/>
      </c>
      <c r="BR93" s="174" t="str">
        <f t="shared" si="55"/>
        <v/>
      </c>
      <c r="BS93" s="174" t="str">
        <f t="shared" si="56"/>
        <v/>
      </c>
      <c r="BT93" s="174" t="str">
        <f t="shared" si="57"/>
        <v/>
      </c>
      <c r="BU93" s="174" t="str">
        <f t="shared" si="58"/>
        <v/>
      </c>
      <c r="BV93" s="174" t="str">
        <f t="shared" si="59"/>
        <v/>
      </c>
      <c r="BW93" s="174" t="str">
        <f t="shared" si="60"/>
        <v/>
      </c>
      <c r="BX93" s="174" t="str">
        <f t="shared" si="61"/>
        <v/>
      </c>
      <c r="BY93" s="174" t="str">
        <f t="shared" si="62"/>
        <v/>
      </c>
      <c r="BZ93" s="174" t="str">
        <f t="shared" si="63"/>
        <v/>
      </c>
      <c r="CA93" s="174" t="str">
        <f t="shared" si="64"/>
        <v/>
      </c>
      <c r="CB93" s="161"/>
      <c r="CC93" s="161"/>
      <c r="CD93" s="161"/>
      <c r="CE93" s="161" t="s">
        <v>150</v>
      </c>
      <c r="CF93" s="161" t="s">
        <v>220</v>
      </c>
    </row>
    <row r="94" spans="1:84" ht="14.25" customHeight="1" thickBot="1" x14ac:dyDescent="0.3">
      <c r="A94" s="205">
        <v>84</v>
      </c>
      <c r="B94" s="85"/>
      <c r="C94" s="195"/>
      <c r="D94" s="91"/>
      <c r="E94" s="310" t="s">
        <v>92</v>
      </c>
      <c r="F94" s="93"/>
      <c r="G94" s="97"/>
      <c r="H94" s="97"/>
      <c r="I94" s="97"/>
      <c r="J94" s="97"/>
      <c r="K94" s="97"/>
      <c r="L94" s="224">
        <f t="shared" si="65"/>
        <v>0</v>
      </c>
      <c r="M94" s="300"/>
      <c r="N94" s="301"/>
      <c r="O94" s="342"/>
      <c r="P94" s="313" t="s">
        <v>66</v>
      </c>
      <c r="Q94" s="93"/>
      <c r="R94" s="97"/>
      <c r="S94" s="97"/>
      <c r="T94" s="97"/>
      <c r="U94" s="97"/>
      <c r="V94" s="94"/>
      <c r="W94" s="224">
        <f t="shared" si="66"/>
        <v>0</v>
      </c>
      <c r="X94" s="300"/>
      <c r="Y94" s="301"/>
      <c r="Z94" s="342"/>
      <c r="AA94" s="313" t="s">
        <v>86</v>
      </c>
      <c r="AB94" s="78"/>
      <c r="AC94" s="321"/>
      <c r="AD94" s="321"/>
      <c r="AE94" s="321"/>
      <c r="AF94" s="321"/>
      <c r="AG94" s="322"/>
      <c r="AH94" s="88">
        <f t="shared" si="67"/>
        <v>0</v>
      </c>
      <c r="AI94" s="78"/>
      <c r="AJ94" s="322"/>
      <c r="AK94" s="345"/>
      <c r="AL94" s="102"/>
      <c r="AM94" s="99"/>
      <c r="AN94" s="227"/>
      <c r="AO94" s="221"/>
      <c r="AP94" s="90"/>
      <c r="AQ94" s="221"/>
      <c r="AR94" s="90"/>
      <c r="AS94" s="221"/>
      <c r="AT94" s="90"/>
      <c r="AU94" s="15">
        <f t="shared" si="41"/>
        <v>9.3999999999999998E-6</v>
      </c>
      <c r="AV94" s="15">
        <f t="shared" si="42"/>
        <v>0</v>
      </c>
      <c r="AW94" s="15"/>
      <c r="AX94" s="210">
        <v>84</v>
      </c>
      <c r="AY94" s="84">
        <f t="shared" si="43"/>
        <v>2.5199999999999999E-5</v>
      </c>
      <c r="AZ94" s="207">
        <f t="shared" si="44"/>
        <v>0</v>
      </c>
      <c r="BA94" s="233">
        <f t="shared" si="45"/>
        <v>9.3999999999999998E-6</v>
      </c>
      <c r="BB94" s="15">
        <f t="shared" si="51"/>
        <v>0</v>
      </c>
      <c r="BC94" s="210">
        <v>84</v>
      </c>
      <c r="BD94" s="84">
        <f t="shared" si="46"/>
        <v>2.3599999999999998E-5</v>
      </c>
      <c r="BE94" s="207">
        <f t="shared" si="47"/>
        <v>0</v>
      </c>
      <c r="BF94" s="233">
        <f t="shared" si="48"/>
        <v>9.3999999999999998E-6</v>
      </c>
      <c r="BG94" s="15">
        <f t="shared" si="52"/>
        <v>0</v>
      </c>
      <c r="BH94" s="210">
        <v>84</v>
      </c>
      <c r="BI94" s="84">
        <f t="shared" si="49"/>
        <v>2.3599999999999998E-5</v>
      </c>
      <c r="BJ94" s="207">
        <f t="shared" si="50"/>
        <v>0</v>
      </c>
      <c r="BL94" s="123"/>
      <c r="BM94" s="123"/>
      <c r="BO94" s="173"/>
      <c r="BP94" s="174" t="str">
        <f t="shared" si="53"/>
        <v/>
      </c>
      <c r="BQ94" s="174" t="str">
        <f t="shared" si="54"/>
        <v/>
      </c>
      <c r="BR94" s="174" t="str">
        <f t="shared" si="55"/>
        <v/>
      </c>
      <c r="BS94" s="174" t="str">
        <f t="shared" si="56"/>
        <v/>
      </c>
      <c r="BT94" s="174" t="str">
        <f t="shared" si="57"/>
        <v/>
      </c>
      <c r="BU94" s="174" t="str">
        <f t="shared" si="58"/>
        <v/>
      </c>
      <c r="BV94" s="174" t="str">
        <f t="shared" si="59"/>
        <v/>
      </c>
      <c r="BW94" s="174" t="str">
        <f t="shared" si="60"/>
        <v/>
      </c>
      <c r="BX94" s="174" t="str">
        <f t="shared" si="61"/>
        <v/>
      </c>
      <c r="BY94" s="174" t="str">
        <f t="shared" si="62"/>
        <v/>
      </c>
      <c r="BZ94" s="174" t="str">
        <f t="shared" si="63"/>
        <v/>
      </c>
      <c r="CA94" s="174" t="str">
        <f t="shared" si="64"/>
        <v/>
      </c>
      <c r="CB94" s="161"/>
      <c r="CC94" s="161"/>
      <c r="CD94" s="161"/>
      <c r="CE94" s="161" t="s">
        <v>150</v>
      </c>
      <c r="CF94" s="161" t="s">
        <v>220</v>
      </c>
    </row>
    <row r="95" spans="1:84" ht="14.25" customHeight="1" x14ac:dyDescent="0.25">
      <c r="A95" s="203">
        <v>85</v>
      </c>
      <c r="B95" s="86"/>
      <c r="C95" s="193"/>
      <c r="D95" s="143"/>
      <c r="E95" s="308" t="s">
        <v>92</v>
      </c>
      <c r="F95" s="213"/>
      <c r="G95" s="214"/>
      <c r="H95" s="214"/>
      <c r="I95" s="214"/>
      <c r="J95" s="214"/>
      <c r="K95" s="214"/>
      <c r="L95" s="295">
        <f t="shared" si="65"/>
        <v>0</v>
      </c>
      <c r="M95" s="296"/>
      <c r="N95" s="297"/>
      <c r="O95" s="340"/>
      <c r="P95" s="311" t="s">
        <v>66</v>
      </c>
      <c r="Q95" s="325"/>
      <c r="R95" s="326"/>
      <c r="S95" s="326"/>
      <c r="T95" s="326"/>
      <c r="U95" s="326"/>
      <c r="V95" s="92"/>
      <c r="W95" s="295">
        <f t="shared" si="66"/>
        <v>0</v>
      </c>
      <c r="X95" s="296"/>
      <c r="Y95" s="297"/>
      <c r="Z95" s="346"/>
      <c r="AA95" s="314" t="s">
        <v>148</v>
      </c>
      <c r="AB95" s="13"/>
      <c r="AC95" s="222"/>
      <c r="AD95" s="222"/>
      <c r="AE95" s="222"/>
      <c r="AF95" s="222"/>
      <c r="AG95" s="5"/>
      <c r="AH95" s="20">
        <f t="shared" si="67"/>
        <v>0</v>
      </c>
      <c r="AI95" s="13"/>
      <c r="AJ95" s="5"/>
      <c r="AK95" s="343"/>
      <c r="AL95" s="100"/>
      <c r="AM95" s="98"/>
      <c r="AN95" s="226"/>
      <c r="AO95" s="225"/>
      <c r="AP95" s="89"/>
      <c r="AQ95" s="225"/>
      <c r="AR95" s="89"/>
      <c r="AS95" s="225"/>
      <c r="AT95" s="89"/>
      <c r="AU95" s="15">
        <f t="shared" si="41"/>
        <v>9.4999999999999988E-6</v>
      </c>
      <c r="AV95" s="15">
        <f t="shared" si="42"/>
        <v>0</v>
      </c>
      <c r="AW95" s="15"/>
      <c r="AX95" s="210">
        <v>85</v>
      </c>
      <c r="AY95" s="84">
        <f t="shared" si="43"/>
        <v>2.51E-5</v>
      </c>
      <c r="AZ95" s="207">
        <f t="shared" si="44"/>
        <v>0</v>
      </c>
      <c r="BA95" s="233">
        <f t="shared" si="45"/>
        <v>9.4999999999999988E-6</v>
      </c>
      <c r="BB95" s="15">
        <f t="shared" si="51"/>
        <v>0</v>
      </c>
      <c r="BC95" s="210">
        <v>85</v>
      </c>
      <c r="BD95" s="84">
        <f t="shared" si="46"/>
        <v>2.3499999999999999E-5</v>
      </c>
      <c r="BE95" s="207">
        <f t="shared" si="47"/>
        <v>0</v>
      </c>
      <c r="BF95" s="233">
        <f t="shared" si="48"/>
        <v>9.4999999999999988E-6</v>
      </c>
      <c r="BG95" s="15">
        <f t="shared" si="52"/>
        <v>0</v>
      </c>
      <c r="BH95" s="210">
        <v>85</v>
      </c>
      <c r="BI95" s="84">
        <f t="shared" si="49"/>
        <v>2.3499999999999999E-5</v>
      </c>
      <c r="BJ95" s="207">
        <f t="shared" si="50"/>
        <v>0</v>
      </c>
      <c r="BL95" s="123"/>
      <c r="BM95" s="123"/>
      <c r="BO95" s="173"/>
      <c r="BP95" s="174" t="str">
        <f t="shared" si="53"/>
        <v/>
      </c>
      <c r="BQ95" s="174" t="str">
        <f t="shared" si="54"/>
        <v/>
      </c>
      <c r="BR95" s="174" t="str">
        <f t="shared" si="55"/>
        <v/>
      </c>
      <c r="BS95" s="174" t="str">
        <f t="shared" si="56"/>
        <v/>
      </c>
      <c r="BT95" s="174" t="str">
        <f t="shared" si="57"/>
        <v/>
      </c>
      <c r="BU95" s="174" t="str">
        <f t="shared" si="58"/>
        <v/>
      </c>
      <c r="BV95" s="174" t="str">
        <f t="shared" si="59"/>
        <v/>
      </c>
      <c r="BW95" s="174" t="str">
        <f t="shared" si="60"/>
        <v/>
      </c>
      <c r="BX95" s="174" t="str">
        <f t="shared" si="61"/>
        <v/>
      </c>
      <c r="BY95" s="174" t="str">
        <f t="shared" si="62"/>
        <v/>
      </c>
      <c r="BZ95" s="174" t="str">
        <f t="shared" si="63"/>
        <v/>
      </c>
      <c r="CA95" s="174" t="str">
        <f t="shared" si="64"/>
        <v/>
      </c>
      <c r="CB95" s="161"/>
      <c r="CC95" s="161"/>
      <c r="CD95" s="161"/>
      <c r="CE95" s="161" t="s">
        <v>150</v>
      </c>
      <c r="CF95" s="161" t="s">
        <v>220</v>
      </c>
    </row>
    <row r="96" spans="1:84" ht="14.25" customHeight="1" x14ac:dyDescent="0.25">
      <c r="A96" s="204">
        <v>86</v>
      </c>
      <c r="B96" s="211"/>
      <c r="C96" s="194"/>
      <c r="D96" s="142"/>
      <c r="E96" s="309" t="s">
        <v>92</v>
      </c>
      <c r="F96" s="305"/>
      <c r="G96" s="306"/>
      <c r="H96" s="306"/>
      <c r="I96" s="306"/>
      <c r="J96" s="306"/>
      <c r="K96" s="306"/>
      <c r="L96" s="223">
        <f t="shared" si="65"/>
        <v>0</v>
      </c>
      <c r="M96" s="298"/>
      <c r="N96" s="299"/>
      <c r="O96" s="341"/>
      <c r="P96" s="312" t="s">
        <v>66</v>
      </c>
      <c r="Q96" s="305"/>
      <c r="R96" s="306"/>
      <c r="S96" s="306"/>
      <c r="T96" s="306"/>
      <c r="U96" s="306"/>
      <c r="V96" s="122"/>
      <c r="W96" s="223">
        <f t="shared" si="66"/>
        <v>0</v>
      </c>
      <c r="X96" s="298"/>
      <c r="Y96" s="299"/>
      <c r="Z96" s="341"/>
      <c r="AA96" s="312" t="s">
        <v>86</v>
      </c>
      <c r="AB96" s="77"/>
      <c r="AC96" s="319"/>
      <c r="AD96" s="319"/>
      <c r="AE96" s="319"/>
      <c r="AF96" s="319"/>
      <c r="AG96" s="320"/>
      <c r="AH96" s="20">
        <f t="shared" si="67"/>
        <v>0</v>
      </c>
      <c r="AI96" s="77"/>
      <c r="AJ96" s="320"/>
      <c r="AK96" s="344"/>
      <c r="AL96" s="101"/>
      <c r="AM96" s="209"/>
      <c r="AN96" s="208"/>
      <c r="AO96" s="220"/>
      <c r="AP96" s="212"/>
      <c r="AQ96" s="220"/>
      <c r="AR96" s="212"/>
      <c r="AS96" s="220"/>
      <c r="AT96" s="212"/>
      <c r="AU96" s="15">
        <f t="shared" si="41"/>
        <v>9.5999999999999996E-6</v>
      </c>
      <c r="AV96" s="15">
        <f t="shared" si="42"/>
        <v>0</v>
      </c>
      <c r="AW96" s="15"/>
      <c r="AX96" s="210">
        <v>86</v>
      </c>
      <c r="AY96" s="84">
        <f t="shared" si="43"/>
        <v>2.4999999999999998E-5</v>
      </c>
      <c r="AZ96" s="207">
        <f t="shared" si="44"/>
        <v>0</v>
      </c>
      <c r="BA96" s="233">
        <f t="shared" si="45"/>
        <v>9.5999999999999996E-6</v>
      </c>
      <c r="BB96" s="15">
        <f t="shared" si="51"/>
        <v>0</v>
      </c>
      <c r="BC96" s="210">
        <v>86</v>
      </c>
      <c r="BD96" s="84">
        <f t="shared" si="46"/>
        <v>2.34E-5</v>
      </c>
      <c r="BE96" s="207">
        <f t="shared" si="47"/>
        <v>0</v>
      </c>
      <c r="BF96" s="233">
        <f t="shared" si="48"/>
        <v>9.5999999999999996E-6</v>
      </c>
      <c r="BG96" s="15">
        <f t="shared" si="52"/>
        <v>0</v>
      </c>
      <c r="BH96" s="210">
        <v>86</v>
      </c>
      <c r="BI96" s="84">
        <f t="shared" si="49"/>
        <v>2.34E-5</v>
      </c>
      <c r="BJ96" s="207">
        <f t="shared" si="50"/>
        <v>0</v>
      </c>
      <c r="BL96" s="123"/>
      <c r="BM96" s="123"/>
      <c r="BO96" s="173"/>
      <c r="BP96" s="174" t="str">
        <f t="shared" si="53"/>
        <v/>
      </c>
      <c r="BQ96" s="174" t="str">
        <f t="shared" si="54"/>
        <v/>
      </c>
      <c r="BR96" s="174" t="str">
        <f t="shared" si="55"/>
        <v/>
      </c>
      <c r="BS96" s="174" t="str">
        <f t="shared" si="56"/>
        <v/>
      </c>
      <c r="BT96" s="174" t="str">
        <f t="shared" si="57"/>
        <v/>
      </c>
      <c r="BU96" s="174" t="str">
        <f t="shared" si="58"/>
        <v/>
      </c>
      <c r="BV96" s="174" t="str">
        <f t="shared" si="59"/>
        <v/>
      </c>
      <c r="BW96" s="174" t="str">
        <f t="shared" si="60"/>
        <v/>
      </c>
      <c r="BX96" s="174" t="str">
        <f t="shared" si="61"/>
        <v/>
      </c>
      <c r="BY96" s="174" t="str">
        <f t="shared" si="62"/>
        <v/>
      </c>
      <c r="BZ96" s="174" t="str">
        <f t="shared" si="63"/>
        <v/>
      </c>
      <c r="CA96" s="174" t="str">
        <f t="shared" si="64"/>
        <v/>
      </c>
      <c r="CB96" s="161"/>
      <c r="CC96" s="161"/>
      <c r="CD96" s="161"/>
      <c r="CE96" s="161" t="s">
        <v>150</v>
      </c>
      <c r="CF96" s="161" t="s">
        <v>220</v>
      </c>
    </row>
    <row r="97" spans="1:84" ht="14.25" customHeight="1" thickBot="1" x14ac:dyDescent="0.3">
      <c r="A97" s="205">
        <v>87</v>
      </c>
      <c r="B97" s="85"/>
      <c r="C97" s="195"/>
      <c r="D97" s="91"/>
      <c r="E97" s="310" t="s">
        <v>92</v>
      </c>
      <c r="F97" s="93"/>
      <c r="G97" s="97"/>
      <c r="H97" s="97"/>
      <c r="I97" s="97"/>
      <c r="J97" s="97"/>
      <c r="K97" s="97"/>
      <c r="L97" s="224">
        <f t="shared" si="65"/>
        <v>0</v>
      </c>
      <c r="M97" s="300"/>
      <c r="N97" s="301"/>
      <c r="O97" s="342"/>
      <c r="P97" s="313" t="s">
        <v>66</v>
      </c>
      <c r="Q97" s="93"/>
      <c r="R97" s="97"/>
      <c r="S97" s="97"/>
      <c r="T97" s="97"/>
      <c r="U97" s="97"/>
      <c r="V97" s="94"/>
      <c r="W97" s="224">
        <f t="shared" si="66"/>
        <v>0</v>
      </c>
      <c r="X97" s="300"/>
      <c r="Y97" s="301"/>
      <c r="Z97" s="342"/>
      <c r="AA97" s="313" t="s">
        <v>86</v>
      </c>
      <c r="AB97" s="78"/>
      <c r="AC97" s="321"/>
      <c r="AD97" s="321"/>
      <c r="AE97" s="321"/>
      <c r="AF97" s="321"/>
      <c r="AG97" s="322"/>
      <c r="AH97" s="88">
        <f t="shared" si="67"/>
        <v>0</v>
      </c>
      <c r="AI97" s="78"/>
      <c r="AJ97" s="322"/>
      <c r="AK97" s="345"/>
      <c r="AL97" s="102"/>
      <c r="AM97" s="99"/>
      <c r="AN97" s="227"/>
      <c r="AO97" s="221"/>
      <c r="AP97" s="90"/>
      <c r="AQ97" s="221"/>
      <c r="AR97" s="90"/>
      <c r="AS97" s="221"/>
      <c r="AT97" s="90"/>
      <c r="AU97" s="15">
        <f t="shared" si="41"/>
        <v>9.7000000000000003E-6</v>
      </c>
      <c r="AV97" s="15">
        <f t="shared" si="42"/>
        <v>0</v>
      </c>
      <c r="AW97" s="15"/>
      <c r="AX97" s="210">
        <v>87</v>
      </c>
      <c r="AY97" s="84">
        <f t="shared" si="43"/>
        <v>2.4899999999999999E-5</v>
      </c>
      <c r="AZ97" s="207">
        <f t="shared" si="44"/>
        <v>0</v>
      </c>
      <c r="BA97" s="233">
        <f t="shared" si="45"/>
        <v>9.7000000000000003E-6</v>
      </c>
      <c r="BB97" s="15">
        <f t="shared" si="51"/>
        <v>0</v>
      </c>
      <c r="BC97" s="210">
        <v>87</v>
      </c>
      <c r="BD97" s="84">
        <f t="shared" si="46"/>
        <v>2.3300000000000001E-5</v>
      </c>
      <c r="BE97" s="207">
        <f t="shared" si="47"/>
        <v>0</v>
      </c>
      <c r="BF97" s="233">
        <f t="shared" si="48"/>
        <v>9.7000000000000003E-6</v>
      </c>
      <c r="BG97" s="15">
        <f t="shared" si="52"/>
        <v>0</v>
      </c>
      <c r="BH97" s="210">
        <v>87</v>
      </c>
      <c r="BI97" s="84">
        <f t="shared" si="49"/>
        <v>2.3300000000000001E-5</v>
      </c>
      <c r="BJ97" s="207">
        <f t="shared" si="50"/>
        <v>0</v>
      </c>
      <c r="BL97" s="123"/>
      <c r="BM97" s="123"/>
      <c r="BO97" s="173"/>
      <c r="BP97" s="174" t="str">
        <f t="shared" si="53"/>
        <v/>
      </c>
      <c r="BQ97" s="174" t="str">
        <f t="shared" si="54"/>
        <v/>
      </c>
      <c r="BR97" s="174" t="str">
        <f t="shared" si="55"/>
        <v/>
      </c>
      <c r="BS97" s="174" t="str">
        <f t="shared" si="56"/>
        <v/>
      </c>
      <c r="BT97" s="174" t="str">
        <f t="shared" si="57"/>
        <v/>
      </c>
      <c r="BU97" s="174" t="str">
        <f t="shared" si="58"/>
        <v/>
      </c>
      <c r="BV97" s="174" t="str">
        <f t="shared" si="59"/>
        <v/>
      </c>
      <c r="BW97" s="174" t="str">
        <f t="shared" si="60"/>
        <v/>
      </c>
      <c r="BX97" s="174" t="str">
        <f t="shared" si="61"/>
        <v/>
      </c>
      <c r="BY97" s="174" t="str">
        <f t="shared" si="62"/>
        <v/>
      </c>
      <c r="BZ97" s="174" t="str">
        <f t="shared" si="63"/>
        <v/>
      </c>
      <c r="CA97" s="174" t="str">
        <f t="shared" si="64"/>
        <v/>
      </c>
      <c r="CB97" s="161"/>
      <c r="CC97" s="161"/>
      <c r="CD97" s="161"/>
      <c r="CE97" s="161" t="s">
        <v>150</v>
      </c>
      <c r="CF97" s="161" t="s">
        <v>220</v>
      </c>
    </row>
    <row r="98" spans="1:84" ht="14.25" customHeight="1" x14ac:dyDescent="0.25">
      <c r="A98" s="203">
        <v>88</v>
      </c>
      <c r="B98" s="86"/>
      <c r="C98" s="193"/>
      <c r="D98" s="143"/>
      <c r="E98" s="308" t="s">
        <v>92</v>
      </c>
      <c r="F98" s="213"/>
      <c r="G98" s="214"/>
      <c r="H98" s="214"/>
      <c r="I98" s="214"/>
      <c r="J98" s="214"/>
      <c r="K98" s="214"/>
      <c r="L98" s="295">
        <f t="shared" si="65"/>
        <v>0</v>
      </c>
      <c r="M98" s="296"/>
      <c r="N98" s="297"/>
      <c r="O98" s="340"/>
      <c r="P98" s="311" t="s">
        <v>66</v>
      </c>
      <c r="Q98" s="325"/>
      <c r="R98" s="326"/>
      <c r="S98" s="326"/>
      <c r="T98" s="326"/>
      <c r="U98" s="326"/>
      <c r="V98" s="92"/>
      <c r="W98" s="295">
        <f t="shared" si="66"/>
        <v>0</v>
      </c>
      <c r="X98" s="296"/>
      <c r="Y98" s="297"/>
      <c r="Z98" s="346"/>
      <c r="AA98" s="314" t="s">
        <v>148</v>
      </c>
      <c r="AB98" s="13"/>
      <c r="AC98" s="222"/>
      <c r="AD98" s="222"/>
      <c r="AE98" s="222"/>
      <c r="AF98" s="222"/>
      <c r="AG98" s="5"/>
      <c r="AH98" s="20">
        <f t="shared" si="67"/>
        <v>0</v>
      </c>
      <c r="AI98" s="13"/>
      <c r="AJ98" s="5"/>
      <c r="AK98" s="343"/>
      <c r="AL98" s="100"/>
      <c r="AM98" s="98"/>
      <c r="AN98" s="226"/>
      <c r="AO98" s="225"/>
      <c r="AP98" s="89"/>
      <c r="AQ98" s="225"/>
      <c r="AR98" s="89"/>
      <c r="AS98" s="225"/>
      <c r="AT98" s="89"/>
      <c r="AU98" s="15">
        <f t="shared" si="41"/>
        <v>9.7999999999999993E-6</v>
      </c>
      <c r="AV98" s="15">
        <f t="shared" si="42"/>
        <v>0</v>
      </c>
      <c r="AW98" s="15"/>
      <c r="AX98" s="210">
        <v>88</v>
      </c>
      <c r="AY98" s="84">
        <f t="shared" si="43"/>
        <v>2.48E-5</v>
      </c>
      <c r="AZ98" s="207">
        <f t="shared" si="44"/>
        <v>0</v>
      </c>
      <c r="BA98" s="233">
        <f t="shared" si="45"/>
        <v>9.7999999999999993E-6</v>
      </c>
      <c r="BB98" s="15">
        <f t="shared" si="51"/>
        <v>0</v>
      </c>
      <c r="BC98" s="210">
        <v>88</v>
      </c>
      <c r="BD98" s="84">
        <f t="shared" si="46"/>
        <v>2.3199999999999998E-5</v>
      </c>
      <c r="BE98" s="207">
        <f t="shared" si="47"/>
        <v>0</v>
      </c>
      <c r="BF98" s="233">
        <f t="shared" si="48"/>
        <v>9.7999999999999993E-6</v>
      </c>
      <c r="BG98" s="15">
        <f t="shared" si="52"/>
        <v>0</v>
      </c>
      <c r="BH98" s="210">
        <v>88</v>
      </c>
      <c r="BI98" s="84">
        <f t="shared" si="49"/>
        <v>2.3199999999999998E-5</v>
      </c>
      <c r="BJ98" s="207">
        <f t="shared" si="50"/>
        <v>0</v>
      </c>
      <c r="BL98" s="123"/>
      <c r="BM98" s="123"/>
      <c r="BO98" s="173"/>
      <c r="BP98" s="174" t="str">
        <f t="shared" si="53"/>
        <v/>
      </c>
      <c r="BQ98" s="174" t="str">
        <f t="shared" si="54"/>
        <v/>
      </c>
      <c r="BR98" s="174" t="str">
        <f t="shared" si="55"/>
        <v/>
      </c>
      <c r="BS98" s="174" t="str">
        <f t="shared" si="56"/>
        <v/>
      </c>
      <c r="BT98" s="174" t="str">
        <f t="shared" si="57"/>
        <v/>
      </c>
      <c r="BU98" s="174" t="str">
        <f t="shared" si="58"/>
        <v/>
      </c>
      <c r="BV98" s="174" t="str">
        <f t="shared" si="59"/>
        <v/>
      </c>
      <c r="BW98" s="174" t="str">
        <f t="shared" si="60"/>
        <v/>
      </c>
      <c r="BX98" s="174" t="str">
        <f t="shared" si="61"/>
        <v/>
      </c>
      <c r="BY98" s="174" t="str">
        <f t="shared" si="62"/>
        <v/>
      </c>
      <c r="BZ98" s="174" t="str">
        <f t="shared" si="63"/>
        <v/>
      </c>
      <c r="CA98" s="174" t="str">
        <f t="shared" si="64"/>
        <v/>
      </c>
      <c r="CB98" s="161"/>
      <c r="CC98" s="161"/>
      <c r="CD98" s="161"/>
      <c r="CE98" s="161" t="s">
        <v>150</v>
      </c>
      <c r="CF98" s="161" t="s">
        <v>220</v>
      </c>
    </row>
    <row r="99" spans="1:84" ht="14.25" customHeight="1" x14ac:dyDescent="0.25">
      <c r="A99" s="204">
        <v>89</v>
      </c>
      <c r="B99" s="211"/>
      <c r="C99" s="194"/>
      <c r="D99" s="142"/>
      <c r="E99" s="309" t="s">
        <v>92</v>
      </c>
      <c r="F99" s="305"/>
      <c r="G99" s="306"/>
      <c r="H99" s="306"/>
      <c r="I99" s="306"/>
      <c r="J99" s="306"/>
      <c r="K99" s="306"/>
      <c r="L99" s="223">
        <f t="shared" si="65"/>
        <v>0</v>
      </c>
      <c r="M99" s="298"/>
      <c r="N99" s="299"/>
      <c r="O99" s="341"/>
      <c r="P99" s="312" t="s">
        <v>66</v>
      </c>
      <c r="Q99" s="305"/>
      <c r="R99" s="306"/>
      <c r="S99" s="306"/>
      <c r="T99" s="306"/>
      <c r="U99" s="306"/>
      <c r="V99" s="122"/>
      <c r="W99" s="223">
        <f t="shared" si="66"/>
        <v>0</v>
      </c>
      <c r="X99" s="298"/>
      <c r="Y99" s="299"/>
      <c r="Z99" s="341"/>
      <c r="AA99" s="312" t="s">
        <v>86</v>
      </c>
      <c r="AB99" s="77"/>
      <c r="AC99" s="319"/>
      <c r="AD99" s="319"/>
      <c r="AE99" s="319"/>
      <c r="AF99" s="319"/>
      <c r="AG99" s="320"/>
      <c r="AH99" s="20">
        <f t="shared" si="67"/>
        <v>0</v>
      </c>
      <c r="AI99" s="77"/>
      <c r="AJ99" s="320"/>
      <c r="AK99" s="344"/>
      <c r="AL99" s="101"/>
      <c r="AM99" s="209"/>
      <c r="AN99" s="208"/>
      <c r="AO99" s="220"/>
      <c r="AP99" s="212"/>
      <c r="AQ99" s="220"/>
      <c r="AR99" s="212"/>
      <c r="AS99" s="220"/>
      <c r="AT99" s="212"/>
      <c r="AU99" s="15">
        <f t="shared" si="41"/>
        <v>9.9000000000000001E-6</v>
      </c>
      <c r="AV99" s="15">
        <f t="shared" si="42"/>
        <v>0</v>
      </c>
      <c r="AW99" s="15"/>
      <c r="AX99" s="210">
        <v>89</v>
      </c>
      <c r="AY99" s="84">
        <f t="shared" si="43"/>
        <v>2.4699999999999997E-5</v>
      </c>
      <c r="AZ99" s="207">
        <f t="shared" si="44"/>
        <v>0</v>
      </c>
      <c r="BA99" s="233">
        <f t="shared" si="45"/>
        <v>9.9000000000000001E-6</v>
      </c>
      <c r="BB99" s="15">
        <f t="shared" si="51"/>
        <v>0</v>
      </c>
      <c r="BC99" s="210">
        <v>89</v>
      </c>
      <c r="BD99" s="84">
        <f t="shared" si="46"/>
        <v>2.3099999999999999E-5</v>
      </c>
      <c r="BE99" s="207">
        <f t="shared" si="47"/>
        <v>0</v>
      </c>
      <c r="BF99" s="233">
        <f t="shared" si="48"/>
        <v>9.9000000000000001E-6</v>
      </c>
      <c r="BG99" s="15">
        <f t="shared" si="52"/>
        <v>0</v>
      </c>
      <c r="BH99" s="210">
        <v>89</v>
      </c>
      <c r="BI99" s="84">
        <f t="shared" si="49"/>
        <v>2.3099999999999999E-5</v>
      </c>
      <c r="BJ99" s="207">
        <f t="shared" si="50"/>
        <v>0</v>
      </c>
      <c r="BL99" s="123"/>
      <c r="BM99" s="123"/>
      <c r="BO99" s="173"/>
      <c r="BP99" s="174" t="str">
        <f t="shared" si="53"/>
        <v/>
      </c>
      <c r="BQ99" s="174" t="str">
        <f t="shared" si="54"/>
        <v/>
      </c>
      <c r="BR99" s="174" t="str">
        <f t="shared" si="55"/>
        <v/>
      </c>
      <c r="BS99" s="174" t="str">
        <f t="shared" si="56"/>
        <v/>
      </c>
      <c r="BT99" s="174" t="str">
        <f t="shared" si="57"/>
        <v/>
      </c>
      <c r="BU99" s="174" t="str">
        <f t="shared" si="58"/>
        <v/>
      </c>
      <c r="BV99" s="174" t="str">
        <f t="shared" si="59"/>
        <v/>
      </c>
      <c r="BW99" s="174" t="str">
        <f t="shared" si="60"/>
        <v/>
      </c>
      <c r="BX99" s="174" t="str">
        <f t="shared" si="61"/>
        <v/>
      </c>
      <c r="BY99" s="174" t="str">
        <f t="shared" si="62"/>
        <v/>
      </c>
      <c r="BZ99" s="174" t="str">
        <f t="shared" si="63"/>
        <v/>
      </c>
      <c r="CA99" s="174" t="str">
        <f t="shared" si="64"/>
        <v/>
      </c>
      <c r="CB99" s="161"/>
      <c r="CC99" s="161"/>
      <c r="CD99" s="161"/>
      <c r="CE99" s="161" t="s">
        <v>150</v>
      </c>
      <c r="CF99" s="161" t="s">
        <v>220</v>
      </c>
    </row>
    <row r="100" spans="1:84" ht="14.25" customHeight="1" thickBot="1" x14ac:dyDescent="0.3">
      <c r="A100" s="205">
        <v>90</v>
      </c>
      <c r="B100" s="85"/>
      <c r="C100" s="195"/>
      <c r="D100" s="91"/>
      <c r="E100" s="310" t="s">
        <v>92</v>
      </c>
      <c r="F100" s="93"/>
      <c r="G100" s="97"/>
      <c r="H100" s="97"/>
      <c r="I100" s="97"/>
      <c r="J100" s="97"/>
      <c r="K100" s="97"/>
      <c r="L100" s="224">
        <f t="shared" si="65"/>
        <v>0</v>
      </c>
      <c r="M100" s="300"/>
      <c r="N100" s="301"/>
      <c r="O100" s="342"/>
      <c r="P100" s="313" t="s">
        <v>66</v>
      </c>
      <c r="Q100" s="93"/>
      <c r="R100" s="97"/>
      <c r="S100" s="97"/>
      <c r="T100" s="97"/>
      <c r="U100" s="97"/>
      <c r="V100" s="94"/>
      <c r="W100" s="224">
        <f t="shared" si="66"/>
        <v>0</v>
      </c>
      <c r="X100" s="300"/>
      <c r="Y100" s="301"/>
      <c r="Z100" s="342"/>
      <c r="AA100" s="313" t="s">
        <v>86</v>
      </c>
      <c r="AB100" s="78"/>
      <c r="AC100" s="321"/>
      <c r="AD100" s="321"/>
      <c r="AE100" s="321"/>
      <c r="AF100" s="321"/>
      <c r="AG100" s="322"/>
      <c r="AH100" s="88">
        <f t="shared" si="67"/>
        <v>0</v>
      </c>
      <c r="AI100" s="78"/>
      <c r="AJ100" s="322"/>
      <c r="AK100" s="345"/>
      <c r="AL100" s="102"/>
      <c r="AM100" s="99"/>
      <c r="AN100" s="227"/>
      <c r="AO100" s="221"/>
      <c r="AP100" s="90"/>
      <c r="AQ100" s="221"/>
      <c r="AR100" s="90"/>
      <c r="AS100" s="221"/>
      <c r="AT100" s="90"/>
      <c r="AU100" s="15">
        <f t="shared" si="41"/>
        <v>9.9999999999999991E-6</v>
      </c>
      <c r="AV100" s="15">
        <f t="shared" si="42"/>
        <v>0</v>
      </c>
      <c r="AW100" s="15"/>
      <c r="AX100" s="210">
        <v>90</v>
      </c>
      <c r="AY100" s="84">
        <f t="shared" si="43"/>
        <v>2.4599999999999998E-5</v>
      </c>
      <c r="AZ100" s="207">
        <f t="shared" si="44"/>
        <v>0</v>
      </c>
      <c r="BA100" s="233">
        <f t="shared" si="45"/>
        <v>9.9999999999999991E-6</v>
      </c>
      <c r="BB100" s="15">
        <f t="shared" si="51"/>
        <v>0</v>
      </c>
      <c r="BC100" s="210">
        <v>90</v>
      </c>
      <c r="BD100" s="84">
        <f t="shared" si="46"/>
        <v>2.3E-5</v>
      </c>
      <c r="BE100" s="207">
        <f t="shared" si="47"/>
        <v>0</v>
      </c>
      <c r="BF100" s="233">
        <f t="shared" si="48"/>
        <v>9.9999999999999991E-6</v>
      </c>
      <c r="BG100" s="15">
        <f t="shared" si="52"/>
        <v>0</v>
      </c>
      <c r="BH100" s="210">
        <v>90</v>
      </c>
      <c r="BI100" s="84">
        <f t="shared" si="49"/>
        <v>2.3E-5</v>
      </c>
      <c r="BJ100" s="207">
        <f t="shared" si="50"/>
        <v>0</v>
      </c>
      <c r="BL100" s="123"/>
      <c r="BM100" s="123"/>
      <c r="BO100" s="173"/>
      <c r="BP100" s="174" t="str">
        <f t="shared" si="53"/>
        <v/>
      </c>
      <c r="BQ100" s="174" t="str">
        <f t="shared" si="54"/>
        <v/>
      </c>
      <c r="BR100" s="174" t="str">
        <f t="shared" si="55"/>
        <v/>
      </c>
      <c r="BS100" s="174" t="str">
        <f t="shared" si="56"/>
        <v/>
      </c>
      <c r="BT100" s="174" t="str">
        <f t="shared" si="57"/>
        <v/>
      </c>
      <c r="BU100" s="174" t="str">
        <f t="shared" si="58"/>
        <v/>
      </c>
      <c r="BV100" s="174" t="str">
        <f t="shared" si="59"/>
        <v/>
      </c>
      <c r="BW100" s="174" t="str">
        <f t="shared" si="60"/>
        <v/>
      </c>
      <c r="BX100" s="174" t="str">
        <f t="shared" si="61"/>
        <v/>
      </c>
      <c r="BY100" s="174" t="str">
        <f t="shared" si="62"/>
        <v/>
      </c>
      <c r="BZ100" s="174" t="str">
        <f t="shared" si="63"/>
        <v/>
      </c>
      <c r="CA100" s="174" t="str">
        <f t="shared" si="64"/>
        <v/>
      </c>
      <c r="CB100" s="161"/>
      <c r="CC100" s="161"/>
      <c r="CD100" s="161"/>
      <c r="CE100" s="161" t="s">
        <v>150</v>
      </c>
      <c r="CF100" s="161" t="s">
        <v>220</v>
      </c>
    </row>
    <row r="101" spans="1:84" ht="14.25" customHeight="1" x14ac:dyDescent="0.25">
      <c r="A101" s="203">
        <v>91</v>
      </c>
      <c r="B101" s="86"/>
      <c r="C101" s="193"/>
      <c r="D101" s="143"/>
      <c r="E101" s="308" t="s">
        <v>92</v>
      </c>
      <c r="F101" s="213"/>
      <c r="G101" s="214"/>
      <c r="H101" s="214"/>
      <c r="I101" s="214"/>
      <c r="J101" s="214"/>
      <c r="K101" s="214"/>
      <c r="L101" s="295">
        <f t="shared" si="65"/>
        <v>0</v>
      </c>
      <c r="M101" s="296"/>
      <c r="N101" s="297"/>
      <c r="O101" s="340"/>
      <c r="P101" s="311" t="s">
        <v>66</v>
      </c>
      <c r="Q101" s="325"/>
      <c r="R101" s="326"/>
      <c r="S101" s="326"/>
      <c r="T101" s="326"/>
      <c r="U101" s="326"/>
      <c r="V101" s="92"/>
      <c r="W101" s="295">
        <f t="shared" si="66"/>
        <v>0</v>
      </c>
      <c r="X101" s="296"/>
      <c r="Y101" s="297"/>
      <c r="Z101" s="346"/>
      <c r="AA101" s="314" t="s">
        <v>148</v>
      </c>
      <c r="AB101" s="13"/>
      <c r="AC101" s="222"/>
      <c r="AD101" s="222"/>
      <c r="AE101" s="222"/>
      <c r="AF101" s="222"/>
      <c r="AG101" s="5"/>
      <c r="AH101" s="20">
        <f t="shared" si="67"/>
        <v>0</v>
      </c>
      <c r="AI101" s="13"/>
      <c r="AJ101" s="5"/>
      <c r="AK101" s="343"/>
      <c r="AL101" s="100"/>
      <c r="AM101" s="98"/>
      <c r="AN101" s="226"/>
      <c r="AO101" s="225"/>
      <c r="AP101" s="89"/>
      <c r="AQ101" s="225"/>
      <c r="AR101" s="89"/>
      <c r="AS101" s="225"/>
      <c r="AT101" s="89"/>
      <c r="AU101" s="15">
        <f t="shared" si="41"/>
        <v>1.01E-5</v>
      </c>
      <c r="AV101" s="15">
        <f t="shared" si="42"/>
        <v>0</v>
      </c>
      <c r="AW101" s="15"/>
      <c r="AX101" s="210">
        <v>91</v>
      </c>
      <c r="AY101" s="84">
        <f t="shared" si="43"/>
        <v>2.4499999999999999E-5</v>
      </c>
      <c r="AZ101" s="207">
        <f t="shared" si="44"/>
        <v>0</v>
      </c>
      <c r="BA101" s="233">
        <f t="shared" si="45"/>
        <v>1.01E-5</v>
      </c>
      <c r="BB101" s="15">
        <f t="shared" si="51"/>
        <v>0</v>
      </c>
      <c r="BC101" s="210">
        <v>91</v>
      </c>
      <c r="BD101" s="84">
        <f t="shared" si="46"/>
        <v>2.2899999999999998E-5</v>
      </c>
      <c r="BE101" s="207">
        <f t="shared" si="47"/>
        <v>0</v>
      </c>
      <c r="BF101" s="233">
        <f t="shared" si="48"/>
        <v>1.01E-5</v>
      </c>
      <c r="BG101" s="15">
        <f t="shared" si="52"/>
        <v>0</v>
      </c>
      <c r="BH101" s="210">
        <v>91</v>
      </c>
      <c r="BI101" s="84">
        <f t="shared" si="49"/>
        <v>2.2899999999999998E-5</v>
      </c>
      <c r="BJ101" s="207">
        <f t="shared" si="50"/>
        <v>0</v>
      </c>
      <c r="BL101" s="123"/>
      <c r="BM101" s="123"/>
      <c r="BO101" s="173"/>
      <c r="BP101" s="174" t="str">
        <f t="shared" si="53"/>
        <v/>
      </c>
      <c r="BQ101" s="174" t="str">
        <f t="shared" si="54"/>
        <v/>
      </c>
      <c r="BR101" s="174" t="str">
        <f t="shared" si="55"/>
        <v/>
      </c>
      <c r="BS101" s="174" t="str">
        <f t="shared" si="56"/>
        <v/>
      </c>
      <c r="BT101" s="174" t="str">
        <f t="shared" si="57"/>
        <v/>
      </c>
      <c r="BU101" s="174" t="str">
        <f t="shared" si="58"/>
        <v/>
      </c>
      <c r="BV101" s="174" t="str">
        <f t="shared" si="59"/>
        <v/>
      </c>
      <c r="BW101" s="174" t="str">
        <f t="shared" si="60"/>
        <v/>
      </c>
      <c r="BX101" s="174" t="str">
        <f t="shared" si="61"/>
        <v/>
      </c>
      <c r="BY101" s="174" t="str">
        <f t="shared" si="62"/>
        <v/>
      </c>
      <c r="BZ101" s="174" t="str">
        <f t="shared" si="63"/>
        <v/>
      </c>
      <c r="CA101" s="174" t="str">
        <f t="shared" si="64"/>
        <v/>
      </c>
      <c r="CB101" s="161"/>
      <c r="CC101" s="161"/>
      <c r="CD101" s="161"/>
      <c r="CE101" s="161" t="s">
        <v>150</v>
      </c>
      <c r="CF101" s="161" t="s">
        <v>220</v>
      </c>
    </row>
    <row r="102" spans="1:84" ht="14.25" customHeight="1" x14ac:dyDescent="0.25">
      <c r="A102" s="204">
        <v>92</v>
      </c>
      <c r="B102" s="211"/>
      <c r="C102" s="194"/>
      <c r="D102" s="142"/>
      <c r="E102" s="309" t="s">
        <v>92</v>
      </c>
      <c r="F102" s="305"/>
      <c r="G102" s="306"/>
      <c r="H102" s="306"/>
      <c r="I102" s="306"/>
      <c r="J102" s="306"/>
      <c r="K102" s="306"/>
      <c r="L102" s="223">
        <f t="shared" si="65"/>
        <v>0</v>
      </c>
      <c r="M102" s="298"/>
      <c r="N102" s="299"/>
      <c r="O102" s="341"/>
      <c r="P102" s="312" t="s">
        <v>66</v>
      </c>
      <c r="Q102" s="305"/>
      <c r="R102" s="306"/>
      <c r="S102" s="306"/>
      <c r="T102" s="306"/>
      <c r="U102" s="306"/>
      <c r="V102" s="122"/>
      <c r="W102" s="223">
        <f t="shared" si="66"/>
        <v>0</v>
      </c>
      <c r="X102" s="298"/>
      <c r="Y102" s="299"/>
      <c r="Z102" s="341"/>
      <c r="AA102" s="312" t="s">
        <v>86</v>
      </c>
      <c r="AB102" s="77"/>
      <c r="AC102" s="319"/>
      <c r="AD102" s="319"/>
      <c r="AE102" s="319"/>
      <c r="AF102" s="319"/>
      <c r="AG102" s="320"/>
      <c r="AH102" s="20">
        <f t="shared" si="67"/>
        <v>0</v>
      </c>
      <c r="AI102" s="77"/>
      <c r="AJ102" s="320"/>
      <c r="AK102" s="344"/>
      <c r="AL102" s="101"/>
      <c r="AM102" s="209"/>
      <c r="AN102" s="208"/>
      <c r="AO102" s="220"/>
      <c r="AP102" s="212"/>
      <c r="AQ102" s="220"/>
      <c r="AR102" s="212"/>
      <c r="AS102" s="220"/>
      <c r="AT102" s="212"/>
      <c r="AU102" s="15">
        <f t="shared" si="41"/>
        <v>1.0199999999999999E-5</v>
      </c>
      <c r="AV102" s="15">
        <f t="shared" si="42"/>
        <v>0</v>
      </c>
      <c r="AW102" s="15"/>
      <c r="AX102" s="210">
        <v>92</v>
      </c>
      <c r="AY102" s="84">
        <f t="shared" si="43"/>
        <v>2.44E-5</v>
      </c>
      <c r="AZ102" s="207">
        <f t="shared" si="44"/>
        <v>0</v>
      </c>
      <c r="BA102" s="233">
        <f t="shared" si="45"/>
        <v>1.0199999999999999E-5</v>
      </c>
      <c r="BB102" s="15">
        <f t="shared" si="51"/>
        <v>0</v>
      </c>
      <c r="BC102" s="210">
        <v>92</v>
      </c>
      <c r="BD102" s="84">
        <f t="shared" si="46"/>
        <v>2.2799999999999999E-5</v>
      </c>
      <c r="BE102" s="207">
        <f t="shared" si="47"/>
        <v>0</v>
      </c>
      <c r="BF102" s="233">
        <f t="shared" si="48"/>
        <v>1.0199999999999999E-5</v>
      </c>
      <c r="BG102" s="15">
        <f t="shared" si="52"/>
        <v>0</v>
      </c>
      <c r="BH102" s="210">
        <v>92</v>
      </c>
      <c r="BI102" s="84">
        <f t="shared" si="49"/>
        <v>2.2799999999999999E-5</v>
      </c>
      <c r="BJ102" s="207">
        <f t="shared" si="50"/>
        <v>0</v>
      </c>
      <c r="BL102" s="123"/>
      <c r="BM102" s="123"/>
      <c r="BO102" s="173"/>
      <c r="BP102" s="174" t="str">
        <f t="shared" si="53"/>
        <v/>
      </c>
      <c r="BQ102" s="174" t="str">
        <f t="shared" si="54"/>
        <v/>
      </c>
      <c r="BR102" s="174" t="str">
        <f t="shared" si="55"/>
        <v/>
      </c>
      <c r="BS102" s="174" t="str">
        <f t="shared" si="56"/>
        <v/>
      </c>
      <c r="BT102" s="174" t="str">
        <f t="shared" si="57"/>
        <v/>
      </c>
      <c r="BU102" s="174" t="str">
        <f t="shared" si="58"/>
        <v/>
      </c>
      <c r="BV102" s="174" t="str">
        <f t="shared" si="59"/>
        <v/>
      </c>
      <c r="BW102" s="174" t="str">
        <f t="shared" si="60"/>
        <v/>
      </c>
      <c r="BX102" s="174" t="str">
        <f t="shared" si="61"/>
        <v/>
      </c>
      <c r="BY102" s="174" t="str">
        <f t="shared" si="62"/>
        <v/>
      </c>
      <c r="BZ102" s="174" t="str">
        <f t="shared" si="63"/>
        <v/>
      </c>
      <c r="CA102" s="174" t="str">
        <f t="shared" si="64"/>
        <v/>
      </c>
      <c r="CB102" s="161"/>
      <c r="CC102" s="161"/>
      <c r="CD102" s="161"/>
      <c r="CE102" s="161" t="s">
        <v>150</v>
      </c>
      <c r="CF102" s="161" t="s">
        <v>220</v>
      </c>
    </row>
    <row r="103" spans="1:84" ht="14.25" customHeight="1" thickBot="1" x14ac:dyDescent="0.3">
      <c r="A103" s="205">
        <v>93</v>
      </c>
      <c r="B103" s="85"/>
      <c r="C103" s="195"/>
      <c r="D103" s="91"/>
      <c r="E103" s="310" t="s">
        <v>92</v>
      </c>
      <c r="F103" s="93"/>
      <c r="G103" s="97"/>
      <c r="H103" s="97"/>
      <c r="I103" s="97"/>
      <c r="J103" s="97"/>
      <c r="K103" s="97"/>
      <c r="L103" s="224">
        <f t="shared" si="65"/>
        <v>0</v>
      </c>
      <c r="M103" s="300"/>
      <c r="N103" s="301"/>
      <c r="O103" s="342"/>
      <c r="P103" s="313" t="s">
        <v>66</v>
      </c>
      <c r="Q103" s="93"/>
      <c r="R103" s="97"/>
      <c r="S103" s="97"/>
      <c r="T103" s="97"/>
      <c r="U103" s="97"/>
      <c r="V103" s="94"/>
      <c r="W103" s="224">
        <f t="shared" si="66"/>
        <v>0</v>
      </c>
      <c r="X103" s="300"/>
      <c r="Y103" s="301"/>
      <c r="Z103" s="342"/>
      <c r="AA103" s="313" t="s">
        <v>86</v>
      </c>
      <c r="AB103" s="78"/>
      <c r="AC103" s="321"/>
      <c r="AD103" s="321"/>
      <c r="AE103" s="321"/>
      <c r="AF103" s="321"/>
      <c r="AG103" s="322"/>
      <c r="AH103" s="88">
        <f t="shared" si="67"/>
        <v>0</v>
      </c>
      <c r="AI103" s="78"/>
      <c r="AJ103" s="322"/>
      <c r="AK103" s="345"/>
      <c r="AL103" s="102"/>
      <c r="AM103" s="99"/>
      <c r="AN103" s="227"/>
      <c r="AO103" s="221"/>
      <c r="AP103" s="90"/>
      <c r="AQ103" s="221"/>
      <c r="AR103" s="90"/>
      <c r="AS103" s="221"/>
      <c r="AT103" s="90"/>
      <c r="AU103" s="15">
        <f t="shared" si="41"/>
        <v>1.03E-5</v>
      </c>
      <c r="AV103" s="15">
        <f t="shared" si="42"/>
        <v>0</v>
      </c>
      <c r="AW103" s="15"/>
      <c r="AX103" s="210">
        <v>93</v>
      </c>
      <c r="AY103" s="84">
        <f t="shared" si="43"/>
        <v>2.4299999999999998E-5</v>
      </c>
      <c r="AZ103" s="207">
        <f t="shared" si="44"/>
        <v>0</v>
      </c>
      <c r="BA103" s="233">
        <f t="shared" si="45"/>
        <v>1.03E-5</v>
      </c>
      <c r="BB103" s="15">
        <f t="shared" si="51"/>
        <v>0</v>
      </c>
      <c r="BC103" s="210">
        <v>93</v>
      </c>
      <c r="BD103" s="84">
        <f t="shared" si="46"/>
        <v>2.27E-5</v>
      </c>
      <c r="BE103" s="207">
        <f t="shared" si="47"/>
        <v>0</v>
      </c>
      <c r="BF103" s="233">
        <f t="shared" si="48"/>
        <v>1.03E-5</v>
      </c>
      <c r="BG103" s="15">
        <f t="shared" si="52"/>
        <v>0</v>
      </c>
      <c r="BH103" s="210">
        <v>93</v>
      </c>
      <c r="BI103" s="84">
        <f t="shared" si="49"/>
        <v>2.27E-5</v>
      </c>
      <c r="BJ103" s="207">
        <f t="shared" si="50"/>
        <v>0</v>
      </c>
      <c r="BL103" s="123"/>
      <c r="BM103" s="123"/>
      <c r="BO103" s="173"/>
      <c r="BP103" s="174" t="str">
        <f t="shared" si="53"/>
        <v/>
      </c>
      <c r="BQ103" s="174" t="str">
        <f t="shared" si="54"/>
        <v/>
      </c>
      <c r="BR103" s="174" t="str">
        <f t="shared" si="55"/>
        <v/>
      </c>
      <c r="BS103" s="174" t="str">
        <f t="shared" si="56"/>
        <v/>
      </c>
      <c r="BT103" s="174" t="str">
        <f t="shared" si="57"/>
        <v/>
      </c>
      <c r="BU103" s="174" t="str">
        <f t="shared" si="58"/>
        <v/>
      </c>
      <c r="BV103" s="174" t="str">
        <f t="shared" si="59"/>
        <v/>
      </c>
      <c r="BW103" s="174" t="str">
        <f t="shared" si="60"/>
        <v/>
      </c>
      <c r="BX103" s="174" t="str">
        <f t="shared" si="61"/>
        <v/>
      </c>
      <c r="BY103" s="174" t="str">
        <f t="shared" si="62"/>
        <v/>
      </c>
      <c r="BZ103" s="174" t="str">
        <f t="shared" si="63"/>
        <v/>
      </c>
      <c r="CA103" s="174" t="str">
        <f t="shared" si="64"/>
        <v/>
      </c>
      <c r="CB103" s="161"/>
      <c r="CC103" s="161"/>
      <c r="CD103" s="161"/>
      <c r="CE103" s="161" t="s">
        <v>150</v>
      </c>
      <c r="CF103" s="161" t="s">
        <v>220</v>
      </c>
    </row>
    <row r="104" spans="1:84" ht="14.25" customHeight="1" x14ac:dyDescent="0.25">
      <c r="A104" s="203">
        <v>94</v>
      </c>
      <c r="B104" s="86"/>
      <c r="C104" s="193"/>
      <c r="D104" s="143"/>
      <c r="E104" s="308" t="s">
        <v>92</v>
      </c>
      <c r="F104" s="213"/>
      <c r="G104" s="214"/>
      <c r="H104" s="214"/>
      <c r="I104" s="214"/>
      <c r="J104" s="214"/>
      <c r="K104" s="214"/>
      <c r="L104" s="295">
        <f t="shared" si="65"/>
        <v>0</v>
      </c>
      <c r="M104" s="296"/>
      <c r="N104" s="297"/>
      <c r="O104" s="340"/>
      <c r="P104" s="311" t="s">
        <v>66</v>
      </c>
      <c r="Q104" s="325"/>
      <c r="R104" s="326"/>
      <c r="S104" s="326"/>
      <c r="T104" s="326"/>
      <c r="U104" s="326"/>
      <c r="V104" s="92"/>
      <c r="W104" s="295">
        <f t="shared" si="66"/>
        <v>0</v>
      </c>
      <c r="X104" s="296"/>
      <c r="Y104" s="297"/>
      <c r="Z104" s="346"/>
      <c r="AA104" s="314" t="s">
        <v>148</v>
      </c>
      <c r="AB104" s="13"/>
      <c r="AC104" s="222"/>
      <c r="AD104" s="222"/>
      <c r="AE104" s="222"/>
      <c r="AF104" s="222"/>
      <c r="AG104" s="5"/>
      <c r="AH104" s="20">
        <f t="shared" si="67"/>
        <v>0</v>
      </c>
      <c r="AI104" s="13"/>
      <c r="AJ104" s="5"/>
      <c r="AK104" s="343"/>
      <c r="AL104" s="100"/>
      <c r="AM104" s="98"/>
      <c r="AN104" s="226"/>
      <c r="AO104" s="225"/>
      <c r="AP104" s="89"/>
      <c r="AQ104" s="225"/>
      <c r="AR104" s="89"/>
      <c r="AS104" s="225"/>
      <c r="AT104" s="89"/>
      <c r="AU104" s="15">
        <f t="shared" si="41"/>
        <v>1.0399999999999999E-5</v>
      </c>
      <c r="AV104" s="15">
        <f t="shared" si="42"/>
        <v>0</v>
      </c>
      <c r="AW104" s="15"/>
      <c r="AX104" s="210">
        <v>94</v>
      </c>
      <c r="AY104" s="84">
        <f t="shared" si="43"/>
        <v>2.4199999999999999E-5</v>
      </c>
      <c r="AZ104" s="207">
        <f t="shared" si="44"/>
        <v>0</v>
      </c>
      <c r="BA104" s="233">
        <f t="shared" si="45"/>
        <v>1.0399999999999999E-5</v>
      </c>
      <c r="BB104" s="15">
        <f t="shared" si="51"/>
        <v>0</v>
      </c>
      <c r="BC104" s="210">
        <v>94</v>
      </c>
      <c r="BD104" s="84">
        <f t="shared" si="46"/>
        <v>2.26E-5</v>
      </c>
      <c r="BE104" s="207">
        <f t="shared" si="47"/>
        <v>0</v>
      </c>
      <c r="BF104" s="233">
        <f t="shared" si="48"/>
        <v>1.0399999999999999E-5</v>
      </c>
      <c r="BG104" s="15">
        <f t="shared" si="52"/>
        <v>0</v>
      </c>
      <c r="BH104" s="210">
        <v>94</v>
      </c>
      <c r="BI104" s="84">
        <f t="shared" si="49"/>
        <v>2.26E-5</v>
      </c>
      <c r="BJ104" s="207">
        <f t="shared" si="50"/>
        <v>0</v>
      </c>
      <c r="BL104" s="123"/>
      <c r="BM104" s="123"/>
      <c r="BO104" s="173"/>
      <c r="BP104" s="174" t="str">
        <f t="shared" si="53"/>
        <v/>
      </c>
      <c r="BQ104" s="174" t="str">
        <f t="shared" si="54"/>
        <v/>
      </c>
      <c r="BR104" s="174" t="str">
        <f t="shared" si="55"/>
        <v/>
      </c>
      <c r="BS104" s="174" t="str">
        <f t="shared" si="56"/>
        <v/>
      </c>
      <c r="BT104" s="174" t="str">
        <f t="shared" si="57"/>
        <v/>
      </c>
      <c r="BU104" s="174" t="str">
        <f t="shared" si="58"/>
        <v/>
      </c>
      <c r="BV104" s="174" t="str">
        <f t="shared" si="59"/>
        <v/>
      </c>
      <c r="BW104" s="174" t="str">
        <f t="shared" si="60"/>
        <v/>
      </c>
      <c r="BX104" s="174" t="str">
        <f t="shared" si="61"/>
        <v/>
      </c>
      <c r="BY104" s="174" t="str">
        <f t="shared" si="62"/>
        <v/>
      </c>
      <c r="BZ104" s="174" t="str">
        <f t="shared" si="63"/>
        <v/>
      </c>
      <c r="CA104" s="174" t="str">
        <f t="shared" si="64"/>
        <v/>
      </c>
      <c r="CB104" s="161"/>
      <c r="CC104" s="161"/>
      <c r="CD104" s="161"/>
      <c r="CE104" s="161" t="s">
        <v>150</v>
      </c>
      <c r="CF104" s="161" t="s">
        <v>220</v>
      </c>
    </row>
    <row r="105" spans="1:84" ht="14.25" customHeight="1" x14ac:dyDescent="0.25">
      <c r="A105" s="204">
        <v>95</v>
      </c>
      <c r="B105" s="211"/>
      <c r="C105" s="194"/>
      <c r="D105" s="142"/>
      <c r="E105" s="309" t="s">
        <v>92</v>
      </c>
      <c r="F105" s="305"/>
      <c r="G105" s="306"/>
      <c r="H105" s="306"/>
      <c r="I105" s="306"/>
      <c r="J105" s="306"/>
      <c r="K105" s="306"/>
      <c r="L105" s="223">
        <f t="shared" si="65"/>
        <v>0</v>
      </c>
      <c r="M105" s="298"/>
      <c r="N105" s="299"/>
      <c r="O105" s="341"/>
      <c r="P105" s="312" t="s">
        <v>66</v>
      </c>
      <c r="Q105" s="305"/>
      <c r="R105" s="306"/>
      <c r="S105" s="306"/>
      <c r="T105" s="306"/>
      <c r="U105" s="306"/>
      <c r="V105" s="122"/>
      <c r="W105" s="223">
        <f t="shared" si="66"/>
        <v>0</v>
      </c>
      <c r="X105" s="298"/>
      <c r="Y105" s="299"/>
      <c r="Z105" s="341"/>
      <c r="AA105" s="312" t="s">
        <v>86</v>
      </c>
      <c r="AB105" s="77"/>
      <c r="AC105" s="319"/>
      <c r="AD105" s="319"/>
      <c r="AE105" s="319"/>
      <c r="AF105" s="319"/>
      <c r="AG105" s="320"/>
      <c r="AH105" s="20">
        <f t="shared" si="67"/>
        <v>0</v>
      </c>
      <c r="AI105" s="77"/>
      <c r="AJ105" s="320"/>
      <c r="AK105" s="344"/>
      <c r="AL105" s="101"/>
      <c r="AM105" s="209"/>
      <c r="AN105" s="208"/>
      <c r="AO105" s="220"/>
      <c r="AP105" s="212"/>
      <c r="AQ105" s="220"/>
      <c r="AR105" s="212"/>
      <c r="AS105" s="220"/>
      <c r="AT105" s="212"/>
      <c r="AU105" s="15">
        <f t="shared" si="41"/>
        <v>1.0499999999999999E-5</v>
      </c>
      <c r="AV105" s="15">
        <f t="shared" si="42"/>
        <v>0</v>
      </c>
      <c r="AW105" s="15"/>
      <c r="AX105" s="173">
        <v>95</v>
      </c>
      <c r="AY105" s="206">
        <f t="shared" si="43"/>
        <v>2.41E-5</v>
      </c>
      <c r="AZ105" s="173">
        <f t="shared" si="44"/>
        <v>0</v>
      </c>
      <c r="BA105" s="233">
        <f t="shared" si="45"/>
        <v>1.0499999999999999E-5</v>
      </c>
      <c r="BB105" s="15">
        <f t="shared" si="51"/>
        <v>0</v>
      </c>
      <c r="BC105" s="173">
        <v>95</v>
      </c>
      <c r="BD105" s="84">
        <f t="shared" si="46"/>
        <v>2.2499999999999998E-5</v>
      </c>
      <c r="BE105" s="207">
        <f t="shared" si="47"/>
        <v>0</v>
      </c>
      <c r="BF105" s="233">
        <f t="shared" si="48"/>
        <v>1.0499999999999999E-5</v>
      </c>
      <c r="BG105" s="15">
        <f t="shared" si="52"/>
        <v>0</v>
      </c>
      <c r="BH105" s="173">
        <v>95</v>
      </c>
      <c r="BI105" s="84">
        <f t="shared" si="49"/>
        <v>2.2499999999999998E-5</v>
      </c>
      <c r="BJ105" s="207">
        <f t="shared" si="50"/>
        <v>0</v>
      </c>
      <c r="BL105" s="123"/>
      <c r="BM105" s="123"/>
      <c r="BO105" s="173"/>
      <c r="BP105" s="174" t="str">
        <f t="shared" si="53"/>
        <v/>
      </c>
      <c r="BQ105" s="174" t="str">
        <f t="shared" si="54"/>
        <v/>
      </c>
      <c r="BR105" s="174" t="str">
        <f t="shared" si="55"/>
        <v/>
      </c>
      <c r="BS105" s="174" t="str">
        <f t="shared" si="56"/>
        <v/>
      </c>
      <c r="BT105" s="174" t="str">
        <f t="shared" si="57"/>
        <v/>
      </c>
      <c r="BU105" s="174" t="str">
        <f t="shared" si="58"/>
        <v/>
      </c>
      <c r="BV105" s="174" t="str">
        <f t="shared" si="59"/>
        <v/>
      </c>
      <c r="BW105" s="174" t="str">
        <f t="shared" si="60"/>
        <v/>
      </c>
      <c r="BX105" s="174" t="str">
        <f t="shared" si="61"/>
        <v/>
      </c>
      <c r="BY105" s="174" t="str">
        <f t="shared" si="62"/>
        <v/>
      </c>
      <c r="BZ105" s="174" t="str">
        <f t="shared" si="63"/>
        <v/>
      </c>
      <c r="CA105" s="174" t="str">
        <f t="shared" si="64"/>
        <v/>
      </c>
      <c r="CB105" s="161"/>
      <c r="CC105" s="161"/>
      <c r="CD105" s="161"/>
      <c r="CE105" s="161" t="s">
        <v>150</v>
      </c>
      <c r="CF105" s="161" t="s">
        <v>220</v>
      </c>
    </row>
    <row r="106" spans="1:84" ht="14.25" customHeight="1" thickBot="1" x14ac:dyDescent="0.3">
      <c r="A106" s="205">
        <v>96</v>
      </c>
      <c r="B106" s="85"/>
      <c r="C106" s="195"/>
      <c r="D106" s="91"/>
      <c r="E106" s="310" t="s">
        <v>92</v>
      </c>
      <c r="F106" s="93"/>
      <c r="G106" s="97"/>
      <c r="H106" s="97"/>
      <c r="I106" s="97"/>
      <c r="J106" s="97"/>
      <c r="K106" s="97"/>
      <c r="L106" s="224">
        <f t="shared" si="65"/>
        <v>0</v>
      </c>
      <c r="M106" s="300"/>
      <c r="N106" s="301"/>
      <c r="O106" s="342"/>
      <c r="P106" s="313" t="s">
        <v>66</v>
      </c>
      <c r="Q106" s="93"/>
      <c r="R106" s="97"/>
      <c r="S106" s="97"/>
      <c r="T106" s="97"/>
      <c r="U106" s="97"/>
      <c r="V106" s="94"/>
      <c r="W106" s="224">
        <f t="shared" si="66"/>
        <v>0</v>
      </c>
      <c r="X106" s="300"/>
      <c r="Y106" s="301"/>
      <c r="Z106" s="342"/>
      <c r="AA106" s="313" t="s">
        <v>86</v>
      </c>
      <c r="AB106" s="78"/>
      <c r="AC106" s="321"/>
      <c r="AD106" s="321"/>
      <c r="AE106" s="321"/>
      <c r="AF106" s="321"/>
      <c r="AG106" s="322"/>
      <c r="AH106" s="88">
        <f t="shared" si="67"/>
        <v>0</v>
      </c>
      <c r="AI106" s="78"/>
      <c r="AJ106" s="322"/>
      <c r="AK106" s="345"/>
      <c r="AL106" s="102"/>
      <c r="AM106" s="99"/>
      <c r="AN106" s="227"/>
      <c r="AO106" s="221"/>
      <c r="AP106" s="90"/>
      <c r="AQ106" s="221"/>
      <c r="AR106" s="90"/>
      <c r="AS106" s="221"/>
      <c r="AT106" s="90"/>
      <c r="AU106" s="15">
        <f t="shared" si="41"/>
        <v>1.06E-5</v>
      </c>
      <c r="AV106" s="15">
        <f t="shared" si="42"/>
        <v>0</v>
      </c>
      <c r="AW106" s="15"/>
      <c r="AX106" s="173">
        <v>96</v>
      </c>
      <c r="AY106" s="206">
        <f t="shared" si="43"/>
        <v>2.4000000000000001E-5</v>
      </c>
      <c r="AZ106" s="173">
        <f t="shared" si="44"/>
        <v>0</v>
      </c>
      <c r="BA106" s="233">
        <f t="shared" si="45"/>
        <v>1.06E-5</v>
      </c>
      <c r="BB106" s="15">
        <f t="shared" si="51"/>
        <v>0</v>
      </c>
      <c r="BC106" s="173">
        <v>96</v>
      </c>
      <c r="BD106" s="84">
        <f t="shared" si="46"/>
        <v>2.2399999999999999E-5</v>
      </c>
      <c r="BE106" s="207">
        <f t="shared" si="47"/>
        <v>0</v>
      </c>
      <c r="BF106" s="233">
        <f t="shared" si="48"/>
        <v>1.06E-5</v>
      </c>
      <c r="BG106" s="15">
        <f t="shared" si="52"/>
        <v>0</v>
      </c>
      <c r="BH106" s="173">
        <v>96</v>
      </c>
      <c r="BI106" s="84">
        <f t="shared" si="49"/>
        <v>2.2399999999999999E-5</v>
      </c>
      <c r="BJ106" s="207">
        <f t="shared" si="50"/>
        <v>0</v>
      </c>
      <c r="BL106" s="123"/>
      <c r="BM106" s="123"/>
      <c r="BO106" s="173"/>
      <c r="BP106" s="174" t="str">
        <f t="shared" si="53"/>
        <v/>
      </c>
      <c r="BQ106" s="174" t="str">
        <f t="shared" si="54"/>
        <v/>
      </c>
      <c r="BR106" s="174" t="str">
        <f t="shared" si="55"/>
        <v/>
      </c>
      <c r="BS106" s="174" t="str">
        <f t="shared" si="56"/>
        <v/>
      </c>
      <c r="BT106" s="174" t="str">
        <f t="shared" si="57"/>
        <v/>
      </c>
      <c r="BU106" s="174" t="str">
        <f t="shared" si="58"/>
        <v/>
      </c>
      <c r="BV106" s="174" t="str">
        <f t="shared" si="59"/>
        <v/>
      </c>
      <c r="BW106" s="174" t="str">
        <f t="shared" si="60"/>
        <v/>
      </c>
      <c r="BX106" s="174" t="str">
        <f t="shared" si="61"/>
        <v/>
      </c>
      <c r="BY106" s="174" t="str">
        <f t="shared" si="62"/>
        <v/>
      </c>
      <c r="BZ106" s="174" t="str">
        <f t="shared" si="63"/>
        <v/>
      </c>
      <c r="CA106" s="174" t="str">
        <f t="shared" si="64"/>
        <v/>
      </c>
      <c r="CB106" s="161"/>
      <c r="CC106" s="161"/>
      <c r="CD106" s="161"/>
      <c r="CE106" s="161" t="s">
        <v>150</v>
      </c>
      <c r="CF106" s="161" t="s">
        <v>220</v>
      </c>
    </row>
    <row r="107" spans="1:84" ht="14.25" customHeight="1" x14ac:dyDescent="0.25">
      <c r="A107" s="203">
        <v>97</v>
      </c>
      <c r="B107" s="86"/>
      <c r="C107" s="193"/>
      <c r="D107" s="143"/>
      <c r="E107" s="308" t="s">
        <v>92</v>
      </c>
      <c r="F107" s="213"/>
      <c r="G107" s="214"/>
      <c r="H107" s="214"/>
      <c r="I107" s="214"/>
      <c r="J107" s="214"/>
      <c r="K107" s="214"/>
      <c r="L107" s="295">
        <f t="shared" si="65"/>
        <v>0</v>
      </c>
      <c r="M107" s="296"/>
      <c r="N107" s="297"/>
      <c r="O107" s="340"/>
      <c r="P107" s="311" t="s">
        <v>66</v>
      </c>
      <c r="Q107" s="325"/>
      <c r="R107" s="326"/>
      <c r="S107" s="326"/>
      <c r="T107" s="326"/>
      <c r="U107" s="326"/>
      <c r="V107" s="92"/>
      <c r="W107" s="295">
        <f t="shared" si="66"/>
        <v>0</v>
      </c>
      <c r="X107" s="296"/>
      <c r="Y107" s="297"/>
      <c r="Z107" s="346"/>
      <c r="AA107" s="314" t="s">
        <v>148</v>
      </c>
      <c r="AB107" s="13"/>
      <c r="AC107" s="222"/>
      <c r="AD107" s="222"/>
      <c r="AE107" s="222"/>
      <c r="AF107" s="222"/>
      <c r="AG107" s="5"/>
      <c r="AH107" s="20">
        <f t="shared" si="67"/>
        <v>0</v>
      </c>
      <c r="AI107" s="13"/>
      <c r="AJ107" s="5"/>
      <c r="AK107" s="343"/>
      <c r="AL107" s="100"/>
      <c r="AM107" s="98"/>
      <c r="AN107" s="226"/>
      <c r="AO107" s="225"/>
      <c r="AP107" s="89"/>
      <c r="AQ107" s="225"/>
      <c r="AR107" s="89"/>
      <c r="AS107" s="225"/>
      <c r="AT107" s="89"/>
      <c r="AU107" s="15">
        <f t="shared" si="41"/>
        <v>1.0699999999999999E-5</v>
      </c>
      <c r="AV107" s="15">
        <f t="shared" si="42"/>
        <v>0</v>
      </c>
      <c r="AW107" s="15"/>
      <c r="AX107" s="173">
        <v>97</v>
      </c>
      <c r="AY107" s="206">
        <f t="shared" si="43"/>
        <v>2.3899999999999998E-5</v>
      </c>
      <c r="AZ107" s="173">
        <f t="shared" si="44"/>
        <v>0</v>
      </c>
      <c r="BA107" s="233">
        <f t="shared" si="45"/>
        <v>1.0699999999999999E-5</v>
      </c>
      <c r="BB107" s="15">
        <f t="shared" si="51"/>
        <v>0</v>
      </c>
      <c r="BC107" s="173">
        <v>97</v>
      </c>
      <c r="BD107" s="84">
        <f t="shared" si="46"/>
        <v>2.23E-5</v>
      </c>
      <c r="BE107" s="207">
        <f t="shared" si="47"/>
        <v>0</v>
      </c>
      <c r="BF107" s="233">
        <f t="shared" si="48"/>
        <v>1.0699999999999999E-5</v>
      </c>
      <c r="BG107" s="15">
        <f t="shared" si="52"/>
        <v>0</v>
      </c>
      <c r="BH107" s="173">
        <v>97</v>
      </c>
      <c r="BI107" s="84">
        <f t="shared" si="49"/>
        <v>2.23E-5</v>
      </c>
      <c r="BJ107" s="207">
        <f t="shared" si="50"/>
        <v>0</v>
      </c>
      <c r="BL107" s="123"/>
      <c r="BM107" s="123"/>
      <c r="BO107" s="173"/>
      <c r="BP107" s="174" t="str">
        <f t="shared" si="53"/>
        <v/>
      </c>
      <c r="BQ107" s="174" t="str">
        <f t="shared" si="54"/>
        <v/>
      </c>
      <c r="BR107" s="174" t="str">
        <f t="shared" si="55"/>
        <v/>
      </c>
      <c r="BS107" s="174" t="str">
        <f t="shared" si="56"/>
        <v/>
      </c>
      <c r="BT107" s="174" t="str">
        <f t="shared" si="57"/>
        <v/>
      </c>
      <c r="BU107" s="174" t="str">
        <f t="shared" si="58"/>
        <v/>
      </c>
      <c r="BV107" s="174" t="str">
        <f t="shared" si="59"/>
        <v/>
      </c>
      <c r="BW107" s="174" t="str">
        <f t="shared" si="60"/>
        <v/>
      </c>
      <c r="BX107" s="174" t="str">
        <f t="shared" si="61"/>
        <v/>
      </c>
      <c r="BY107" s="174" t="str">
        <f t="shared" si="62"/>
        <v/>
      </c>
      <c r="BZ107" s="174" t="str">
        <f t="shared" si="63"/>
        <v/>
      </c>
      <c r="CA107" s="174" t="str">
        <f t="shared" si="64"/>
        <v/>
      </c>
      <c r="CB107" s="161"/>
      <c r="CC107" s="161"/>
      <c r="CD107" s="161"/>
      <c r="CE107" s="161" t="s">
        <v>150</v>
      </c>
      <c r="CF107" s="161" t="s">
        <v>220</v>
      </c>
    </row>
    <row r="108" spans="1:84" ht="14.25" customHeight="1" x14ac:dyDescent="0.25">
      <c r="A108" s="204">
        <v>98</v>
      </c>
      <c r="B108" s="211"/>
      <c r="C108" s="194"/>
      <c r="D108" s="142"/>
      <c r="E108" s="309" t="s">
        <v>92</v>
      </c>
      <c r="F108" s="305"/>
      <c r="G108" s="306"/>
      <c r="H108" s="306"/>
      <c r="I108" s="306"/>
      <c r="J108" s="306"/>
      <c r="K108" s="306"/>
      <c r="L108" s="223">
        <f t="shared" si="65"/>
        <v>0</v>
      </c>
      <c r="M108" s="298"/>
      <c r="N108" s="299"/>
      <c r="O108" s="341"/>
      <c r="P108" s="312" t="s">
        <v>66</v>
      </c>
      <c r="Q108" s="305"/>
      <c r="R108" s="306"/>
      <c r="S108" s="306"/>
      <c r="T108" s="306"/>
      <c r="U108" s="306"/>
      <c r="V108" s="122"/>
      <c r="W108" s="223">
        <f t="shared" si="66"/>
        <v>0</v>
      </c>
      <c r="X108" s="298"/>
      <c r="Y108" s="299"/>
      <c r="Z108" s="341"/>
      <c r="AA108" s="312" t="s">
        <v>86</v>
      </c>
      <c r="AB108" s="77"/>
      <c r="AC108" s="319"/>
      <c r="AD108" s="319"/>
      <c r="AE108" s="319"/>
      <c r="AF108" s="319"/>
      <c r="AG108" s="320"/>
      <c r="AH108" s="20">
        <f t="shared" si="67"/>
        <v>0</v>
      </c>
      <c r="AI108" s="77"/>
      <c r="AJ108" s="320"/>
      <c r="AK108" s="344"/>
      <c r="AL108" s="101"/>
      <c r="AM108" s="209"/>
      <c r="AN108" s="208"/>
      <c r="AO108" s="220"/>
      <c r="AP108" s="212"/>
      <c r="AQ108" s="220"/>
      <c r="AR108" s="212"/>
      <c r="AS108" s="220"/>
      <c r="AT108" s="212"/>
      <c r="AU108" s="15">
        <f t="shared" si="41"/>
        <v>1.08E-5</v>
      </c>
      <c r="AV108" s="15">
        <f t="shared" si="42"/>
        <v>0</v>
      </c>
      <c r="AW108" s="15"/>
      <c r="AX108" s="173">
        <v>98</v>
      </c>
      <c r="AY108" s="206">
        <f t="shared" si="43"/>
        <v>2.3799999999999999E-5</v>
      </c>
      <c r="AZ108" s="173">
        <f t="shared" si="44"/>
        <v>0</v>
      </c>
      <c r="BA108" s="233">
        <f t="shared" si="45"/>
        <v>1.08E-5</v>
      </c>
      <c r="BB108" s="15">
        <f t="shared" si="51"/>
        <v>0</v>
      </c>
      <c r="BC108" s="173">
        <v>98</v>
      </c>
      <c r="BD108" s="84">
        <f t="shared" si="46"/>
        <v>2.2199999999999998E-5</v>
      </c>
      <c r="BE108" s="207">
        <f t="shared" si="47"/>
        <v>0</v>
      </c>
      <c r="BF108" s="233">
        <f t="shared" si="48"/>
        <v>1.08E-5</v>
      </c>
      <c r="BG108" s="15">
        <f t="shared" si="52"/>
        <v>0</v>
      </c>
      <c r="BH108" s="173">
        <v>98</v>
      </c>
      <c r="BI108" s="84">
        <f t="shared" si="49"/>
        <v>2.2199999999999998E-5</v>
      </c>
      <c r="BJ108" s="207">
        <f t="shared" si="50"/>
        <v>0</v>
      </c>
      <c r="BL108" s="123"/>
      <c r="BM108" s="123"/>
      <c r="BO108" s="173"/>
      <c r="BP108" s="174" t="str">
        <f t="shared" si="53"/>
        <v/>
      </c>
      <c r="BQ108" s="174" t="str">
        <f t="shared" si="54"/>
        <v/>
      </c>
      <c r="BR108" s="174" t="str">
        <f t="shared" si="55"/>
        <v/>
      </c>
      <c r="BS108" s="174" t="str">
        <f t="shared" si="56"/>
        <v/>
      </c>
      <c r="BT108" s="174" t="str">
        <f t="shared" si="57"/>
        <v/>
      </c>
      <c r="BU108" s="174" t="str">
        <f t="shared" si="58"/>
        <v/>
      </c>
      <c r="BV108" s="174" t="str">
        <f t="shared" si="59"/>
        <v/>
      </c>
      <c r="BW108" s="174" t="str">
        <f t="shared" si="60"/>
        <v/>
      </c>
      <c r="BX108" s="174" t="str">
        <f t="shared" si="61"/>
        <v/>
      </c>
      <c r="BY108" s="174" t="str">
        <f t="shared" si="62"/>
        <v/>
      </c>
      <c r="BZ108" s="174" t="str">
        <f t="shared" si="63"/>
        <v/>
      </c>
      <c r="CA108" s="174" t="str">
        <f t="shared" si="64"/>
        <v/>
      </c>
      <c r="CB108" s="161"/>
      <c r="CC108" s="161"/>
      <c r="CD108" s="161"/>
      <c r="CE108" s="161" t="s">
        <v>150</v>
      </c>
      <c r="CF108" s="161" t="s">
        <v>220</v>
      </c>
    </row>
    <row r="109" spans="1:84" ht="14.25" customHeight="1" thickBot="1" x14ac:dyDescent="0.3">
      <c r="A109" s="205">
        <v>99</v>
      </c>
      <c r="B109" s="85"/>
      <c r="C109" s="195"/>
      <c r="D109" s="91"/>
      <c r="E109" s="310" t="s">
        <v>92</v>
      </c>
      <c r="F109" s="93"/>
      <c r="G109" s="97"/>
      <c r="H109" s="97"/>
      <c r="I109" s="97"/>
      <c r="J109" s="97"/>
      <c r="K109" s="97"/>
      <c r="L109" s="224">
        <f t="shared" si="65"/>
        <v>0</v>
      </c>
      <c r="M109" s="300"/>
      <c r="N109" s="301"/>
      <c r="O109" s="342"/>
      <c r="P109" s="313" t="s">
        <v>66</v>
      </c>
      <c r="Q109" s="93"/>
      <c r="R109" s="97"/>
      <c r="S109" s="97"/>
      <c r="T109" s="97"/>
      <c r="U109" s="97"/>
      <c r="V109" s="94"/>
      <c r="W109" s="224">
        <f t="shared" si="66"/>
        <v>0</v>
      </c>
      <c r="X109" s="300"/>
      <c r="Y109" s="301"/>
      <c r="Z109" s="342"/>
      <c r="AA109" s="313" t="s">
        <v>86</v>
      </c>
      <c r="AB109" s="78"/>
      <c r="AC109" s="321"/>
      <c r="AD109" s="321"/>
      <c r="AE109" s="321"/>
      <c r="AF109" s="321"/>
      <c r="AG109" s="322"/>
      <c r="AH109" s="88">
        <f t="shared" si="67"/>
        <v>0</v>
      </c>
      <c r="AI109" s="78"/>
      <c r="AJ109" s="322"/>
      <c r="AK109" s="345"/>
      <c r="AL109" s="102"/>
      <c r="AM109" s="99"/>
      <c r="AN109" s="227"/>
      <c r="AO109" s="221"/>
      <c r="AP109" s="90"/>
      <c r="AQ109" s="221"/>
      <c r="AR109" s="90"/>
      <c r="AS109" s="221"/>
      <c r="AT109" s="90"/>
      <c r="AU109" s="15">
        <f t="shared" si="41"/>
        <v>1.0899999999999999E-5</v>
      </c>
      <c r="AV109" s="15">
        <f t="shared" si="42"/>
        <v>0</v>
      </c>
      <c r="AW109" s="15"/>
      <c r="AX109" s="173">
        <v>99</v>
      </c>
      <c r="AY109" s="206">
        <f t="shared" si="43"/>
        <v>2.37E-5</v>
      </c>
      <c r="AZ109" s="173">
        <f t="shared" si="44"/>
        <v>0</v>
      </c>
      <c r="BA109" s="233">
        <f t="shared" si="45"/>
        <v>1.0899999999999999E-5</v>
      </c>
      <c r="BB109" s="15">
        <f t="shared" si="51"/>
        <v>0</v>
      </c>
      <c r="BC109" s="173">
        <v>99</v>
      </c>
      <c r="BD109" s="84">
        <f t="shared" si="46"/>
        <v>2.2099999999999998E-5</v>
      </c>
      <c r="BE109" s="207">
        <f t="shared" si="47"/>
        <v>0</v>
      </c>
      <c r="BF109" s="233">
        <f t="shared" si="48"/>
        <v>1.0899999999999999E-5</v>
      </c>
      <c r="BG109" s="15">
        <f t="shared" si="52"/>
        <v>0</v>
      </c>
      <c r="BH109" s="173">
        <v>99</v>
      </c>
      <c r="BI109" s="84">
        <f t="shared" si="49"/>
        <v>2.2099999999999998E-5</v>
      </c>
      <c r="BJ109" s="207">
        <f t="shared" si="50"/>
        <v>0</v>
      </c>
      <c r="BL109" s="123"/>
      <c r="BM109" s="123"/>
      <c r="BO109" s="173"/>
      <c r="BP109" s="174" t="str">
        <f t="shared" si="53"/>
        <v/>
      </c>
      <c r="BQ109" s="174" t="str">
        <f t="shared" si="54"/>
        <v/>
      </c>
      <c r="BR109" s="174" t="str">
        <f t="shared" si="55"/>
        <v/>
      </c>
      <c r="BS109" s="174" t="str">
        <f t="shared" si="56"/>
        <v/>
      </c>
      <c r="BT109" s="174" t="str">
        <f t="shared" si="57"/>
        <v/>
      </c>
      <c r="BU109" s="174" t="str">
        <f t="shared" si="58"/>
        <v/>
      </c>
      <c r="BV109" s="174" t="str">
        <f t="shared" si="59"/>
        <v/>
      </c>
      <c r="BW109" s="174" t="str">
        <f t="shared" si="60"/>
        <v/>
      </c>
      <c r="BX109" s="174" t="str">
        <f t="shared" si="61"/>
        <v/>
      </c>
      <c r="BY109" s="174" t="str">
        <f t="shared" si="62"/>
        <v/>
      </c>
      <c r="BZ109" s="174" t="str">
        <f t="shared" si="63"/>
        <v/>
      </c>
      <c r="CA109" s="174" t="str">
        <f t="shared" si="64"/>
        <v/>
      </c>
      <c r="CB109" s="161"/>
      <c r="CC109" s="161"/>
      <c r="CD109" s="161"/>
      <c r="CE109" s="161" t="s">
        <v>150</v>
      </c>
      <c r="CF109" s="161" t="s">
        <v>220</v>
      </c>
    </row>
    <row r="110" spans="1:84" ht="14.25" customHeight="1" x14ac:dyDescent="0.25">
      <c r="A110" s="203">
        <v>100</v>
      </c>
      <c r="B110" s="86"/>
      <c r="C110" s="193"/>
      <c r="D110" s="143"/>
      <c r="E110" s="308" t="s">
        <v>92</v>
      </c>
      <c r="F110" s="213"/>
      <c r="G110" s="214"/>
      <c r="H110" s="214"/>
      <c r="I110" s="214"/>
      <c r="J110" s="214"/>
      <c r="K110" s="214"/>
      <c r="L110" s="295">
        <f t="shared" si="65"/>
        <v>0</v>
      </c>
      <c r="M110" s="296"/>
      <c r="N110" s="297"/>
      <c r="O110" s="340"/>
      <c r="P110" s="311" t="s">
        <v>66</v>
      </c>
      <c r="Q110" s="325"/>
      <c r="R110" s="326"/>
      <c r="S110" s="326"/>
      <c r="T110" s="326"/>
      <c r="U110" s="326"/>
      <c r="V110" s="92"/>
      <c r="W110" s="295">
        <f t="shared" si="66"/>
        <v>0</v>
      </c>
      <c r="X110" s="296"/>
      <c r="Y110" s="297"/>
      <c r="Z110" s="346"/>
      <c r="AA110" s="314" t="s">
        <v>148</v>
      </c>
      <c r="AB110" s="13"/>
      <c r="AC110" s="222"/>
      <c r="AD110" s="222"/>
      <c r="AE110" s="222"/>
      <c r="AF110" s="222"/>
      <c r="AG110" s="5"/>
      <c r="AH110" s="20">
        <f t="shared" si="67"/>
        <v>0</v>
      </c>
      <c r="AI110" s="13"/>
      <c r="AJ110" s="5"/>
      <c r="AK110" s="343"/>
      <c r="AL110" s="100"/>
      <c r="AM110" s="98"/>
      <c r="AN110" s="226"/>
      <c r="AO110" s="225"/>
      <c r="AP110" s="89"/>
      <c r="AQ110" s="225"/>
      <c r="AR110" s="89"/>
      <c r="AS110" s="225"/>
      <c r="AT110" s="89"/>
      <c r="AU110" s="15">
        <f t="shared" si="41"/>
        <v>1.1E-5</v>
      </c>
      <c r="AV110" s="15">
        <f t="shared" si="42"/>
        <v>0</v>
      </c>
      <c r="AW110" s="15"/>
      <c r="AX110" s="173">
        <v>100</v>
      </c>
      <c r="AY110" s="206">
        <f t="shared" si="43"/>
        <v>2.3599999999999998E-5</v>
      </c>
      <c r="AZ110" s="173">
        <f t="shared" si="44"/>
        <v>0</v>
      </c>
      <c r="BA110" s="233">
        <f t="shared" si="45"/>
        <v>1.1E-5</v>
      </c>
      <c r="BB110" s="15">
        <f t="shared" si="51"/>
        <v>0</v>
      </c>
      <c r="BC110" s="173">
        <v>100</v>
      </c>
      <c r="BD110" s="84">
        <f t="shared" si="46"/>
        <v>2.1999999999999999E-5</v>
      </c>
      <c r="BE110" s="207">
        <f t="shared" si="47"/>
        <v>0</v>
      </c>
      <c r="BF110" s="233">
        <f t="shared" si="48"/>
        <v>1.1E-5</v>
      </c>
      <c r="BG110" s="15">
        <f t="shared" si="52"/>
        <v>0</v>
      </c>
      <c r="BH110" s="173">
        <v>100</v>
      </c>
      <c r="BI110" s="84">
        <f t="shared" si="49"/>
        <v>2.1999999999999999E-5</v>
      </c>
      <c r="BJ110" s="207">
        <f t="shared" si="50"/>
        <v>0</v>
      </c>
      <c r="BL110" s="123"/>
      <c r="BM110" s="123"/>
      <c r="BO110" s="173"/>
      <c r="BP110" s="174" t="str">
        <f t="shared" si="53"/>
        <v/>
      </c>
      <c r="BQ110" s="174" t="str">
        <f t="shared" si="54"/>
        <v/>
      </c>
      <c r="BR110" s="174" t="str">
        <f t="shared" si="55"/>
        <v/>
      </c>
      <c r="BS110" s="174" t="str">
        <f t="shared" si="56"/>
        <v/>
      </c>
      <c r="BT110" s="174" t="str">
        <f t="shared" si="57"/>
        <v/>
      </c>
      <c r="BU110" s="174" t="str">
        <f t="shared" si="58"/>
        <v/>
      </c>
      <c r="BV110" s="174" t="str">
        <f t="shared" si="59"/>
        <v/>
      </c>
      <c r="BW110" s="174" t="str">
        <f t="shared" si="60"/>
        <v/>
      </c>
      <c r="BX110" s="174" t="str">
        <f t="shared" si="61"/>
        <v/>
      </c>
      <c r="BY110" s="174" t="str">
        <f t="shared" si="62"/>
        <v/>
      </c>
      <c r="BZ110" s="174" t="str">
        <f t="shared" si="63"/>
        <v/>
      </c>
      <c r="CA110" s="174" t="str">
        <f t="shared" si="64"/>
        <v/>
      </c>
      <c r="CB110" s="161"/>
      <c r="CC110" s="161"/>
      <c r="CD110" s="161"/>
      <c r="CE110" s="161" t="s">
        <v>150</v>
      </c>
      <c r="CF110" s="161" t="s">
        <v>220</v>
      </c>
    </row>
    <row r="111" spans="1:84" ht="14.25" customHeight="1" x14ac:dyDescent="0.25">
      <c r="A111" s="204">
        <v>101</v>
      </c>
      <c r="B111" s="211"/>
      <c r="C111" s="194"/>
      <c r="D111" s="142"/>
      <c r="E111" s="309" t="s">
        <v>92</v>
      </c>
      <c r="F111" s="305"/>
      <c r="G111" s="306"/>
      <c r="H111" s="306"/>
      <c r="I111" s="306"/>
      <c r="J111" s="306"/>
      <c r="K111" s="306"/>
      <c r="L111" s="223">
        <f t="shared" si="65"/>
        <v>0</v>
      </c>
      <c r="M111" s="298"/>
      <c r="N111" s="299"/>
      <c r="O111" s="341"/>
      <c r="P111" s="312" t="s">
        <v>66</v>
      </c>
      <c r="Q111" s="305"/>
      <c r="R111" s="306"/>
      <c r="S111" s="306"/>
      <c r="T111" s="306"/>
      <c r="U111" s="306"/>
      <c r="V111" s="122"/>
      <c r="W111" s="223">
        <f t="shared" si="66"/>
        <v>0</v>
      </c>
      <c r="X111" s="298"/>
      <c r="Y111" s="299"/>
      <c r="Z111" s="341"/>
      <c r="AA111" s="312" t="s">
        <v>86</v>
      </c>
      <c r="AB111" s="77"/>
      <c r="AC111" s="319"/>
      <c r="AD111" s="319"/>
      <c r="AE111" s="319"/>
      <c r="AF111" s="319"/>
      <c r="AG111" s="320"/>
      <c r="AH111" s="20">
        <f t="shared" si="67"/>
        <v>0</v>
      </c>
      <c r="AI111" s="77"/>
      <c r="AJ111" s="320"/>
      <c r="AK111" s="344"/>
      <c r="AL111" s="101"/>
      <c r="AM111" s="209"/>
      <c r="AN111" s="208"/>
      <c r="AO111" s="220"/>
      <c r="AP111" s="212"/>
      <c r="AQ111" s="220"/>
      <c r="AR111" s="212"/>
      <c r="AS111" s="220"/>
      <c r="AT111" s="212"/>
      <c r="AU111" s="15">
        <f t="shared" si="41"/>
        <v>1.1099999999999999E-5</v>
      </c>
      <c r="AV111" s="15">
        <f t="shared" si="42"/>
        <v>0</v>
      </c>
      <c r="AW111" s="15"/>
      <c r="AX111" s="173">
        <v>101</v>
      </c>
      <c r="AY111" s="206">
        <f t="shared" si="43"/>
        <v>2.3499999999999999E-5</v>
      </c>
      <c r="AZ111" s="173">
        <f t="shared" si="44"/>
        <v>0</v>
      </c>
      <c r="BA111" s="233">
        <f t="shared" si="45"/>
        <v>1.1099999999999999E-5</v>
      </c>
      <c r="BB111" s="15">
        <f t="shared" si="51"/>
        <v>0</v>
      </c>
      <c r="BC111" s="173">
        <v>101</v>
      </c>
      <c r="BD111" s="84">
        <f t="shared" si="46"/>
        <v>2.19E-5</v>
      </c>
      <c r="BE111" s="207">
        <f t="shared" si="47"/>
        <v>0</v>
      </c>
      <c r="BF111" s="233">
        <f t="shared" si="48"/>
        <v>1.1099999999999999E-5</v>
      </c>
      <c r="BG111" s="15">
        <f t="shared" si="52"/>
        <v>0</v>
      </c>
      <c r="BH111" s="173">
        <v>101</v>
      </c>
      <c r="BI111" s="84">
        <f t="shared" si="49"/>
        <v>2.19E-5</v>
      </c>
      <c r="BJ111" s="207">
        <f t="shared" si="50"/>
        <v>0</v>
      </c>
      <c r="BL111" s="123"/>
      <c r="BM111" s="123"/>
      <c r="BO111" s="173"/>
      <c r="BP111" s="174" t="str">
        <f t="shared" si="53"/>
        <v/>
      </c>
      <c r="BQ111" s="174" t="str">
        <f t="shared" si="54"/>
        <v/>
      </c>
      <c r="BR111" s="174" t="str">
        <f t="shared" si="55"/>
        <v/>
      </c>
      <c r="BS111" s="174" t="str">
        <f t="shared" si="56"/>
        <v/>
      </c>
      <c r="BT111" s="174" t="str">
        <f t="shared" si="57"/>
        <v/>
      </c>
      <c r="BU111" s="174" t="str">
        <f t="shared" si="58"/>
        <v/>
      </c>
      <c r="BV111" s="174" t="str">
        <f t="shared" si="59"/>
        <v/>
      </c>
      <c r="BW111" s="174" t="str">
        <f t="shared" si="60"/>
        <v/>
      </c>
      <c r="BX111" s="174" t="str">
        <f t="shared" si="61"/>
        <v/>
      </c>
      <c r="BY111" s="174" t="str">
        <f t="shared" si="62"/>
        <v/>
      </c>
      <c r="BZ111" s="174" t="str">
        <f t="shared" si="63"/>
        <v/>
      </c>
      <c r="CA111" s="174" t="str">
        <f t="shared" si="64"/>
        <v/>
      </c>
      <c r="CB111" s="161"/>
      <c r="CC111" s="161"/>
      <c r="CD111" s="161"/>
      <c r="CE111" s="161" t="s">
        <v>150</v>
      </c>
      <c r="CF111" s="161" t="s">
        <v>220</v>
      </c>
    </row>
    <row r="112" spans="1:84" ht="14.25" customHeight="1" thickBot="1" x14ac:dyDescent="0.3">
      <c r="A112" s="205">
        <v>102</v>
      </c>
      <c r="B112" s="85"/>
      <c r="C112" s="195"/>
      <c r="D112" s="91"/>
      <c r="E112" s="310" t="s">
        <v>92</v>
      </c>
      <c r="F112" s="93"/>
      <c r="G112" s="97"/>
      <c r="H112" s="97"/>
      <c r="I112" s="97"/>
      <c r="J112" s="97"/>
      <c r="K112" s="97"/>
      <c r="L112" s="224">
        <f t="shared" si="65"/>
        <v>0</v>
      </c>
      <c r="M112" s="300"/>
      <c r="N112" s="301"/>
      <c r="O112" s="342"/>
      <c r="P112" s="313" t="s">
        <v>66</v>
      </c>
      <c r="Q112" s="93"/>
      <c r="R112" s="97"/>
      <c r="S112" s="97"/>
      <c r="T112" s="97"/>
      <c r="U112" s="97"/>
      <c r="V112" s="94"/>
      <c r="W112" s="224">
        <f t="shared" si="66"/>
        <v>0</v>
      </c>
      <c r="X112" s="300"/>
      <c r="Y112" s="301"/>
      <c r="Z112" s="342"/>
      <c r="AA112" s="313" t="s">
        <v>86</v>
      </c>
      <c r="AB112" s="78"/>
      <c r="AC112" s="321"/>
      <c r="AD112" s="321"/>
      <c r="AE112" s="321"/>
      <c r="AF112" s="321"/>
      <c r="AG112" s="322"/>
      <c r="AH112" s="88">
        <f t="shared" si="67"/>
        <v>0</v>
      </c>
      <c r="AI112" s="78"/>
      <c r="AJ112" s="322"/>
      <c r="AK112" s="345"/>
      <c r="AL112" s="102"/>
      <c r="AM112" s="99"/>
      <c r="AN112" s="227"/>
      <c r="AO112" s="221"/>
      <c r="AP112" s="90"/>
      <c r="AQ112" s="221"/>
      <c r="AR112" s="90"/>
      <c r="AS112" s="221"/>
      <c r="AT112" s="90"/>
      <c r="AU112" s="15">
        <f t="shared" si="41"/>
        <v>1.1199999999999999E-5</v>
      </c>
      <c r="AV112" s="15">
        <f t="shared" si="42"/>
        <v>0</v>
      </c>
      <c r="AW112" s="15"/>
      <c r="AX112" s="173">
        <v>102</v>
      </c>
      <c r="AY112" s="206">
        <f t="shared" si="43"/>
        <v>2.34E-5</v>
      </c>
      <c r="AZ112" s="173">
        <f t="shared" si="44"/>
        <v>0</v>
      </c>
      <c r="BA112" s="233">
        <f t="shared" si="45"/>
        <v>1.1199999999999999E-5</v>
      </c>
      <c r="BB112" s="15">
        <f t="shared" si="51"/>
        <v>0</v>
      </c>
      <c r="BC112" s="173">
        <v>102</v>
      </c>
      <c r="BD112" s="84">
        <f t="shared" si="46"/>
        <v>2.1799999999999998E-5</v>
      </c>
      <c r="BE112" s="207">
        <f t="shared" si="47"/>
        <v>0</v>
      </c>
      <c r="BF112" s="233">
        <f t="shared" si="48"/>
        <v>1.1199999999999999E-5</v>
      </c>
      <c r="BG112" s="15">
        <f t="shared" si="52"/>
        <v>0</v>
      </c>
      <c r="BH112" s="173">
        <v>102</v>
      </c>
      <c r="BI112" s="84">
        <f t="shared" si="49"/>
        <v>2.1799999999999998E-5</v>
      </c>
      <c r="BJ112" s="207">
        <f t="shared" si="50"/>
        <v>0</v>
      </c>
      <c r="BL112" s="123"/>
      <c r="BM112" s="123"/>
      <c r="BO112" s="173"/>
      <c r="BP112" s="174" t="str">
        <f t="shared" si="53"/>
        <v/>
      </c>
      <c r="BQ112" s="174" t="str">
        <f t="shared" si="54"/>
        <v/>
      </c>
      <c r="BR112" s="174" t="str">
        <f t="shared" si="55"/>
        <v/>
      </c>
      <c r="BS112" s="174" t="str">
        <f t="shared" si="56"/>
        <v/>
      </c>
      <c r="BT112" s="174" t="str">
        <f t="shared" si="57"/>
        <v/>
      </c>
      <c r="BU112" s="174" t="str">
        <f t="shared" si="58"/>
        <v/>
      </c>
      <c r="BV112" s="174" t="str">
        <f t="shared" si="59"/>
        <v/>
      </c>
      <c r="BW112" s="174" t="str">
        <f t="shared" si="60"/>
        <v/>
      </c>
      <c r="BX112" s="174" t="str">
        <f t="shared" si="61"/>
        <v/>
      </c>
      <c r="BY112" s="174" t="str">
        <f t="shared" si="62"/>
        <v/>
      </c>
      <c r="BZ112" s="174" t="str">
        <f t="shared" si="63"/>
        <v/>
      </c>
      <c r="CA112" s="174" t="str">
        <f t="shared" si="64"/>
        <v/>
      </c>
      <c r="CB112" s="161"/>
      <c r="CC112" s="161"/>
      <c r="CD112" s="161"/>
      <c r="CE112" s="161" t="s">
        <v>150</v>
      </c>
      <c r="CF112" s="161" t="s">
        <v>220</v>
      </c>
    </row>
    <row r="113" spans="1:84" ht="14.25" customHeight="1" x14ac:dyDescent="0.25">
      <c r="A113" s="203">
        <v>103</v>
      </c>
      <c r="B113" s="86"/>
      <c r="C113" s="193"/>
      <c r="D113" s="143"/>
      <c r="E113" s="308" t="s">
        <v>92</v>
      </c>
      <c r="F113" s="213"/>
      <c r="G113" s="214"/>
      <c r="H113" s="214"/>
      <c r="I113" s="214"/>
      <c r="J113" s="214"/>
      <c r="K113" s="214"/>
      <c r="L113" s="295">
        <f t="shared" si="65"/>
        <v>0</v>
      </c>
      <c r="M113" s="296"/>
      <c r="N113" s="297"/>
      <c r="O113" s="340"/>
      <c r="P113" s="311" t="s">
        <v>66</v>
      </c>
      <c r="Q113" s="325"/>
      <c r="R113" s="326"/>
      <c r="S113" s="326"/>
      <c r="T113" s="326"/>
      <c r="U113" s="326"/>
      <c r="V113" s="92"/>
      <c r="W113" s="295">
        <f t="shared" si="66"/>
        <v>0</v>
      </c>
      <c r="X113" s="296"/>
      <c r="Y113" s="297"/>
      <c r="Z113" s="346"/>
      <c r="AA113" s="314" t="s">
        <v>148</v>
      </c>
      <c r="AB113" s="13"/>
      <c r="AC113" s="222"/>
      <c r="AD113" s="222"/>
      <c r="AE113" s="222"/>
      <c r="AF113" s="222"/>
      <c r="AG113" s="5"/>
      <c r="AH113" s="20">
        <f t="shared" si="67"/>
        <v>0</v>
      </c>
      <c r="AI113" s="13"/>
      <c r="AJ113" s="5"/>
      <c r="AK113" s="343"/>
      <c r="AL113" s="100"/>
      <c r="AM113" s="98"/>
      <c r="AN113" s="226"/>
      <c r="AO113" s="225"/>
      <c r="AP113" s="89"/>
      <c r="AQ113" s="225"/>
      <c r="AR113" s="89"/>
      <c r="AS113" s="225"/>
      <c r="AT113" s="89"/>
      <c r="AU113" s="15">
        <f t="shared" si="41"/>
        <v>1.13E-5</v>
      </c>
      <c r="AV113" s="15">
        <f t="shared" si="42"/>
        <v>0</v>
      </c>
      <c r="AW113" s="15"/>
      <c r="AX113" s="173">
        <v>103</v>
      </c>
      <c r="AY113" s="206">
        <f t="shared" si="43"/>
        <v>2.3300000000000001E-5</v>
      </c>
      <c r="AZ113" s="173">
        <f t="shared" si="44"/>
        <v>0</v>
      </c>
      <c r="BA113" s="233">
        <f t="shared" si="45"/>
        <v>1.13E-5</v>
      </c>
      <c r="BB113" s="15">
        <f t="shared" si="51"/>
        <v>0</v>
      </c>
      <c r="BC113" s="173">
        <v>103</v>
      </c>
      <c r="BD113" s="84">
        <f t="shared" si="46"/>
        <v>2.1699999999999999E-5</v>
      </c>
      <c r="BE113" s="207">
        <f t="shared" si="47"/>
        <v>0</v>
      </c>
      <c r="BF113" s="233">
        <f t="shared" si="48"/>
        <v>1.13E-5</v>
      </c>
      <c r="BG113" s="15">
        <f t="shared" si="52"/>
        <v>0</v>
      </c>
      <c r="BH113" s="173">
        <v>103</v>
      </c>
      <c r="BI113" s="84">
        <f t="shared" si="49"/>
        <v>2.1699999999999999E-5</v>
      </c>
      <c r="BJ113" s="207">
        <f t="shared" si="50"/>
        <v>0</v>
      </c>
      <c r="BL113" s="123"/>
      <c r="BM113" s="123"/>
      <c r="BO113" s="173"/>
      <c r="BP113" s="174" t="str">
        <f t="shared" si="53"/>
        <v/>
      </c>
      <c r="BQ113" s="174" t="str">
        <f t="shared" si="54"/>
        <v/>
      </c>
      <c r="BR113" s="174" t="str">
        <f t="shared" si="55"/>
        <v/>
      </c>
      <c r="BS113" s="174" t="str">
        <f t="shared" si="56"/>
        <v/>
      </c>
      <c r="BT113" s="174" t="str">
        <f t="shared" si="57"/>
        <v/>
      </c>
      <c r="BU113" s="174" t="str">
        <f t="shared" si="58"/>
        <v/>
      </c>
      <c r="BV113" s="174" t="str">
        <f t="shared" si="59"/>
        <v/>
      </c>
      <c r="BW113" s="174" t="str">
        <f t="shared" si="60"/>
        <v/>
      </c>
      <c r="BX113" s="174" t="str">
        <f t="shared" si="61"/>
        <v/>
      </c>
      <c r="BY113" s="174" t="str">
        <f t="shared" si="62"/>
        <v/>
      </c>
      <c r="BZ113" s="174" t="str">
        <f t="shared" si="63"/>
        <v/>
      </c>
      <c r="CA113" s="174" t="str">
        <f t="shared" si="64"/>
        <v/>
      </c>
      <c r="CB113" s="161"/>
      <c r="CC113" s="161"/>
      <c r="CD113" s="161"/>
      <c r="CE113" s="161" t="s">
        <v>150</v>
      </c>
      <c r="CF113" s="161" t="s">
        <v>220</v>
      </c>
    </row>
    <row r="114" spans="1:84" ht="14.25" customHeight="1" x14ac:dyDescent="0.25">
      <c r="A114" s="204">
        <v>104</v>
      </c>
      <c r="B114" s="211"/>
      <c r="C114" s="194"/>
      <c r="D114" s="142"/>
      <c r="E114" s="309" t="s">
        <v>92</v>
      </c>
      <c r="F114" s="305"/>
      <c r="G114" s="306"/>
      <c r="H114" s="306"/>
      <c r="I114" s="306"/>
      <c r="J114" s="306"/>
      <c r="K114" s="306"/>
      <c r="L114" s="223">
        <f t="shared" si="65"/>
        <v>0</v>
      </c>
      <c r="M114" s="298"/>
      <c r="N114" s="299"/>
      <c r="O114" s="341"/>
      <c r="P114" s="312" t="s">
        <v>66</v>
      </c>
      <c r="Q114" s="305"/>
      <c r="R114" s="306"/>
      <c r="S114" s="306"/>
      <c r="T114" s="306"/>
      <c r="U114" s="306"/>
      <c r="V114" s="122"/>
      <c r="W114" s="223">
        <f t="shared" si="66"/>
        <v>0</v>
      </c>
      <c r="X114" s="298"/>
      <c r="Y114" s="299"/>
      <c r="Z114" s="341"/>
      <c r="AA114" s="312" t="s">
        <v>86</v>
      </c>
      <c r="AB114" s="77"/>
      <c r="AC114" s="319"/>
      <c r="AD114" s="319"/>
      <c r="AE114" s="319"/>
      <c r="AF114" s="319"/>
      <c r="AG114" s="320"/>
      <c r="AH114" s="20">
        <f t="shared" si="67"/>
        <v>0</v>
      </c>
      <c r="AI114" s="77"/>
      <c r="AJ114" s="320"/>
      <c r="AK114" s="344"/>
      <c r="AL114" s="101"/>
      <c r="AM114" s="209"/>
      <c r="AN114" s="208"/>
      <c r="AO114" s="220"/>
      <c r="AP114" s="212"/>
      <c r="AQ114" s="220"/>
      <c r="AR114" s="212"/>
      <c r="AS114" s="220"/>
      <c r="AT114" s="212"/>
      <c r="AU114" s="15">
        <f t="shared" si="41"/>
        <v>1.1399999999999999E-5</v>
      </c>
      <c r="AV114" s="15">
        <f t="shared" si="42"/>
        <v>0</v>
      </c>
      <c r="AW114" s="15"/>
      <c r="AX114" s="173">
        <v>104</v>
      </c>
      <c r="AY114" s="206">
        <f t="shared" si="43"/>
        <v>2.3199999999999998E-5</v>
      </c>
      <c r="AZ114" s="173">
        <f t="shared" si="44"/>
        <v>0</v>
      </c>
      <c r="BA114" s="233">
        <f t="shared" si="45"/>
        <v>1.1399999999999999E-5</v>
      </c>
      <c r="BB114" s="15">
        <f t="shared" si="51"/>
        <v>0</v>
      </c>
      <c r="BC114" s="173">
        <v>104</v>
      </c>
      <c r="BD114" s="84">
        <f t="shared" si="46"/>
        <v>2.16E-5</v>
      </c>
      <c r="BE114" s="207">
        <f t="shared" si="47"/>
        <v>0</v>
      </c>
      <c r="BF114" s="233">
        <f t="shared" si="48"/>
        <v>1.1399999999999999E-5</v>
      </c>
      <c r="BG114" s="15">
        <f t="shared" si="52"/>
        <v>0</v>
      </c>
      <c r="BH114" s="173">
        <v>104</v>
      </c>
      <c r="BI114" s="84">
        <f t="shared" si="49"/>
        <v>2.16E-5</v>
      </c>
      <c r="BJ114" s="207">
        <f t="shared" si="50"/>
        <v>0</v>
      </c>
      <c r="BL114" s="123"/>
      <c r="BM114" s="123"/>
      <c r="BO114" s="173"/>
      <c r="BP114" s="174" t="str">
        <f t="shared" si="53"/>
        <v/>
      </c>
      <c r="BQ114" s="174" t="str">
        <f t="shared" si="54"/>
        <v/>
      </c>
      <c r="BR114" s="174" t="str">
        <f t="shared" si="55"/>
        <v/>
      </c>
      <c r="BS114" s="174" t="str">
        <f t="shared" si="56"/>
        <v/>
      </c>
      <c r="BT114" s="174" t="str">
        <f t="shared" si="57"/>
        <v/>
      </c>
      <c r="BU114" s="174" t="str">
        <f t="shared" si="58"/>
        <v/>
      </c>
      <c r="BV114" s="174" t="str">
        <f t="shared" si="59"/>
        <v/>
      </c>
      <c r="BW114" s="174" t="str">
        <f t="shared" si="60"/>
        <v/>
      </c>
      <c r="BX114" s="174" t="str">
        <f t="shared" si="61"/>
        <v/>
      </c>
      <c r="BY114" s="174" t="str">
        <f t="shared" si="62"/>
        <v/>
      </c>
      <c r="BZ114" s="174" t="str">
        <f t="shared" si="63"/>
        <v/>
      </c>
      <c r="CA114" s="174" t="str">
        <f t="shared" si="64"/>
        <v/>
      </c>
      <c r="CB114" s="161"/>
      <c r="CC114" s="161"/>
      <c r="CD114" s="161"/>
      <c r="CE114" s="161" t="s">
        <v>150</v>
      </c>
      <c r="CF114" s="161" t="s">
        <v>220</v>
      </c>
    </row>
    <row r="115" spans="1:84" ht="14.25" customHeight="1" thickBot="1" x14ac:dyDescent="0.3">
      <c r="A115" s="205">
        <v>105</v>
      </c>
      <c r="B115" s="85"/>
      <c r="C115" s="195"/>
      <c r="D115" s="91"/>
      <c r="E115" s="310" t="s">
        <v>92</v>
      </c>
      <c r="F115" s="93"/>
      <c r="G115" s="97"/>
      <c r="H115" s="97"/>
      <c r="I115" s="97"/>
      <c r="J115" s="97"/>
      <c r="K115" s="97"/>
      <c r="L115" s="224">
        <f t="shared" si="65"/>
        <v>0</v>
      </c>
      <c r="M115" s="300"/>
      <c r="N115" s="301"/>
      <c r="O115" s="342"/>
      <c r="P115" s="313" t="s">
        <v>66</v>
      </c>
      <c r="Q115" s="93"/>
      <c r="R115" s="97"/>
      <c r="S115" s="97"/>
      <c r="T115" s="97"/>
      <c r="U115" s="97"/>
      <c r="V115" s="94"/>
      <c r="W115" s="224">
        <f t="shared" si="66"/>
        <v>0</v>
      </c>
      <c r="X115" s="300"/>
      <c r="Y115" s="301"/>
      <c r="Z115" s="342"/>
      <c r="AA115" s="313" t="s">
        <v>86</v>
      </c>
      <c r="AB115" s="78"/>
      <c r="AC115" s="321"/>
      <c r="AD115" s="321"/>
      <c r="AE115" s="321"/>
      <c r="AF115" s="321"/>
      <c r="AG115" s="322"/>
      <c r="AH115" s="88">
        <f t="shared" si="67"/>
        <v>0</v>
      </c>
      <c r="AI115" s="78"/>
      <c r="AJ115" s="322"/>
      <c r="AK115" s="345"/>
      <c r="AL115" s="102"/>
      <c r="AM115" s="99"/>
      <c r="AN115" s="227"/>
      <c r="AO115" s="221"/>
      <c r="AP115" s="90"/>
      <c r="AQ115" s="221"/>
      <c r="AR115" s="90"/>
      <c r="AS115" s="221"/>
      <c r="AT115" s="90"/>
      <c r="AU115" s="15">
        <f t="shared" si="41"/>
        <v>1.15E-5</v>
      </c>
      <c r="AV115" s="15">
        <f t="shared" si="42"/>
        <v>0</v>
      </c>
      <c r="AW115" s="15"/>
      <c r="AX115" s="173">
        <v>105</v>
      </c>
      <c r="AY115" s="206">
        <f t="shared" si="43"/>
        <v>2.3099999999999999E-5</v>
      </c>
      <c r="AZ115" s="173">
        <f t="shared" si="44"/>
        <v>0</v>
      </c>
      <c r="BA115" s="233">
        <f t="shared" si="45"/>
        <v>1.15E-5</v>
      </c>
      <c r="BB115" s="15">
        <f t="shared" si="51"/>
        <v>0</v>
      </c>
      <c r="BC115" s="173">
        <v>105</v>
      </c>
      <c r="BD115" s="84">
        <f t="shared" si="46"/>
        <v>2.1499999999999997E-5</v>
      </c>
      <c r="BE115" s="207">
        <f t="shared" si="47"/>
        <v>0</v>
      </c>
      <c r="BF115" s="233">
        <f t="shared" si="48"/>
        <v>1.15E-5</v>
      </c>
      <c r="BG115" s="15">
        <f t="shared" si="52"/>
        <v>0</v>
      </c>
      <c r="BH115" s="173">
        <v>105</v>
      </c>
      <c r="BI115" s="84">
        <f t="shared" si="49"/>
        <v>2.1499999999999997E-5</v>
      </c>
      <c r="BJ115" s="207">
        <f t="shared" si="50"/>
        <v>0</v>
      </c>
      <c r="BL115" s="123"/>
      <c r="BM115" s="123"/>
      <c r="BO115" s="173"/>
      <c r="BP115" s="174" t="str">
        <f t="shared" si="53"/>
        <v/>
      </c>
      <c r="BQ115" s="174" t="str">
        <f t="shared" si="54"/>
        <v/>
      </c>
      <c r="BR115" s="174" t="str">
        <f t="shared" si="55"/>
        <v/>
      </c>
      <c r="BS115" s="174" t="str">
        <f t="shared" si="56"/>
        <v/>
      </c>
      <c r="BT115" s="174" t="str">
        <f t="shared" si="57"/>
        <v/>
      </c>
      <c r="BU115" s="174" t="str">
        <f t="shared" si="58"/>
        <v/>
      </c>
      <c r="BV115" s="174" t="str">
        <f t="shared" si="59"/>
        <v/>
      </c>
      <c r="BW115" s="174" t="str">
        <f t="shared" si="60"/>
        <v/>
      </c>
      <c r="BX115" s="174" t="str">
        <f t="shared" si="61"/>
        <v/>
      </c>
      <c r="BY115" s="174" t="str">
        <f t="shared" si="62"/>
        <v/>
      </c>
      <c r="BZ115" s="174" t="str">
        <f t="shared" si="63"/>
        <v/>
      </c>
      <c r="CA115" s="174" t="str">
        <f t="shared" si="64"/>
        <v/>
      </c>
      <c r="CB115" s="161"/>
      <c r="CC115" s="161"/>
      <c r="CD115" s="161"/>
      <c r="CE115" s="161" t="s">
        <v>150</v>
      </c>
      <c r="CF115" s="161" t="s">
        <v>220</v>
      </c>
    </row>
    <row r="116" spans="1:84" ht="14.25" customHeight="1" x14ac:dyDescent="0.25">
      <c r="A116" s="203">
        <v>106</v>
      </c>
      <c r="B116" s="86"/>
      <c r="C116" s="193"/>
      <c r="D116" s="143"/>
      <c r="E116" s="308" t="s">
        <v>92</v>
      </c>
      <c r="F116" s="213"/>
      <c r="G116" s="214"/>
      <c r="H116" s="214"/>
      <c r="I116" s="214"/>
      <c r="J116" s="214"/>
      <c r="K116" s="214"/>
      <c r="L116" s="295">
        <f t="shared" si="65"/>
        <v>0</v>
      </c>
      <c r="M116" s="296"/>
      <c r="N116" s="297"/>
      <c r="O116" s="340"/>
      <c r="P116" s="311" t="s">
        <v>66</v>
      </c>
      <c r="Q116" s="325"/>
      <c r="R116" s="326"/>
      <c r="S116" s="326"/>
      <c r="T116" s="326"/>
      <c r="U116" s="326"/>
      <c r="V116" s="92"/>
      <c r="W116" s="295">
        <f t="shared" si="66"/>
        <v>0</v>
      </c>
      <c r="X116" s="296"/>
      <c r="Y116" s="297"/>
      <c r="Z116" s="346"/>
      <c r="AA116" s="314" t="s">
        <v>148</v>
      </c>
      <c r="AB116" s="13"/>
      <c r="AC116" s="222"/>
      <c r="AD116" s="222"/>
      <c r="AE116" s="222"/>
      <c r="AF116" s="222"/>
      <c r="AG116" s="5"/>
      <c r="AH116" s="20">
        <f t="shared" si="67"/>
        <v>0</v>
      </c>
      <c r="AI116" s="13"/>
      <c r="AJ116" s="5"/>
      <c r="AK116" s="343"/>
      <c r="AL116" s="100"/>
      <c r="AM116" s="98"/>
      <c r="AN116" s="226"/>
      <c r="AO116" s="225"/>
      <c r="AP116" s="89"/>
      <c r="AQ116" s="225"/>
      <c r="AR116" s="89"/>
      <c r="AS116" s="225"/>
      <c r="AT116" s="89"/>
      <c r="AU116" s="15">
        <f t="shared" si="41"/>
        <v>1.1599999999999999E-5</v>
      </c>
      <c r="AV116" s="15">
        <f t="shared" si="42"/>
        <v>0</v>
      </c>
      <c r="AW116" s="15"/>
      <c r="AX116" s="173">
        <v>106</v>
      </c>
      <c r="AY116" s="206">
        <f t="shared" si="43"/>
        <v>2.3E-5</v>
      </c>
      <c r="AZ116" s="173">
        <f t="shared" si="44"/>
        <v>0</v>
      </c>
      <c r="BA116" s="233">
        <f t="shared" si="45"/>
        <v>1.1599999999999999E-5</v>
      </c>
      <c r="BB116" s="15">
        <f t="shared" si="51"/>
        <v>0</v>
      </c>
      <c r="BC116" s="173">
        <v>106</v>
      </c>
      <c r="BD116" s="84">
        <f t="shared" si="46"/>
        <v>2.1399999999999998E-5</v>
      </c>
      <c r="BE116" s="207">
        <f t="shared" si="47"/>
        <v>0</v>
      </c>
      <c r="BF116" s="233">
        <f t="shared" si="48"/>
        <v>1.1599999999999999E-5</v>
      </c>
      <c r="BG116" s="15">
        <f t="shared" si="52"/>
        <v>0</v>
      </c>
      <c r="BH116" s="173">
        <v>106</v>
      </c>
      <c r="BI116" s="84">
        <f t="shared" si="49"/>
        <v>2.1399999999999998E-5</v>
      </c>
      <c r="BJ116" s="207">
        <f t="shared" si="50"/>
        <v>0</v>
      </c>
      <c r="BL116" s="123"/>
      <c r="BM116" s="123"/>
      <c r="BO116" s="173"/>
      <c r="BP116" s="174" t="str">
        <f t="shared" si="53"/>
        <v/>
      </c>
      <c r="BQ116" s="174" t="str">
        <f t="shared" si="54"/>
        <v/>
      </c>
      <c r="BR116" s="174" t="str">
        <f t="shared" si="55"/>
        <v/>
      </c>
      <c r="BS116" s="174" t="str">
        <f t="shared" si="56"/>
        <v/>
      </c>
      <c r="BT116" s="174" t="str">
        <f t="shared" si="57"/>
        <v/>
      </c>
      <c r="BU116" s="174" t="str">
        <f t="shared" si="58"/>
        <v/>
      </c>
      <c r="BV116" s="174" t="str">
        <f t="shared" si="59"/>
        <v/>
      </c>
      <c r="BW116" s="174" t="str">
        <f t="shared" si="60"/>
        <v/>
      </c>
      <c r="BX116" s="174" t="str">
        <f t="shared" si="61"/>
        <v/>
      </c>
      <c r="BY116" s="174" t="str">
        <f t="shared" si="62"/>
        <v/>
      </c>
      <c r="BZ116" s="174" t="str">
        <f t="shared" si="63"/>
        <v/>
      </c>
      <c r="CA116" s="174" t="str">
        <f t="shared" si="64"/>
        <v/>
      </c>
      <c r="CB116" s="161"/>
      <c r="CC116" s="161"/>
      <c r="CD116" s="161"/>
      <c r="CE116" s="161" t="s">
        <v>150</v>
      </c>
      <c r="CF116" s="161" t="s">
        <v>220</v>
      </c>
    </row>
    <row r="117" spans="1:84" ht="14.25" customHeight="1" x14ac:dyDescent="0.25">
      <c r="A117" s="204">
        <v>107</v>
      </c>
      <c r="B117" s="211"/>
      <c r="C117" s="194"/>
      <c r="D117" s="142"/>
      <c r="E117" s="309" t="s">
        <v>92</v>
      </c>
      <c r="F117" s="305"/>
      <c r="G117" s="306"/>
      <c r="H117" s="306"/>
      <c r="I117" s="306"/>
      <c r="J117" s="306"/>
      <c r="K117" s="306"/>
      <c r="L117" s="223">
        <f t="shared" si="65"/>
        <v>0</v>
      </c>
      <c r="M117" s="298"/>
      <c r="N117" s="299"/>
      <c r="O117" s="341"/>
      <c r="P117" s="312" t="s">
        <v>66</v>
      </c>
      <c r="Q117" s="305"/>
      <c r="R117" s="306"/>
      <c r="S117" s="306"/>
      <c r="T117" s="306"/>
      <c r="U117" s="306"/>
      <c r="V117" s="122"/>
      <c r="W117" s="223">
        <f t="shared" si="66"/>
        <v>0</v>
      </c>
      <c r="X117" s="298"/>
      <c r="Y117" s="299"/>
      <c r="Z117" s="341"/>
      <c r="AA117" s="312" t="s">
        <v>86</v>
      </c>
      <c r="AB117" s="77"/>
      <c r="AC117" s="319"/>
      <c r="AD117" s="319"/>
      <c r="AE117" s="319"/>
      <c r="AF117" s="319"/>
      <c r="AG117" s="320"/>
      <c r="AH117" s="20">
        <f t="shared" si="67"/>
        <v>0</v>
      </c>
      <c r="AI117" s="77"/>
      <c r="AJ117" s="320"/>
      <c r="AK117" s="344"/>
      <c r="AL117" s="101"/>
      <c r="AM117" s="209"/>
      <c r="AN117" s="208"/>
      <c r="AO117" s="220"/>
      <c r="AP117" s="212"/>
      <c r="AQ117" s="220"/>
      <c r="AR117" s="212"/>
      <c r="AS117" s="220"/>
      <c r="AT117" s="212"/>
      <c r="AU117" s="15">
        <f t="shared" si="41"/>
        <v>1.17E-5</v>
      </c>
      <c r="AV117" s="15">
        <f t="shared" si="42"/>
        <v>0</v>
      </c>
      <c r="AW117" s="15"/>
      <c r="AX117" s="173">
        <v>107</v>
      </c>
      <c r="AY117" s="206">
        <f t="shared" si="43"/>
        <v>2.2899999999999998E-5</v>
      </c>
      <c r="AZ117" s="173">
        <f t="shared" si="44"/>
        <v>0</v>
      </c>
      <c r="BA117" s="233">
        <f t="shared" si="45"/>
        <v>1.17E-5</v>
      </c>
      <c r="BB117" s="15">
        <f t="shared" si="51"/>
        <v>0</v>
      </c>
      <c r="BC117" s="173">
        <v>107</v>
      </c>
      <c r="BD117" s="84">
        <f t="shared" si="46"/>
        <v>2.1299999999999999E-5</v>
      </c>
      <c r="BE117" s="207">
        <f t="shared" si="47"/>
        <v>0</v>
      </c>
      <c r="BF117" s="233">
        <f t="shared" si="48"/>
        <v>1.17E-5</v>
      </c>
      <c r="BG117" s="15">
        <f t="shared" si="52"/>
        <v>0</v>
      </c>
      <c r="BH117" s="173">
        <v>107</v>
      </c>
      <c r="BI117" s="84">
        <f t="shared" si="49"/>
        <v>2.1299999999999999E-5</v>
      </c>
      <c r="BJ117" s="207">
        <f t="shared" si="50"/>
        <v>0</v>
      </c>
      <c r="BL117" s="123"/>
      <c r="BM117" s="123"/>
      <c r="BO117" s="173"/>
      <c r="BP117" s="174" t="str">
        <f t="shared" si="53"/>
        <v/>
      </c>
      <c r="BQ117" s="174" t="str">
        <f t="shared" si="54"/>
        <v/>
      </c>
      <c r="BR117" s="174" t="str">
        <f t="shared" si="55"/>
        <v/>
      </c>
      <c r="BS117" s="174" t="str">
        <f t="shared" si="56"/>
        <v/>
      </c>
      <c r="BT117" s="174" t="str">
        <f t="shared" si="57"/>
        <v/>
      </c>
      <c r="BU117" s="174" t="str">
        <f t="shared" si="58"/>
        <v/>
      </c>
      <c r="BV117" s="174" t="str">
        <f t="shared" si="59"/>
        <v/>
      </c>
      <c r="BW117" s="174" t="str">
        <f t="shared" si="60"/>
        <v/>
      </c>
      <c r="BX117" s="174" t="str">
        <f t="shared" si="61"/>
        <v/>
      </c>
      <c r="BY117" s="174" t="str">
        <f t="shared" si="62"/>
        <v/>
      </c>
      <c r="BZ117" s="174" t="str">
        <f t="shared" si="63"/>
        <v/>
      </c>
      <c r="CA117" s="174" t="str">
        <f t="shared" si="64"/>
        <v/>
      </c>
      <c r="CB117" s="161"/>
      <c r="CC117" s="161"/>
      <c r="CD117" s="161"/>
      <c r="CE117" s="161" t="s">
        <v>150</v>
      </c>
      <c r="CF117" s="161" t="s">
        <v>220</v>
      </c>
    </row>
    <row r="118" spans="1:84" ht="14.25" customHeight="1" thickBot="1" x14ac:dyDescent="0.3">
      <c r="A118" s="205">
        <v>108</v>
      </c>
      <c r="B118" s="85"/>
      <c r="C118" s="195"/>
      <c r="D118" s="91"/>
      <c r="E118" s="310" t="s">
        <v>92</v>
      </c>
      <c r="F118" s="93"/>
      <c r="G118" s="97"/>
      <c r="H118" s="97"/>
      <c r="I118" s="97"/>
      <c r="J118" s="97"/>
      <c r="K118" s="97"/>
      <c r="L118" s="224">
        <f t="shared" si="65"/>
        <v>0</v>
      </c>
      <c r="M118" s="300"/>
      <c r="N118" s="301"/>
      <c r="O118" s="342"/>
      <c r="P118" s="313" t="s">
        <v>66</v>
      </c>
      <c r="Q118" s="93"/>
      <c r="R118" s="97"/>
      <c r="S118" s="97"/>
      <c r="T118" s="97"/>
      <c r="U118" s="97"/>
      <c r="V118" s="94"/>
      <c r="W118" s="224">
        <f t="shared" si="66"/>
        <v>0</v>
      </c>
      <c r="X118" s="300"/>
      <c r="Y118" s="301"/>
      <c r="Z118" s="342"/>
      <c r="AA118" s="313" t="s">
        <v>86</v>
      </c>
      <c r="AB118" s="78"/>
      <c r="AC118" s="321"/>
      <c r="AD118" s="321"/>
      <c r="AE118" s="321"/>
      <c r="AF118" s="321"/>
      <c r="AG118" s="322"/>
      <c r="AH118" s="88">
        <f t="shared" si="67"/>
        <v>0</v>
      </c>
      <c r="AI118" s="78"/>
      <c r="AJ118" s="322"/>
      <c r="AK118" s="345"/>
      <c r="AL118" s="102"/>
      <c r="AM118" s="99"/>
      <c r="AN118" s="227"/>
      <c r="AO118" s="221"/>
      <c r="AP118" s="90"/>
      <c r="AQ118" s="221"/>
      <c r="AR118" s="90"/>
      <c r="AS118" s="221"/>
      <c r="AT118" s="90"/>
      <c r="AU118" s="15">
        <f t="shared" si="41"/>
        <v>1.1799999999999999E-5</v>
      </c>
      <c r="AV118" s="15">
        <f t="shared" si="42"/>
        <v>0</v>
      </c>
      <c r="AW118" s="15"/>
      <c r="AX118" s="173">
        <v>108</v>
      </c>
      <c r="AY118" s="206">
        <f t="shared" si="43"/>
        <v>2.2799999999999999E-5</v>
      </c>
      <c r="AZ118" s="173">
        <f t="shared" si="44"/>
        <v>0</v>
      </c>
      <c r="BA118" s="233">
        <f t="shared" si="45"/>
        <v>1.1799999999999999E-5</v>
      </c>
      <c r="BB118" s="15">
        <f t="shared" si="51"/>
        <v>0</v>
      </c>
      <c r="BC118" s="173">
        <v>108</v>
      </c>
      <c r="BD118" s="84">
        <f t="shared" si="46"/>
        <v>2.12E-5</v>
      </c>
      <c r="BE118" s="207">
        <f t="shared" si="47"/>
        <v>0</v>
      </c>
      <c r="BF118" s="233">
        <f t="shared" si="48"/>
        <v>1.1799999999999999E-5</v>
      </c>
      <c r="BG118" s="15">
        <f t="shared" si="52"/>
        <v>0</v>
      </c>
      <c r="BH118" s="173">
        <v>108</v>
      </c>
      <c r="BI118" s="84">
        <f t="shared" si="49"/>
        <v>2.12E-5</v>
      </c>
      <c r="BJ118" s="207">
        <f t="shared" si="50"/>
        <v>0</v>
      </c>
      <c r="BL118" s="123"/>
      <c r="BM118" s="123"/>
      <c r="BO118" s="173"/>
      <c r="BP118" s="174" t="str">
        <f t="shared" si="53"/>
        <v/>
      </c>
      <c r="BQ118" s="174" t="str">
        <f t="shared" si="54"/>
        <v/>
      </c>
      <c r="BR118" s="174" t="str">
        <f t="shared" si="55"/>
        <v/>
      </c>
      <c r="BS118" s="174" t="str">
        <f t="shared" si="56"/>
        <v/>
      </c>
      <c r="BT118" s="174" t="str">
        <f t="shared" si="57"/>
        <v/>
      </c>
      <c r="BU118" s="174" t="str">
        <f t="shared" si="58"/>
        <v/>
      </c>
      <c r="BV118" s="174" t="str">
        <f t="shared" si="59"/>
        <v/>
      </c>
      <c r="BW118" s="174" t="str">
        <f t="shared" si="60"/>
        <v/>
      </c>
      <c r="BX118" s="174" t="str">
        <f t="shared" si="61"/>
        <v/>
      </c>
      <c r="BY118" s="174" t="str">
        <f t="shared" si="62"/>
        <v/>
      </c>
      <c r="BZ118" s="174" t="str">
        <f t="shared" si="63"/>
        <v/>
      </c>
      <c r="CA118" s="174" t="str">
        <f t="shared" si="64"/>
        <v/>
      </c>
      <c r="CB118" s="161"/>
      <c r="CC118" s="161"/>
      <c r="CD118" s="161"/>
      <c r="CE118" s="161" t="s">
        <v>150</v>
      </c>
      <c r="CF118" s="161" t="s">
        <v>220</v>
      </c>
    </row>
    <row r="119" spans="1:84" ht="14.25" customHeight="1" x14ac:dyDescent="0.25">
      <c r="A119" s="203">
        <v>109</v>
      </c>
      <c r="B119" s="86"/>
      <c r="C119" s="193"/>
      <c r="D119" s="143"/>
      <c r="E119" s="308" t="s">
        <v>92</v>
      </c>
      <c r="F119" s="213"/>
      <c r="G119" s="214"/>
      <c r="H119" s="214"/>
      <c r="I119" s="214"/>
      <c r="J119" s="214"/>
      <c r="K119" s="214"/>
      <c r="L119" s="295">
        <f t="shared" si="65"/>
        <v>0</v>
      </c>
      <c r="M119" s="296"/>
      <c r="N119" s="297"/>
      <c r="O119" s="340"/>
      <c r="P119" s="311" t="s">
        <v>66</v>
      </c>
      <c r="Q119" s="325"/>
      <c r="R119" s="326"/>
      <c r="S119" s="326"/>
      <c r="T119" s="326"/>
      <c r="U119" s="326"/>
      <c r="V119" s="92"/>
      <c r="W119" s="295">
        <f t="shared" si="66"/>
        <v>0</v>
      </c>
      <c r="X119" s="296"/>
      <c r="Y119" s="297"/>
      <c r="Z119" s="346"/>
      <c r="AA119" s="314" t="s">
        <v>148</v>
      </c>
      <c r="AB119" s="13"/>
      <c r="AC119" s="222"/>
      <c r="AD119" s="222"/>
      <c r="AE119" s="222"/>
      <c r="AF119" s="222"/>
      <c r="AG119" s="5"/>
      <c r="AH119" s="20">
        <f t="shared" si="67"/>
        <v>0</v>
      </c>
      <c r="AI119" s="13"/>
      <c r="AJ119" s="5"/>
      <c r="AK119" s="343"/>
      <c r="AL119" s="100"/>
      <c r="AM119" s="98"/>
      <c r="AN119" s="226"/>
      <c r="AO119" s="225"/>
      <c r="AP119" s="89"/>
      <c r="AQ119" s="225"/>
      <c r="AR119" s="89"/>
      <c r="AS119" s="225"/>
      <c r="AT119" s="89"/>
      <c r="AU119" s="15">
        <f t="shared" si="41"/>
        <v>1.19E-5</v>
      </c>
      <c r="AV119" s="15">
        <f t="shared" si="42"/>
        <v>0</v>
      </c>
      <c r="AW119" s="15"/>
      <c r="AX119" s="173">
        <v>109</v>
      </c>
      <c r="AY119" s="206">
        <f t="shared" si="43"/>
        <v>2.27E-5</v>
      </c>
      <c r="AZ119" s="173">
        <f t="shared" si="44"/>
        <v>0</v>
      </c>
      <c r="BA119" s="233">
        <f t="shared" si="45"/>
        <v>1.19E-5</v>
      </c>
      <c r="BB119" s="15">
        <f t="shared" si="51"/>
        <v>0</v>
      </c>
      <c r="BC119" s="173">
        <v>109</v>
      </c>
      <c r="BD119" s="84">
        <f t="shared" si="46"/>
        <v>2.1099999999999998E-5</v>
      </c>
      <c r="BE119" s="207">
        <f t="shared" si="47"/>
        <v>0</v>
      </c>
      <c r="BF119" s="233">
        <f t="shared" si="48"/>
        <v>1.19E-5</v>
      </c>
      <c r="BG119" s="15">
        <f t="shared" si="52"/>
        <v>0</v>
      </c>
      <c r="BH119" s="173">
        <v>109</v>
      </c>
      <c r="BI119" s="84">
        <f t="shared" si="49"/>
        <v>2.1099999999999998E-5</v>
      </c>
      <c r="BJ119" s="207">
        <f t="shared" si="50"/>
        <v>0</v>
      </c>
      <c r="BL119" s="123"/>
      <c r="BM119" s="123"/>
      <c r="BO119" s="173"/>
      <c r="BP119" s="174" t="str">
        <f t="shared" si="53"/>
        <v/>
      </c>
      <c r="BQ119" s="174" t="str">
        <f t="shared" si="54"/>
        <v/>
      </c>
      <c r="BR119" s="174" t="str">
        <f t="shared" si="55"/>
        <v/>
      </c>
      <c r="BS119" s="174" t="str">
        <f t="shared" si="56"/>
        <v/>
      </c>
      <c r="BT119" s="174" t="str">
        <f t="shared" si="57"/>
        <v/>
      </c>
      <c r="BU119" s="174" t="str">
        <f t="shared" si="58"/>
        <v/>
      </c>
      <c r="BV119" s="174" t="str">
        <f t="shared" si="59"/>
        <v/>
      </c>
      <c r="BW119" s="174" t="str">
        <f t="shared" si="60"/>
        <v/>
      </c>
      <c r="BX119" s="174" t="str">
        <f t="shared" si="61"/>
        <v/>
      </c>
      <c r="BY119" s="174" t="str">
        <f t="shared" si="62"/>
        <v/>
      </c>
      <c r="BZ119" s="174" t="str">
        <f t="shared" si="63"/>
        <v/>
      </c>
      <c r="CA119" s="174" t="str">
        <f t="shared" si="64"/>
        <v/>
      </c>
      <c r="CB119" s="161"/>
      <c r="CC119" s="161"/>
      <c r="CD119" s="161"/>
      <c r="CE119" s="161" t="s">
        <v>150</v>
      </c>
      <c r="CF119" s="161" t="s">
        <v>220</v>
      </c>
    </row>
    <row r="120" spans="1:84" ht="14.25" customHeight="1" x14ac:dyDescent="0.25">
      <c r="A120" s="204">
        <v>110</v>
      </c>
      <c r="B120" s="211"/>
      <c r="C120" s="194"/>
      <c r="D120" s="142"/>
      <c r="E120" s="309" t="s">
        <v>92</v>
      </c>
      <c r="F120" s="305"/>
      <c r="G120" s="306"/>
      <c r="H120" s="306"/>
      <c r="I120" s="306"/>
      <c r="J120" s="306"/>
      <c r="K120" s="306"/>
      <c r="L120" s="223">
        <f t="shared" si="65"/>
        <v>0</v>
      </c>
      <c r="M120" s="298"/>
      <c r="N120" s="299"/>
      <c r="O120" s="341"/>
      <c r="P120" s="312" t="s">
        <v>66</v>
      </c>
      <c r="Q120" s="305"/>
      <c r="R120" s="306"/>
      <c r="S120" s="306"/>
      <c r="T120" s="306"/>
      <c r="U120" s="306"/>
      <c r="V120" s="122"/>
      <c r="W120" s="223">
        <f t="shared" si="66"/>
        <v>0</v>
      </c>
      <c r="X120" s="298"/>
      <c r="Y120" s="299"/>
      <c r="Z120" s="341"/>
      <c r="AA120" s="312" t="s">
        <v>86</v>
      </c>
      <c r="AB120" s="77"/>
      <c r="AC120" s="319"/>
      <c r="AD120" s="319"/>
      <c r="AE120" s="319"/>
      <c r="AF120" s="319"/>
      <c r="AG120" s="320"/>
      <c r="AH120" s="20">
        <f t="shared" si="67"/>
        <v>0</v>
      </c>
      <c r="AI120" s="77"/>
      <c r="AJ120" s="320"/>
      <c r="AK120" s="344"/>
      <c r="AL120" s="101"/>
      <c r="AM120" s="209"/>
      <c r="AN120" s="208"/>
      <c r="AO120" s="220"/>
      <c r="AP120" s="212"/>
      <c r="AQ120" s="220"/>
      <c r="AR120" s="212"/>
      <c r="AS120" s="220"/>
      <c r="AT120" s="212"/>
      <c r="AU120" s="15">
        <f t="shared" si="41"/>
        <v>1.2E-5</v>
      </c>
      <c r="AV120" s="15">
        <f t="shared" si="42"/>
        <v>0</v>
      </c>
      <c r="AW120" s="15"/>
      <c r="AX120" s="173">
        <v>110</v>
      </c>
      <c r="AY120" s="206">
        <f t="shared" si="43"/>
        <v>2.26E-5</v>
      </c>
      <c r="AZ120" s="173">
        <f t="shared" si="44"/>
        <v>0</v>
      </c>
      <c r="BA120" s="233">
        <f t="shared" si="45"/>
        <v>1.2E-5</v>
      </c>
      <c r="BB120" s="15">
        <f t="shared" si="51"/>
        <v>0</v>
      </c>
      <c r="BC120" s="173">
        <v>110</v>
      </c>
      <c r="BD120" s="84">
        <f t="shared" si="46"/>
        <v>2.0999999999999999E-5</v>
      </c>
      <c r="BE120" s="207">
        <f t="shared" si="47"/>
        <v>0</v>
      </c>
      <c r="BF120" s="233">
        <f t="shared" si="48"/>
        <v>1.2E-5</v>
      </c>
      <c r="BG120" s="15">
        <f t="shared" si="52"/>
        <v>0</v>
      </c>
      <c r="BH120" s="173">
        <v>110</v>
      </c>
      <c r="BI120" s="84">
        <f t="shared" si="49"/>
        <v>2.0999999999999999E-5</v>
      </c>
      <c r="BJ120" s="207">
        <f t="shared" si="50"/>
        <v>0</v>
      </c>
      <c r="BL120" s="123"/>
      <c r="BM120" s="123"/>
      <c r="BO120" s="173"/>
      <c r="BP120" s="174" t="str">
        <f t="shared" si="53"/>
        <v/>
      </c>
      <c r="BQ120" s="174" t="str">
        <f t="shared" si="54"/>
        <v/>
      </c>
      <c r="BR120" s="174" t="str">
        <f t="shared" si="55"/>
        <v/>
      </c>
      <c r="BS120" s="174" t="str">
        <f t="shared" si="56"/>
        <v/>
      </c>
      <c r="BT120" s="174" t="str">
        <f t="shared" si="57"/>
        <v/>
      </c>
      <c r="BU120" s="174" t="str">
        <f t="shared" si="58"/>
        <v/>
      </c>
      <c r="BV120" s="174" t="str">
        <f t="shared" si="59"/>
        <v/>
      </c>
      <c r="BW120" s="174" t="str">
        <f t="shared" si="60"/>
        <v/>
      </c>
      <c r="BX120" s="174" t="str">
        <f t="shared" si="61"/>
        <v/>
      </c>
      <c r="BY120" s="174" t="str">
        <f t="shared" si="62"/>
        <v/>
      </c>
      <c r="BZ120" s="174" t="str">
        <f t="shared" si="63"/>
        <v/>
      </c>
      <c r="CA120" s="174" t="str">
        <f t="shared" si="64"/>
        <v/>
      </c>
      <c r="CB120" s="161"/>
      <c r="CC120" s="161"/>
      <c r="CD120" s="161"/>
      <c r="CE120" s="161" t="s">
        <v>150</v>
      </c>
      <c r="CF120" s="161" t="s">
        <v>220</v>
      </c>
    </row>
    <row r="121" spans="1:84" ht="14.25" customHeight="1" thickBot="1" x14ac:dyDescent="0.3">
      <c r="A121" s="205">
        <v>111</v>
      </c>
      <c r="B121" s="85"/>
      <c r="C121" s="195"/>
      <c r="D121" s="91"/>
      <c r="E121" s="310" t="s">
        <v>92</v>
      </c>
      <c r="F121" s="93"/>
      <c r="G121" s="97"/>
      <c r="H121" s="97"/>
      <c r="I121" s="97"/>
      <c r="J121" s="97"/>
      <c r="K121" s="97"/>
      <c r="L121" s="224">
        <f t="shared" si="65"/>
        <v>0</v>
      </c>
      <c r="M121" s="300"/>
      <c r="N121" s="301"/>
      <c r="O121" s="342"/>
      <c r="P121" s="313" t="s">
        <v>66</v>
      </c>
      <c r="Q121" s="93"/>
      <c r="R121" s="97"/>
      <c r="S121" s="97"/>
      <c r="T121" s="97"/>
      <c r="U121" s="97"/>
      <c r="V121" s="97"/>
      <c r="W121" s="224">
        <f t="shared" si="66"/>
        <v>0</v>
      </c>
      <c r="X121" s="300"/>
      <c r="Y121" s="301"/>
      <c r="Z121" s="342"/>
      <c r="AA121" s="313" t="s">
        <v>86</v>
      </c>
      <c r="AB121" s="78"/>
      <c r="AC121" s="321"/>
      <c r="AD121" s="321"/>
      <c r="AE121" s="321"/>
      <c r="AF121" s="321"/>
      <c r="AG121" s="322"/>
      <c r="AH121" s="88">
        <f t="shared" si="67"/>
        <v>0</v>
      </c>
      <c r="AI121" s="78"/>
      <c r="AJ121" s="322"/>
      <c r="AK121" s="345"/>
      <c r="AL121" s="102"/>
      <c r="AM121" s="99"/>
      <c r="AN121" s="227"/>
      <c r="AO121" s="221"/>
      <c r="AP121" s="90"/>
      <c r="AQ121" s="221"/>
      <c r="AR121" s="90"/>
      <c r="AS121" s="221"/>
      <c r="AT121" s="90"/>
      <c r="AU121" s="15">
        <f t="shared" si="41"/>
        <v>1.2099999999999999E-5</v>
      </c>
      <c r="AV121" s="15">
        <f t="shared" si="42"/>
        <v>0</v>
      </c>
      <c r="AW121" s="15"/>
      <c r="AX121" s="173">
        <v>111</v>
      </c>
      <c r="AY121" s="206">
        <f t="shared" si="43"/>
        <v>2.2499999999999998E-5</v>
      </c>
      <c r="AZ121" s="173">
        <f t="shared" si="44"/>
        <v>0</v>
      </c>
      <c r="BA121" s="233">
        <f t="shared" si="45"/>
        <v>1.2099999999999999E-5</v>
      </c>
      <c r="BB121" s="15">
        <f t="shared" si="51"/>
        <v>0</v>
      </c>
      <c r="BC121" s="173">
        <v>111</v>
      </c>
      <c r="BD121" s="84">
        <f t="shared" si="46"/>
        <v>2.09E-5</v>
      </c>
      <c r="BE121" s="207">
        <f t="shared" si="47"/>
        <v>0</v>
      </c>
      <c r="BF121" s="233">
        <f t="shared" si="48"/>
        <v>1.2099999999999999E-5</v>
      </c>
      <c r="BG121" s="15">
        <f t="shared" si="52"/>
        <v>0</v>
      </c>
      <c r="BH121" s="173">
        <v>111</v>
      </c>
      <c r="BI121" s="84">
        <f t="shared" si="49"/>
        <v>2.09E-5</v>
      </c>
      <c r="BJ121" s="207">
        <f t="shared" si="50"/>
        <v>0</v>
      </c>
      <c r="BL121" s="123"/>
      <c r="BM121" s="123"/>
      <c r="BO121" s="173"/>
      <c r="BP121" s="174" t="str">
        <f t="shared" si="53"/>
        <v/>
      </c>
      <c r="BQ121" s="174" t="str">
        <f t="shared" si="54"/>
        <v/>
      </c>
      <c r="BR121" s="174" t="str">
        <f t="shared" si="55"/>
        <v/>
      </c>
      <c r="BS121" s="174" t="str">
        <f t="shared" si="56"/>
        <v/>
      </c>
      <c r="BT121" s="174" t="str">
        <f t="shared" si="57"/>
        <v/>
      </c>
      <c r="BU121" s="174" t="str">
        <f t="shared" si="58"/>
        <v/>
      </c>
      <c r="BV121" s="174" t="str">
        <f t="shared" si="59"/>
        <v/>
      </c>
      <c r="BW121" s="174" t="str">
        <f t="shared" si="60"/>
        <v/>
      </c>
      <c r="BX121" s="174" t="str">
        <f t="shared" si="61"/>
        <v/>
      </c>
      <c r="BY121" s="174" t="str">
        <f t="shared" si="62"/>
        <v/>
      </c>
      <c r="BZ121" s="174" t="str">
        <f t="shared" si="63"/>
        <v/>
      </c>
      <c r="CA121" s="174" t="str">
        <f t="shared" si="64"/>
        <v/>
      </c>
      <c r="CB121" s="161"/>
      <c r="CC121" s="161"/>
      <c r="CD121" s="161"/>
      <c r="CE121" s="161" t="s">
        <v>150</v>
      </c>
      <c r="CF121" s="161" t="s">
        <v>220</v>
      </c>
    </row>
    <row r="122" spans="1:84" ht="14.25" customHeight="1" x14ac:dyDescent="0.25">
      <c r="A122" s="203">
        <v>112</v>
      </c>
      <c r="B122" s="86"/>
      <c r="C122" s="193"/>
      <c r="D122" s="143"/>
      <c r="E122" s="308" t="s">
        <v>92</v>
      </c>
      <c r="F122" s="213"/>
      <c r="G122" s="214"/>
      <c r="H122" s="214"/>
      <c r="I122" s="214"/>
      <c r="J122" s="214"/>
      <c r="K122" s="214"/>
      <c r="L122" s="295">
        <f t="shared" si="65"/>
        <v>0</v>
      </c>
      <c r="M122" s="296"/>
      <c r="N122" s="297"/>
      <c r="O122" s="340"/>
      <c r="P122" s="311" t="s">
        <v>66</v>
      </c>
      <c r="Q122" s="213"/>
      <c r="R122" s="214"/>
      <c r="S122" s="214"/>
      <c r="T122" s="214"/>
      <c r="U122" s="214"/>
      <c r="V122" s="214"/>
      <c r="W122" s="295">
        <f t="shared" si="66"/>
        <v>0</v>
      </c>
      <c r="X122" s="296"/>
      <c r="Y122" s="297"/>
      <c r="Z122" s="346"/>
      <c r="AA122" s="314" t="s">
        <v>148</v>
      </c>
      <c r="AB122" s="13"/>
      <c r="AC122" s="222"/>
      <c r="AD122" s="222"/>
      <c r="AE122" s="222"/>
      <c r="AF122" s="222"/>
      <c r="AG122" s="5"/>
      <c r="AH122" s="20">
        <f t="shared" si="67"/>
        <v>0</v>
      </c>
      <c r="AI122" s="13"/>
      <c r="AJ122" s="5"/>
      <c r="AK122" s="343"/>
      <c r="AL122" s="100"/>
      <c r="AM122" s="98"/>
      <c r="AN122" s="226"/>
      <c r="AO122" s="225"/>
      <c r="AP122" s="89"/>
      <c r="AQ122" s="225"/>
      <c r="AR122" s="89"/>
      <c r="AS122" s="225"/>
      <c r="AT122" s="89"/>
      <c r="AU122" s="15">
        <f t="shared" si="41"/>
        <v>1.22E-5</v>
      </c>
      <c r="AV122" s="15">
        <f t="shared" si="42"/>
        <v>0</v>
      </c>
      <c r="AW122" s="15"/>
      <c r="AX122" s="173">
        <v>112</v>
      </c>
      <c r="AY122" s="206">
        <f t="shared" si="43"/>
        <v>2.2399999999999999E-5</v>
      </c>
      <c r="AZ122" s="173">
        <f t="shared" si="44"/>
        <v>0</v>
      </c>
      <c r="BA122" s="233">
        <f t="shared" si="45"/>
        <v>1.22E-5</v>
      </c>
      <c r="BB122" s="15">
        <f t="shared" si="51"/>
        <v>0</v>
      </c>
      <c r="BC122" s="173">
        <v>112</v>
      </c>
      <c r="BD122" s="84">
        <f t="shared" si="46"/>
        <v>2.0799999999999997E-5</v>
      </c>
      <c r="BE122" s="207">
        <f t="shared" si="47"/>
        <v>0</v>
      </c>
      <c r="BF122" s="233">
        <f t="shared" si="48"/>
        <v>1.22E-5</v>
      </c>
      <c r="BG122" s="15">
        <f t="shared" si="52"/>
        <v>0</v>
      </c>
      <c r="BH122" s="173">
        <v>112</v>
      </c>
      <c r="BI122" s="84">
        <f t="shared" si="49"/>
        <v>2.0799999999999997E-5</v>
      </c>
      <c r="BJ122" s="207">
        <f t="shared" si="50"/>
        <v>0</v>
      </c>
      <c r="BL122" s="123"/>
      <c r="BM122" s="123"/>
      <c r="BO122" s="173"/>
      <c r="BP122" s="174" t="str">
        <f t="shared" si="53"/>
        <v/>
      </c>
      <c r="BQ122" s="174" t="str">
        <f t="shared" si="54"/>
        <v/>
      </c>
      <c r="BR122" s="174" t="str">
        <f t="shared" si="55"/>
        <v/>
      </c>
      <c r="BS122" s="174" t="str">
        <f t="shared" si="56"/>
        <v/>
      </c>
      <c r="BT122" s="174" t="str">
        <f t="shared" si="57"/>
        <v/>
      </c>
      <c r="BU122" s="174" t="str">
        <f t="shared" si="58"/>
        <v/>
      </c>
      <c r="BV122" s="174" t="str">
        <f t="shared" si="59"/>
        <v/>
      </c>
      <c r="BW122" s="174" t="str">
        <f t="shared" si="60"/>
        <v/>
      </c>
      <c r="BX122" s="174" t="str">
        <f t="shared" si="61"/>
        <v/>
      </c>
      <c r="BY122" s="174" t="str">
        <f t="shared" si="62"/>
        <v/>
      </c>
      <c r="BZ122" s="174" t="str">
        <f t="shared" si="63"/>
        <v/>
      </c>
      <c r="CA122" s="174" t="str">
        <f t="shared" si="64"/>
        <v/>
      </c>
      <c r="CB122" s="161"/>
      <c r="CC122" s="161"/>
      <c r="CD122" s="161"/>
      <c r="CE122" s="161" t="s">
        <v>150</v>
      </c>
      <c r="CF122" s="161" t="s">
        <v>220</v>
      </c>
    </row>
    <row r="123" spans="1:84" ht="14.25" customHeight="1" x14ac:dyDescent="0.25">
      <c r="A123" s="204">
        <v>113</v>
      </c>
      <c r="B123" s="211"/>
      <c r="C123" s="194"/>
      <c r="D123" s="142"/>
      <c r="E123" s="309" t="s">
        <v>92</v>
      </c>
      <c r="F123" s="305"/>
      <c r="G123" s="306"/>
      <c r="H123" s="306"/>
      <c r="I123" s="306"/>
      <c r="J123" s="306"/>
      <c r="K123" s="306"/>
      <c r="L123" s="223">
        <f t="shared" si="65"/>
        <v>0</v>
      </c>
      <c r="M123" s="298"/>
      <c r="N123" s="299"/>
      <c r="O123" s="341"/>
      <c r="P123" s="312" t="s">
        <v>66</v>
      </c>
      <c r="Q123" s="305"/>
      <c r="R123" s="306"/>
      <c r="S123" s="306"/>
      <c r="T123" s="306"/>
      <c r="U123" s="306"/>
      <c r="V123" s="306"/>
      <c r="W123" s="223">
        <f t="shared" si="66"/>
        <v>0</v>
      </c>
      <c r="X123" s="298"/>
      <c r="Y123" s="299"/>
      <c r="Z123" s="341"/>
      <c r="AA123" s="312" t="s">
        <v>86</v>
      </c>
      <c r="AB123" s="77"/>
      <c r="AC123" s="319"/>
      <c r="AD123" s="319"/>
      <c r="AE123" s="319"/>
      <c r="AF123" s="319"/>
      <c r="AG123" s="320"/>
      <c r="AH123" s="20">
        <f t="shared" si="67"/>
        <v>0</v>
      </c>
      <c r="AI123" s="77"/>
      <c r="AJ123" s="320"/>
      <c r="AK123" s="344"/>
      <c r="AL123" s="101"/>
      <c r="AM123" s="209"/>
      <c r="AN123" s="208"/>
      <c r="AO123" s="220"/>
      <c r="AP123" s="212"/>
      <c r="AQ123" s="220"/>
      <c r="AR123" s="212"/>
      <c r="AS123" s="220"/>
      <c r="AT123" s="212"/>
      <c r="AU123" s="15">
        <f t="shared" si="41"/>
        <v>1.2299999999999999E-5</v>
      </c>
      <c r="AV123" s="15">
        <f t="shared" si="42"/>
        <v>0</v>
      </c>
      <c r="AW123" s="15"/>
      <c r="AX123" s="173">
        <v>113</v>
      </c>
      <c r="AY123" s="206">
        <f t="shared" si="43"/>
        <v>2.23E-5</v>
      </c>
      <c r="AZ123" s="173">
        <f t="shared" si="44"/>
        <v>0</v>
      </c>
      <c r="BA123" s="233">
        <f t="shared" si="45"/>
        <v>1.2299999999999999E-5</v>
      </c>
      <c r="BB123" s="15">
        <f t="shared" si="51"/>
        <v>0</v>
      </c>
      <c r="BC123" s="173">
        <v>113</v>
      </c>
      <c r="BD123" s="84">
        <f t="shared" si="46"/>
        <v>2.0699999999999998E-5</v>
      </c>
      <c r="BE123" s="207">
        <f t="shared" si="47"/>
        <v>0</v>
      </c>
      <c r="BF123" s="233">
        <f t="shared" si="48"/>
        <v>1.2299999999999999E-5</v>
      </c>
      <c r="BG123" s="15">
        <f t="shared" si="52"/>
        <v>0</v>
      </c>
      <c r="BH123" s="173">
        <v>113</v>
      </c>
      <c r="BI123" s="84">
        <f t="shared" si="49"/>
        <v>2.0699999999999998E-5</v>
      </c>
      <c r="BJ123" s="207">
        <f t="shared" si="50"/>
        <v>0</v>
      </c>
      <c r="BL123" s="123"/>
      <c r="BM123" s="123"/>
      <c r="BO123" s="173"/>
      <c r="BP123" s="174" t="str">
        <f t="shared" si="53"/>
        <v/>
      </c>
      <c r="BQ123" s="174" t="str">
        <f t="shared" si="54"/>
        <v/>
      </c>
      <c r="BR123" s="174" t="str">
        <f t="shared" si="55"/>
        <v/>
      </c>
      <c r="BS123" s="174" t="str">
        <f t="shared" si="56"/>
        <v/>
      </c>
      <c r="BT123" s="174" t="str">
        <f t="shared" si="57"/>
        <v/>
      </c>
      <c r="BU123" s="174" t="str">
        <f t="shared" si="58"/>
        <v/>
      </c>
      <c r="BV123" s="174" t="str">
        <f t="shared" si="59"/>
        <v/>
      </c>
      <c r="BW123" s="174" t="str">
        <f t="shared" si="60"/>
        <v/>
      </c>
      <c r="BX123" s="174" t="str">
        <f t="shared" si="61"/>
        <v/>
      </c>
      <c r="BY123" s="174" t="str">
        <f t="shared" si="62"/>
        <v/>
      </c>
      <c r="BZ123" s="174" t="str">
        <f t="shared" si="63"/>
        <v/>
      </c>
      <c r="CA123" s="174" t="str">
        <f t="shared" si="64"/>
        <v/>
      </c>
      <c r="CB123" s="161"/>
      <c r="CC123" s="161"/>
      <c r="CD123" s="161"/>
      <c r="CE123" s="161" t="s">
        <v>150</v>
      </c>
      <c r="CF123" s="161" t="s">
        <v>220</v>
      </c>
    </row>
    <row r="124" spans="1:84" ht="14.25" customHeight="1" thickBot="1" x14ac:dyDescent="0.3">
      <c r="A124" s="205">
        <v>114</v>
      </c>
      <c r="B124" s="85"/>
      <c r="C124" s="195"/>
      <c r="D124" s="91"/>
      <c r="E124" s="310" t="s">
        <v>92</v>
      </c>
      <c r="F124" s="93"/>
      <c r="G124" s="97"/>
      <c r="H124" s="97"/>
      <c r="I124" s="97"/>
      <c r="J124" s="97"/>
      <c r="K124" s="97"/>
      <c r="L124" s="224">
        <f t="shared" si="65"/>
        <v>0</v>
      </c>
      <c r="M124" s="300"/>
      <c r="N124" s="301"/>
      <c r="O124" s="342"/>
      <c r="P124" s="313" t="s">
        <v>66</v>
      </c>
      <c r="Q124" s="93"/>
      <c r="R124" s="97"/>
      <c r="S124" s="97"/>
      <c r="T124" s="97"/>
      <c r="U124" s="97"/>
      <c r="V124" s="97"/>
      <c r="W124" s="224">
        <f t="shared" si="66"/>
        <v>0</v>
      </c>
      <c r="X124" s="300"/>
      <c r="Y124" s="301"/>
      <c r="Z124" s="342"/>
      <c r="AA124" s="313" t="s">
        <v>86</v>
      </c>
      <c r="AB124" s="78"/>
      <c r="AC124" s="321"/>
      <c r="AD124" s="321"/>
      <c r="AE124" s="321"/>
      <c r="AF124" s="321"/>
      <c r="AG124" s="322"/>
      <c r="AH124" s="88">
        <f t="shared" si="67"/>
        <v>0</v>
      </c>
      <c r="AI124" s="78"/>
      <c r="AJ124" s="322"/>
      <c r="AK124" s="345"/>
      <c r="AL124" s="102"/>
      <c r="AM124" s="99"/>
      <c r="AN124" s="227"/>
      <c r="AO124" s="221"/>
      <c r="AP124" s="90"/>
      <c r="AQ124" s="221"/>
      <c r="AR124" s="90"/>
      <c r="AS124" s="221"/>
      <c r="AT124" s="90"/>
      <c r="AU124" s="15">
        <f t="shared" si="41"/>
        <v>1.24E-5</v>
      </c>
      <c r="AV124" s="15">
        <f t="shared" si="42"/>
        <v>0</v>
      </c>
      <c r="AW124" s="15"/>
      <c r="AX124" s="173">
        <v>114</v>
      </c>
      <c r="AY124" s="206">
        <f t="shared" si="43"/>
        <v>2.2199999999999998E-5</v>
      </c>
      <c r="AZ124" s="173">
        <f t="shared" si="44"/>
        <v>0</v>
      </c>
      <c r="BA124" s="233">
        <f t="shared" si="45"/>
        <v>1.24E-5</v>
      </c>
      <c r="BB124" s="15">
        <f t="shared" si="51"/>
        <v>0</v>
      </c>
      <c r="BC124" s="173">
        <v>114</v>
      </c>
      <c r="BD124" s="84">
        <f t="shared" si="46"/>
        <v>2.0599999999999999E-5</v>
      </c>
      <c r="BE124" s="207">
        <f t="shared" si="47"/>
        <v>0</v>
      </c>
      <c r="BF124" s="233">
        <f t="shared" si="48"/>
        <v>1.24E-5</v>
      </c>
      <c r="BG124" s="15">
        <f t="shared" si="52"/>
        <v>0</v>
      </c>
      <c r="BH124" s="173">
        <v>114</v>
      </c>
      <c r="BI124" s="84">
        <f t="shared" si="49"/>
        <v>2.0599999999999999E-5</v>
      </c>
      <c r="BJ124" s="207">
        <f t="shared" si="50"/>
        <v>0</v>
      </c>
      <c r="BL124" s="123"/>
      <c r="BM124" s="123"/>
      <c r="BO124" s="173"/>
      <c r="BP124" s="174" t="str">
        <f t="shared" si="53"/>
        <v/>
      </c>
      <c r="BQ124" s="174" t="str">
        <f t="shared" si="54"/>
        <v/>
      </c>
      <c r="BR124" s="174" t="str">
        <f t="shared" si="55"/>
        <v/>
      </c>
      <c r="BS124" s="174" t="str">
        <f t="shared" si="56"/>
        <v/>
      </c>
      <c r="BT124" s="174" t="str">
        <f t="shared" si="57"/>
        <v/>
      </c>
      <c r="BU124" s="174" t="str">
        <f t="shared" si="58"/>
        <v/>
      </c>
      <c r="BV124" s="174" t="str">
        <f t="shared" si="59"/>
        <v/>
      </c>
      <c r="BW124" s="174" t="str">
        <f t="shared" si="60"/>
        <v/>
      </c>
      <c r="BX124" s="174" t="str">
        <f t="shared" si="61"/>
        <v/>
      </c>
      <c r="BY124" s="174" t="str">
        <f t="shared" si="62"/>
        <v/>
      </c>
      <c r="BZ124" s="174" t="str">
        <f t="shared" si="63"/>
        <v/>
      </c>
      <c r="CA124" s="174" t="str">
        <f t="shared" si="64"/>
        <v/>
      </c>
      <c r="CB124" s="161"/>
      <c r="CC124" s="161"/>
      <c r="CD124" s="161"/>
      <c r="CE124" s="161" t="s">
        <v>150</v>
      </c>
      <c r="CF124" s="161" t="s">
        <v>220</v>
      </c>
    </row>
    <row r="125" spans="1:84" ht="14.25" customHeight="1" x14ac:dyDescent="0.25">
      <c r="A125" s="203">
        <v>115</v>
      </c>
      <c r="B125" s="86"/>
      <c r="C125" s="193"/>
      <c r="D125" s="143"/>
      <c r="E125" s="308" t="s">
        <v>92</v>
      </c>
      <c r="F125" s="213"/>
      <c r="G125" s="214"/>
      <c r="H125" s="214"/>
      <c r="I125" s="214"/>
      <c r="J125" s="214"/>
      <c r="K125" s="214"/>
      <c r="L125" s="295">
        <f t="shared" si="65"/>
        <v>0</v>
      </c>
      <c r="M125" s="296"/>
      <c r="N125" s="297"/>
      <c r="O125" s="340"/>
      <c r="P125" s="311" t="s">
        <v>66</v>
      </c>
      <c r="Q125" s="213"/>
      <c r="R125" s="214"/>
      <c r="S125" s="214"/>
      <c r="T125" s="214"/>
      <c r="U125" s="214"/>
      <c r="V125" s="214"/>
      <c r="W125" s="295">
        <f t="shared" si="66"/>
        <v>0</v>
      </c>
      <c r="X125" s="296"/>
      <c r="Y125" s="297"/>
      <c r="Z125" s="346"/>
      <c r="AA125" s="314" t="s">
        <v>148</v>
      </c>
      <c r="AB125" s="13"/>
      <c r="AC125" s="222"/>
      <c r="AD125" s="222"/>
      <c r="AE125" s="222"/>
      <c r="AF125" s="222"/>
      <c r="AG125" s="5"/>
      <c r="AH125" s="20">
        <f t="shared" si="67"/>
        <v>0</v>
      </c>
      <c r="AI125" s="13"/>
      <c r="AJ125" s="5"/>
      <c r="AK125" s="343"/>
      <c r="AL125" s="100"/>
      <c r="AM125" s="98"/>
      <c r="AN125" s="226"/>
      <c r="AO125" s="225"/>
      <c r="AP125" s="89"/>
      <c r="AQ125" s="225"/>
      <c r="AR125" s="89"/>
      <c r="AS125" s="225"/>
      <c r="AT125" s="89"/>
      <c r="AU125" s="15">
        <f t="shared" si="41"/>
        <v>1.2499999999999999E-5</v>
      </c>
      <c r="AV125" s="15">
        <f t="shared" si="42"/>
        <v>0</v>
      </c>
      <c r="AW125" s="15"/>
      <c r="AX125" s="173">
        <v>115</v>
      </c>
      <c r="AY125" s="206">
        <f t="shared" si="43"/>
        <v>2.2099999999999998E-5</v>
      </c>
      <c r="AZ125" s="173">
        <f t="shared" si="44"/>
        <v>0</v>
      </c>
      <c r="BA125" s="233">
        <f t="shared" si="45"/>
        <v>1.2499999999999999E-5</v>
      </c>
      <c r="BB125" s="15">
        <f t="shared" si="51"/>
        <v>0</v>
      </c>
      <c r="BC125" s="173">
        <v>115</v>
      </c>
      <c r="BD125" s="84">
        <f t="shared" si="46"/>
        <v>2.05E-5</v>
      </c>
      <c r="BE125" s="207">
        <f t="shared" si="47"/>
        <v>0</v>
      </c>
      <c r="BF125" s="233">
        <f t="shared" si="48"/>
        <v>1.2499999999999999E-5</v>
      </c>
      <c r="BG125" s="15">
        <f t="shared" si="52"/>
        <v>0</v>
      </c>
      <c r="BH125" s="173">
        <v>115</v>
      </c>
      <c r="BI125" s="84">
        <f t="shared" si="49"/>
        <v>2.05E-5</v>
      </c>
      <c r="BJ125" s="207">
        <f t="shared" si="50"/>
        <v>0</v>
      </c>
      <c r="BL125" s="123"/>
      <c r="BM125" s="123"/>
      <c r="BO125" s="173"/>
      <c r="BP125" s="174" t="str">
        <f t="shared" si="53"/>
        <v/>
      </c>
      <c r="BQ125" s="174" t="str">
        <f t="shared" si="54"/>
        <v/>
      </c>
      <c r="BR125" s="174" t="str">
        <f t="shared" si="55"/>
        <v/>
      </c>
      <c r="BS125" s="174" t="str">
        <f t="shared" si="56"/>
        <v/>
      </c>
      <c r="BT125" s="174" t="str">
        <f t="shared" si="57"/>
        <v/>
      </c>
      <c r="BU125" s="174" t="str">
        <f t="shared" si="58"/>
        <v/>
      </c>
      <c r="BV125" s="174" t="str">
        <f t="shared" si="59"/>
        <v/>
      </c>
      <c r="BW125" s="174" t="str">
        <f t="shared" si="60"/>
        <v/>
      </c>
      <c r="BX125" s="174" t="str">
        <f t="shared" si="61"/>
        <v/>
      </c>
      <c r="BY125" s="174" t="str">
        <f t="shared" si="62"/>
        <v/>
      </c>
      <c r="BZ125" s="174" t="str">
        <f t="shared" si="63"/>
        <v/>
      </c>
      <c r="CA125" s="174" t="str">
        <f t="shared" si="64"/>
        <v/>
      </c>
      <c r="CB125" s="161"/>
      <c r="CC125" s="161"/>
      <c r="CD125" s="161"/>
      <c r="CE125" s="161" t="s">
        <v>150</v>
      </c>
      <c r="CF125" s="161" t="s">
        <v>220</v>
      </c>
    </row>
    <row r="126" spans="1:84" ht="14.25" customHeight="1" x14ac:dyDescent="0.25">
      <c r="A126" s="204">
        <v>116</v>
      </c>
      <c r="B126" s="211"/>
      <c r="C126" s="194"/>
      <c r="D126" s="142"/>
      <c r="E126" s="309" t="s">
        <v>92</v>
      </c>
      <c r="F126" s="305"/>
      <c r="G126" s="306"/>
      <c r="H126" s="306"/>
      <c r="I126" s="306"/>
      <c r="J126" s="306"/>
      <c r="K126" s="306"/>
      <c r="L126" s="223">
        <f t="shared" si="65"/>
        <v>0</v>
      </c>
      <c r="M126" s="298"/>
      <c r="N126" s="299"/>
      <c r="O126" s="341"/>
      <c r="P126" s="312" t="s">
        <v>66</v>
      </c>
      <c r="Q126" s="305"/>
      <c r="R126" s="306"/>
      <c r="S126" s="306"/>
      <c r="T126" s="306"/>
      <c r="U126" s="306"/>
      <c r="V126" s="306"/>
      <c r="W126" s="223">
        <f t="shared" si="66"/>
        <v>0</v>
      </c>
      <c r="X126" s="298"/>
      <c r="Y126" s="299"/>
      <c r="Z126" s="341"/>
      <c r="AA126" s="312" t="s">
        <v>86</v>
      </c>
      <c r="AB126" s="77"/>
      <c r="AC126" s="319"/>
      <c r="AD126" s="319"/>
      <c r="AE126" s="319"/>
      <c r="AF126" s="319"/>
      <c r="AG126" s="320"/>
      <c r="AH126" s="20">
        <f t="shared" si="67"/>
        <v>0</v>
      </c>
      <c r="AI126" s="77"/>
      <c r="AJ126" s="320"/>
      <c r="AK126" s="344"/>
      <c r="AL126" s="101"/>
      <c r="AM126" s="209"/>
      <c r="AN126" s="208"/>
      <c r="AO126" s="220"/>
      <c r="AP126" s="212"/>
      <c r="AQ126" s="220"/>
      <c r="AR126" s="212"/>
      <c r="AS126" s="220"/>
      <c r="AT126" s="212"/>
      <c r="AU126" s="15">
        <f t="shared" si="41"/>
        <v>1.26E-5</v>
      </c>
      <c r="AV126" s="15">
        <f t="shared" si="42"/>
        <v>0</v>
      </c>
      <c r="AW126" s="15"/>
      <c r="AX126" s="173">
        <v>116</v>
      </c>
      <c r="AY126" s="206">
        <f t="shared" si="43"/>
        <v>2.1999999999999999E-5</v>
      </c>
      <c r="AZ126" s="173">
        <f t="shared" si="44"/>
        <v>0</v>
      </c>
      <c r="BA126" s="233">
        <f t="shared" si="45"/>
        <v>1.26E-5</v>
      </c>
      <c r="BB126" s="15">
        <f t="shared" si="51"/>
        <v>0</v>
      </c>
      <c r="BC126" s="173">
        <v>116</v>
      </c>
      <c r="BD126" s="84">
        <f t="shared" si="46"/>
        <v>2.0399999999999998E-5</v>
      </c>
      <c r="BE126" s="207">
        <f t="shared" si="47"/>
        <v>0</v>
      </c>
      <c r="BF126" s="233">
        <f t="shared" si="48"/>
        <v>1.26E-5</v>
      </c>
      <c r="BG126" s="15">
        <f t="shared" si="52"/>
        <v>0</v>
      </c>
      <c r="BH126" s="173">
        <v>116</v>
      </c>
      <c r="BI126" s="84">
        <f t="shared" si="49"/>
        <v>2.0399999999999998E-5</v>
      </c>
      <c r="BJ126" s="207">
        <f t="shared" si="50"/>
        <v>0</v>
      </c>
      <c r="BL126" s="123"/>
      <c r="BM126" s="123"/>
      <c r="BO126" s="173"/>
      <c r="BP126" s="174" t="str">
        <f t="shared" si="53"/>
        <v/>
      </c>
      <c r="BQ126" s="174" t="str">
        <f t="shared" si="54"/>
        <v/>
      </c>
      <c r="BR126" s="174" t="str">
        <f t="shared" si="55"/>
        <v/>
      </c>
      <c r="BS126" s="174" t="str">
        <f t="shared" si="56"/>
        <v/>
      </c>
      <c r="BT126" s="174" t="str">
        <f t="shared" si="57"/>
        <v/>
      </c>
      <c r="BU126" s="174" t="str">
        <f t="shared" si="58"/>
        <v/>
      </c>
      <c r="BV126" s="174" t="str">
        <f t="shared" si="59"/>
        <v/>
      </c>
      <c r="BW126" s="174" t="str">
        <f t="shared" si="60"/>
        <v/>
      </c>
      <c r="BX126" s="174" t="str">
        <f t="shared" si="61"/>
        <v/>
      </c>
      <c r="BY126" s="174" t="str">
        <f t="shared" si="62"/>
        <v/>
      </c>
      <c r="BZ126" s="174" t="str">
        <f t="shared" si="63"/>
        <v/>
      </c>
      <c r="CA126" s="174" t="str">
        <f t="shared" si="64"/>
        <v/>
      </c>
      <c r="CB126" s="161"/>
      <c r="CC126" s="161"/>
      <c r="CD126" s="161"/>
      <c r="CE126" s="161" t="s">
        <v>150</v>
      </c>
      <c r="CF126" s="161" t="s">
        <v>220</v>
      </c>
    </row>
    <row r="127" spans="1:84" ht="14.25" customHeight="1" thickBot="1" x14ac:dyDescent="0.3">
      <c r="A127" s="205">
        <v>117</v>
      </c>
      <c r="B127" s="85"/>
      <c r="C127" s="195"/>
      <c r="D127" s="91"/>
      <c r="E127" s="310" t="s">
        <v>92</v>
      </c>
      <c r="F127" s="93"/>
      <c r="G127" s="97"/>
      <c r="H127" s="97"/>
      <c r="I127" s="97"/>
      <c r="J127" s="97"/>
      <c r="K127" s="97"/>
      <c r="L127" s="224">
        <f t="shared" si="65"/>
        <v>0</v>
      </c>
      <c r="M127" s="300"/>
      <c r="N127" s="301"/>
      <c r="O127" s="342"/>
      <c r="P127" s="313" t="s">
        <v>66</v>
      </c>
      <c r="Q127" s="93"/>
      <c r="R127" s="97"/>
      <c r="S127" s="97"/>
      <c r="T127" s="97"/>
      <c r="U127" s="97"/>
      <c r="V127" s="97"/>
      <c r="W127" s="224">
        <f t="shared" si="66"/>
        <v>0</v>
      </c>
      <c r="X127" s="300"/>
      <c r="Y127" s="301"/>
      <c r="Z127" s="342"/>
      <c r="AA127" s="313" t="s">
        <v>86</v>
      </c>
      <c r="AB127" s="78"/>
      <c r="AC127" s="321"/>
      <c r="AD127" s="321"/>
      <c r="AE127" s="321"/>
      <c r="AF127" s="321"/>
      <c r="AG127" s="322"/>
      <c r="AH127" s="88">
        <f t="shared" si="67"/>
        <v>0</v>
      </c>
      <c r="AI127" s="78"/>
      <c r="AJ127" s="322"/>
      <c r="AK127" s="345"/>
      <c r="AL127" s="102"/>
      <c r="AM127" s="99"/>
      <c r="AN127" s="227"/>
      <c r="AO127" s="221"/>
      <c r="AP127" s="90"/>
      <c r="AQ127" s="221"/>
      <c r="AR127" s="90"/>
      <c r="AS127" s="221"/>
      <c r="AT127" s="90"/>
      <c r="AU127" s="15">
        <f t="shared" si="41"/>
        <v>1.2699999999999999E-5</v>
      </c>
      <c r="AV127" s="15">
        <f t="shared" si="42"/>
        <v>0</v>
      </c>
      <c r="AW127" s="15"/>
      <c r="AX127" s="173">
        <v>117</v>
      </c>
      <c r="AY127" s="206">
        <f t="shared" si="43"/>
        <v>2.19E-5</v>
      </c>
      <c r="AZ127" s="173">
        <f t="shared" si="44"/>
        <v>0</v>
      </c>
      <c r="BA127" s="233">
        <f t="shared" si="45"/>
        <v>1.2699999999999999E-5</v>
      </c>
      <c r="BB127" s="15">
        <f t="shared" si="51"/>
        <v>0</v>
      </c>
      <c r="BC127" s="173">
        <v>117</v>
      </c>
      <c r="BD127" s="84">
        <f t="shared" si="46"/>
        <v>2.0299999999999999E-5</v>
      </c>
      <c r="BE127" s="207">
        <f t="shared" si="47"/>
        <v>0</v>
      </c>
      <c r="BF127" s="233">
        <f t="shared" si="48"/>
        <v>1.2699999999999999E-5</v>
      </c>
      <c r="BG127" s="15">
        <f t="shared" si="52"/>
        <v>0</v>
      </c>
      <c r="BH127" s="173">
        <v>117</v>
      </c>
      <c r="BI127" s="84">
        <f t="shared" si="49"/>
        <v>2.0299999999999999E-5</v>
      </c>
      <c r="BJ127" s="207">
        <f t="shared" si="50"/>
        <v>0</v>
      </c>
      <c r="BL127" s="123"/>
      <c r="BM127" s="123"/>
      <c r="BO127" s="173"/>
      <c r="BP127" s="174" t="str">
        <f t="shared" si="53"/>
        <v/>
      </c>
      <c r="BQ127" s="174" t="str">
        <f t="shared" si="54"/>
        <v/>
      </c>
      <c r="BR127" s="174" t="str">
        <f t="shared" si="55"/>
        <v/>
      </c>
      <c r="BS127" s="174" t="str">
        <f t="shared" si="56"/>
        <v/>
      </c>
      <c r="BT127" s="174" t="str">
        <f t="shared" si="57"/>
        <v/>
      </c>
      <c r="BU127" s="174" t="str">
        <f t="shared" si="58"/>
        <v/>
      </c>
      <c r="BV127" s="174" t="str">
        <f t="shared" si="59"/>
        <v/>
      </c>
      <c r="BW127" s="174" t="str">
        <f t="shared" si="60"/>
        <v/>
      </c>
      <c r="BX127" s="174" t="str">
        <f t="shared" si="61"/>
        <v/>
      </c>
      <c r="BY127" s="174" t="str">
        <f t="shared" si="62"/>
        <v/>
      </c>
      <c r="BZ127" s="174" t="str">
        <f t="shared" si="63"/>
        <v/>
      </c>
      <c r="CA127" s="174" t="str">
        <f t="shared" si="64"/>
        <v/>
      </c>
      <c r="CB127" s="161"/>
      <c r="CC127" s="161"/>
      <c r="CD127" s="161"/>
      <c r="CE127" s="161" t="s">
        <v>150</v>
      </c>
      <c r="CF127" s="161" t="s">
        <v>220</v>
      </c>
    </row>
    <row r="128" spans="1:84" ht="14.25" customHeight="1" x14ac:dyDescent="0.25">
      <c r="A128" s="203">
        <v>118</v>
      </c>
      <c r="B128" s="86"/>
      <c r="C128" s="193"/>
      <c r="D128" s="143"/>
      <c r="E128" s="308" t="s">
        <v>92</v>
      </c>
      <c r="F128" s="213"/>
      <c r="G128" s="214"/>
      <c r="H128" s="214"/>
      <c r="I128" s="214"/>
      <c r="J128" s="214"/>
      <c r="K128" s="214"/>
      <c r="L128" s="295">
        <f t="shared" si="65"/>
        <v>0</v>
      </c>
      <c r="M128" s="296"/>
      <c r="N128" s="297"/>
      <c r="O128" s="340"/>
      <c r="P128" s="311" t="s">
        <v>66</v>
      </c>
      <c r="Q128" s="213"/>
      <c r="R128" s="214"/>
      <c r="S128" s="214"/>
      <c r="T128" s="214"/>
      <c r="U128" s="214"/>
      <c r="V128" s="214"/>
      <c r="W128" s="295">
        <f t="shared" si="66"/>
        <v>0</v>
      </c>
      <c r="X128" s="296"/>
      <c r="Y128" s="297"/>
      <c r="Z128" s="346"/>
      <c r="AA128" s="314" t="s">
        <v>148</v>
      </c>
      <c r="AB128" s="13"/>
      <c r="AC128" s="222"/>
      <c r="AD128" s="222"/>
      <c r="AE128" s="222"/>
      <c r="AF128" s="222"/>
      <c r="AG128" s="5"/>
      <c r="AH128" s="20">
        <f t="shared" si="67"/>
        <v>0</v>
      </c>
      <c r="AI128" s="13"/>
      <c r="AJ128" s="5"/>
      <c r="AK128" s="343"/>
      <c r="AL128" s="100"/>
      <c r="AM128" s="98"/>
      <c r="AN128" s="226"/>
      <c r="AO128" s="225"/>
      <c r="AP128" s="89"/>
      <c r="AQ128" s="225"/>
      <c r="AR128" s="89"/>
      <c r="AS128" s="225"/>
      <c r="AT128" s="89"/>
      <c r="AU128" s="15">
        <f t="shared" si="41"/>
        <v>1.2799999999999999E-5</v>
      </c>
      <c r="AV128" s="15">
        <f t="shared" si="42"/>
        <v>0</v>
      </c>
      <c r="AW128" s="15"/>
      <c r="AX128" s="173">
        <v>118</v>
      </c>
      <c r="AY128" s="206">
        <f t="shared" si="43"/>
        <v>2.1799999999999998E-5</v>
      </c>
      <c r="AZ128" s="173">
        <f t="shared" si="44"/>
        <v>0</v>
      </c>
      <c r="BA128" s="233">
        <f t="shared" si="45"/>
        <v>1.2799999999999999E-5</v>
      </c>
      <c r="BB128" s="15">
        <f t="shared" si="51"/>
        <v>0</v>
      </c>
      <c r="BC128" s="173">
        <v>118</v>
      </c>
      <c r="BD128" s="84">
        <f t="shared" si="46"/>
        <v>2.02E-5</v>
      </c>
      <c r="BE128" s="207">
        <f t="shared" si="47"/>
        <v>0</v>
      </c>
      <c r="BF128" s="233">
        <f t="shared" si="48"/>
        <v>1.2799999999999999E-5</v>
      </c>
      <c r="BG128" s="15">
        <f t="shared" si="52"/>
        <v>0</v>
      </c>
      <c r="BH128" s="173">
        <v>118</v>
      </c>
      <c r="BI128" s="84">
        <f t="shared" si="49"/>
        <v>2.02E-5</v>
      </c>
      <c r="BJ128" s="207">
        <f t="shared" si="50"/>
        <v>0</v>
      </c>
      <c r="BL128" s="123"/>
      <c r="BM128" s="123"/>
      <c r="BO128" s="173"/>
      <c r="BP128" s="174" t="str">
        <f t="shared" si="53"/>
        <v/>
      </c>
      <c r="BQ128" s="174" t="str">
        <f t="shared" si="54"/>
        <v/>
      </c>
      <c r="BR128" s="174" t="str">
        <f t="shared" si="55"/>
        <v/>
      </c>
      <c r="BS128" s="174" t="str">
        <f t="shared" si="56"/>
        <v/>
      </c>
      <c r="BT128" s="174" t="str">
        <f t="shared" si="57"/>
        <v/>
      </c>
      <c r="BU128" s="174" t="str">
        <f t="shared" si="58"/>
        <v/>
      </c>
      <c r="BV128" s="174" t="str">
        <f t="shared" si="59"/>
        <v/>
      </c>
      <c r="BW128" s="174" t="str">
        <f t="shared" si="60"/>
        <v/>
      </c>
      <c r="BX128" s="174" t="str">
        <f t="shared" si="61"/>
        <v/>
      </c>
      <c r="BY128" s="174" t="str">
        <f t="shared" si="62"/>
        <v/>
      </c>
      <c r="BZ128" s="174" t="str">
        <f t="shared" si="63"/>
        <v/>
      </c>
      <c r="CA128" s="174" t="str">
        <f t="shared" si="64"/>
        <v/>
      </c>
      <c r="CB128" s="161"/>
      <c r="CC128" s="161"/>
      <c r="CD128" s="161"/>
      <c r="CE128" s="161" t="s">
        <v>150</v>
      </c>
      <c r="CF128" s="161" t="s">
        <v>220</v>
      </c>
    </row>
    <row r="129" spans="1:84" ht="14.25" customHeight="1" x14ac:dyDescent="0.25">
      <c r="A129" s="204">
        <v>119</v>
      </c>
      <c r="B129" s="211"/>
      <c r="C129" s="194"/>
      <c r="D129" s="142"/>
      <c r="E129" s="309" t="s">
        <v>92</v>
      </c>
      <c r="F129" s="305"/>
      <c r="G129" s="306"/>
      <c r="H129" s="306"/>
      <c r="I129" s="306"/>
      <c r="J129" s="306"/>
      <c r="K129" s="306"/>
      <c r="L129" s="223">
        <f t="shared" si="65"/>
        <v>0</v>
      </c>
      <c r="M129" s="298"/>
      <c r="N129" s="299"/>
      <c r="O129" s="341"/>
      <c r="P129" s="312" t="s">
        <v>66</v>
      </c>
      <c r="Q129" s="305"/>
      <c r="R129" s="306"/>
      <c r="S129" s="306"/>
      <c r="T129" s="306"/>
      <c r="U129" s="306"/>
      <c r="V129" s="306"/>
      <c r="W129" s="223">
        <f t="shared" si="66"/>
        <v>0</v>
      </c>
      <c r="X129" s="298"/>
      <c r="Y129" s="299"/>
      <c r="Z129" s="341"/>
      <c r="AA129" s="312" t="s">
        <v>86</v>
      </c>
      <c r="AB129" s="77"/>
      <c r="AC129" s="319"/>
      <c r="AD129" s="319"/>
      <c r="AE129" s="319"/>
      <c r="AF129" s="319"/>
      <c r="AG129" s="320"/>
      <c r="AH129" s="20">
        <f t="shared" si="67"/>
        <v>0</v>
      </c>
      <c r="AI129" s="77"/>
      <c r="AJ129" s="320"/>
      <c r="AK129" s="344"/>
      <c r="AL129" s="101"/>
      <c r="AM129" s="209"/>
      <c r="AN129" s="208"/>
      <c r="AO129" s="220"/>
      <c r="AP129" s="212"/>
      <c r="AQ129" s="220"/>
      <c r="AR129" s="212"/>
      <c r="AS129" s="220"/>
      <c r="AT129" s="212"/>
      <c r="AU129" s="15">
        <f t="shared" si="41"/>
        <v>1.29E-5</v>
      </c>
      <c r="AV129" s="15">
        <f t="shared" si="42"/>
        <v>0</v>
      </c>
      <c r="AW129" s="15"/>
      <c r="AX129" s="173">
        <v>119</v>
      </c>
      <c r="AY129" s="206">
        <f t="shared" si="43"/>
        <v>2.1699999999999999E-5</v>
      </c>
      <c r="AZ129" s="173">
        <f t="shared" si="44"/>
        <v>0</v>
      </c>
      <c r="BA129" s="233">
        <f t="shared" si="45"/>
        <v>1.29E-5</v>
      </c>
      <c r="BB129" s="15">
        <f t="shared" si="51"/>
        <v>0</v>
      </c>
      <c r="BC129" s="173">
        <v>119</v>
      </c>
      <c r="BD129" s="84">
        <f t="shared" si="46"/>
        <v>2.0100000000000001E-5</v>
      </c>
      <c r="BE129" s="207">
        <f t="shared" si="47"/>
        <v>0</v>
      </c>
      <c r="BF129" s="233">
        <f t="shared" si="48"/>
        <v>1.29E-5</v>
      </c>
      <c r="BG129" s="15">
        <f t="shared" si="52"/>
        <v>0</v>
      </c>
      <c r="BH129" s="173">
        <v>119</v>
      </c>
      <c r="BI129" s="84">
        <f t="shared" si="49"/>
        <v>2.0100000000000001E-5</v>
      </c>
      <c r="BJ129" s="207">
        <f t="shared" si="50"/>
        <v>0</v>
      </c>
      <c r="BL129" s="123"/>
      <c r="BM129" s="123"/>
      <c r="BO129" s="173"/>
      <c r="BP129" s="174" t="str">
        <f t="shared" si="53"/>
        <v/>
      </c>
      <c r="BQ129" s="174" t="str">
        <f t="shared" si="54"/>
        <v/>
      </c>
      <c r="BR129" s="174" t="str">
        <f t="shared" si="55"/>
        <v/>
      </c>
      <c r="BS129" s="174" t="str">
        <f t="shared" si="56"/>
        <v/>
      </c>
      <c r="BT129" s="174" t="str">
        <f t="shared" si="57"/>
        <v/>
      </c>
      <c r="BU129" s="174" t="str">
        <f t="shared" si="58"/>
        <v/>
      </c>
      <c r="BV129" s="174" t="str">
        <f t="shared" si="59"/>
        <v/>
      </c>
      <c r="BW129" s="174" t="str">
        <f t="shared" si="60"/>
        <v/>
      </c>
      <c r="BX129" s="174" t="str">
        <f t="shared" si="61"/>
        <v/>
      </c>
      <c r="BY129" s="174" t="str">
        <f t="shared" si="62"/>
        <v/>
      </c>
      <c r="BZ129" s="174" t="str">
        <f t="shared" si="63"/>
        <v/>
      </c>
      <c r="CA129" s="174" t="str">
        <f t="shared" si="64"/>
        <v/>
      </c>
      <c r="CB129" s="161"/>
      <c r="CC129" s="161"/>
      <c r="CD129" s="161"/>
      <c r="CE129" s="161" t="s">
        <v>150</v>
      </c>
      <c r="CF129" s="161" t="s">
        <v>220</v>
      </c>
    </row>
    <row r="130" spans="1:84" ht="14.25" customHeight="1" thickBot="1" x14ac:dyDescent="0.3">
      <c r="A130" s="205">
        <v>120</v>
      </c>
      <c r="B130" s="85"/>
      <c r="C130" s="195"/>
      <c r="D130" s="91"/>
      <c r="E130" s="310" t="s">
        <v>92</v>
      </c>
      <c r="F130" s="93"/>
      <c r="G130" s="97"/>
      <c r="H130" s="97"/>
      <c r="I130" s="97"/>
      <c r="J130" s="97"/>
      <c r="K130" s="97"/>
      <c r="L130" s="224">
        <f t="shared" si="65"/>
        <v>0</v>
      </c>
      <c r="M130" s="300"/>
      <c r="N130" s="301"/>
      <c r="O130" s="342"/>
      <c r="P130" s="313" t="s">
        <v>66</v>
      </c>
      <c r="Q130" s="93"/>
      <c r="R130" s="97"/>
      <c r="S130" s="97"/>
      <c r="T130" s="97"/>
      <c r="U130" s="97"/>
      <c r="V130" s="97"/>
      <c r="W130" s="224">
        <f t="shared" si="66"/>
        <v>0</v>
      </c>
      <c r="X130" s="300"/>
      <c r="Y130" s="301"/>
      <c r="Z130" s="342"/>
      <c r="AA130" s="313" t="s">
        <v>86</v>
      </c>
      <c r="AB130" s="78"/>
      <c r="AC130" s="321"/>
      <c r="AD130" s="321"/>
      <c r="AE130" s="321"/>
      <c r="AF130" s="321"/>
      <c r="AG130" s="322"/>
      <c r="AH130" s="88">
        <f t="shared" si="67"/>
        <v>0</v>
      </c>
      <c r="AI130" s="78"/>
      <c r="AJ130" s="322"/>
      <c r="AK130" s="345"/>
      <c r="AL130" s="102"/>
      <c r="AM130" s="99"/>
      <c r="AN130" s="227"/>
      <c r="AO130" s="221"/>
      <c r="AP130" s="90"/>
      <c r="AQ130" s="221"/>
      <c r="AR130" s="90"/>
      <c r="AS130" s="221"/>
      <c r="AT130" s="90"/>
      <c r="AU130" s="15">
        <f t="shared" si="41"/>
        <v>1.2999999999999999E-5</v>
      </c>
      <c r="AV130" s="15">
        <f t="shared" si="42"/>
        <v>0</v>
      </c>
      <c r="AW130" s="15"/>
      <c r="AX130" s="173">
        <v>120</v>
      </c>
      <c r="AY130" s="206">
        <f t="shared" si="43"/>
        <v>2.16E-5</v>
      </c>
      <c r="AZ130" s="173">
        <f t="shared" si="44"/>
        <v>0</v>
      </c>
      <c r="BA130" s="233">
        <f t="shared" si="45"/>
        <v>1.2999999999999999E-5</v>
      </c>
      <c r="BB130" s="15">
        <f t="shared" si="51"/>
        <v>0</v>
      </c>
      <c r="BC130" s="173">
        <v>120</v>
      </c>
      <c r="BD130" s="84">
        <f t="shared" si="46"/>
        <v>1.9999999999999998E-5</v>
      </c>
      <c r="BE130" s="207">
        <f t="shared" si="47"/>
        <v>0</v>
      </c>
      <c r="BF130" s="233">
        <f t="shared" si="48"/>
        <v>1.2999999999999999E-5</v>
      </c>
      <c r="BG130" s="15">
        <f t="shared" si="52"/>
        <v>0</v>
      </c>
      <c r="BH130" s="173">
        <v>120</v>
      </c>
      <c r="BI130" s="84">
        <f t="shared" si="49"/>
        <v>1.9999999999999998E-5</v>
      </c>
      <c r="BJ130" s="207">
        <f t="shared" si="50"/>
        <v>0</v>
      </c>
      <c r="BL130" s="123"/>
      <c r="BM130" s="123"/>
      <c r="BO130" s="173"/>
      <c r="BP130" s="174" t="str">
        <f t="shared" si="53"/>
        <v/>
      </c>
      <c r="BQ130" s="174" t="str">
        <f t="shared" si="54"/>
        <v/>
      </c>
      <c r="BR130" s="174" t="str">
        <f t="shared" si="55"/>
        <v/>
      </c>
      <c r="BS130" s="174" t="str">
        <f t="shared" si="56"/>
        <v/>
      </c>
      <c r="BT130" s="174" t="str">
        <f t="shared" si="57"/>
        <v/>
      </c>
      <c r="BU130" s="174" t="str">
        <f t="shared" si="58"/>
        <v/>
      </c>
      <c r="BV130" s="174" t="str">
        <f t="shared" si="59"/>
        <v/>
      </c>
      <c r="BW130" s="174" t="str">
        <f t="shared" si="60"/>
        <v/>
      </c>
      <c r="BX130" s="174" t="str">
        <f t="shared" si="61"/>
        <v/>
      </c>
      <c r="BY130" s="174" t="str">
        <f t="shared" si="62"/>
        <v/>
      </c>
      <c r="BZ130" s="174" t="str">
        <f t="shared" si="63"/>
        <v/>
      </c>
      <c r="CA130" s="174" t="str">
        <f t="shared" si="64"/>
        <v/>
      </c>
      <c r="CB130" s="161"/>
      <c r="CC130" s="161"/>
      <c r="CD130" s="161"/>
      <c r="CE130" s="161" t="s">
        <v>150</v>
      </c>
      <c r="CF130" s="161" t="s">
        <v>220</v>
      </c>
    </row>
    <row r="131" spans="1:84" ht="14.25" customHeight="1" x14ac:dyDescent="0.25">
      <c r="A131" s="203">
        <v>121</v>
      </c>
      <c r="B131" s="86"/>
      <c r="C131" s="193"/>
      <c r="D131" s="143"/>
      <c r="E131" s="308" t="s">
        <v>92</v>
      </c>
      <c r="F131" s="213"/>
      <c r="G131" s="214"/>
      <c r="H131" s="214"/>
      <c r="I131" s="214"/>
      <c r="J131" s="214"/>
      <c r="K131" s="214"/>
      <c r="L131" s="295">
        <f t="shared" si="65"/>
        <v>0</v>
      </c>
      <c r="M131" s="296"/>
      <c r="N131" s="297"/>
      <c r="O131" s="340"/>
      <c r="P131" s="311" t="s">
        <v>66</v>
      </c>
      <c r="Q131" s="213"/>
      <c r="R131" s="214"/>
      <c r="S131" s="214"/>
      <c r="T131" s="214"/>
      <c r="U131" s="214"/>
      <c r="V131" s="214"/>
      <c r="W131" s="295">
        <f t="shared" si="66"/>
        <v>0</v>
      </c>
      <c r="X131" s="296"/>
      <c r="Y131" s="297"/>
      <c r="Z131" s="346"/>
      <c r="AA131" s="314" t="s">
        <v>148</v>
      </c>
      <c r="AB131" s="13"/>
      <c r="AC131" s="222"/>
      <c r="AD131" s="222"/>
      <c r="AE131" s="222"/>
      <c r="AF131" s="222"/>
      <c r="AG131" s="5"/>
      <c r="AH131" s="20">
        <f t="shared" si="67"/>
        <v>0</v>
      </c>
      <c r="AI131" s="13"/>
      <c r="AJ131" s="5"/>
      <c r="AK131" s="343"/>
      <c r="AL131" s="100"/>
      <c r="AM131" s="98"/>
      <c r="AN131" s="226"/>
      <c r="AO131" s="225"/>
      <c r="AP131" s="89"/>
      <c r="AQ131" s="225"/>
      <c r="AR131" s="89"/>
      <c r="AS131" s="225"/>
      <c r="AT131" s="89"/>
      <c r="AU131" s="15">
        <f t="shared" si="41"/>
        <v>1.31E-5</v>
      </c>
      <c r="AV131" s="15">
        <f t="shared" si="42"/>
        <v>0</v>
      </c>
      <c r="AW131" s="15"/>
      <c r="AX131" s="173">
        <v>121</v>
      </c>
      <c r="AY131" s="206">
        <f t="shared" si="43"/>
        <v>2.1499999999999997E-5</v>
      </c>
      <c r="AZ131" s="173">
        <f t="shared" si="44"/>
        <v>0</v>
      </c>
      <c r="BA131" s="233">
        <f t="shared" si="45"/>
        <v>1.31E-5</v>
      </c>
      <c r="BB131" s="15">
        <f t="shared" si="51"/>
        <v>0</v>
      </c>
      <c r="BC131" s="173">
        <v>121</v>
      </c>
      <c r="BD131" s="84">
        <f t="shared" si="46"/>
        <v>1.9899999999999999E-5</v>
      </c>
      <c r="BE131" s="207">
        <f t="shared" si="47"/>
        <v>0</v>
      </c>
      <c r="BF131" s="233">
        <f t="shared" si="48"/>
        <v>1.31E-5</v>
      </c>
      <c r="BG131" s="15">
        <f t="shared" si="52"/>
        <v>0</v>
      </c>
      <c r="BH131" s="173">
        <v>121</v>
      </c>
      <c r="BI131" s="84">
        <f t="shared" si="49"/>
        <v>1.9899999999999999E-5</v>
      </c>
      <c r="BJ131" s="207">
        <f t="shared" si="50"/>
        <v>0</v>
      </c>
      <c r="BL131" s="123"/>
      <c r="BM131" s="123"/>
      <c r="BO131" s="173"/>
      <c r="BP131" s="174" t="str">
        <f t="shared" si="53"/>
        <v/>
      </c>
      <c r="BQ131" s="174" t="str">
        <f t="shared" si="54"/>
        <v/>
      </c>
      <c r="BR131" s="174" t="str">
        <f t="shared" si="55"/>
        <v/>
      </c>
      <c r="BS131" s="174" t="str">
        <f t="shared" si="56"/>
        <v/>
      </c>
      <c r="BT131" s="174" t="str">
        <f t="shared" si="57"/>
        <v/>
      </c>
      <c r="BU131" s="174" t="str">
        <f t="shared" si="58"/>
        <v/>
      </c>
      <c r="BV131" s="174" t="str">
        <f t="shared" si="59"/>
        <v/>
      </c>
      <c r="BW131" s="174" t="str">
        <f t="shared" si="60"/>
        <v/>
      </c>
      <c r="BX131" s="174" t="str">
        <f t="shared" si="61"/>
        <v/>
      </c>
      <c r="BY131" s="174" t="str">
        <f t="shared" si="62"/>
        <v/>
      </c>
      <c r="BZ131" s="174" t="str">
        <f t="shared" si="63"/>
        <v/>
      </c>
      <c r="CA131" s="174" t="str">
        <f t="shared" si="64"/>
        <v/>
      </c>
      <c r="CB131" s="161"/>
      <c r="CC131" s="161"/>
      <c r="CD131" s="161"/>
      <c r="CE131" s="161" t="s">
        <v>150</v>
      </c>
      <c r="CF131" s="161" t="s">
        <v>220</v>
      </c>
    </row>
    <row r="132" spans="1:84" ht="14.25" customHeight="1" x14ac:dyDescent="0.25">
      <c r="A132" s="204">
        <v>122</v>
      </c>
      <c r="B132" s="211"/>
      <c r="C132" s="194"/>
      <c r="D132" s="142"/>
      <c r="E132" s="309" t="s">
        <v>92</v>
      </c>
      <c r="F132" s="305"/>
      <c r="G132" s="306"/>
      <c r="H132" s="306"/>
      <c r="I132" s="306"/>
      <c r="J132" s="306"/>
      <c r="K132" s="306"/>
      <c r="L132" s="223">
        <f t="shared" si="65"/>
        <v>0</v>
      </c>
      <c r="M132" s="298"/>
      <c r="N132" s="299"/>
      <c r="O132" s="341"/>
      <c r="P132" s="312" t="s">
        <v>66</v>
      </c>
      <c r="Q132" s="305"/>
      <c r="R132" s="306"/>
      <c r="S132" s="306"/>
      <c r="T132" s="306"/>
      <c r="U132" s="306"/>
      <c r="V132" s="306"/>
      <c r="W132" s="223">
        <f t="shared" si="66"/>
        <v>0</v>
      </c>
      <c r="X132" s="298"/>
      <c r="Y132" s="299"/>
      <c r="Z132" s="341"/>
      <c r="AA132" s="312" t="s">
        <v>86</v>
      </c>
      <c r="AB132" s="77"/>
      <c r="AC132" s="319"/>
      <c r="AD132" s="319"/>
      <c r="AE132" s="319"/>
      <c r="AF132" s="319"/>
      <c r="AG132" s="320"/>
      <c r="AH132" s="20">
        <f t="shared" si="67"/>
        <v>0</v>
      </c>
      <c r="AI132" s="77"/>
      <c r="AJ132" s="320"/>
      <c r="AK132" s="344"/>
      <c r="AL132" s="101"/>
      <c r="AM132" s="209"/>
      <c r="AN132" s="208"/>
      <c r="AO132" s="220"/>
      <c r="AP132" s="212"/>
      <c r="AQ132" s="220"/>
      <c r="AR132" s="212"/>
      <c r="AS132" s="220"/>
      <c r="AT132" s="212"/>
      <c r="AU132" s="15">
        <f t="shared" si="41"/>
        <v>1.3199999999999999E-5</v>
      </c>
      <c r="AV132" s="15">
        <f t="shared" si="42"/>
        <v>0</v>
      </c>
      <c r="AW132" s="15"/>
      <c r="AX132" s="173">
        <v>122</v>
      </c>
      <c r="AY132" s="206">
        <f t="shared" si="43"/>
        <v>2.1399999999999998E-5</v>
      </c>
      <c r="AZ132" s="173">
        <f t="shared" si="44"/>
        <v>0</v>
      </c>
      <c r="BA132" s="233">
        <f t="shared" si="45"/>
        <v>1.3199999999999999E-5</v>
      </c>
      <c r="BB132" s="15">
        <f t="shared" si="51"/>
        <v>0</v>
      </c>
      <c r="BC132" s="173">
        <v>122</v>
      </c>
      <c r="BD132" s="84">
        <f t="shared" si="46"/>
        <v>1.98E-5</v>
      </c>
      <c r="BE132" s="207">
        <f t="shared" si="47"/>
        <v>0</v>
      </c>
      <c r="BF132" s="233">
        <f t="shared" si="48"/>
        <v>1.3199999999999999E-5</v>
      </c>
      <c r="BG132" s="15">
        <f t="shared" si="52"/>
        <v>0</v>
      </c>
      <c r="BH132" s="173">
        <v>122</v>
      </c>
      <c r="BI132" s="84">
        <f t="shared" si="49"/>
        <v>1.98E-5</v>
      </c>
      <c r="BJ132" s="207">
        <f t="shared" si="50"/>
        <v>0</v>
      </c>
      <c r="BL132" s="123"/>
      <c r="BM132" s="123"/>
      <c r="BO132" s="173"/>
      <c r="BP132" s="174" t="str">
        <f t="shared" si="53"/>
        <v/>
      </c>
      <c r="BQ132" s="174" t="str">
        <f t="shared" si="54"/>
        <v/>
      </c>
      <c r="BR132" s="174" t="str">
        <f t="shared" si="55"/>
        <v/>
      </c>
      <c r="BS132" s="174" t="str">
        <f t="shared" si="56"/>
        <v/>
      </c>
      <c r="BT132" s="174" t="str">
        <f t="shared" si="57"/>
        <v/>
      </c>
      <c r="BU132" s="174" t="str">
        <f t="shared" si="58"/>
        <v/>
      </c>
      <c r="BV132" s="174" t="str">
        <f t="shared" si="59"/>
        <v/>
      </c>
      <c r="BW132" s="174" t="str">
        <f t="shared" si="60"/>
        <v/>
      </c>
      <c r="BX132" s="174" t="str">
        <f t="shared" si="61"/>
        <v/>
      </c>
      <c r="BY132" s="174" t="str">
        <f t="shared" si="62"/>
        <v/>
      </c>
      <c r="BZ132" s="174" t="str">
        <f t="shared" si="63"/>
        <v/>
      </c>
      <c r="CA132" s="174" t="str">
        <f t="shared" si="64"/>
        <v/>
      </c>
      <c r="CB132" s="161"/>
      <c r="CC132" s="161"/>
      <c r="CD132" s="161"/>
      <c r="CE132" s="161" t="s">
        <v>150</v>
      </c>
      <c r="CF132" s="161" t="s">
        <v>220</v>
      </c>
    </row>
    <row r="133" spans="1:84" ht="14.25" customHeight="1" thickBot="1" x14ac:dyDescent="0.3">
      <c r="A133" s="205">
        <v>123</v>
      </c>
      <c r="B133" s="85"/>
      <c r="C133" s="195"/>
      <c r="D133" s="91"/>
      <c r="E133" s="310" t="s">
        <v>92</v>
      </c>
      <c r="F133" s="93"/>
      <c r="G133" s="97"/>
      <c r="H133" s="97"/>
      <c r="I133" s="97"/>
      <c r="J133" s="97"/>
      <c r="K133" s="97"/>
      <c r="L133" s="224">
        <f t="shared" si="65"/>
        <v>0</v>
      </c>
      <c r="M133" s="300"/>
      <c r="N133" s="301"/>
      <c r="O133" s="342"/>
      <c r="P133" s="313" t="s">
        <v>66</v>
      </c>
      <c r="Q133" s="93"/>
      <c r="R133" s="97"/>
      <c r="S133" s="97"/>
      <c r="T133" s="97"/>
      <c r="U133" s="97"/>
      <c r="V133" s="97"/>
      <c r="W133" s="224">
        <f t="shared" si="66"/>
        <v>0</v>
      </c>
      <c r="X133" s="300"/>
      <c r="Y133" s="301"/>
      <c r="Z133" s="342"/>
      <c r="AA133" s="313" t="s">
        <v>86</v>
      </c>
      <c r="AB133" s="78"/>
      <c r="AC133" s="321"/>
      <c r="AD133" s="321"/>
      <c r="AE133" s="321"/>
      <c r="AF133" s="321"/>
      <c r="AG133" s="322"/>
      <c r="AH133" s="88">
        <f t="shared" si="67"/>
        <v>0</v>
      </c>
      <c r="AI133" s="78"/>
      <c r="AJ133" s="322"/>
      <c r="AK133" s="345"/>
      <c r="AL133" s="102"/>
      <c r="AM133" s="99"/>
      <c r="AN133" s="227"/>
      <c r="AO133" s="221"/>
      <c r="AP133" s="90"/>
      <c r="AQ133" s="221"/>
      <c r="AR133" s="90"/>
      <c r="AS133" s="221"/>
      <c r="AT133" s="90"/>
      <c r="AU133" s="15">
        <f t="shared" si="41"/>
        <v>1.33E-5</v>
      </c>
      <c r="AV133" s="15">
        <f t="shared" si="42"/>
        <v>0</v>
      </c>
      <c r="AW133" s="15"/>
      <c r="AX133" s="173">
        <v>123</v>
      </c>
      <c r="AY133" s="206">
        <f t="shared" si="43"/>
        <v>2.1299999999999999E-5</v>
      </c>
      <c r="AZ133" s="173">
        <f t="shared" si="44"/>
        <v>0</v>
      </c>
      <c r="BA133" s="233">
        <f t="shared" si="45"/>
        <v>1.33E-5</v>
      </c>
      <c r="BB133" s="15">
        <f t="shared" si="51"/>
        <v>0</v>
      </c>
      <c r="BC133" s="173">
        <v>123</v>
      </c>
      <c r="BD133" s="84">
        <f t="shared" si="46"/>
        <v>1.9699999999999998E-5</v>
      </c>
      <c r="BE133" s="207">
        <f t="shared" si="47"/>
        <v>0</v>
      </c>
      <c r="BF133" s="233">
        <f t="shared" si="48"/>
        <v>1.33E-5</v>
      </c>
      <c r="BG133" s="15">
        <f t="shared" si="52"/>
        <v>0</v>
      </c>
      <c r="BH133" s="173">
        <v>123</v>
      </c>
      <c r="BI133" s="84">
        <f t="shared" si="49"/>
        <v>1.9699999999999998E-5</v>
      </c>
      <c r="BJ133" s="207">
        <f t="shared" si="50"/>
        <v>0</v>
      </c>
      <c r="BL133" s="123"/>
      <c r="BM133" s="123"/>
      <c r="BO133" s="173"/>
      <c r="BP133" s="174" t="str">
        <f t="shared" si="53"/>
        <v/>
      </c>
      <c r="BQ133" s="174" t="str">
        <f t="shared" si="54"/>
        <v/>
      </c>
      <c r="BR133" s="174" t="str">
        <f t="shared" si="55"/>
        <v/>
      </c>
      <c r="BS133" s="174" t="str">
        <f t="shared" si="56"/>
        <v/>
      </c>
      <c r="BT133" s="174" t="str">
        <f t="shared" si="57"/>
        <v/>
      </c>
      <c r="BU133" s="174" t="str">
        <f t="shared" si="58"/>
        <v/>
      </c>
      <c r="BV133" s="174" t="str">
        <f t="shared" si="59"/>
        <v/>
      </c>
      <c r="BW133" s="174" t="str">
        <f t="shared" si="60"/>
        <v/>
      </c>
      <c r="BX133" s="174" t="str">
        <f t="shared" si="61"/>
        <v/>
      </c>
      <c r="BY133" s="174" t="str">
        <f t="shared" si="62"/>
        <v/>
      </c>
      <c r="BZ133" s="174" t="str">
        <f t="shared" si="63"/>
        <v/>
      </c>
      <c r="CA133" s="174" t="str">
        <f t="shared" si="64"/>
        <v/>
      </c>
      <c r="CB133" s="161"/>
      <c r="CC133" s="161"/>
      <c r="CD133" s="161"/>
      <c r="CE133" s="161" t="s">
        <v>150</v>
      </c>
      <c r="CF133" s="161" t="s">
        <v>220</v>
      </c>
    </row>
    <row r="134" spans="1:84" ht="14.25" customHeight="1" x14ac:dyDescent="0.25">
      <c r="A134" s="203">
        <v>124</v>
      </c>
      <c r="B134" s="86"/>
      <c r="C134" s="193"/>
      <c r="D134" s="143"/>
      <c r="E134" s="308" t="s">
        <v>92</v>
      </c>
      <c r="F134" s="213"/>
      <c r="G134" s="214"/>
      <c r="H134" s="214"/>
      <c r="I134" s="214"/>
      <c r="J134" s="214"/>
      <c r="K134" s="214"/>
      <c r="L134" s="295">
        <f t="shared" si="65"/>
        <v>0</v>
      </c>
      <c r="M134" s="296"/>
      <c r="N134" s="297"/>
      <c r="O134" s="340"/>
      <c r="P134" s="311" t="s">
        <v>66</v>
      </c>
      <c r="Q134" s="213"/>
      <c r="R134" s="214"/>
      <c r="S134" s="214"/>
      <c r="T134" s="214"/>
      <c r="U134" s="214"/>
      <c r="V134" s="214"/>
      <c r="W134" s="295">
        <f t="shared" si="66"/>
        <v>0</v>
      </c>
      <c r="X134" s="296"/>
      <c r="Y134" s="297"/>
      <c r="Z134" s="346"/>
      <c r="AA134" s="314" t="s">
        <v>148</v>
      </c>
      <c r="AB134" s="13"/>
      <c r="AC134" s="222"/>
      <c r="AD134" s="222"/>
      <c r="AE134" s="222"/>
      <c r="AF134" s="222"/>
      <c r="AG134" s="5"/>
      <c r="AH134" s="20">
        <f t="shared" si="67"/>
        <v>0</v>
      </c>
      <c r="AI134" s="13"/>
      <c r="AJ134" s="5"/>
      <c r="AK134" s="343"/>
      <c r="AL134" s="100"/>
      <c r="AM134" s="98"/>
      <c r="AN134" s="226"/>
      <c r="AO134" s="225"/>
      <c r="AP134" s="89"/>
      <c r="AQ134" s="225"/>
      <c r="AR134" s="89"/>
      <c r="AS134" s="225"/>
      <c r="AT134" s="89"/>
      <c r="AU134" s="15">
        <f t="shared" si="41"/>
        <v>1.3399999999999999E-5</v>
      </c>
      <c r="AV134" s="15">
        <f t="shared" si="42"/>
        <v>0</v>
      </c>
      <c r="AW134" s="15"/>
      <c r="AX134" s="173">
        <v>124</v>
      </c>
      <c r="AY134" s="206">
        <f t="shared" si="43"/>
        <v>2.12E-5</v>
      </c>
      <c r="AZ134" s="173">
        <f t="shared" si="44"/>
        <v>0</v>
      </c>
      <c r="BA134" s="233">
        <f t="shared" si="45"/>
        <v>1.3399999999999999E-5</v>
      </c>
      <c r="BB134" s="15">
        <f t="shared" si="51"/>
        <v>0</v>
      </c>
      <c r="BC134" s="173">
        <v>124</v>
      </c>
      <c r="BD134" s="84">
        <f t="shared" si="46"/>
        <v>1.9599999999999999E-5</v>
      </c>
      <c r="BE134" s="207">
        <f t="shared" si="47"/>
        <v>0</v>
      </c>
      <c r="BF134" s="233">
        <f t="shared" si="48"/>
        <v>1.3399999999999999E-5</v>
      </c>
      <c r="BG134" s="15">
        <f t="shared" si="52"/>
        <v>0</v>
      </c>
      <c r="BH134" s="173">
        <v>124</v>
      </c>
      <c r="BI134" s="84">
        <f t="shared" si="49"/>
        <v>1.9599999999999999E-5</v>
      </c>
      <c r="BJ134" s="207">
        <f t="shared" si="50"/>
        <v>0</v>
      </c>
      <c r="BL134" s="123"/>
      <c r="BM134" s="123"/>
      <c r="BO134" s="173"/>
      <c r="BP134" s="174" t="str">
        <f t="shared" si="53"/>
        <v/>
      </c>
      <c r="BQ134" s="174" t="str">
        <f t="shared" si="54"/>
        <v/>
      </c>
      <c r="BR134" s="174" t="str">
        <f t="shared" si="55"/>
        <v/>
      </c>
      <c r="BS134" s="174" t="str">
        <f t="shared" si="56"/>
        <v/>
      </c>
      <c r="BT134" s="174" t="str">
        <f t="shared" si="57"/>
        <v/>
      </c>
      <c r="BU134" s="174" t="str">
        <f t="shared" si="58"/>
        <v/>
      </c>
      <c r="BV134" s="174" t="str">
        <f t="shared" si="59"/>
        <v/>
      </c>
      <c r="BW134" s="174" t="str">
        <f t="shared" si="60"/>
        <v/>
      </c>
      <c r="BX134" s="174" t="str">
        <f t="shared" si="61"/>
        <v/>
      </c>
      <c r="BY134" s="174" t="str">
        <f t="shared" si="62"/>
        <v/>
      </c>
      <c r="BZ134" s="174" t="str">
        <f t="shared" si="63"/>
        <v/>
      </c>
      <c r="CA134" s="174" t="str">
        <f t="shared" si="64"/>
        <v/>
      </c>
      <c r="CB134" s="161"/>
      <c r="CC134" s="161"/>
      <c r="CD134" s="161"/>
      <c r="CE134" s="161" t="s">
        <v>150</v>
      </c>
      <c r="CF134" s="161" t="s">
        <v>220</v>
      </c>
    </row>
    <row r="135" spans="1:84" ht="14.25" customHeight="1" x14ac:dyDescent="0.25">
      <c r="A135" s="204">
        <v>125</v>
      </c>
      <c r="B135" s="211"/>
      <c r="C135" s="194"/>
      <c r="D135" s="142"/>
      <c r="E135" s="309" t="s">
        <v>92</v>
      </c>
      <c r="F135" s="305"/>
      <c r="G135" s="306"/>
      <c r="H135" s="306"/>
      <c r="I135" s="306"/>
      <c r="J135" s="306"/>
      <c r="K135" s="306"/>
      <c r="L135" s="223">
        <f t="shared" si="65"/>
        <v>0</v>
      </c>
      <c r="M135" s="298"/>
      <c r="N135" s="299"/>
      <c r="O135" s="341"/>
      <c r="P135" s="312" t="s">
        <v>66</v>
      </c>
      <c r="Q135" s="305"/>
      <c r="R135" s="306"/>
      <c r="S135" s="306"/>
      <c r="T135" s="306"/>
      <c r="U135" s="306"/>
      <c r="V135" s="306"/>
      <c r="W135" s="223">
        <f t="shared" si="66"/>
        <v>0</v>
      </c>
      <c r="X135" s="298"/>
      <c r="Y135" s="299"/>
      <c r="Z135" s="341"/>
      <c r="AA135" s="312" t="s">
        <v>86</v>
      </c>
      <c r="AB135" s="77"/>
      <c r="AC135" s="319"/>
      <c r="AD135" s="319"/>
      <c r="AE135" s="319"/>
      <c r="AF135" s="319"/>
      <c r="AG135" s="320"/>
      <c r="AH135" s="20">
        <f t="shared" si="67"/>
        <v>0</v>
      </c>
      <c r="AI135" s="77"/>
      <c r="AJ135" s="320"/>
      <c r="AK135" s="344"/>
      <c r="AL135" s="101"/>
      <c r="AM135" s="209"/>
      <c r="AN135" s="208"/>
      <c r="AO135" s="220"/>
      <c r="AP135" s="212"/>
      <c r="AQ135" s="220"/>
      <c r="AR135" s="212"/>
      <c r="AS135" s="220"/>
      <c r="AT135" s="212"/>
      <c r="AU135" s="15">
        <f t="shared" si="41"/>
        <v>1.3499999999999999E-5</v>
      </c>
      <c r="AV135" s="15">
        <f t="shared" si="42"/>
        <v>0</v>
      </c>
      <c r="AW135" s="15"/>
      <c r="AX135" s="173">
        <v>125</v>
      </c>
      <c r="AY135" s="206">
        <f t="shared" si="43"/>
        <v>2.1099999999999998E-5</v>
      </c>
      <c r="AZ135" s="173">
        <f t="shared" si="44"/>
        <v>0</v>
      </c>
      <c r="BA135" s="233">
        <f t="shared" si="45"/>
        <v>1.3499999999999999E-5</v>
      </c>
      <c r="BB135" s="15">
        <f t="shared" si="51"/>
        <v>0</v>
      </c>
      <c r="BC135" s="173">
        <v>125</v>
      </c>
      <c r="BD135" s="84">
        <f t="shared" si="46"/>
        <v>1.95E-5</v>
      </c>
      <c r="BE135" s="207">
        <f t="shared" si="47"/>
        <v>0</v>
      </c>
      <c r="BF135" s="233">
        <f t="shared" si="48"/>
        <v>1.3499999999999999E-5</v>
      </c>
      <c r="BG135" s="15">
        <f t="shared" si="52"/>
        <v>0</v>
      </c>
      <c r="BH135" s="173">
        <v>125</v>
      </c>
      <c r="BI135" s="84">
        <f t="shared" si="49"/>
        <v>1.95E-5</v>
      </c>
      <c r="BJ135" s="207">
        <f t="shared" si="50"/>
        <v>0</v>
      </c>
      <c r="BL135" s="123"/>
      <c r="BM135" s="123"/>
      <c r="BO135" s="173"/>
      <c r="BP135" s="174" t="str">
        <f t="shared" si="53"/>
        <v/>
      </c>
      <c r="BQ135" s="174" t="str">
        <f t="shared" si="54"/>
        <v/>
      </c>
      <c r="BR135" s="174" t="str">
        <f t="shared" si="55"/>
        <v/>
      </c>
      <c r="BS135" s="174" t="str">
        <f t="shared" si="56"/>
        <v/>
      </c>
      <c r="BT135" s="174" t="str">
        <f t="shared" si="57"/>
        <v/>
      </c>
      <c r="BU135" s="174" t="str">
        <f t="shared" si="58"/>
        <v/>
      </c>
      <c r="BV135" s="174" t="str">
        <f t="shared" si="59"/>
        <v/>
      </c>
      <c r="BW135" s="174" t="str">
        <f t="shared" si="60"/>
        <v/>
      </c>
      <c r="BX135" s="174" t="str">
        <f t="shared" si="61"/>
        <v/>
      </c>
      <c r="BY135" s="174" t="str">
        <f t="shared" si="62"/>
        <v/>
      </c>
      <c r="BZ135" s="174" t="str">
        <f t="shared" si="63"/>
        <v/>
      </c>
      <c r="CA135" s="174" t="str">
        <f t="shared" si="64"/>
        <v/>
      </c>
      <c r="CB135" s="161"/>
      <c r="CC135" s="161"/>
      <c r="CD135" s="161"/>
      <c r="CE135" s="161" t="s">
        <v>150</v>
      </c>
      <c r="CF135" s="161" t="s">
        <v>220</v>
      </c>
    </row>
    <row r="136" spans="1:84" ht="14.25" customHeight="1" thickBot="1" x14ac:dyDescent="0.3">
      <c r="A136" s="205">
        <v>126</v>
      </c>
      <c r="B136" s="85"/>
      <c r="C136" s="195"/>
      <c r="D136" s="91"/>
      <c r="E136" s="310" t="s">
        <v>92</v>
      </c>
      <c r="F136" s="93"/>
      <c r="G136" s="97"/>
      <c r="H136" s="97"/>
      <c r="I136" s="97"/>
      <c r="J136" s="97"/>
      <c r="K136" s="97"/>
      <c r="L136" s="224">
        <f t="shared" si="65"/>
        <v>0</v>
      </c>
      <c r="M136" s="300"/>
      <c r="N136" s="301"/>
      <c r="O136" s="342"/>
      <c r="P136" s="313" t="s">
        <v>66</v>
      </c>
      <c r="Q136" s="93"/>
      <c r="R136" s="97"/>
      <c r="S136" s="97"/>
      <c r="T136" s="97"/>
      <c r="U136" s="97"/>
      <c r="V136" s="97"/>
      <c r="W136" s="224">
        <f t="shared" si="66"/>
        <v>0</v>
      </c>
      <c r="X136" s="300"/>
      <c r="Y136" s="301"/>
      <c r="Z136" s="342"/>
      <c r="AA136" s="313" t="s">
        <v>86</v>
      </c>
      <c r="AB136" s="78"/>
      <c r="AC136" s="321"/>
      <c r="AD136" s="321"/>
      <c r="AE136" s="321"/>
      <c r="AF136" s="321"/>
      <c r="AG136" s="322"/>
      <c r="AH136" s="88">
        <f t="shared" si="67"/>
        <v>0</v>
      </c>
      <c r="AI136" s="78"/>
      <c r="AJ136" s="322"/>
      <c r="AK136" s="345"/>
      <c r="AL136" s="102"/>
      <c r="AM136" s="99"/>
      <c r="AN136" s="227"/>
      <c r="AO136" s="221"/>
      <c r="AP136" s="90"/>
      <c r="AQ136" s="221"/>
      <c r="AR136" s="90"/>
      <c r="AS136" s="221"/>
      <c r="AT136" s="90"/>
      <c r="AU136" s="15">
        <f t="shared" si="41"/>
        <v>1.3599999999999999E-5</v>
      </c>
      <c r="AV136" s="15">
        <f t="shared" si="42"/>
        <v>0</v>
      </c>
      <c r="AW136" s="15"/>
      <c r="AX136" s="173">
        <v>126</v>
      </c>
      <c r="AY136" s="206">
        <f t="shared" si="43"/>
        <v>2.0999999999999999E-5</v>
      </c>
      <c r="AZ136" s="173">
        <f t="shared" si="44"/>
        <v>0</v>
      </c>
      <c r="BA136" s="233">
        <f t="shared" si="45"/>
        <v>1.3599999999999999E-5</v>
      </c>
      <c r="BB136" s="15">
        <f t="shared" si="51"/>
        <v>0</v>
      </c>
      <c r="BC136" s="173">
        <v>126</v>
      </c>
      <c r="BD136" s="84">
        <f t="shared" si="46"/>
        <v>1.9400000000000001E-5</v>
      </c>
      <c r="BE136" s="207">
        <f t="shared" si="47"/>
        <v>0</v>
      </c>
      <c r="BF136" s="233">
        <f t="shared" si="48"/>
        <v>1.3599999999999999E-5</v>
      </c>
      <c r="BG136" s="15">
        <f t="shared" si="52"/>
        <v>0</v>
      </c>
      <c r="BH136" s="173">
        <v>126</v>
      </c>
      <c r="BI136" s="84">
        <f t="shared" si="49"/>
        <v>1.9400000000000001E-5</v>
      </c>
      <c r="BJ136" s="207">
        <f t="shared" si="50"/>
        <v>0</v>
      </c>
      <c r="BL136" s="123"/>
      <c r="BM136" s="123"/>
      <c r="BO136" s="173"/>
      <c r="BP136" s="174" t="str">
        <f t="shared" si="53"/>
        <v/>
      </c>
      <c r="BQ136" s="174" t="str">
        <f t="shared" si="54"/>
        <v/>
      </c>
      <c r="BR136" s="174" t="str">
        <f t="shared" si="55"/>
        <v/>
      </c>
      <c r="BS136" s="174" t="str">
        <f t="shared" si="56"/>
        <v/>
      </c>
      <c r="BT136" s="174" t="str">
        <f t="shared" si="57"/>
        <v/>
      </c>
      <c r="BU136" s="174" t="str">
        <f t="shared" si="58"/>
        <v/>
      </c>
      <c r="BV136" s="174" t="str">
        <f t="shared" si="59"/>
        <v/>
      </c>
      <c r="BW136" s="174" t="str">
        <f t="shared" si="60"/>
        <v/>
      </c>
      <c r="BX136" s="174" t="str">
        <f t="shared" si="61"/>
        <v/>
      </c>
      <c r="BY136" s="174" t="str">
        <f t="shared" si="62"/>
        <v/>
      </c>
      <c r="BZ136" s="174" t="str">
        <f t="shared" si="63"/>
        <v/>
      </c>
      <c r="CA136" s="174" t="str">
        <f t="shared" si="64"/>
        <v/>
      </c>
      <c r="CB136" s="161"/>
      <c r="CC136" s="161"/>
      <c r="CD136" s="161"/>
      <c r="CE136" s="161" t="s">
        <v>150</v>
      </c>
      <c r="CF136" s="161" t="s">
        <v>220</v>
      </c>
    </row>
    <row r="137" spans="1:84" ht="14.25" customHeight="1" x14ac:dyDescent="0.25">
      <c r="A137" s="203">
        <v>127</v>
      </c>
      <c r="B137" s="86"/>
      <c r="C137" s="193"/>
      <c r="D137" s="143"/>
      <c r="E137" s="308" t="s">
        <v>92</v>
      </c>
      <c r="F137" s="213"/>
      <c r="G137" s="214"/>
      <c r="H137" s="214"/>
      <c r="I137" s="214"/>
      <c r="J137" s="214"/>
      <c r="K137" s="214"/>
      <c r="L137" s="295">
        <f t="shared" si="65"/>
        <v>0</v>
      </c>
      <c r="M137" s="296"/>
      <c r="N137" s="297"/>
      <c r="O137" s="340"/>
      <c r="P137" s="311" t="s">
        <v>66</v>
      </c>
      <c r="Q137" s="213"/>
      <c r="R137" s="214"/>
      <c r="S137" s="214"/>
      <c r="T137" s="214"/>
      <c r="U137" s="214"/>
      <c r="V137" s="214"/>
      <c r="W137" s="295">
        <f t="shared" si="66"/>
        <v>0</v>
      </c>
      <c r="X137" s="296"/>
      <c r="Y137" s="297"/>
      <c r="Z137" s="346"/>
      <c r="AA137" s="314" t="s">
        <v>148</v>
      </c>
      <c r="AB137" s="13"/>
      <c r="AC137" s="222"/>
      <c r="AD137" s="222"/>
      <c r="AE137" s="222"/>
      <c r="AF137" s="222"/>
      <c r="AG137" s="5"/>
      <c r="AH137" s="20">
        <f t="shared" si="67"/>
        <v>0</v>
      </c>
      <c r="AI137" s="13"/>
      <c r="AJ137" s="5"/>
      <c r="AK137" s="343"/>
      <c r="AL137" s="100"/>
      <c r="AM137" s="98"/>
      <c r="AN137" s="226"/>
      <c r="AO137" s="225"/>
      <c r="AP137" s="89"/>
      <c r="AQ137" s="225"/>
      <c r="AR137" s="89"/>
      <c r="AS137" s="225"/>
      <c r="AT137" s="89"/>
      <c r="AU137" s="15">
        <f t="shared" si="41"/>
        <v>1.3699999999999999E-5</v>
      </c>
      <c r="AV137" s="15">
        <f t="shared" si="42"/>
        <v>0</v>
      </c>
      <c r="AW137" s="15"/>
      <c r="AX137" s="173">
        <v>127</v>
      </c>
      <c r="AY137" s="206">
        <f t="shared" si="43"/>
        <v>2.09E-5</v>
      </c>
      <c r="AZ137" s="173">
        <f t="shared" si="44"/>
        <v>0</v>
      </c>
      <c r="BA137" s="233">
        <f t="shared" si="45"/>
        <v>1.3699999999999999E-5</v>
      </c>
      <c r="BB137" s="15">
        <f t="shared" si="51"/>
        <v>0</v>
      </c>
      <c r="BC137" s="173">
        <v>127</v>
      </c>
      <c r="BD137" s="84">
        <f t="shared" si="46"/>
        <v>1.9299999999999998E-5</v>
      </c>
      <c r="BE137" s="207">
        <f t="shared" si="47"/>
        <v>0</v>
      </c>
      <c r="BF137" s="233">
        <f t="shared" si="48"/>
        <v>1.3699999999999999E-5</v>
      </c>
      <c r="BG137" s="15">
        <f t="shared" si="52"/>
        <v>0</v>
      </c>
      <c r="BH137" s="173">
        <v>127</v>
      </c>
      <c r="BI137" s="84">
        <f t="shared" si="49"/>
        <v>1.9299999999999998E-5</v>
      </c>
      <c r="BJ137" s="207">
        <f t="shared" si="50"/>
        <v>0</v>
      </c>
      <c r="BL137" s="123"/>
      <c r="BM137" s="123"/>
      <c r="BO137" s="173"/>
      <c r="BP137" s="174" t="str">
        <f t="shared" si="53"/>
        <v/>
      </c>
      <c r="BQ137" s="174" t="str">
        <f t="shared" si="54"/>
        <v/>
      </c>
      <c r="BR137" s="174" t="str">
        <f t="shared" si="55"/>
        <v/>
      </c>
      <c r="BS137" s="174" t="str">
        <f t="shared" si="56"/>
        <v/>
      </c>
      <c r="BT137" s="174" t="str">
        <f t="shared" si="57"/>
        <v/>
      </c>
      <c r="BU137" s="174" t="str">
        <f t="shared" si="58"/>
        <v/>
      </c>
      <c r="BV137" s="174" t="str">
        <f t="shared" si="59"/>
        <v/>
      </c>
      <c r="BW137" s="174" t="str">
        <f t="shared" si="60"/>
        <v/>
      </c>
      <c r="BX137" s="174" t="str">
        <f t="shared" si="61"/>
        <v/>
      </c>
      <c r="BY137" s="174" t="str">
        <f t="shared" si="62"/>
        <v/>
      </c>
      <c r="BZ137" s="174" t="str">
        <f t="shared" si="63"/>
        <v/>
      </c>
      <c r="CA137" s="174" t="str">
        <f t="shared" si="64"/>
        <v/>
      </c>
      <c r="CB137" s="161"/>
      <c r="CC137" s="161"/>
      <c r="CD137" s="161"/>
      <c r="CE137" s="161" t="s">
        <v>150</v>
      </c>
      <c r="CF137" s="161" t="s">
        <v>220</v>
      </c>
    </row>
    <row r="138" spans="1:84" ht="14.25" customHeight="1" x14ac:dyDescent="0.25">
      <c r="A138" s="204">
        <v>128</v>
      </c>
      <c r="B138" s="211"/>
      <c r="C138" s="194"/>
      <c r="D138" s="142"/>
      <c r="E138" s="309" t="s">
        <v>92</v>
      </c>
      <c r="F138" s="305"/>
      <c r="G138" s="306"/>
      <c r="H138" s="306"/>
      <c r="I138" s="306"/>
      <c r="J138" s="306"/>
      <c r="K138" s="306"/>
      <c r="L138" s="223">
        <f t="shared" si="65"/>
        <v>0</v>
      </c>
      <c r="M138" s="298"/>
      <c r="N138" s="299"/>
      <c r="O138" s="341"/>
      <c r="P138" s="312" t="s">
        <v>66</v>
      </c>
      <c r="Q138" s="305"/>
      <c r="R138" s="306"/>
      <c r="S138" s="306"/>
      <c r="T138" s="306"/>
      <c r="U138" s="306"/>
      <c r="V138" s="306"/>
      <c r="W138" s="223">
        <f t="shared" si="66"/>
        <v>0</v>
      </c>
      <c r="X138" s="298"/>
      <c r="Y138" s="299"/>
      <c r="Z138" s="341"/>
      <c r="AA138" s="312" t="s">
        <v>86</v>
      </c>
      <c r="AB138" s="77"/>
      <c r="AC138" s="319"/>
      <c r="AD138" s="319"/>
      <c r="AE138" s="319"/>
      <c r="AF138" s="319"/>
      <c r="AG138" s="320"/>
      <c r="AH138" s="20">
        <f t="shared" si="67"/>
        <v>0</v>
      </c>
      <c r="AI138" s="77"/>
      <c r="AJ138" s="320"/>
      <c r="AK138" s="344"/>
      <c r="AL138" s="101"/>
      <c r="AM138" s="209"/>
      <c r="AN138" s="208"/>
      <c r="AO138" s="220"/>
      <c r="AP138" s="212"/>
      <c r="AQ138" s="220"/>
      <c r="AR138" s="212"/>
      <c r="AS138" s="220"/>
      <c r="AT138" s="212"/>
      <c r="AU138" s="15">
        <f t="shared" si="41"/>
        <v>1.38E-5</v>
      </c>
      <c r="AV138" s="15">
        <f t="shared" si="42"/>
        <v>0</v>
      </c>
      <c r="AW138" s="15"/>
      <c r="AX138" s="173">
        <v>128</v>
      </c>
      <c r="AY138" s="206">
        <f t="shared" si="43"/>
        <v>2.0799999999999997E-5</v>
      </c>
      <c r="AZ138" s="173">
        <f t="shared" si="44"/>
        <v>0</v>
      </c>
      <c r="BA138" s="233">
        <f t="shared" si="45"/>
        <v>1.38E-5</v>
      </c>
      <c r="BB138" s="15">
        <f t="shared" si="51"/>
        <v>0</v>
      </c>
      <c r="BC138" s="173">
        <v>128</v>
      </c>
      <c r="BD138" s="84">
        <f t="shared" si="46"/>
        <v>1.9199999999999999E-5</v>
      </c>
      <c r="BE138" s="207">
        <f t="shared" si="47"/>
        <v>0</v>
      </c>
      <c r="BF138" s="233">
        <f t="shared" si="48"/>
        <v>1.38E-5</v>
      </c>
      <c r="BG138" s="15">
        <f t="shared" si="52"/>
        <v>0</v>
      </c>
      <c r="BH138" s="173">
        <v>128</v>
      </c>
      <c r="BI138" s="84">
        <f t="shared" si="49"/>
        <v>1.9199999999999999E-5</v>
      </c>
      <c r="BJ138" s="207">
        <f t="shared" si="50"/>
        <v>0</v>
      </c>
      <c r="BL138" s="123"/>
      <c r="BM138" s="123"/>
      <c r="BO138" s="173"/>
      <c r="BP138" s="174" t="str">
        <f t="shared" si="53"/>
        <v/>
      </c>
      <c r="BQ138" s="174" t="str">
        <f t="shared" si="54"/>
        <v/>
      </c>
      <c r="BR138" s="174" t="str">
        <f t="shared" si="55"/>
        <v/>
      </c>
      <c r="BS138" s="174" t="str">
        <f t="shared" si="56"/>
        <v/>
      </c>
      <c r="BT138" s="174" t="str">
        <f t="shared" si="57"/>
        <v/>
      </c>
      <c r="BU138" s="174" t="str">
        <f t="shared" si="58"/>
        <v/>
      </c>
      <c r="BV138" s="174" t="str">
        <f t="shared" si="59"/>
        <v/>
      </c>
      <c r="BW138" s="174" t="str">
        <f t="shared" si="60"/>
        <v/>
      </c>
      <c r="BX138" s="174" t="str">
        <f t="shared" si="61"/>
        <v/>
      </c>
      <c r="BY138" s="174" t="str">
        <f t="shared" si="62"/>
        <v/>
      </c>
      <c r="BZ138" s="174" t="str">
        <f t="shared" si="63"/>
        <v/>
      </c>
      <c r="CA138" s="174" t="str">
        <f t="shared" si="64"/>
        <v/>
      </c>
      <c r="CB138" s="161"/>
      <c r="CC138" s="161"/>
      <c r="CD138" s="161"/>
      <c r="CE138" s="161" t="s">
        <v>150</v>
      </c>
      <c r="CF138" s="161" t="s">
        <v>220</v>
      </c>
    </row>
    <row r="139" spans="1:84" ht="14.25" customHeight="1" thickBot="1" x14ac:dyDescent="0.3">
      <c r="A139" s="205">
        <v>129</v>
      </c>
      <c r="B139" s="85"/>
      <c r="C139" s="195"/>
      <c r="D139" s="91"/>
      <c r="E139" s="310" t="s">
        <v>92</v>
      </c>
      <c r="F139" s="93"/>
      <c r="G139" s="97"/>
      <c r="H139" s="97"/>
      <c r="I139" s="97"/>
      <c r="J139" s="97"/>
      <c r="K139" s="97"/>
      <c r="L139" s="224">
        <f t="shared" si="65"/>
        <v>0</v>
      </c>
      <c r="M139" s="300"/>
      <c r="N139" s="301"/>
      <c r="O139" s="342"/>
      <c r="P139" s="313" t="s">
        <v>66</v>
      </c>
      <c r="Q139" s="93"/>
      <c r="R139" s="97"/>
      <c r="S139" s="97"/>
      <c r="T139" s="97"/>
      <c r="U139" s="97"/>
      <c r="V139" s="97"/>
      <c r="W139" s="224">
        <f t="shared" si="66"/>
        <v>0</v>
      </c>
      <c r="X139" s="300"/>
      <c r="Y139" s="301"/>
      <c r="Z139" s="342"/>
      <c r="AA139" s="313" t="s">
        <v>86</v>
      </c>
      <c r="AB139" s="78"/>
      <c r="AC139" s="321"/>
      <c r="AD139" s="321"/>
      <c r="AE139" s="321"/>
      <c r="AF139" s="321"/>
      <c r="AG139" s="322"/>
      <c r="AH139" s="88">
        <f t="shared" si="67"/>
        <v>0</v>
      </c>
      <c r="AI139" s="78"/>
      <c r="AJ139" s="322"/>
      <c r="AK139" s="345"/>
      <c r="AL139" s="102"/>
      <c r="AM139" s="99"/>
      <c r="AN139" s="227"/>
      <c r="AO139" s="221"/>
      <c r="AP139" s="90"/>
      <c r="AQ139" s="221"/>
      <c r="AR139" s="90"/>
      <c r="AS139" s="221"/>
      <c r="AT139" s="90"/>
      <c r="AU139" s="15">
        <f t="shared" ref="AU139:AU202" si="68">L139+ROW()*0.0000001</f>
        <v>1.3899999999999999E-5</v>
      </c>
      <c r="AV139" s="15">
        <f t="shared" ref="AV139:AV202" si="69">B139</f>
        <v>0</v>
      </c>
      <c r="AW139" s="15"/>
      <c r="AX139" s="173">
        <v>129</v>
      </c>
      <c r="AY139" s="206">
        <f t="shared" ref="AY139:AY202" si="70">IFERROR(LARGE($AU$11:$AU$319,AX139),"")</f>
        <v>2.0699999999999998E-5</v>
      </c>
      <c r="AZ139" s="173">
        <f t="shared" ref="AZ139:AZ202" si="71">IFERROR(VLOOKUP(AY139,الترتيب1,2,0),"")</f>
        <v>0</v>
      </c>
      <c r="BA139" s="233">
        <f t="shared" ref="BA139:BA202" si="72">W139+ROW()*0.0000001</f>
        <v>1.3899999999999999E-5</v>
      </c>
      <c r="BB139" s="15">
        <f t="shared" si="51"/>
        <v>0</v>
      </c>
      <c r="BC139" s="173">
        <v>129</v>
      </c>
      <c r="BD139" s="84">
        <f t="shared" ref="BD139:BD202" si="73">IFERROR(LARGE($BA$11:$BA$319,BC139),"")</f>
        <v>1.91E-5</v>
      </c>
      <c r="BE139" s="207">
        <f t="shared" ref="BE139:BE202" si="74">IFERROR(VLOOKUP(BD139,الترتيب2,2,0),"")</f>
        <v>0</v>
      </c>
      <c r="BF139" s="233">
        <f t="shared" ref="BF139:BF202" si="75">AH139+ROW()*0.0000001</f>
        <v>1.3899999999999999E-5</v>
      </c>
      <c r="BG139" s="15">
        <f t="shared" si="52"/>
        <v>0</v>
      </c>
      <c r="BH139" s="173">
        <v>129</v>
      </c>
      <c r="BI139" s="84">
        <f t="shared" ref="BI139:BI202" si="76">IFERROR(LARGE($BF$11:$BF$319,BH139),"")</f>
        <v>1.91E-5</v>
      </c>
      <c r="BJ139" s="207">
        <f t="shared" ref="BJ139:BJ202" si="77">IFERROR(VLOOKUP(BI139,الترتيب3,2,0),"")</f>
        <v>0</v>
      </c>
      <c r="BL139" s="123"/>
      <c r="BM139" s="123"/>
      <c r="BO139" s="173"/>
      <c r="BP139" s="174" t="str">
        <f t="shared" si="53"/>
        <v/>
      </c>
      <c r="BQ139" s="174" t="str">
        <f t="shared" si="54"/>
        <v/>
      </c>
      <c r="BR139" s="174" t="str">
        <f t="shared" si="55"/>
        <v/>
      </c>
      <c r="BS139" s="174" t="str">
        <f t="shared" si="56"/>
        <v/>
      </c>
      <c r="BT139" s="174" t="str">
        <f t="shared" si="57"/>
        <v/>
      </c>
      <c r="BU139" s="174" t="str">
        <f t="shared" si="58"/>
        <v/>
      </c>
      <c r="BV139" s="174" t="str">
        <f t="shared" si="59"/>
        <v/>
      </c>
      <c r="BW139" s="174" t="str">
        <f t="shared" si="60"/>
        <v/>
      </c>
      <c r="BX139" s="174" t="str">
        <f t="shared" si="61"/>
        <v/>
      </c>
      <c r="BY139" s="174" t="str">
        <f t="shared" si="62"/>
        <v/>
      </c>
      <c r="BZ139" s="174" t="str">
        <f t="shared" si="63"/>
        <v/>
      </c>
      <c r="CA139" s="174" t="str">
        <f t="shared" si="64"/>
        <v/>
      </c>
      <c r="CB139" s="161"/>
      <c r="CC139" s="161"/>
      <c r="CD139" s="161"/>
      <c r="CE139" s="161" t="s">
        <v>150</v>
      </c>
      <c r="CF139" s="161" t="s">
        <v>220</v>
      </c>
    </row>
    <row r="140" spans="1:84" ht="14.25" customHeight="1" x14ac:dyDescent="0.25">
      <c r="A140" s="203">
        <v>130</v>
      </c>
      <c r="B140" s="86"/>
      <c r="C140" s="193"/>
      <c r="D140" s="143"/>
      <c r="E140" s="308" t="s">
        <v>92</v>
      </c>
      <c r="F140" s="213"/>
      <c r="G140" s="214"/>
      <c r="H140" s="214"/>
      <c r="I140" s="214"/>
      <c r="J140" s="214"/>
      <c r="K140" s="214"/>
      <c r="L140" s="295">
        <f t="shared" si="65"/>
        <v>0</v>
      </c>
      <c r="M140" s="296"/>
      <c r="N140" s="297"/>
      <c r="O140" s="340"/>
      <c r="P140" s="311" t="s">
        <v>66</v>
      </c>
      <c r="Q140" s="213"/>
      <c r="R140" s="214"/>
      <c r="S140" s="214"/>
      <c r="T140" s="214"/>
      <c r="U140" s="214"/>
      <c r="V140" s="214"/>
      <c r="W140" s="295">
        <f t="shared" si="66"/>
        <v>0</v>
      </c>
      <c r="X140" s="296"/>
      <c r="Y140" s="297"/>
      <c r="Z140" s="346"/>
      <c r="AA140" s="314" t="s">
        <v>148</v>
      </c>
      <c r="AB140" s="13"/>
      <c r="AC140" s="222"/>
      <c r="AD140" s="222"/>
      <c r="AE140" s="222"/>
      <c r="AF140" s="222"/>
      <c r="AG140" s="5"/>
      <c r="AH140" s="20">
        <f t="shared" si="67"/>
        <v>0</v>
      </c>
      <c r="AI140" s="13"/>
      <c r="AJ140" s="5"/>
      <c r="AK140" s="343"/>
      <c r="AL140" s="100"/>
      <c r="AM140" s="98"/>
      <c r="AN140" s="226"/>
      <c r="AO140" s="225"/>
      <c r="AP140" s="89"/>
      <c r="AQ140" s="225"/>
      <c r="AR140" s="89"/>
      <c r="AS140" s="225"/>
      <c r="AT140" s="89"/>
      <c r="AU140" s="15">
        <f t="shared" si="68"/>
        <v>1.4E-5</v>
      </c>
      <c r="AV140" s="15">
        <f t="shared" si="69"/>
        <v>0</v>
      </c>
      <c r="AW140" s="15"/>
      <c r="AX140" s="173">
        <v>130</v>
      </c>
      <c r="AY140" s="206">
        <f t="shared" si="70"/>
        <v>2.0599999999999999E-5</v>
      </c>
      <c r="AZ140" s="173">
        <f t="shared" si="71"/>
        <v>0</v>
      </c>
      <c r="BA140" s="233">
        <f t="shared" si="72"/>
        <v>1.4E-5</v>
      </c>
      <c r="BB140" s="15">
        <f t="shared" ref="BB140:BB203" si="78">AV140</f>
        <v>0</v>
      </c>
      <c r="BC140" s="173">
        <v>130</v>
      </c>
      <c r="BD140" s="84">
        <f t="shared" si="73"/>
        <v>1.8999999999999998E-5</v>
      </c>
      <c r="BE140" s="207">
        <f t="shared" si="74"/>
        <v>0</v>
      </c>
      <c r="BF140" s="233">
        <f t="shared" si="75"/>
        <v>1.4E-5</v>
      </c>
      <c r="BG140" s="15">
        <f t="shared" ref="BG140:BG203" si="79">BB140</f>
        <v>0</v>
      </c>
      <c r="BH140" s="173">
        <v>130</v>
      </c>
      <c r="BI140" s="84">
        <f t="shared" si="76"/>
        <v>1.8999999999999998E-5</v>
      </c>
      <c r="BJ140" s="207">
        <f t="shared" si="77"/>
        <v>0</v>
      </c>
      <c r="BL140" s="123"/>
      <c r="BM140" s="123"/>
      <c r="BO140" s="173"/>
      <c r="BP140" s="174" t="str">
        <f t="shared" ref="BP140:BP203" si="80">MID($BN140,12,1)</f>
        <v/>
      </c>
      <c r="BQ140" s="174" t="str">
        <f t="shared" ref="BQ140:BQ203" si="81">MID($BN140,11,1)</f>
        <v/>
      </c>
      <c r="BR140" s="174" t="str">
        <f t="shared" ref="BR140:BR203" si="82">MID($BN140,10,1)</f>
        <v/>
      </c>
      <c r="BS140" s="174" t="str">
        <f t="shared" ref="BS140:BS203" si="83">MID($BN140,9,1)</f>
        <v/>
      </c>
      <c r="BT140" s="174" t="str">
        <f t="shared" ref="BT140:BT203" si="84">MID($BN140,8,1)</f>
        <v/>
      </c>
      <c r="BU140" s="174" t="str">
        <f t="shared" ref="BU140:BU203" si="85">MID($BN140,7,1)</f>
        <v/>
      </c>
      <c r="BV140" s="174" t="str">
        <f t="shared" ref="BV140:BV203" si="86">MID($BN140,6,1)</f>
        <v/>
      </c>
      <c r="BW140" s="174" t="str">
        <f t="shared" ref="BW140:BW203" si="87">MID($BN140,5,1)</f>
        <v/>
      </c>
      <c r="BX140" s="174" t="str">
        <f t="shared" ref="BX140:BX203" si="88">MID($BN140,4,1)</f>
        <v/>
      </c>
      <c r="BY140" s="174" t="str">
        <f t="shared" ref="BY140:BY203" si="89">MID($BN140,3,1)</f>
        <v/>
      </c>
      <c r="BZ140" s="174" t="str">
        <f t="shared" ref="BZ140:BZ203" si="90">MID($BN140,2,1)</f>
        <v/>
      </c>
      <c r="CA140" s="174" t="str">
        <f t="shared" ref="CA140:CA203" si="91">MID($BN140,1,1)</f>
        <v/>
      </c>
      <c r="CB140" s="161"/>
      <c r="CC140" s="161"/>
      <c r="CD140" s="161"/>
      <c r="CE140" s="161" t="s">
        <v>150</v>
      </c>
      <c r="CF140" s="161" t="s">
        <v>220</v>
      </c>
    </row>
    <row r="141" spans="1:84" ht="14.25" customHeight="1" x14ac:dyDescent="0.25">
      <c r="A141" s="204">
        <v>131</v>
      </c>
      <c r="B141" s="211"/>
      <c r="C141" s="194"/>
      <c r="D141" s="142"/>
      <c r="E141" s="309" t="s">
        <v>92</v>
      </c>
      <c r="F141" s="305"/>
      <c r="G141" s="306"/>
      <c r="H141" s="306"/>
      <c r="I141" s="306"/>
      <c r="J141" s="306"/>
      <c r="K141" s="306"/>
      <c r="L141" s="223">
        <f t="shared" si="65"/>
        <v>0</v>
      </c>
      <c r="M141" s="298"/>
      <c r="N141" s="299"/>
      <c r="O141" s="341"/>
      <c r="P141" s="312" t="s">
        <v>66</v>
      </c>
      <c r="Q141" s="305"/>
      <c r="R141" s="306"/>
      <c r="S141" s="306"/>
      <c r="T141" s="306"/>
      <c r="U141" s="306"/>
      <c r="V141" s="306"/>
      <c r="W141" s="223">
        <f t="shared" si="66"/>
        <v>0</v>
      </c>
      <c r="X141" s="298"/>
      <c r="Y141" s="299"/>
      <c r="Z141" s="341"/>
      <c r="AA141" s="312" t="s">
        <v>86</v>
      </c>
      <c r="AB141" s="77"/>
      <c r="AC141" s="319"/>
      <c r="AD141" s="319"/>
      <c r="AE141" s="319"/>
      <c r="AF141" s="319"/>
      <c r="AG141" s="320"/>
      <c r="AH141" s="20">
        <f t="shared" si="67"/>
        <v>0</v>
      </c>
      <c r="AI141" s="77"/>
      <c r="AJ141" s="320"/>
      <c r="AK141" s="344"/>
      <c r="AL141" s="101"/>
      <c r="AM141" s="209"/>
      <c r="AN141" s="208"/>
      <c r="AO141" s="220"/>
      <c r="AP141" s="212"/>
      <c r="AQ141" s="220"/>
      <c r="AR141" s="212"/>
      <c r="AS141" s="220"/>
      <c r="AT141" s="212"/>
      <c r="AU141" s="15">
        <f t="shared" si="68"/>
        <v>1.4099999999999999E-5</v>
      </c>
      <c r="AV141" s="15">
        <f t="shared" si="69"/>
        <v>0</v>
      </c>
      <c r="AW141" s="15"/>
      <c r="AX141" s="173">
        <v>131</v>
      </c>
      <c r="AY141" s="206">
        <f t="shared" si="70"/>
        <v>2.05E-5</v>
      </c>
      <c r="AZ141" s="173">
        <f t="shared" si="71"/>
        <v>0</v>
      </c>
      <c r="BA141" s="233">
        <f t="shared" si="72"/>
        <v>1.4099999999999999E-5</v>
      </c>
      <c r="BB141" s="15">
        <f t="shared" si="78"/>
        <v>0</v>
      </c>
      <c r="BC141" s="173">
        <v>131</v>
      </c>
      <c r="BD141" s="84">
        <f t="shared" si="73"/>
        <v>1.8899999999999999E-5</v>
      </c>
      <c r="BE141" s="207">
        <f t="shared" si="74"/>
        <v>0</v>
      </c>
      <c r="BF141" s="233">
        <f t="shared" si="75"/>
        <v>1.4099999999999999E-5</v>
      </c>
      <c r="BG141" s="15">
        <f t="shared" si="79"/>
        <v>0</v>
      </c>
      <c r="BH141" s="173">
        <v>131</v>
      </c>
      <c r="BI141" s="84">
        <f t="shared" si="76"/>
        <v>1.8899999999999999E-5</v>
      </c>
      <c r="BJ141" s="207">
        <f t="shared" si="77"/>
        <v>0</v>
      </c>
      <c r="BL141" s="123"/>
      <c r="BM141" s="123"/>
      <c r="BO141" s="173"/>
      <c r="BP141" s="174" t="str">
        <f t="shared" si="80"/>
        <v/>
      </c>
      <c r="BQ141" s="174" t="str">
        <f t="shared" si="81"/>
        <v/>
      </c>
      <c r="BR141" s="174" t="str">
        <f t="shared" si="82"/>
        <v/>
      </c>
      <c r="BS141" s="174" t="str">
        <f t="shared" si="83"/>
        <v/>
      </c>
      <c r="BT141" s="174" t="str">
        <f t="shared" si="84"/>
        <v/>
      </c>
      <c r="BU141" s="174" t="str">
        <f t="shared" si="85"/>
        <v/>
      </c>
      <c r="BV141" s="174" t="str">
        <f t="shared" si="86"/>
        <v/>
      </c>
      <c r="BW141" s="174" t="str">
        <f t="shared" si="87"/>
        <v/>
      </c>
      <c r="BX141" s="174" t="str">
        <f t="shared" si="88"/>
        <v/>
      </c>
      <c r="BY141" s="174" t="str">
        <f t="shared" si="89"/>
        <v/>
      </c>
      <c r="BZ141" s="174" t="str">
        <f t="shared" si="90"/>
        <v/>
      </c>
      <c r="CA141" s="174" t="str">
        <f t="shared" si="91"/>
        <v/>
      </c>
      <c r="CB141" s="161"/>
      <c r="CC141" s="161"/>
      <c r="CD141" s="161"/>
      <c r="CE141" s="161" t="s">
        <v>150</v>
      </c>
      <c r="CF141" s="161" t="s">
        <v>220</v>
      </c>
    </row>
    <row r="142" spans="1:84" ht="14.25" customHeight="1" thickBot="1" x14ac:dyDescent="0.3">
      <c r="A142" s="205">
        <v>132</v>
      </c>
      <c r="B142" s="85"/>
      <c r="C142" s="195"/>
      <c r="D142" s="91"/>
      <c r="E142" s="310" t="s">
        <v>92</v>
      </c>
      <c r="F142" s="93"/>
      <c r="G142" s="97"/>
      <c r="H142" s="97"/>
      <c r="I142" s="97"/>
      <c r="J142" s="97"/>
      <c r="K142" s="97"/>
      <c r="L142" s="224">
        <f t="shared" ref="L142:L205" si="92">SUM(F142:K142)</f>
        <v>0</v>
      </c>
      <c r="M142" s="300"/>
      <c r="N142" s="301"/>
      <c r="O142" s="342"/>
      <c r="P142" s="313" t="s">
        <v>66</v>
      </c>
      <c r="Q142" s="93"/>
      <c r="R142" s="97"/>
      <c r="S142" s="97"/>
      <c r="T142" s="97"/>
      <c r="U142" s="97"/>
      <c r="V142" s="97"/>
      <c r="W142" s="224">
        <f t="shared" ref="W142:W205" si="93">SUM(Q142:V142)</f>
        <v>0</v>
      </c>
      <c r="X142" s="300"/>
      <c r="Y142" s="301"/>
      <c r="Z142" s="342"/>
      <c r="AA142" s="313" t="s">
        <v>86</v>
      </c>
      <c r="AB142" s="78"/>
      <c r="AC142" s="321"/>
      <c r="AD142" s="321"/>
      <c r="AE142" s="321"/>
      <c r="AF142" s="321"/>
      <c r="AG142" s="322"/>
      <c r="AH142" s="88">
        <f t="shared" ref="AH142:AH205" si="94">SUM(AB142:AG142)</f>
        <v>0</v>
      </c>
      <c r="AI142" s="78"/>
      <c r="AJ142" s="322"/>
      <c r="AK142" s="345"/>
      <c r="AL142" s="102"/>
      <c r="AM142" s="99"/>
      <c r="AN142" s="227"/>
      <c r="AO142" s="221"/>
      <c r="AP142" s="90"/>
      <c r="AQ142" s="221"/>
      <c r="AR142" s="90"/>
      <c r="AS142" s="221"/>
      <c r="AT142" s="90"/>
      <c r="AU142" s="15">
        <f t="shared" si="68"/>
        <v>1.42E-5</v>
      </c>
      <c r="AV142" s="15">
        <f t="shared" si="69"/>
        <v>0</v>
      </c>
      <c r="AW142" s="15"/>
      <c r="AX142" s="173">
        <v>132</v>
      </c>
      <c r="AY142" s="206">
        <f t="shared" si="70"/>
        <v>2.0399999999999998E-5</v>
      </c>
      <c r="AZ142" s="173">
        <f t="shared" si="71"/>
        <v>0</v>
      </c>
      <c r="BA142" s="233">
        <f t="shared" si="72"/>
        <v>1.42E-5</v>
      </c>
      <c r="BB142" s="15">
        <f t="shared" si="78"/>
        <v>0</v>
      </c>
      <c r="BC142" s="173">
        <v>132</v>
      </c>
      <c r="BD142" s="84">
        <f t="shared" si="73"/>
        <v>1.88E-5</v>
      </c>
      <c r="BE142" s="207">
        <f t="shared" si="74"/>
        <v>0</v>
      </c>
      <c r="BF142" s="233">
        <f t="shared" si="75"/>
        <v>1.42E-5</v>
      </c>
      <c r="BG142" s="15">
        <f t="shared" si="79"/>
        <v>0</v>
      </c>
      <c r="BH142" s="173">
        <v>132</v>
      </c>
      <c r="BI142" s="84">
        <f t="shared" si="76"/>
        <v>1.88E-5</v>
      </c>
      <c r="BJ142" s="207">
        <f t="shared" si="77"/>
        <v>0</v>
      </c>
      <c r="BL142" s="123"/>
      <c r="BM142" s="123"/>
      <c r="BO142" s="173"/>
      <c r="BP142" s="174" t="str">
        <f t="shared" si="80"/>
        <v/>
      </c>
      <c r="BQ142" s="174" t="str">
        <f t="shared" si="81"/>
        <v/>
      </c>
      <c r="BR142" s="174" t="str">
        <f t="shared" si="82"/>
        <v/>
      </c>
      <c r="BS142" s="174" t="str">
        <f t="shared" si="83"/>
        <v/>
      </c>
      <c r="BT142" s="174" t="str">
        <f t="shared" si="84"/>
        <v/>
      </c>
      <c r="BU142" s="174" t="str">
        <f t="shared" si="85"/>
        <v/>
      </c>
      <c r="BV142" s="174" t="str">
        <f t="shared" si="86"/>
        <v/>
      </c>
      <c r="BW142" s="174" t="str">
        <f t="shared" si="87"/>
        <v/>
      </c>
      <c r="BX142" s="174" t="str">
        <f t="shared" si="88"/>
        <v/>
      </c>
      <c r="BY142" s="174" t="str">
        <f t="shared" si="89"/>
        <v/>
      </c>
      <c r="BZ142" s="174" t="str">
        <f t="shared" si="90"/>
        <v/>
      </c>
      <c r="CA142" s="174" t="str">
        <f t="shared" si="91"/>
        <v/>
      </c>
      <c r="CB142" s="161"/>
      <c r="CC142" s="161"/>
      <c r="CD142" s="161"/>
      <c r="CE142" s="161" t="s">
        <v>150</v>
      </c>
      <c r="CF142" s="161" t="s">
        <v>220</v>
      </c>
    </row>
    <row r="143" spans="1:84" ht="14.25" customHeight="1" x14ac:dyDescent="0.25">
      <c r="A143" s="203">
        <v>133</v>
      </c>
      <c r="B143" s="86"/>
      <c r="C143" s="193"/>
      <c r="D143" s="143"/>
      <c r="E143" s="308" t="s">
        <v>92</v>
      </c>
      <c r="F143" s="213"/>
      <c r="G143" s="214"/>
      <c r="H143" s="214"/>
      <c r="I143" s="214"/>
      <c r="J143" s="214"/>
      <c r="K143" s="214"/>
      <c r="L143" s="295">
        <f t="shared" si="92"/>
        <v>0</v>
      </c>
      <c r="M143" s="296"/>
      <c r="N143" s="297"/>
      <c r="O143" s="340"/>
      <c r="P143" s="311" t="s">
        <v>66</v>
      </c>
      <c r="Q143" s="213"/>
      <c r="R143" s="214"/>
      <c r="S143" s="214"/>
      <c r="T143" s="214"/>
      <c r="U143" s="214"/>
      <c r="V143" s="214"/>
      <c r="W143" s="295">
        <f t="shared" si="93"/>
        <v>0</v>
      </c>
      <c r="X143" s="296"/>
      <c r="Y143" s="297"/>
      <c r="Z143" s="346"/>
      <c r="AA143" s="314" t="s">
        <v>148</v>
      </c>
      <c r="AB143" s="13"/>
      <c r="AC143" s="222"/>
      <c r="AD143" s="222"/>
      <c r="AE143" s="222"/>
      <c r="AF143" s="222"/>
      <c r="AG143" s="5"/>
      <c r="AH143" s="20">
        <f t="shared" si="94"/>
        <v>0</v>
      </c>
      <c r="AI143" s="13"/>
      <c r="AJ143" s="5"/>
      <c r="AK143" s="343"/>
      <c r="AL143" s="100"/>
      <c r="AM143" s="98"/>
      <c r="AN143" s="226"/>
      <c r="AO143" s="225"/>
      <c r="AP143" s="89"/>
      <c r="AQ143" s="225"/>
      <c r="AR143" s="89"/>
      <c r="AS143" s="225"/>
      <c r="AT143" s="89"/>
      <c r="AU143" s="15">
        <f t="shared" si="68"/>
        <v>1.4299999999999999E-5</v>
      </c>
      <c r="AV143" s="15">
        <f t="shared" si="69"/>
        <v>0</v>
      </c>
      <c r="AW143" s="15"/>
      <c r="AX143" s="173">
        <v>133</v>
      </c>
      <c r="AY143" s="206">
        <f t="shared" si="70"/>
        <v>2.0299999999999999E-5</v>
      </c>
      <c r="AZ143" s="173">
        <f t="shared" si="71"/>
        <v>0</v>
      </c>
      <c r="BA143" s="233">
        <f t="shared" si="72"/>
        <v>1.4299999999999999E-5</v>
      </c>
      <c r="BB143" s="15">
        <f t="shared" si="78"/>
        <v>0</v>
      </c>
      <c r="BC143" s="173">
        <v>133</v>
      </c>
      <c r="BD143" s="84">
        <f t="shared" si="73"/>
        <v>1.8700000000000001E-5</v>
      </c>
      <c r="BE143" s="207">
        <f t="shared" si="74"/>
        <v>0</v>
      </c>
      <c r="BF143" s="233">
        <f t="shared" si="75"/>
        <v>1.4299999999999999E-5</v>
      </c>
      <c r="BG143" s="15">
        <f t="shared" si="79"/>
        <v>0</v>
      </c>
      <c r="BH143" s="173">
        <v>133</v>
      </c>
      <c r="BI143" s="84">
        <f t="shared" si="76"/>
        <v>1.8700000000000001E-5</v>
      </c>
      <c r="BJ143" s="207">
        <f t="shared" si="77"/>
        <v>0</v>
      </c>
      <c r="BL143" s="123"/>
      <c r="BM143" s="123"/>
      <c r="BO143" s="173"/>
      <c r="BP143" s="174" t="str">
        <f t="shared" si="80"/>
        <v/>
      </c>
      <c r="BQ143" s="174" t="str">
        <f t="shared" si="81"/>
        <v/>
      </c>
      <c r="BR143" s="174" t="str">
        <f t="shared" si="82"/>
        <v/>
      </c>
      <c r="BS143" s="174" t="str">
        <f t="shared" si="83"/>
        <v/>
      </c>
      <c r="BT143" s="174" t="str">
        <f t="shared" si="84"/>
        <v/>
      </c>
      <c r="BU143" s="174" t="str">
        <f t="shared" si="85"/>
        <v/>
      </c>
      <c r="BV143" s="174" t="str">
        <f t="shared" si="86"/>
        <v/>
      </c>
      <c r="BW143" s="174" t="str">
        <f t="shared" si="87"/>
        <v/>
      </c>
      <c r="BX143" s="174" t="str">
        <f t="shared" si="88"/>
        <v/>
      </c>
      <c r="BY143" s="174" t="str">
        <f t="shared" si="89"/>
        <v/>
      </c>
      <c r="BZ143" s="174" t="str">
        <f t="shared" si="90"/>
        <v/>
      </c>
      <c r="CA143" s="174" t="str">
        <f t="shared" si="91"/>
        <v/>
      </c>
      <c r="CB143" s="161"/>
      <c r="CC143" s="161"/>
      <c r="CD143" s="161"/>
      <c r="CE143" s="161" t="s">
        <v>150</v>
      </c>
      <c r="CF143" s="161" t="s">
        <v>220</v>
      </c>
    </row>
    <row r="144" spans="1:84" ht="14.25" customHeight="1" x14ac:dyDescent="0.25">
      <c r="A144" s="204">
        <v>134</v>
      </c>
      <c r="B144" s="211"/>
      <c r="C144" s="194"/>
      <c r="D144" s="142"/>
      <c r="E144" s="309" t="s">
        <v>92</v>
      </c>
      <c r="F144" s="305"/>
      <c r="G144" s="306"/>
      <c r="H144" s="306"/>
      <c r="I144" s="306"/>
      <c r="J144" s="306"/>
      <c r="K144" s="306"/>
      <c r="L144" s="223">
        <f t="shared" si="92"/>
        <v>0</v>
      </c>
      <c r="M144" s="298"/>
      <c r="N144" s="299"/>
      <c r="O144" s="341"/>
      <c r="P144" s="312" t="s">
        <v>66</v>
      </c>
      <c r="Q144" s="305"/>
      <c r="R144" s="306"/>
      <c r="S144" s="306"/>
      <c r="T144" s="306"/>
      <c r="U144" s="306"/>
      <c r="V144" s="306"/>
      <c r="W144" s="223">
        <f t="shared" si="93"/>
        <v>0</v>
      </c>
      <c r="X144" s="298"/>
      <c r="Y144" s="299"/>
      <c r="Z144" s="341"/>
      <c r="AA144" s="312" t="s">
        <v>86</v>
      </c>
      <c r="AB144" s="77"/>
      <c r="AC144" s="319"/>
      <c r="AD144" s="319"/>
      <c r="AE144" s="319"/>
      <c r="AF144" s="319"/>
      <c r="AG144" s="320"/>
      <c r="AH144" s="20">
        <f t="shared" si="94"/>
        <v>0</v>
      </c>
      <c r="AI144" s="77"/>
      <c r="AJ144" s="320"/>
      <c r="AK144" s="344"/>
      <c r="AL144" s="101"/>
      <c r="AM144" s="209"/>
      <c r="AN144" s="208"/>
      <c r="AO144" s="220"/>
      <c r="AP144" s="212"/>
      <c r="AQ144" s="220"/>
      <c r="AR144" s="212"/>
      <c r="AS144" s="220"/>
      <c r="AT144" s="212"/>
      <c r="AU144" s="15">
        <f t="shared" si="68"/>
        <v>1.4399999999999999E-5</v>
      </c>
      <c r="AV144" s="15">
        <f t="shared" si="69"/>
        <v>0</v>
      </c>
      <c r="AW144" s="15"/>
      <c r="AX144" s="173">
        <v>134</v>
      </c>
      <c r="AY144" s="206">
        <f t="shared" si="70"/>
        <v>2.02E-5</v>
      </c>
      <c r="AZ144" s="173">
        <f t="shared" si="71"/>
        <v>0</v>
      </c>
      <c r="BA144" s="233">
        <f t="shared" si="72"/>
        <v>1.4399999999999999E-5</v>
      </c>
      <c r="BB144" s="15">
        <f t="shared" si="78"/>
        <v>0</v>
      </c>
      <c r="BC144" s="173">
        <v>134</v>
      </c>
      <c r="BD144" s="84">
        <f t="shared" si="73"/>
        <v>1.8599999999999998E-5</v>
      </c>
      <c r="BE144" s="207">
        <f t="shared" si="74"/>
        <v>0</v>
      </c>
      <c r="BF144" s="233">
        <f t="shared" si="75"/>
        <v>1.4399999999999999E-5</v>
      </c>
      <c r="BG144" s="15">
        <f t="shared" si="79"/>
        <v>0</v>
      </c>
      <c r="BH144" s="173">
        <v>134</v>
      </c>
      <c r="BI144" s="84">
        <f t="shared" si="76"/>
        <v>1.8599999999999998E-5</v>
      </c>
      <c r="BJ144" s="207">
        <f t="shared" si="77"/>
        <v>0</v>
      </c>
      <c r="BL144" s="123"/>
      <c r="BM144" s="123"/>
      <c r="BO144" s="173"/>
      <c r="BP144" s="174" t="str">
        <f t="shared" si="80"/>
        <v/>
      </c>
      <c r="BQ144" s="174" t="str">
        <f t="shared" si="81"/>
        <v/>
      </c>
      <c r="BR144" s="174" t="str">
        <f t="shared" si="82"/>
        <v/>
      </c>
      <c r="BS144" s="174" t="str">
        <f t="shared" si="83"/>
        <v/>
      </c>
      <c r="BT144" s="174" t="str">
        <f t="shared" si="84"/>
        <v/>
      </c>
      <c r="BU144" s="174" t="str">
        <f t="shared" si="85"/>
        <v/>
      </c>
      <c r="BV144" s="174" t="str">
        <f t="shared" si="86"/>
        <v/>
      </c>
      <c r="BW144" s="174" t="str">
        <f t="shared" si="87"/>
        <v/>
      </c>
      <c r="BX144" s="174" t="str">
        <f t="shared" si="88"/>
        <v/>
      </c>
      <c r="BY144" s="174" t="str">
        <f t="shared" si="89"/>
        <v/>
      </c>
      <c r="BZ144" s="174" t="str">
        <f t="shared" si="90"/>
        <v/>
      </c>
      <c r="CA144" s="174" t="str">
        <f t="shared" si="91"/>
        <v/>
      </c>
      <c r="CB144" s="161"/>
      <c r="CC144" s="161"/>
      <c r="CD144" s="161"/>
      <c r="CE144" s="161" t="s">
        <v>150</v>
      </c>
      <c r="CF144" s="161" t="s">
        <v>220</v>
      </c>
    </row>
    <row r="145" spans="1:84" ht="14.25" customHeight="1" thickBot="1" x14ac:dyDescent="0.3">
      <c r="A145" s="205">
        <v>135</v>
      </c>
      <c r="B145" s="85"/>
      <c r="C145" s="195"/>
      <c r="D145" s="91"/>
      <c r="E145" s="310" t="s">
        <v>92</v>
      </c>
      <c r="F145" s="93"/>
      <c r="G145" s="97"/>
      <c r="H145" s="97"/>
      <c r="I145" s="97"/>
      <c r="J145" s="97"/>
      <c r="K145" s="97"/>
      <c r="L145" s="224">
        <f t="shared" si="92"/>
        <v>0</v>
      </c>
      <c r="M145" s="300"/>
      <c r="N145" s="301"/>
      <c r="O145" s="342"/>
      <c r="P145" s="313" t="s">
        <v>66</v>
      </c>
      <c r="Q145" s="93"/>
      <c r="R145" s="97"/>
      <c r="S145" s="97"/>
      <c r="T145" s="97"/>
      <c r="U145" s="97"/>
      <c r="V145" s="97"/>
      <c r="W145" s="224">
        <f t="shared" si="93"/>
        <v>0</v>
      </c>
      <c r="X145" s="300"/>
      <c r="Y145" s="301"/>
      <c r="Z145" s="342"/>
      <c r="AA145" s="313" t="s">
        <v>86</v>
      </c>
      <c r="AB145" s="78"/>
      <c r="AC145" s="321"/>
      <c r="AD145" s="321"/>
      <c r="AE145" s="321"/>
      <c r="AF145" s="321"/>
      <c r="AG145" s="322"/>
      <c r="AH145" s="88">
        <f t="shared" si="94"/>
        <v>0</v>
      </c>
      <c r="AI145" s="78"/>
      <c r="AJ145" s="322"/>
      <c r="AK145" s="345"/>
      <c r="AL145" s="102"/>
      <c r="AM145" s="99"/>
      <c r="AN145" s="227"/>
      <c r="AO145" s="221"/>
      <c r="AP145" s="90"/>
      <c r="AQ145" s="221"/>
      <c r="AR145" s="90"/>
      <c r="AS145" s="221"/>
      <c r="AT145" s="90"/>
      <c r="AU145" s="15">
        <f t="shared" si="68"/>
        <v>1.45E-5</v>
      </c>
      <c r="AV145" s="15">
        <f t="shared" si="69"/>
        <v>0</v>
      </c>
      <c r="AW145" s="15"/>
      <c r="AX145" s="173">
        <v>135</v>
      </c>
      <c r="AY145" s="206">
        <f t="shared" si="70"/>
        <v>2.0100000000000001E-5</v>
      </c>
      <c r="AZ145" s="173">
        <f t="shared" si="71"/>
        <v>0</v>
      </c>
      <c r="BA145" s="233">
        <f t="shared" si="72"/>
        <v>1.45E-5</v>
      </c>
      <c r="BB145" s="15">
        <f t="shared" si="78"/>
        <v>0</v>
      </c>
      <c r="BC145" s="173">
        <v>135</v>
      </c>
      <c r="BD145" s="84">
        <f t="shared" si="73"/>
        <v>1.8499999999999999E-5</v>
      </c>
      <c r="BE145" s="207">
        <f t="shared" si="74"/>
        <v>0</v>
      </c>
      <c r="BF145" s="233">
        <f t="shared" si="75"/>
        <v>1.45E-5</v>
      </c>
      <c r="BG145" s="15">
        <f t="shared" si="79"/>
        <v>0</v>
      </c>
      <c r="BH145" s="173">
        <v>135</v>
      </c>
      <c r="BI145" s="84">
        <f t="shared" si="76"/>
        <v>1.8499999999999999E-5</v>
      </c>
      <c r="BJ145" s="207">
        <f t="shared" si="77"/>
        <v>0</v>
      </c>
      <c r="BL145" s="123"/>
      <c r="BM145" s="123"/>
      <c r="BO145" s="173"/>
      <c r="BP145" s="174" t="str">
        <f t="shared" si="80"/>
        <v/>
      </c>
      <c r="BQ145" s="174" t="str">
        <f t="shared" si="81"/>
        <v/>
      </c>
      <c r="BR145" s="174" t="str">
        <f t="shared" si="82"/>
        <v/>
      </c>
      <c r="BS145" s="174" t="str">
        <f t="shared" si="83"/>
        <v/>
      </c>
      <c r="BT145" s="174" t="str">
        <f t="shared" si="84"/>
        <v/>
      </c>
      <c r="BU145" s="174" t="str">
        <f t="shared" si="85"/>
        <v/>
      </c>
      <c r="BV145" s="174" t="str">
        <f t="shared" si="86"/>
        <v/>
      </c>
      <c r="BW145" s="174" t="str">
        <f t="shared" si="87"/>
        <v/>
      </c>
      <c r="BX145" s="174" t="str">
        <f t="shared" si="88"/>
        <v/>
      </c>
      <c r="BY145" s="174" t="str">
        <f t="shared" si="89"/>
        <v/>
      </c>
      <c r="BZ145" s="174" t="str">
        <f t="shared" si="90"/>
        <v/>
      </c>
      <c r="CA145" s="174" t="str">
        <f t="shared" si="91"/>
        <v/>
      </c>
      <c r="CB145" s="161"/>
      <c r="CC145" s="161"/>
      <c r="CD145" s="161"/>
      <c r="CE145" s="161" t="s">
        <v>150</v>
      </c>
      <c r="CF145" s="161" t="s">
        <v>220</v>
      </c>
    </row>
    <row r="146" spans="1:84" ht="14.25" customHeight="1" x14ac:dyDescent="0.25">
      <c r="A146" s="203">
        <v>136</v>
      </c>
      <c r="B146" s="86"/>
      <c r="C146" s="193"/>
      <c r="D146" s="143"/>
      <c r="E146" s="308" t="s">
        <v>92</v>
      </c>
      <c r="F146" s="213"/>
      <c r="G146" s="214"/>
      <c r="H146" s="214"/>
      <c r="I146" s="214"/>
      <c r="J146" s="214"/>
      <c r="K146" s="214"/>
      <c r="L146" s="295">
        <f t="shared" si="92"/>
        <v>0</v>
      </c>
      <c r="M146" s="296"/>
      <c r="N146" s="297"/>
      <c r="O146" s="340"/>
      <c r="P146" s="311" t="s">
        <v>66</v>
      </c>
      <c r="Q146" s="213"/>
      <c r="R146" s="214"/>
      <c r="S146" s="214"/>
      <c r="T146" s="214"/>
      <c r="U146" s="214"/>
      <c r="V146" s="214"/>
      <c r="W146" s="295">
        <f t="shared" si="93"/>
        <v>0</v>
      </c>
      <c r="X146" s="296"/>
      <c r="Y146" s="297"/>
      <c r="Z146" s="346"/>
      <c r="AA146" s="314" t="s">
        <v>148</v>
      </c>
      <c r="AB146" s="13"/>
      <c r="AC146" s="222"/>
      <c r="AD146" s="222"/>
      <c r="AE146" s="222"/>
      <c r="AF146" s="222"/>
      <c r="AG146" s="5"/>
      <c r="AH146" s="20">
        <f t="shared" si="94"/>
        <v>0</v>
      </c>
      <c r="AI146" s="13"/>
      <c r="AJ146" s="5"/>
      <c r="AK146" s="343"/>
      <c r="AL146" s="100"/>
      <c r="AM146" s="98"/>
      <c r="AN146" s="226"/>
      <c r="AO146" s="225"/>
      <c r="AP146" s="89"/>
      <c r="AQ146" s="225"/>
      <c r="AR146" s="89"/>
      <c r="AS146" s="225"/>
      <c r="AT146" s="89"/>
      <c r="AU146" s="15">
        <f t="shared" si="68"/>
        <v>1.4599999999999999E-5</v>
      </c>
      <c r="AV146" s="15">
        <f t="shared" si="69"/>
        <v>0</v>
      </c>
      <c r="AW146" s="15"/>
      <c r="AX146" s="173">
        <v>136</v>
      </c>
      <c r="AY146" s="206">
        <f t="shared" si="70"/>
        <v>1.9999999999999998E-5</v>
      </c>
      <c r="AZ146" s="173">
        <f t="shared" si="71"/>
        <v>0</v>
      </c>
      <c r="BA146" s="233">
        <f t="shared" si="72"/>
        <v>1.4599999999999999E-5</v>
      </c>
      <c r="BB146" s="15">
        <f t="shared" si="78"/>
        <v>0</v>
      </c>
      <c r="BC146" s="173">
        <v>136</v>
      </c>
      <c r="BD146" s="84">
        <f t="shared" si="73"/>
        <v>1.84E-5</v>
      </c>
      <c r="BE146" s="207">
        <f t="shared" si="74"/>
        <v>0</v>
      </c>
      <c r="BF146" s="233">
        <f t="shared" si="75"/>
        <v>1.4599999999999999E-5</v>
      </c>
      <c r="BG146" s="15">
        <f t="shared" si="79"/>
        <v>0</v>
      </c>
      <c r="BH146" s="173">
        <v>136</v>
      </c>
      <c r="BI146" s="84">
        <f t="shared" si="76"/>
        <v>1.84E-5</v>
      </c>
      <c r="BJ146" s="207">
        <f t="shared" si="77"/>
        <v>0</v>
      </c>
      <c r="BL146" s="123"/>
      <c r="BM146" s="123"/>
      <c r="BO146" s="173"/>
      <c r="BP146" s="174" t="str">
        <f t="shared" si="80"/>
        <v/>
      </c>
      <c r="BQ146" s="174" t="str">
        <f t="shared" si="81"/>
        <v/>
      </c>
      <c r="BR146" s="174" t="str">
        <f t="shared" si="82"/>
        <v/>
      </c>
      <c r="BS146" s="174" t="str">
        <f t="shared" si="83"/>
        <v/>
      </c>
      <c r="BT146" s="174" t="str">
        <f t="shared" si="84"/>
        <v/>
      </c>
      <c r="BU146" s="174" t="str">
        <f t="shared" si="85"/>
        <v/>
      </c>
      <c r="BV146" s="174" t="str">
        <f t="shared" si="86"/>
        <v/>
      </c>
      <c r="BW146" s="174" t="str">
        <f t="shared" si="87"/>
        <v/>
      </c>
      <c r="BX146" s="174" t="str">
        <f t="shared" si="88"/>
        <v/>
      </c>
      <c r="BY146" s="174" t="str">
        <f t="shared" si="89"/>
        <v/>
      </c>
      <c r="BZ146" s="174" t="str">
        <f t="shared" si="90"/>
        <v/>
      </c>
      <c r="CA146" s="174" t="str">
        <f t="shared" si="91"/>
        <v/>
      </c>
      <c r="CB146" s="161"/>
      <c r="CC146" s="161"/>
      <c r="CD146" s="161"/>
      <c r="CE146" s="161" t="s">
        <v>150</v>
      </c>
      <c r="CF146" s="161" t="s">
        <v>220</v>
      </c>
    </row>
    <row r="147" spans="1:84" ht="14.25" customHeight="1" x14ac:dyDescent="0.25">
      <c r="A147" s="204">
        <v>137</v>
      </c>
      <c r="B147" s="211"/>
      <c r="C147" s="194"/>
      <c r="D147" s="142"/>
      <c r="E147" s="309" t="s">
        <v>92</v>
      </c>
      <c r="F147" s="305"/>
      <c r="G147" s="306"/>
      <c r="H147" s="306"/>
      <c r="I147" s="306"/>
      <c r="J147" s="306"/>
      <c r="K147" s="306"/>
      <c r="L147" s="223">
        <f t="shared" si="92"/>
        <v>0</v>
      </c>
      <c r="M147" s="298"/>
      <c r="N147" s="299"/>
      <c r="O147" s="341"/>
      <c r="P147" s="312" t="s">
        <v>66</v>
      </c>
      <c r="Q147" s="305"/>
      <c r="R147" s="306"/>
      <c r="S147" s="306"/>
      <c r="T147" s="306"/>
      <c r="U147" s="306"/>
      <c r="V147" s="306"/>
      <c r="W147" s="223">
        <f t="shared" si="93"/>
        <v>0</v>
      </c>
      <c r="X147" s="298"/>
      <c r="Y147" s="299"/>
      <c r="Z147" s="341"/>
      <c r="AA147" s="312" t="s">
        <v>86</v>
      </c>
      <c r="AB147" s="77"/>
      <c r="AC147" s="319"/>
      <c r="AD147" s="319"/>
      <c r="AE147" s="319"/>
      <c r="AF147" s="319"/>
      <c r="AG147" s="320"/>
      <c r="AH147" s="20">
        <f t="shared" si="94"/>
        <v>0</v>
      </c>
      <c r="AI147" s="77"/>
      <c r="AJ147" s="320"/>
      <c r="AK147" s="344"/>
      <c r="AL147" s="101"/>
      <c r="AM147" s="209"/>
      <c r="AN147" s="208"/>
      <c r="AO147" s="220"/>
      <c r="AP147" s="212"/>
      <c r="AQ147" s="220"/>
      <c r="AR147" s="212"/>
      <c r="AS147" s="220"/>
      <c r="AT147" s="212"/>
      <c r="AU147" s="15">
        <f t="shared" si="68"/>
        <v>1.47E-5</v>
      </c>
      <c r="AV147" s="15">
        <f t="shared" si="69"/>
        <v>0</v>
      </c>
      <c r="AW147" s="15"/>
      <c r="AX147" s="173">
        <v>137</v>
      </c>
      <c r="AY147" s="206">
        <f t="shared" si="70"/>
        <v>1.9899999999999999E-5</v>
      </c>
      <c r="AZ147" s="173">
        <f t="shared" si="71"/>
        <v>0</v>
      </c>
      <c r="BA147" s="233">
        <f t="shared" si="72"/>
        <v>1.47E-5</v>
      </c>
      <c r="BB147" s="15">
        <f t="shared" si="78"/>
        <v>0</v>
      </c>
      <c r="BC147" s="173">
        <v>137</v>
      </c>
      <c r="BD147" s="84">
        <f t="shared" si="73"/>
        <v>1.8299999999999998E-5</v>
      </c>
      <c r="BE147" s="207">
        <f t="shared" si="74"/>
        <v>0</v>
      </c>
      <c r="BF147" s="233">
        <f t="shared" si="75"/>
        <v>1.47E-5</v>
      </c>
      <c r="BG147" s="15">
        <f t="shared" si="79"/>
        <v>0</v>
      </c>
      <c r="BH147" s="173">
        <v>137</v>
      </c>
      <c r="BI147" s="84">
        <f t="shared" si="76"/>
        <v>1.8299999999999998E-5</v>
      </c>
      <c r="BJ147" s="207">
        <f t="shared" si="77"/>
        <v>0</v>
      </c>
      <c r="BL147" s="123"/>
      <c r="BM147" s="123"/>
      <c r="BO147" s="173"/>
      <c r="BP147" s="174" t="str">
        <f t="shared" si="80"/>
        <v/>
      </c>
      <c r="BQ147" s="174" t="str">
        <f t="shared" si="81"/>
        <v/>
      </c>
      <c r="BR147" s="174" t="str">
        <f t="shared" si="82"/>
        <v/>
      </c>
      <c r="BS147" s="174" t="str">
        <f t="shared" si="83"/>
        <v/>
      </c>
      <c r="BT147" s="174" t="str">
        <f t="shared" si="84"/>
        <v/>
      </c>
      <c r="BU147" s="174" t="str">
        <f t="shared" si="85"/>
        <v/>
      </c>
      <c r="BV147" s="174" t="str">
        <f t="shared" si="86"/>
        <v/>
      </c>
      <c r="BW147" s="174" t="str">
        <f t="shared" si="87"/>
        <v/>
      </c>
      <c r="BX147" s="174" t="str">
        <f t="shared" si="88"/>
        <v/>
      </c>
      <c r="BY147" s="174" t="str">
        <f t="shared" si="89"/>
        <v/>
      </c>
      <c r="BZ147" s="174" t="str">
        <f t="shared" si="90"/>
        <v/>
      </c>
      <c r="CA147" s="174" t="str">
        <f t="shared" si="91"/>
        <v/>
      </c>
      <c r="CB147" s="161"/>
      <c r="CC147" s="161"/>
      <c r="CD147" s="161"/>
      <c r="CE147" s="161" t="s">
        <v>150</v>
      </c>
      <c r="CF147" s="161" t="s">
        <v>220</v>
      </c>
    </row>
    <row r="148" spans="1:84" ht="14.25" customHeight="1" thickBot="1" x14ac:dyDescent="0.3">
      <c r="A148" s="205">
        <v>138</v>
      </c>
      <c r="B148" s="85"/>
      <c r="C148" s="195"/>
      <c r="D148" s="91"/>
      <c r="E148" s="310" t="s">
        <v>92</v>
      </c>
      <c r="F148" s="93"/>
      <c r="G148" s="97"/>
      <c r="H148" s="97"/>
      <c r="I148" s="97"/>
      <c r="J148" s="97"/>
      <c r="K148" s="97"/>
      <c r="L148" s="224">
        <f t="shared" si="92"/>
        <v>0</v>
      </c>
      <c r="M148" s="300"/>
      <c r="N148" s="301"/>
      <c r="O148" s="342"/>
      <c r="P148" s="313" t="s">
        <v>66</v>
      </c>
      <c r="Q148" s="93"/>
      <c r="R148" s="97"/>
      <c r="S148" s="97"/>
      <c r="T148" s="97"/>
      <c r="U148" s="97"/>
      <c r="V148" s="97"/>
      <c r="W148" s="224">
        <f t="shared" si="93"/>
        <v>0</v>
      </c>
      <c r="X148" s="300"/>
      <c r="Y148" s="301"/>
      <c r="Z148" s="342"/>
      <c r="AA148" s="313" t="s">
        <v>86</v>
      </c>
      <c r="AB148" s="78"/>
      <c r="AC148" s="321"/>
      <c r="AD148" s="321"/>
      <c r="AE148" s="321"/>
      <c r="AF148" s="321"/>
      <c r="AG148" s="322"/>
      <c r="AH148" s="88">
        <f t="shared" si="94"/>
        <v>0</v>
      </c>
      <c r="AI148" s="78"/>
      <c r="AJ148" s="322"/>
      <c r="AK148" s="345"/>
      <c r="AL148" s="102"/>
      <c r="AM148" s="99"/>
      <c r="AN148" s="227"/>
      <c r="AO148" s="221"/>
      <c r="AP148" s="90"/>
      <c r="AQ148" s="221"/>
      <c r="AR148" s="90"/>
      <c r="AS148" s="221"/>
      <c r="AT148" s="90"/>
      <c r="AU148" s="15">
        <f t="shared" si="68"/>
        <v>1.4799999999999999E-5</v>
      </c>
      <c r="AV148" s="15">
        <f t="shared" si="69"/>
        <v>0</v>
      </c>
      <c r="AW148" s="15"/>
      <c r="AX148" s="173">
        <v>138</v>
      </c>
      <c r="AY148" s="206">
        <f t="shared" si="70"/>
        <v>1.98E-5</v>
      </c>
      <c r="AZ148" s="173">
        <f t="shared" si="71"/>
        <v>0</v>
      </c>
      <c r="BA148" s="233">
        <f t="shared" si="72"/>
        <v>1.4799999999999999E-5</v>
      </c>
      <c r="BB148" s="15">
        <f t="shared" si="78"/>
        <v>0</v>
      </c>
      <c r="BC148" s="173">
        <v>138</v>
      </c>
      <c r="BD148" s="84">
        <f t="shared" si="73"/>
        <v>1.8199999999999999E-5</v>
      </c>
      <c r="BE148" s="207">
        <f t="shared" si="74"/>
        <v>0</v>
      </c>
      <c r="BF148" s="233">
        <f t="shared" si="75"/>
        <v>1.4799999999999999E-5</v>
      </c>
      <c r="BG148" s="15">
        <f t="shared" si="79"/>
        <v>0</v>
      </c>
      <c r="BH148" s="173">
        <v>138</v>
      </c>
      <c r="BI148" s="84">
        <f t="shared" si="76"/>
        <v>1.8199999999999999E-5</v>
      </c>
      <c r="BJ148" s="207">
        <f t="shared" si="77"/>
        <v>0</v>
      </c>
      <c r="BL148" s="123"/>
      <c r="BM148" s="123"/>
      <c r="BO148" s="173"/>
      <c r="BP148" s="174" t="str">
        <f t="shared" si="80"/>
        <v/>
      </c>
      <c r="BQ148" s="174" t="str">
        <f t="shared" si="81"/>
        <v/>
      </c>
      <c r="BR148" s="174" t="str">
        <f t="shared" si="82"/>
        <v/>
      </c>
      <c r="BS148" s="174" t="str">
        <f t="shared" si="83"/>
        <v/>
      </c>
      <c r="BT148" s="174" t="str">
        <f t="shared" si="84"/>
        <v/>
      </c>
      <c r="BU148" s="174" t="str">
        <f t="shared" si="85"/>
        <v/>
      </c>
      <c r="BV148" s="174" t="str">
        <f t="shared" si="86"/>
        <v/>
      </c>
      <c r="BW148" s="174" t="str">
        <f t="shared" si="87"/>
        <v/>
      </c>
      <c r="BX148" s="174" t="str">
        <f t="shared" si="88"/>
        <v/>
      </c>
      <c r="BY148" s="174" t="str">
        <f t="shared" si="89"/>
        <v/>
      </c>
      <c r="BZ148" s="174" t="str">
        <f t="shared" si="90"/>
        <v/>
      </c>
      <c r="CA148" s="174" t="str">
        <f t="shared" si="91"/>
        <v/>
      </c>
      <c r="CB148" s="161"/>
      <c r="CC148" s="161"/>
      <c r="CD148" s="161"/>
      <c r="CE148" s="161" t="s">
        <v>150</v>
      </c>
      <c r="CF148" s="161" t="s">
        <v>220</v>
      </c>
    </row>
    <row r="149" spans="1:84" ht="14.25" customHeight="1" x14ac:dyDescent="0.25">
      <c r="A149" s="203">
        <v>139</v>
      </c>
      <c r="B149" s="86"/>
      <c r="C149" s="193"/>
      <c r="D149" s="143"/>
      <c r="E149" s="308" t="s">
        <v>92</v>
      </c>
      <c r="F149" s="213"/>
      <c r="G149" s="214"/>
      <c r="H149" s="214"/>
      <c r="I149" s="214"/>
      <c r="J149" s="214"/>
      <c r="K149" s="214"/>
      <c r="L149" s="295">
        <f t="shared" si="92"/>
        <v>0</v>
      </c>
      <c r="M149" s="296"/>
      <c r="N149" s="297"/>
      <c r="O149" s="340"/>
      <c r="P149" s="311" t="s">
        <v>66</v>
      </c>
      <c r="Q149" s="213"/>
      <c r="R149" s="214"/>
      <c r="S149" s="214"/>
      <c r="T149" s="214"/>
      <c r="U149" s="214"/>
      <c r="V149" s="214"/>
      <c r="W149" s="295">
        <f t="shared" si="93"/>
        <v>0</v>
      </c>
      <c r="X149" s="296"/>
      <c r="Y149" s="297"/>
      <c r="Z149" s="346"/>
      <c r="AA149" s="314" t="s">
        <v>148</v>
      </c>
      <c r="AB149" s="13"/>
      <c r="AC149" s="222"/>
      <c r="AD149" s="222"/>
      <c r="AE149" s="222"/>
      <c r="AF149" s="222"/>
      <c r="AG149" s="5"/>
      <c r="AH149" s="20">
        <f t="shared" si="94"/>
        <v>0</v>
      </c>
      <c r="AI149" s="13"/>
      <c r="AJ149" s="5"/>
      <c r="AK149" s="343"/>
      <c r="AL149" s="100"/>
      <c r="AM149" s="98"/>
      <c r="AN149" s="226"/>
      <c r="AO149" s="225"/>
      <c r="AP149" s="89"/>
      <c r="AQ149" s="225"/>
      <c r="AR149" s="89"/>
      <c r="AS149" s="225"/>
      <c r="AT149" s="89"/>
      <c r="AU149" s="15">
        <f t="shared" si="68"/>
        <v>1.49E-5</v>
      </c>
      <c r="AV149" s="15">
        <f t="shared" si="69"/>
        <v>0</v>
      </c>
      <c r="AW149" s="15"/>
      <c r="AX149" s="173">
        <v>139</v>
      </c>
      <c r="AY149" s="206">
        <f t="shared" si="70"/>
        <v>1.9699999999999998E-5</v>
      </c>
      <c r="AZ149" s="173">
        <f t="shared" si="71"/>
        <v>0</v>
      </c>
      <c r="BA149" s="233">
        <f t="shared" si="72"/>
        <v>1.49E-5</v>
      </c>
      <c r="BB149" s="15">
        <f t="shared" si="78"/>
        <v>0</v>
      </c>
      <c r="BC149" s="173">
        <v>139</v>
      </c>
      <c r="BD149" s="84">
        <f t="shared" si="73"/>
        <v>1.8099999999999999E-5</v>
      </c>
      <c r="BE149" s="207">
        <f t="shared" si="74"/>
        <v>0</v>
      </c>
      <c r="BF149" s="233">
        <f t="shared" si="75"/>
        <v>1.49E-5</v>
      </c>
      <c r="BG149" s="15">
        <f t="shared" si="79"/>
        <v>0</v>
      </c>
      <c r="BH149" s="173">
        <v>139</v>
      </c>
      <c r="BI149" s="84">
        <f t="shared" si="76"/>
        <v>1.8099999999999999E-5</v>
      </c>
      <c r="BJ149" s="207">
        <f t="shared" si="77"/>
        <v>0</v>
      </c>
      <c r="BL149" s="123"/>
      <c r="BM149" s="123"/>
      <c r="BO149" s="173"/>
      <c r="BP149" s="174" t="str">
        <f t="shared" si="80"/>
        <v/>
      </c>
      <c r="BQ149" s="174" t="str">
        <f t="shared" si="81"/>
        <v/>
      </c>
      <c r="BR149" s="174" t="str">
        <f t="shared" si="82"/>
        <v/>
      </c>
      <c r="BS149" s="174" t="str">
        <f t="shared" si="83"/>
        <v/>
      </c>
      <c r="BT149" s="174" t="str">
        <f t="shared" si="84"/>
        <v/>
      </c>
      <c r="BU149" s="174" t="str">
        <f t="shared" si="85"/>
        <v/>
      </c>
      <c r="BV149" s="174" t="str">
        <f t="shared" si="86"/>
        <v/>
      </c>
      <c r="BW149" s="174" t="str">
        <f t="shared" si="87"/>
        <v/>
      </c>
      <c r="BX149" s="174" t="str">
        <f t="shared" si="88"/>
        <v/>
      </c>
      <c r="BY149" s="174" t="str">
        <f t="shared" si="89"/>
        <v/>
      </c>
      <c r="BZ149" s="174" t="str">
        <f t="shared" si="90"/>
        <v/>
      </c>
      <c r="CA149" s="174" t="str">
        <f t="shared" si="91"/>
        <v/>
      </c>
      <c r="CB149" s="161"/>
      <c r="CC149" s="161"/>
      <c r="CD149" s="161"/>
      <c r="CE149" s="161" t="s">
        <v>150</v>
      </c>
      <c r="CF149" s="161" t="s">
        <v>220</v>
      </c>
    </row>
    <row r="150" spans="1:84" ht="14.25" customHeight="1" x14ac:dyDescent="0.25">
      <c r="A150" s="204">
        <v>140</v>
      </c>
      <c r="B150" s="211"/>
      <c r="C150" s="194"/>
      <c r="D150" s="142"/>
      <c r="E150" s="309" t="s">
        <v>92</v>
      </c>
      <c r="F150" s="305"/>
      <c r="G150" s="306"/>
      <c r="H150" s="306"/>
      <c r="I150" s="306"/>
      <c r="J150" s="306"/>
      <c r="K150" s="306"/>
      <c r="L150" s="223">
        <f t="shared" si="92"/>
        <v>0</v>
      </c>
      <c r="M150" s="298"/>
      <c r="N150" s="299"/>
      <c r="O150" s="341"/>
      <c r="P150" s="312" t="s">
        <v>66</v>
      </c>
      <c r="Q150" s="305"/>
      <c r="R150" s="306"/>
      <c r="S150" s="306"/>
      <c r="T150" s="306"/>
      <c r="U150" s="306"/>
      <c r="V150" s="306"/>
      <c r="W150" s="223">
        <f t="shared" si="93"/>
        <v>0</v>
      </c>
      <c r="X150" s="298"/>
      <c r="Y150" s="299"/>
      <c r="Z150" s="341"/>
      <c r="AA150" s="312" t="s">
        <v>86</v>
      </c>
      <c r="AB150" s="77"/>
      <c r="AC150" s="319"/>
      <c r="AD150" s="319"/>
      <c r="AE150" s="319"/>
      <c r="AF150" s="319"/>
      <c r="AG150" s="320"/>
      <c r="AH150" s="20">
        <f t="shared" si="94"/>
        <v>0</v>
      </c>
      <c r="AI150" s="77"/>
      <c r="AJ150" s="320"/>
      <c r="AK150" s="344"/>
      <c r="AL150" s="101"/>
      <c r="AM150" s="209"/>
      <c r="AN150" s="208"/>
      <c r="AO150" s="220"/>
      <c r="AP150" s="212"/>
      <c r="AQ150" s="220"/>
      <c r="AR150" s="212"/>
      <c r="AS150" s="220"/>
      <c r="AT150" s="212"/>
      <c r="AU150" s="15">
        <f t="shared" si="68"/>
        <v>1.4999999999999999E-5</v>
      </c>
      <c r="AV150" s="15">
        <f t="shared" si="69"/>
        <v>0</v>
      </c>
      <c r="AW150" s="15"/>
      <c r="AX150" s="173">
        <v>140</v>
      </c>
      <c r="AY150" s="206">
        <f t="shared" si="70"/>
        <v>1.9599999999999999E-5</v>
      </c>
      <c r="AZ150" s="173">
        <f t="shared" si="71"/>
        <v>0</v>
      </c>
      <c r="BA150" s="233">
        <f t="shared" si="72"/>
        <v>1.4999999999999999E-5</v>
      </c>
      <c r="BB150" s="15">
        <f t="shared" si="78"/>
        <v>0</v>
      </c>
      <c r="BC150" s="173">
        <v>140</v>
      </c>
      <c r="BD150" s="84">
        <f t="shared" si="73"/>
        <v>1.8E-5</v>
      </c>
      <c r="BE150" s="207">
        <f t="shared" si="74"/>
        <v>0</v>
      </c>
      <c r="BF150" s="233">
        <f t="shared" si="75"/>
        <v>1.4999999999999999E-5</v>
      </c>
      <c r="BG150" s="15">
        <f t="shared" si="79"/>
        <v>0</v>
      </c>
      <c r="BH150" s="173">
        <v>140</v>
      </c>
      <c r="BI150" s="84">
        <f t="shared" si="76"/>
        <v>1.8E-5</v>
      </c>
      <c r="BJ150" s="207">
        <f t="shared" si="77"/>
        <v>0</v>
      </c>
      <c r="BL150" s="123"/>
      <c r="BM150" s="123"/>
      <c r="BO150" s="173"/>
      <c r="BP150" s="174" t="str">
        <f t="shared" si="80"/>
        <v/>
      </c>
      <c r="BQ150" s="174" t="str">
        <f t="shared" si="81"/>
        <v/>
      </c>
      <c r="BR150" s="174" t="str">
        <f t="shared" si="82"/>
        <v/>
      </c>
      <c r="BS150" s="174" t="str">
        <f t="shared" si="83"/>
        <v/>
      </c>
      <c r="BT150" s="174" t="str">
        <f t="shared" si="84"/>
        <v/>
      </c>
      <c r="BU150" s="174" t="str">
        <f t="shared" si="85"/>
        <v/>
      </c>
      <c r="BV150" s="174" t="str">
        <f t="shared" si="86"/>
        <v/>
      </c>
      <c r="BW150" s="174" t="str">
        <f t="shared" si="87"/>
        <v/>
      </c>
      <c r="BX150" s="174" t="str">
        <f t="shared" si="88"/>
        <v/>
      </c>
      <c r="BY150" s="174" t="str">
        <f t="shared" si="89"/>
        <v/>
      </c>
      <c r="BZ150" s="174" t="str">
        <f t="shared" si="90"/>
        <v/>
      </c>
      <c r="CA150" s="174" t="str">
        <f t="shared" si="91"/>
        <v/>
      </c>
      <c r="CB150" s="161"/>
      <c r="CC150" s="161"/>
      <c r="CD150" s="161"/>
      <c r="CE150" s="161" t="s">
        <v>150</v>
      </c>
      <c r="CF150" s="161" t="s">
        <v>220</v>
      </c>
    </row>
    <row r="151" spans="1:84" ht="14.25" customHeight="1" thickBot="1" x14ac:dyDescent="0.3">
      <c r="A151" s="205">
        <v>141</v>
      </c>
      <c r="B151" s="85"/>
      <c r="C151" s="195"/>
      <c r="D151" s="91"/>
      <c r="E151" s="310" t="s">
        <v>92</v>
      </c>
      <c r="F151" s="93"/>
      <c r="G151" s="97"/>
      <c r="H151" s="97"/>
      <c r="I151" s="97"/>
      <c r="J151" s="97"/>
      <c r="K151" s="97"/>
      <c r="L151" s="224">
        <f t="shared" si="92"/>
        <v>0</v>
      </c>
      <c r="M151" s="300"/>
      <c r="N151" s="301"/>
      <c r="O151" s="342"/>
      <c r="P151" s="313" t="s">
        <v>66</v>
      </c>
      <c r="Q151" s="93"/>
      <c r="R151" s="97"/>
      <c r="S151" s="97"/>
      <c r="T151" s="97"/>
      <c r="U151" s="97"/>
      <c r="V151" s="97"/>
      <c r="W151" s="224">
        <f t="shared" si="93"/>
        <v>0</v>
      </c>
      <c r="X151" s="300"/>
      <c r="Y151" s="301"/>
      <c r="Z151" s="342"/>
      <c r="AA151" s="313" t="s">
        <v>86</v>
      </c>
      <c r="AB151" s="78"/>
      <c r="AC151" s="321"/>
      <c r="AD151" s="321"/>
      <c r="AE151" s="321"/>
      <c r="AF151" s="321"/>
      <c r="AG151" s="322"/>
      <c r="AH151" s="88">
        <f t="shared" si="94"/>
        <v>0</v>
      </c>
      <c r="AI151" s="78"/>
      <c r="AJ151" s="322"/>
      <c r="AK151" s="345"/>
      <c r="AL151" s="102"/>
      <c r="AM151" s="99"/>
      <c r="AN151" s="227"/>
      <c r="AO151" s="221"/>
      <c r="AP151" s="90"/>
      <c r="AQ151" s="221"/>
      <c r="AR151" s="90"/>
      <c r="AS151" s="221"/>
      <c r="AT151" s="90"/>
      <c r="AU151" s="15">
        <f t="shared" si="68"/>
        <v>1.5099999999999999E-5</v>
      </c>
      <c r="AV151" s="15">
        <f t="shared" si="69"/>
        <v>0</v>
      </c>
      <c r="AW151" s="15"/>
      <c r="AX151" s="173">
        <v>141</v>
      </c>
      <c r="AY151" s="206">
        <f t="shared" si="70"/>
        <v>1.95E-5</v>
      </c>
      <c r="AZ151" s="173">
        <f t="shared" si="71"/>
        <v>0</v>
      </c>
      <c r="BA151" s="233">
        <f t="shared" si="72"/>
        <v>1.5099999999999999E-5</v>
      </c>
      <c r="BB151" s="15">
        <f t="shared" si="78"/>
        <v>0</v>
      </c>
      <c r="BC151" s="173">
        <v>141</v>
      </c>
      <c r="BD151" s="84">
        <f t="shared" si="73"/>
        <v>1.7899999999999998E-5</v>
      </c>
      <c r="BE151" s="207">
        <f t="shared" si="74"/>
        <v>0</v>
      </c>
      <c r="BF151" s="233">
        <f t="shared" si="75"/>
        <v>1.5099999999999999E-5</v>
      </c>
      <c r="BG151" s="15">
        <f t="shared" si="79"/>
        <v>0</v>
      </c>
      <c r="BH151" s="173">
        <v>141</v>
      </c>
      <c r="BI151" s="84">
        <f t="shared" si="76"/>
        <v>1.7899999999999998E-5</v>
      </c>
      <c r="BJ151" s="207">
        <f t="shared" si="77"/>
        <v>0</v>
      </c>
      <c r="BL151" s="123"/>
      <c r="BM151" s="123"/>
      <c r="BO151" s="173"/>
      <c r="BP151" s="174" t="str">
        <f t="shared" si="80"/>
        <v/>
      </c>
      <c r="BQ151" s="174" t="str">
        <f t="shared" si="81"/>
        <v/>
      </c>
      <c r="BR151" s="174" t="str">
        <f t="shared" si="82"/>
        <v/>
      </c>
      <c r="BS151" s="174" t="str">
        <f t="shared" si="83"/>
        <v/>
      </c>
      <c r="BT151" s="174" t="str">
        <f t="shared" si="84"/>
        <v/>
      </c>
      <c r="BU151" s="174" t="str">
        <f t="shared" si="85"/>
        <v/>
      </c>
      <c r="BV151" s="174" t="str">
        <f t="shared" si="86"/>
        <v/>
      </c>
      <c r="BW151" s="174" t="str">
        <f t="shared" si="87"/>
        <v/>
      </c>
      <c r="BX151" s="174" t="str">
        <f t="shared" si="88"/>
        <v/>
      </c>
      <c r="BY151" s="174" t="str">
        <f t="shared" si="89"/>
        <v/>
      </c>
      <c r="BZ151" s="174" t="str">
        <f t="shared" si="90"/>
        <v/>
      </c>
      <c r="CA151" s="174" t="str">
        <f t="shared" si="91"/>
        <v/>
      </c>
      <c r="CB151" s="161"/>
      <c r="CC151" s="161"/>
      <c r="CD151" s="161"/>
      <c r="CE151" s="161" t="s">
        <v>150</v>
      </c>
      <c r="CF151" s="161" t="s">
        <v>220</v>
      </c>
    </row>
    <row r="152" spans="1:84" ht="14.25" customHeight="1" x14ac:dyDescent="0.25">
      <c r="A152" s="203">
        <v>142</v>
      </c>
      <c r="B152" s="86"/>
      <c r="C152" s="193"/>
      <c r="D152" s="143"/>
      <c r="E152" s="308" t="s">
        <v>92</v>
      </c>
      <c r="F152" s="213"/>
      <c r="G152" s="214"/>
      <c r="H152" s="214"/>
      <c r="I152" s="214"/>
      <c r="J152" s="214"/>
      <c r="K152" s="214"/>
      <c r="L152" s="295">
        <f t="shared" si="92"/>
        <v>0</v>
      </c>
      <c r="M152" s="296"/>
      <c r="N152" s="297"/>
      <c r="O152" s="340"/>
      <c r="P152" s="311" t="s">
        <v>66</v>
      </c>
      <c r="Q152" s="213"/>
      <c r="R152" s="214"/>
      <c r="S152" s="214"/>
      <c r="T152" s="214"/>
      <c r="U152" s="214"/>
      <c r="V152" s="214"/>
      <c r="W152" s="295">
        <f t="shared" si="93"/>
        <v>0</v>
      </c>
      <c r="X152" s="296"/>
      <c r="Y152" s="297"/>
      <c r="Z152" s="346"/>
      <c r="AA152" s="314" t="s">
        <v>148</v>
      </c>
      <c r="AB152" s="13"/>
      <c r="AC152" s="222"/>
      <c r="AD152" s="222"/>
      <c r="AE152" s="222"/>
      <c r="AF152" s="222"/>
      <c r="AG152" s="5"/>
      <c r="AH152" s="20">
        <f t="shared" si="94"/>
        <v>0</v>
      </c>
      <c r="AI152" s="13"/>
      <c r="AJ152" s="5"/>
      <c r="AK152" s="343"/>
      <c r="AL152" s="100"/>
      <c r="AM152" s="98"/>
      <c r="AN152" s="226"/>
      <c r="AO152" s="225"/>
      <c r="AP152" s="89"/>
      <c r="AQ152" s="225"/>
      <c r="AR152" s="89"/>
      <c r="AS152" s="225"/>
      <c r="AT152" s="89"/>
      <c r="AU152" s="15">
        <f t="shared" si="68"/>
        <v>1.52E-5</v>
      </c>
      <c r="AV152" s="15">
        <f t="shared" si="69"/>
        <v>0</v>
      </c>
      <c r="AW152" s="15"/>
      <c r="AX152" s="173">
        <v>142</v>
      </c>
      <c r="AY152" s="206">
        <f t="shared" si="70"/>
        <v>1.9400000000000001E-5</v>
      </c>
      <c r="AZ152" s="173">
        <f t="shared" si="71"/>
        <v>0</v>
      </c>
      <c r="BA152" s="233">
        <f t="shared" si="72"/>
        <v>1.52E-5</v>
      </c>
      <c r="BB152" s="15">
        <f t="shared" si="78"/>
        <v>0</v>
      </c>
      <c r="BC152" s="173">
        <v>142</v>
      </c>
      <c r="BD152" s="84">
        <f t="shared" si="73"/>
        <v>1.7799999999999999E-5</v>
      </c>
      <c r="BE152" s="207">
        <f t="shared" si="74"/>
        <v>0</v>
      </c>
      <c r="BF152" s="233">
        <f t="shared" si="75"/>
        <v>1.52E-5</v>
      </c>
      <c r="BG152" s="15">
        <f t="shared" si="79"/>
        <v>0</v>
      </c>
      <c r="BH152" s="173">
        <v>142</v>
      </c>
      <c r="BI152" s="84">
        <f t="shared" si="76"/>
        <v>1.7799999999999999E-5</v>
      </c>
      <c r="BJ152" s="207">
        <f t="shared" si="77"/>
        <v>0</v>
      </c>
      <c r="BL152" s="123"/>
      <c r="BM152" s="123"/>
      <c r="BO152" s="173"/>
      <c r="BP152" s="174" t="str">
        <f t="shared" si="80"/>
        <v/>
      </c>
      <c r="BQ152" s="174" t="str">
        <f t="shared" si="81"/>
        <v/>
      </c>
      <c r="BR152" s="174" t="str">
        <f t="shared" si="82"/>
        <v/>
      </c>
      <c r="BS152" s="174" t="str">
        <f t="shared" si="83"/>
        <v/>
      </c>
      <c r="BT152" s="174" t="str">
        <f t="shared" si="84"/>
        <v/>
      </c>
      <c r="BU152" s="174" t="str">
        <f t="shared" si="85"/>
        <v/>
      </c>
      <c r="BV152" s="174" t="str">
        <f t="shared" si="86"/>
        <v/>
      </c>
      <c r="BW152" s="174" t="str">
        <f t="shared" si="87"/>
        <v/>
      </c>
      <c r="BX152" s="174" t="str">
        <f t="shared" si="88"/>
        <v/>
      </c>
      <c r="BY152" s="174" t="str">
        <f t="shared" si="89"/>
        <v/>
      </c>
      <c r="BZ152" s="174" t="str">
        <f t="shared" si="90"/>
        <v/>
      </c>
      <c r="CA152" s="174" t="str">
        <f t="shared" si="91"/>
        <v/>
      </c>
      <c r="CB152" s="161"/>
      <c r="CC152" s="161"/>
      <c r="CD152" s="161"/>
      <c r="CE152" s="161" t="s">
        <v>150</v>
      </c>
      <c r="CF152" s="161" t="s">
        <v>220</v>
      </c>
    </row>
    <row r="153" spans="1:84" ht="14.25" customHeight="1" x14ac:dyDescent="0.25">
      <c r="A153" s="204">
        <v>143</v>
      </c>
      <c r="B153" s="211"/>
      <c r="C153" s="194"/>
      <c r="D153" s="142"/>
      <c r="E153" s="309" t="s">
        <v>92</v>
      </c>
      <c r="F153" s="305"/>
      <c r="G153" s="306"/>
      <c r="H153" s="306"/>
      <c r="I153" s="306"/>
      <c r="J153" s="306"/>
      <c r="K153" s="306"/>
      <c r="L153" s="223">
        <f t="shared" si="92"/>
        <v>0</v>
      </c>
      <c r="M153" s="298"/>
      <c r="N153" s="299"/>
      <c r="O153" s="341"/>
      <c r="P153" s="312" t="s">
        <v>66</v>
      </c>
      <c r="Q153" s="305"/>
      <c r="R153" s="306"/>
      <c r="S153" s="306"/>
      <c r="T153" s="306"/>
      <c r="U153" s="306"/>
      <c r="V153" s="306"/>
      <c r="W153" s="223">
        <f t="shared" si="93"/>
        <v>0</v>
      </c>
      <c r="X153" s="298"/>
      <c r="Y153" s="299"/>
      <c r="Z153" s="341"/>
      <c r="AA153" s="312" t="s">
        <v>86</v>
      </c>
      <c r="AB153" s="77"/>
      <c r="AC153" s="319"/>
      <c r="AD153" s="319"/>
      <c r="AE153" s="319"/>
      <c r="AF153" s="319"/>
      <c r="AG153" s="320"/>
      <c r="AH153" s="20">
        <f t="shared" si="94"/>
        <v>0</v>
      </c>
      <c r="AI153" s="77"/>
      <c r="AJ153" s="320"/>
      <c r="AK153" s="344"/>
      <c r="AL153" s="101"/>
      <c r="AM153" s="209"/>
      <c r="AN153" s="208"/>
      <c r="AO153" s="220"/>
      <c r="AP153" s="212"/>
      <c r="AQ153" s="220"/>
      <c r="AR153" s="212"/>
      <c r="AS153" s="220"/>
      <c r="AT153" s="212"/>
      <c r="AU153" s="15">
        <f t="shared" si="68"/>
        <v>1.5299999999999999E-5</v>
      </c>
      <c r="AV153" s="15">
        <f t="shared" si="69"/>
        <v>0</v>
      </c>
      <c r="AW153" s="15"/>
      <c r="AX153" s="173">
        <v>143</v>
      </c>
      <c r="AY153" s="206">
        <f t="shared" si="70"/>
        <v>1.9299999999999998E-5</v>
      </c>
      <c r="AZ153" s="173">
        <f t="shared" si="71"/>
        <v>0</v>
      </c>
      <c r="BA153" s="233">
        <f t="shared" si="72"/>
        <v>1.5299999999999999E-5</v>
      </c>
      <c r="BB153" s="15">
        <f t="shared" si="78"/>
        <v>0</v>
      </c>
      <c r="BC153" s="173">
        <v>143</v>
      </c>
      <c r="BD153" s="84">
        <f t="shared" si="73"/>
        <v>1.77E-5</v>
      </c>
      <c r="BE153" s="207">
        <f t="shared" si="74"/>
        <v>0</v>
      </c>
      <c r="BF153" s="233">
        <f t="shared" si="75"/>
        <v>1.5299999999999999E-5</v>
      </c>
      <c r="BG153" s="15">
        <f t="shared" si="79"/>
        <v>0</v>
      </c>
      <c r="BH153" s="173">
        <v>143</v>
      </c>
      <c r="BI153" s="84">
        <f t="shared" si="76"/>
        <v>1.77E-5</v>
      </c>
      <c r="BJ153" s="207">
        <f t="shared" si="77"/>
        <v>0</v>
      </c>
      <c r="BL153" s="123"/>
      <c r="BM153" s="123"/>
      <c r="BO153" s="173"/>
      <c r="BP153" s="174" t="str">
        <f t="shared" si="80"/>
        <v/>
      </c>
      <c r="BQ153" s="174" t="str">
        <f t="shared" si="81"/>
        <v/>
      </c>
      <c r="BR153" s="174" t="str">
        <f t="shared" si="82"/>
        <v/>
      </c>
      <c r="BS153" s="174" t="str">
        <f t="shared" si="83"/>
        <v/>
      </c>
      <c r="BT153" s="174" t="str">
        <f t="shared" si="84"/>
        <v/>
      </c>
      <c r="BU153" s="174" t="str">
        <f t="shared" si="85"/>
        <v/>
      </c>
      <c r="BV153" s="174" t="str">
        <f t="shared" si="86"/>
        <v/>
      </c>
      <c r="BW153" s="174" t="str">
        <f t="shared" si="87"/>
        <v/>
      </c>
      <c r="BX153" s="174" t="str">
        <f t="shared" si="88"/>
        <v/>
      </c>
      <c r="BY153" s="174" t="str">
        <f t="shared" si="89"/>
        <v/>
      </c>
      <c r="BZ153" s="174" t="str">
        <f t="shared" si="90"/>
        <v/>
      </c>
      <c r="CA153" s="174" t="str">
        <f t="shared" si="91"/>
        <v/>
      </c>
      <c r="CB153" s="161"/>
      <c r="CC153" s="161"/>
      <c r="CD153" s="161"/>
      <c r="CE153" s="161" t="s">
        <v>150</v>
      </c>
      <c r="CF153" s="161" t="s">
        <v>220</v>
      </c>
    </row>
    <row r="154" spans="1:84" ht="14.25" customHeight="1" thickBot="1" x14ac:dyDescent="0.3">
      <c r="A154" s="205">
        <v>144</v>
      </c>
      <c r="B154" s="85"/>
      <c r="C154" s="195"/>
      <c r="D154" s="91"/>
      <c r="E154" s="310" t="s">
        <v>92</v>
      </c>
      <c r="F154" s="93"/>
      <c r="G154" s="97"/>
      <c r="H154" s="97"/>
      <c r="I154" s="97"/>
      <c r="J154" s="97"/>
      <c r="K154" s="97"/>
      <c r="L154" s="224">
        <f t="shared" si="92"/>
        <v>0</v>
      </c>
      <c r="M154" s="300"/>
      <c r="N154" s="301"/>
      <c r="O154" s="342"/>
      <c r="P154" s="313" t="s">
        <v>66</v>
      </c>
      <c r="Q154" s="93"/>
      <c r="R154" s="97"/>
      <c r="S154" s="97"/>
      <c r="T154" s="97"/>
      <c r="U154" s="97"/>
      <c r="V154" s="97"/>
      <c r="W154" s="224">
        <f t="shared" si="93"/>
        <v>0</v>
      </c>
      <c r="X154" s="300"/>
      <c r="Y154" s="301"/>
      <c r="Z154" s="342"/>
      <c r="AA154" s="313" t="s">
        <v>86</v>
      </c>
      <c r="AB154" s="78"/>
      <c r="AC154" s="321"/>
      <c r="AD154" s="321"/>
      <c r="AE154" s="321"/>
      <c r="AF154" s="321"/>
      <c r="AG154" s="322"/>
      <c r="AH154" s="88">
        <f t="shared" si="94"/>
        <v>0</v>
      </c>
      <c r="AI154" s="78"/>
      <c r="AJ154" s="322"/>
      <c r="AK154" s="345"/>
      <c r="AL154" s="102"/>
      <c r="AM154" s="99"/>
      <c r="AN154" s="227"/>
      <c r="AO154" s="221"/>
      <c r="AP154" s="90"/>
      <c r="AQ154" s="221"/>
      <c r="AR154" s="90"/>
      <c r="AS154" s="221"/>
      <c r="AT154" s="90"/>
      <c r="AU154" s="15">
        <f t="shared" si="68"/>
        <v>1.5399999999999998E-5</v>
      </c>
      <c r="AV154" s="15">
        <f t="shared" si="69"/>
        <v>0</v>
      </c>
      <c r="AW154" s="15"/>
      <c r="AX154" s="173">
        <v>144</v>
      </c>
      <c r="AY154" s="206">
        <f t="shared" si="70"/>
        <v>1.9199999999999999E-5</v>
      </c>
      <c r="AZ154" s="173">
        <f t="shared" si="71"/>
        <v>0</v>
      </c>
      <c r="BA154" s="233">
        <f t="shared" si="72"/>
        <v>1.5399999999999998E-5</v>
      </c>
      <c r="BB154" s="15">
        <f t="shared" si="78"/>
        <v>0</v>
      </c>
      <c r="BC154" s="173">
        <v>144</v>
      </c>
      <c r="BD154" s="84">
        <f t="shared" si="73"/>
        <v>1.7600000000000001E-5</v>
      </c>
      <c r="BE154" s="207">
        <f t="shared" si="74"/>
        <v>0</v>
      </c>
      <c r="BF154" s="233">
        <f t="shared" si="75"/>
        <v>1.5399999999999998E-5</v>
      </c>
      <c r="BG154" s="15">
        <f t="shared" si="79"/>
        <v>0</v>
      </c>
      <c r="BH154" s="173">
        <v>144</v>
      </c>
      <c r="BI154" s="84">
        <f t="shared" si="76"/>
        <v>1.7600000000000001E-5</v>
      </c>
      <c r="BJ154" s="207">
        <f t="shared" si="77"/>
        <v>0</v>
      </c>
      <c r="BL154" s="123"/>
      <c r="BM154" s="123"/>
      <c r="BO154" s="173"/>
      <c r="BP154" s="174" t="str">
        <f t="shared" si="80"/>
        <v/>
      </c>
      <c r="BQ154" s="174" t="str">
        <f t="shared" si="81"/>
        <v/>
      </c>
      <c r="BR154" s="174" t="str">
        <f t="shared" si="82"/>
        <v/>
      </c>
      <c r="BS154" s="174" t="str">
        <f t="shared" si="83"/>
        <v/>
      </c>
      <c r="BT154" s="174" t="str">
        <f t="shared" si="84"/>
        <v/>
      </c>
      <c r="BU154" s="174" t="str">
        <f t="shared" si="85"/>
        <v/>
      </c>
      <c r="BV154" s="174" t="str">
        <f t="shared" si="86"/>
        <v/>
      </c>
      <c r="BW154" s="174" t="str">
        <f t="shared" si="87"/>
        <v/>
      </c>
      <c r="BX154" s="174" t="str">
        <f t="shared" si="88"/>
        <v/>
      </c>
      <c r="BY154" s="174" t="str">
        <f t="shared" si="89"/>
        <v/>
      </c>
      <c r="BZ154" s="174" t="str">
        <f t="shared" si="90"/>
        <v/>
      </c>
      <c r="CA154" s="174" t="str">
        <f t="shared" si="91"/>
        <v/>
      </c>
      <c r="CB154" s="161"/>
      <c r="CC154" s="161"/>
      <c r="CD154" s="161"/>
      <c r="CE154" s="161" t="s">
        <v>150</v>
      </c>
      <c r="CF154" s="161" t="s">
        <v>220</v>
      </c>
    </row>
    <row r="155" spans="1:84" ht="14.25" customHeight="1" x14ac:dyDescent="0.25">
      <c r="A155" s="203">
        <v>145</v>
      </c>
      <c r="B155" s="86"/>
      <c r="C155" s="193"/>
      <c r="D155" s="143"/>
      <c r="E155" s="308" t="s">
        <v>92</v>
      </c>
      <c r="F155" s="213"/>
      <c r="G155" s="214"/>
      <c r="H155" s="214"/>
      <c r="I155" s="214"/>
      <c r="J155" s="214"/>
      <c r="K155" s="214"/>
      <c r="L155" s="295">
        <f t="shared" si="92"/>
        <v>0</v>
      </c>
      <c r="M155" s="296"/>
      <c r="N155" s="297"/>
      <c r="O155" s="340"/>
      <c r="P155" s="311" t="s">
        <v>66</v>
      </c>
      <c r="Q155" s="213"/>
      <c r="R155" s="214"/>
      <c r="S155" s="214"/>
      <c r="T155" s="214"/>
      <c r="U155" s="214"/>
      <c r="V155" s="214"/>
      <c r="W155" s="295">
        <f t="shared" si="93"/>
        <v>0</v>
      </c>
      <c r="X155" s="296"/>
      <c r="Y155" s="297"/>
      <c r="Z155" s="346"/>
      <c r="AA155" s="314" t="s">
        <v>148</v>
      </c>
      <c r="AB155" s="13"/>
      <c r="AC155" s="222"/>
      <c r="AD155" s="222"/>
      <c r="AE155" s="222"/>
      <c r="AF155" s="222"/>
      <c r="AG155" s="5"/>
      <c r="AH155" s="20">
        <f t="shared" si="94"/>
        <v>0</v>
      </c>
      <c r="AI155" s="13"/>
      <c r="AJ155" s="5"/>
      <c r="AK155" s="343"/>
      <c r="AL155" s="100"/>
      <c r="AM155" s="98"/>
      <c r="AN155" s="226"/>
      <c r="AO155" s="225"/>
      <c r="AP155" s="89"/>
      <c r="AQ155" s="225"/>
      <c r="AR155" s="89"/>
      <c r="AS155" s="225"/>
      <c r="AT155" s="89"/>
      <c r="AU155" s="15">
        <f t="shared" si="68"/>
        <v>1.5500000000000001E-5</v>
      </c>
      <c r="AV155" s="15">
        <f t="shared" si="69"/>
        <v>0</v>
      </c>
      <c r="AW155" s="15"/>
      <c r="AX155" s="173">
        <v>145</v>
      </c>
      <c r="AY155" s="206">
        <f t="shared" si="70"/>
        <v>1.91E-5</v>
      </c>
      <c r="AZ155" s="173">
        <f t="shared" si="71"/>
        <v>0</v>
      </c>
      <c r="BA155" s="233">
        <f t="shared" si="72"/>
        <v>1.5500000000000001E-5</v>
      </c>
      <c r="BB155" s="15">
        <f t="shared" si="78"/>
        <v>0</v>
      </c>
      <c r="BC155" s="173">
        <v>145</v>
      </c>
      <c r="BD155" s="84">
        <f t="shared" si="73"/>
        <v>1.7499999999999998E-5</v>
      </c>
      <c r="BE155" s="207">
        <f t="shared" si="74"/>
        <v>0</v>
      </c>
      <c r="BF155" s="233">
        <f t="shared" si="75"/>
        <v>1.5500000000000001E-5</v>
      </c>
      <c r="BG155" s="15">
        <f t="shared" si="79"/>
        <v>0</v>
      </c>
      <c r="BH155" s="173">
        <v>145</v>
      </c>
      <c r="BI155" s="84">
        <f t="shared" si="76"/>
        <v>1.7499999999999998E-5</v>
      </c>
      <c r="BJ155" s="207">
        <f t="shared" si="77"/>
        <v>0</v>
      </c>
      <c r="BL155" s="123"/>
      <c r="BM155" s="123"/>
      <c r="BO155" s="173"/>
      <c r="BP155" s="174" t="str">
        <f t="shared" si="80"/>
        <v/>
      </c>
      <c r="BQ155" s="174" t="str">
        <f t="shared" si="81"/>
        <v/>
      </c>
      <c r="BR155" s="174" t="str">
        <f t="shared" si="82"/>
        <v/>
      </c>
      <c r="BS155" s="174" t="str">
        <f t="shared" si="83"/>
        <v/>
      </c>
      <c r="BT155" s="174" t="str">
        <f t="shared" si="84"/>
        <v/>
      </c>
      <c r="BU155" s="174" t="str">
        <f t="shared" si="85"/>
        <v/>
      </c>
      <c r="BV155" s="174" t="str">
        <f t="shared" si="86"/>
        <v/>
      </c>
      <c r="BW155" s="174" t="str">
        <f t="shared" si="87"/>
        <v/>
      </c>
      <c r="BX155" s="174" t="str">
        <f t="shared" si="88"/>
        <v/>
      </c>
      <c r="BY155" s="174" t="str">
        <f t="shared" si="89"/>
        <v/>
      </c>
      <c r="BZ155" s="174" t="str">
        <f t="shared" si="90"/>
        <v/>
      </c>
      <c r="CA155" s="174" t="str">
        <f t="shared" si="91"/>
        <v/>
      </c>
      <c r="CB155" s="161"/>
      <c r="CC155" s="161"/>
      <c r="CD155" s="161"/>
      <c r="CE155" s="161" t="s">
        <v>150</v>
      </c>
      <c r="CF155" s="161" t="s">
        <v>220</v>
      </c>
    </row>
    <row r="156" spans="1:84" ht="14.25" customHeight="1" x14ac:dyDescent="0.25">
      <c r="A156" s="204">
        <v>146</v>
      </c>
      <c r="B156" s="211"/>
      <c r="C156" s="194"/>
      <c r="D156" s="142"/>
      <c r="E156" s="309" t="s">
        <v>92</v>
      </c>
      <c r="F156" s="305"/>
      <c r="G156" s="306"/>
      <c r="H156" s="306"/>
      <c r="I156" s="306"/>
      <c r="J156" s="306"/>
      <c r="K156" s="306"/>
      <c r="L156" s="223">
        <f t="shared" si="92"/>
        <v>0</v>
      </c>
      <c r="M156" s="298"/>
      <c r="N156" s="299"/>
      <c r="O156" s="341"/>
      <c r="P156" s="312" t="s">
        <v>66</v>
      </c>
      <c r="Q156" s="305"/>
      <c r="R156" s="306"/>
      <c r="S156" s="306"/>
      <c r="T156" s="306"/>
      <c r="U156" s="306"/>
      <c r="V156" s="306"/>
      <c r="W156" s="223">
        <f t="shared" si="93"/>
        <v>0</v>
      </c>
      <c r="X156" s="298"/>
      <c r="Y156" s="299"/>
      <c r="Z156" s="341"/>
      <c r="AA156" s="312" t="s">
        <v>86</v>
      </c>
      <c r="AB156" s="77"/>
      <c r="AC156" s="319"/>
      <c r="AD156" s="319"/>
      <c r="AE156" s="319"/>
      <c r="AF156" s="319"/>
      <c r="AG156" s="320"/>
      <c r="AH156" s="20">
        <f t="shared" si="94"/>
        <v>0</v>
      </c>
      <c r="AI156" s="77"/>
      <c r="AJ156" s="320"/>
      <c r="AK156" s="344"/>
      <c r="AL156" s="101"/>
      <c r="AM156" s="209"/>
      <c r="AN156" s="208"/>
      <c r="AO156" s="220"/>
      <c r="AP156" s="212"/>
      <c r="AQ156" s="220"/>
      <c r="AR156" s="212"/>
      <c r="AS156" s="220"/>
      <c r="AT156" s="212"/>
      <c r="AU156" s="15">
        <f t="shared" si="68"/>
        <v>1.56E-5</v>
      </c>
      <c r="AV156" s="15">
        <f t="shared" si="69"/>
        <v>0</v>
      </c>
      <c r="AW156" s="15"/>
      <c r="AX156" s="173">
        <v>146</v>
      </c>
      <c r="AY156" s="206">
        <f t="shared" si="70"/>
        <v>1.8999999999999998E-5</v>
      </c>
      <c r="AZ156" s="173">
        <f t="shared" si="71"/>
        <v>0</v>
      </c>
      <c r="BA156" s="233">
        <f t="shared" si="72"/>
        <v>1.56E-5</v>
      </c>
      <c r="BB156" s="15">
        <f t="shared" si="78"/>
        <v>0</v>
      </c>
      <c r="BC156" s="173">
        <v>146</v>
      </c>
      <c r="BD156" s="84">
        <f t="shared" si="73"/>
        <v>1.7399999999999999E-5</v>
      </c>
      <c r="BE156" s="207">
        <f t="shared" si="74"/>
        <v>0</v>
      </c>
      <c r="BF156" s="233">
        <f t="shared" si="75"/>
        <v>1.56E-5</v>
      </c>
      <c r="BG156" s="15">
        <f t="shared" si="79"/>
        <v>0</v>
      </c>
      <c r="BH156" s="173">
        <v>146</v>
      </c>
      <c r="BI156" s="84">
        <f t="shared" si="76"/>
        <v>1.7399999999999999E-5</v>
      </c>
      <c r="BJ156" s="207">
        <f t="shared" si="77"/>
        <v>0</v>
      </c>
      <c r="BL156" s="123"/>
      <c r="BM156" s="123"/>
      <c r="BO156" s="173"/>
      <c r="BP156" s="174" t="str">
        <f t="shared" si="80"/>
        <v/>
      </c>
      <c r="BQ156" s="174" t="str">
        <f t="shared" si="81"/>
        <v/>
      </c>
      <c r="BR156" s="174" t="str">
        <f t="shared" si="82"/>
        <v/>
      </c>
      <c r="BS156" s="174" t="str">
        <f t="shared" si="83"/>
        <v/>
      </c>
      <c r="BT156" s="174" t="str">
        <f t="shared" si="84"/>
        <v/>
      </c>
      <c r="BU156" s="174" t="str">
        <f t="shared" si="85"/>
        <v/>
      </c>
      <c r="BV156" s="174" t="str">
        <f t="shared" si="86"/>
        <v/>
      </c>
      <c r="BW156" s="174" t="str">
        <f t="shared" si="87"/>
        <v/>
      </c>
      <c r="BX156" s="174" t="str">
        <f t="shared" si="88"/>
        <v/>
      </c>
      <c r="BY156" s="174" t="str">
        <f t="shared" si="89"/>
        <v/>
      </c>
      <c r="BZ156" s="174" t="str">
        <f t="shared" si="90"/>
        <v/>
      </c>
      <c r="CA156" s="174" t="str">
        <f t="shared" si="91"/>
        <v/>
      </c>
      <c r="CB156" s="161"/>
      <c r="CC156" s="161"/>
      <c r="CD156" s="161"/>
      <c r="CE156" s="161" t="s">
        <v>150</v>
      </c>
      <c r="CF156" s="161" t="s">
        <v>220</v>
      </c>
    </row>
    <row r="157" spans="1:84" ht="14.25" customHeight="1" thickBot="1" x14ac:dyDescent="0.3">
      <c r="A157" s="205">
        <v>147</v>
      </c>
      <c r="B157" s="85"/>
      <c r="C157" s="195"/>
      <c r="D157" s="91"/>
      <c r="E157" s="310" t="s">
        <v>92</v>
      </c>
      <c r="F157" s="93"/>
      <c r="G157" s="97"/>
      <c r="H157" s="97"/>
      <c r="I157" s="97"/>
      <c r="J157" s="97"/>
      <c r="K157" s="97"/>
      <c r="L157" s="224">
        <f t="shared" si="92"/>
        <v>0</v>
      </c>
      <c r="M157" s="300"/>
      <c r="N157" s="301"/>
      <c r="O157" s="342"/>
      <c r="P157" s="313" t="s">
        <v>66</v>
      </c>
      <c r="Q157" s="93"/>
      <c r="R157" s="97"/>
      <c r="S157" s="97"/>
      <c r="T157" s="97"/>
      <c r="U157" s="97"/>
      <c r="V157" s="97"/>
      <c r="W157" s="224">
        <f t="shared" si="93"/>
        <v>0</v>
      </c>
      <c r="X157" s="300"/>
      <c r="Y157" s="301"/>
      <c r="Z157" s="342"/>
      <c r="AA157" s="313" t="s">
        <v>86</v>
      </c>
      <c r="AB157" s="78"/>
      <c r="AC157" s="321"/>
      <c r="AD157" s="321"/>
      <c r="AE157" s="321"/>
      <c r="AF157" s="321"/>
      <c r="AG157" s="322"/>
      <c r="AH157" s="88">
        <f t="shared" si="94"/>
        <v>0</v>
      </c>
      <c r="AI157" s="78"/>
      <c r="AJ157" s="322"/>
      <c r="AK157" s="345"/>
      <c r="AL157" s="102"/>
      <c r="AM157" s="99"/>
      <c r="AN157" s="227"/>
      <c r="AO157" s="221"/>
      <c r="AP157" s="90"/>
      <c r="AQ157" s="221"/>
      <c r="AR157" s="90"/>
      <c r="AS157" s="221"/>
      <c r="AT157" s="90"/>
      <c r="AU157" s="15">
        <f t="shared" si="68"/>
        <v>1.5699999999999999E-5</v>
      </c>
      <c r="AV157" s="15">
        <f t="shared" si="69"/>
        <v>0</v>
      </c>
      <c r="AW157" s="15"/>
      <c r="AX157" s="173">
        <v>147</v>
      </c>
      <c r="AY157" s="206">
        <f t="shared" si="70"/>
        <v>1.8899999999999999E-5</v>
      </c>
      <c r="AZ157" s="173">
        <f t="shared" si="71"/>
        <v>0</v>
      </c>
      <c r="BA157" s="233">
        <f t="shared" si="72"/>
        <v>1.5699999999999999E-5</v>
      </c>
      <c r="BB157" s="15">
        <f t="shared" si="78"/>
        <v>0</v>
      </c>
      <c r="BC157" s="173">
        <v>147</v>
      </c>
      <c r="BD157" s="84">
        <f t="shared" si="73"/>
        <v>1.73E-5</v>
      </c>
      <c r="BE157" s="207">
        <f t="shared" si="74"/>
        <v>0</v>
      </c>
      <c r="BF157" s="233">
        <f t="shared" si="75"/>
        <v>1.5699999999999999E-5</v>
      </c>
      <c r="BG157" s="15">
        <f t="shared" si="79"/>
        <v>0</v>
      </c>
      <c r="BH157" s="173">
        <v>147</v>
      </c>
      <c r="BI157" s="84">
        <f t="shared" si="76"/>
        <v>1.73E-5</v>
      </c>
      <c r="BJ157" s="207">
        <f t="shared" si="77"/>
        <v>0</v>
      </c>
      <c r="BL157" s="123"/>
      <c r="BM157" s="123"/>
      <c r="BO157" s="173"/>
      <c r="BP157" s="174" t="str">
        <f t="shared" si="80"/>
        <v/>
      </c>
      <c r="BQ157" s="174" t="str">
        <f t="shared" si="81"/>
        <v/>
      </c>
      <c r="BR157" s="174" t="str">
        <f t="shared" si="82"/>
        <v/>
      </c>
      <c r="BS157" s="174" t="str">
        <f t="shared" si="83"/>
        <v/>
      </c>
      <c r="BT157" s="174" t="str">
        <f t="shared" si="84"/>
        <v/>
      </c>
      <c r="BU157" s="174" t="str">
        <f t="shared" si="85"/>
        <v/>
      </c>
      <c r="BV157" s="174" t="str">
        <f t="shared" si="86"/>
        <v/>
      </c>
      <c r="BW157" s="174" t="str">
        <f t="shared" si="87"/>
        <v/>
      </c>
      <c r="BX157" s="174" t="str">
        <f t="shared" si="88"/>
        <v/>
      </c>
      <c r="BY157" s="174" t="str">
        <f t="shared" si="89"/>
        <v/>
      </c>
      <c r="BZ157" s="174" t="str">
        <f t="shared" si="90"/>
        <v/>
      </c>
      <c r="CA157" s="174" t="str">
        <f t="shared" si="91"/>
        <v/>
      </c>
      <c r="CB157" s="161"/>
      <c r="CC157" s="161"/>
      <c r="CD157" s="161"/>
      <c r="CE157" s="161" t="s">
        <v>150</v>
      </c>
      <c r="CF157" s="161" t="s">
        <v>220</v>
      </c>
    </row>
    <row r="158" spans="1:84" ht="14.25" customHeight="1" x14ac:dyDescent="0.25">
      <c r="A158" s="203">
        <v>148</v>
      </c>
      <c r="B158" s="86"/>
      <c r="C158" s="193"/>
      <c r="D158" s="143"/>
      <c r="E158" s="308" t="s">
        <v>92</v>
      </c>
      <c r="F158" s="213"/>
      <c r="G158" s="214"/>
      <c r="H158" s="214"/>
      <c r="I158" s="214"/>
      <c r="J158" s="214"/>
      <c r="K158" s="214"/>
      <c r="L158" s="295">
        <f t="shared" si="92"/>
        <v>0</v>
      </c>
      <c r="M158" s="296"/>
      <c r="N158" s="297"/>
      <c r="O158" s="340"/>
      <c r="P158" s="311" t="s">
        <v>66</v>
      </c>
      <c r="Q158" s="213"/>
      <c r="R158" s="214"/>
      <c r="S158" s="214"/>
      <c r="T158" s="214"/>
      <c r="U158" s="214"/>
      <c r="V158" s="214"/>
      <c r="W158" s="295">
        <f t="shared" si="93"/>
        <v>0</v>
      </c>
      <c r="X158" s="296"/>
      <c r="Y158" s="297"/>
      <c r="Z158" s="346"/>
      <c r="AA158" s="314" t="s">
        <v>148</v>
      </c>
      <c r="AB158" s="13"/>
      <c r="AC158" s="222"/>
      <c r="AD158" s="222"/>
      <c r="AE158" s="222"/>
      <c r="AF158" s="222"/>
      <c r="AG158" s="5"/>
      <c r="AH158" s="20">
        <f t="shared" si="94"/>
        <v>0</v>
      </c>
      <c r="AI158" s="13"/>
      <c r="AJ158" s="5"/>
      <c r="AK158" s="343"/>
      <c r="AL158" s="100"/>
      <c r="AM158" s="98"/>
      <c r="AN158" s="226"/>
      <c r="AO158" s="225"/>
      <c r="AP158" s="89"/>
      <c r="AQ158" s="225"/>
      <c r="AR158" s="89"/>
      <c r="AS158" s="225"/>
      <c r="AT158" s="89"/>
      <c r="AU158" s="15">
        <f t="shared" si="68"/>
        <v>1.5799999999999998E-5</v>
      </c>
      <c r="AV158" s="15">
        <f t="shared" si="69"/>
        <v>0</v>
      </c>
      <c r="AW158" s="15"/>
      <c r="AX158" s="173">
        <v>148</v>
      </c>
      <c r="AY158" s="206">
        <f t="shared" si="70"/>
        <v>1.88E-5</v>
      </c>
      <c r="AZ158" s="173">
        <f t="shared" si="71"/>
        <v>0</v>
      </c>
      <c r="BA158" s="233">
        <f t="shared" si="72"/>
        <v>1.5799999999999998E-5</v>
      </c>
      <c r="BB158" s="15">
        <f t="shared" si="78"/>
        <v>0</v>
      </c>
      <c r="BC158" s="173">
        <v>148</v>
      </c>
      <c r="BD158" s="84">
        <f t="shared" si="73"/>
        <v>1.7199999999999998E-5</v>
      </c>
      <c r="BE158" s="207">
        <f t="shared" si="74"/>
        <v>0</v>
      </c>
      <c r="BF158" s="233">
        <f t="shared" si="75"/>
        <v>1.5799999999999998E-5</v>
      </c>
      <c r="BG158" s="15">
        <f t="shared" si="79"/>
        <v>0</v>
      </c>
      <c r="BH158" s="173">
        <v>148</v>
      </c>
      <c r="BI158" s="84">
        <f t="shared" si="76"/>
        <v>1.7199999999999998E-5</v>
      </c>
      <c r="BJ158" s="207">
        <f t="shared" si="77"/>
        <v>0</v>
      </c>
      <c r="BL158" s="123"/>
      <c r="BM158" s="123"/>
      <c r="BO158" s="173"/>
      <c r="BP158" s="174" t="str">
        <f t="shared" si="80"/>
        <v/>
      </c>
      <c r="BQ158" s="174" t="str">
        <f t="shared" si="81"/>
        <v/>
      </c>
      <c r="BR158" s="174" t="str">
        <f t="shared" si="82"/>
        <v/>
      </c>
      <c r="BS158" s="174" t="str">
        <f t="shared" si="83"/>
        <v/>
      </c>
      <c r="BT158" s="174" t="str">
        <f t="shared" si="84"/>
        <v/>
      </c>
      <c r="BU158" s="174" t="str">
        <f t="shared" si="85"/>
        <v/>
      </c>
      <c r="BV158" s="174" t="str">
        <f t="shared" si="86"/>
        <v/>
      </c>
      <c r="BW158" s="174" t="str">
        <f t="shared" si="87"/>
        <v/>
      </c>
      <c r="BX158" s="174" t="str">
        <f t="shared" si="88"/>
        <v/>
      </c>
      <c r="BY158" s="174" t="str">
        <f t="shared" si="89"/>
        <v/>
      </c>
      <c r="BZ158" s="174" t="str">
        <f t="shared" si="90"/>
        <v/>
      </c>
      <c r="CA158" s="174" t="str">
        <f t="shared" si="91"/>
        <v/>
      </c>
      <c r="CB158" s="161"/>
      <c r="CC158" s="161"/>
      <c r="CD158" s="161"/>
      <c r="CE158" s="161" t="s">
        <v>150</v>
      </c>
      <c r="CF158" s="161" t="s">
        <v>220</v>
      </c>
    </row>
    <row r="159" spans="1:84" ht="14.25" customHeight="1" x14ac:dyDescent="0.25">
      <c r="A159" s="204">
        <v>149</v>
      </c>
      <c r="B159" s="211"/>
      <c r="C159" s="194"/>
      <c r="D159" s="142"/>
      <c r="E159" s="309" t="s">
        <v>92</v>
      </c>
      <c r="F159" s="305"/>
      <c r="G159" s="306"/>
      <c r="H159" s="306"/>
      <c r="I159" s="306"/>
      <c r="J159" s="306"/>
      <c r="K159" s="306"/>
      <c r="L159" s="223">
        <f t="shared" si="92"/>
        <v>0</v>
      </c>
      <c r="M159" s="298"/>
      <c r="N159" s="299"/>
      <c r="O159" s="341"/>
      <c r="P159" s="312" t="s">
        <v>66</v>
      </c>
      <c r="Q159" s="305"/>
      <c r="R159" s="306"/>
      <c r="S159" s="306"/>
      <c r="T159" s="306"/>
      <c r="U159" s="306"/>
      <c r="V159" s="306"/>
      <c r="W159" s="223">
        <f t="shared" si="93"/>
        <v>0</v>
      </c>
      <c r="X159" s="298"/>
      <c r="Y159" s="299"/>
      <c r="Z159" s="341"/>
      <c r="AA159" s="312" t="s">
        <v>86</v>
      </c>
      <c r="AB159" s="77"/>
      <c r="AC159" s="319"/>
      <c r="AD159" s="319"/>
      <c r="AE159" s="319"/>
      <c r="AF159" s="319"/>
      <c r="AG159" s="320"/>
      <c r="AH159" s="20">
        <f t="shared" si="94"/>
        <v>0</v>
      </c>
      <c r="AI159" s="77"/>
      <c r="AJ159" s="320"/>
      <c r="AK159" s="344"/>
      <c r="AL159" s="101"/>
      <c r="AM159" s="209"/>
      <c r="AN159" s="208"/>
      <c r="AO159" s="220"/>
      <c r="AP159" s="212"/>
      <c r="AQ159" s="220"/>
      <c r="AR159" s="212"/>
      <c r="AS159" s="220"/>
      <c r="AT159" s="212"/>
      <c r="AU159" s="15">
        <f t="shared" si="68"/>
        <v>1.59E-5</v>
      </c>
      <c r="AV159" s="15">
        <f t="shared" si="69"/>
        <v>0</v>
      </c>
      <c r="AW159" s="15"/>
      <c r="AX159" s="173">
        <v>149</v>
      </c>
      <c r="AY159" s="206">
        <f t="shared" si="70"/>
        <v>1.8700000000000001E-5</v>
      </c>
      <c r="AZ159" s="173">
        <f t="shared" si="71"/>
        <v>0</v>
      </c>
      <c r="BA159" s="233">
        <f t="shared" si="72"/>
        <v>1.59E-5</v>
      </c>
      <c r="BB159" s="15">
        <f t="shared" si="78"/>
        <v>0</v>
      </c>
      <c r="BC159" s="173">
        <v>149</v>
      </c>
      <c r="BD159" s="84">
        <f t="shared" si="73"/>
        <v>1.7099999999999999E-5</v>
      </c>
      <c r="BE159" s="207">
        <f t="shared" si="74"/>
        <v>0</v>
      </c>
      <c r="BF159" s="233">
        <f t="shared" si="75"/>
        <v>1.59E-5</v>
      </c>
      <c r="BG159" s="15">
        <f t="shared" si="79"/>
        <v>0</v>
      </c>
      <c r="BH159" s="173">
        <v>149</v>
      </c>
      <c r="BI159" s="84">
        <f t="shared" si="76"/>
        <v>1.7099999999999999E-5</v>
      </c>
      <c r="BJ159" s="207">
        <f t="shared" si="77"/>
        <v>0</v>
      </c>
      <c r="BL159" s="123"/>
      <c r="BM159" s="123"/>
      <c r="BO159" s="173"/>
      <c r="BP159" s="174" t="str">
        <f t="shared" si="80"/>
        <v/>
      </c>
      <c r="BQ159" s="174" t="str">
        <f t="shared" si="81"/>
        <v/>
      </c>
      <c r="BR159" s="174" t="str">
        <f t="shared" si="82"/>
        <v/>
      </c>
      <c r="BS159" s="174" t="str">
        <f t="shared" si="83"/>
        <v/>
      </c>
      <c r="BT159" s="174" t="str">
        <f t="shared" si="84"/>
        <v/>
      </c>
      <c r="BU159" s="174" t="str">
        <f t="shared" si="85"/>
        <v/>
      </c>
      <c r="BV159" s="174" t="str">
        <f t="shared" si="86"/>
        <v/>
      </c>
      <c r="BW159" s="174" t="str">
        <f t="shared" si="87"/>
        <v/>
      </c>
      <c r="BX159" s="174" t="str">
        <f t="shared" si="88"/>
        <v/>
      </c>
      <c r="BY159" s="174" t="str">
        <f t="shared" si="89"/>
        <v/>
      </c>
      <c r="BZ159" s="174" t="str">
        <f t="shared" si="90"/>
        <v/>
      </c>
      <c r="CA159" s="174" t="str">
        <f t="shared" si="91"/>
        <v/>
      </c>
      <c r="CB159" s="161"/>
      <c r="CC159" s="161"/>
      <c r="CD159" s="161"/>
      <c r="CE159" s="161" t="s">
        <v>150</v>
      </c>
      <c r="CF159" s="161" t="s">
        <v>220</v>
      </c>
    </row>
    <row r="160" spans="1:84" ht="14.25" customHeight="1" thickBot="1" x14ac:dyDescent="0.3">
      <c r="A160" s="205">
        <v>150</v>
      </c>
      <c r="B160" s="85"/>
      <c r="C160" s="195"/>
      <c r="D160" s="91"/>
      <c r="E160" s="310" t="s">
        <v>92</v>
      </c>
      <c r="F160" s="93"/>
      <c r="G160" s="97"/>
      <c r="H160" s="97"/>
      <c r="I160" s="97"/>
      <c r="J160" s="97"/>
      <c r="K160" s="97"/>
      <c r="L160" s="224">
        <f t="shared" si="92"/>
        <v>0</v>
      </c>
      <c r="M160" s="300"/>
      <c r="N160" s="301"/>
      <c r="O160" s="342"/>
      <c r="P160" s="313" t="s">
        <v>66</v>
      </c>
      <c r="Q160" s="93"/>
      <c r="R160" s="97"/>
      <c r="S160" s="97"/>
      <c r="T160" s="97"/>
      <c r="U160" s="97"/>
      <c r="V160" s="97"/>
      <c r="W160" s="224">
        <f t="shared" si="93"/>
        <v>0</v>
      </c>
      <c r="X160" s="300"/>
      <c r="Y160" s="301"/>
      <c r="Z160" s="342"/>
      <c r="AA160" s="313" t="s">
        <v>86</v>
      </c>
      <c r="AB160" s="78"/>
      <c r="AC160" s="321"/>
      <c r="AD160" s="321"/>
      <c r="AE160" s="321"/>
      <c r="AF160" s="321"/>
      <c r="AG160" s="322"/>
      <c r="AH160" s="88">
        <f t="shared" si="94"/>
        <v>0</v>
      </c>
      <c r="AI160" s="78"/>
      <c r="AJ160" s="322"/>
      <c r="AK160" s="345"/>
      <c r="AL160" s="102"/>
      <c r="AM160" s="99"/>
      <c r="AN160" s="227"/>
      <c r="AO160" s="221"/>
      <c r="AP160" s="90"/>
      <c r="AQ160" s="221"/>
      <c r="AR160" s="90"/>
      <c r="AS160" s="221"/>
      <c r="AT160" s="90"/>
      <c r="AU160" s="15">
        <f t="shared" si="68"/>
        <v>1.5999999999999999E-5</v>
      </c>
      <c r="AV160" s="15">
        <f t="shared" si="69"/>
        <v>0</v>
      </c>
      <c r="AW160" s="15"/>
      <c r="AX160" s="173">
        <v>150</v>
      </c>
      <c r="AY160" s="206">
        <f t="shared" si="70"/>
        <v>1.8599999999999998E-5</v>
      </c>
      <c r="AZ160" s="173">
        <f t="shared" si="71"/>
        <v>0</v>
      </c>
      <c r="BA160" s="233">
        <f t="shared" si="72"/>
        <v>1.5999999999999999E-5</v>
      </c>
      <c r="BB160" s="15">
        <f t="shared" si="78"/>
        <v>0</v>
      </c>
      <c r="BC160" s="173">
        <v>150</v>
      </c>
      <c r="BD160" s="84">
        <f t="shared" si="73"/>
        <v>1.7E-5</v>
      </c>
      <c r="BE160" s="207">
        <f t="shared" si="74"/>
        <v>0</v>
      </c>
      <c r="BF160" s="233">
        <f t="shared" si="75"/>
        <v>1.5999999999999999E-5</v>
      </c>
      <c r="BG160" s="15">
        <f t="shared" si="79"/>
        <v>0</v>
      </c>
      <c r="BH160" s="173">
        <v>150</v>
      </c>
      <c r="BI160" s="84">
        <f t="shared" si="76"/>
        <v>1.7E-5</v>
      </c>
      <c r="BJ160" s="207">
        <f t="shared" si="77"/>
        <v>0</v>
      </c>
      <c r="BL160" s="123"/>
      <c r="BM160" s="123"/>
      <c r="BO160" s="173"/>
      <c r="BP160" s="174" t="str">
        <f t="shared" si="80"/>
        <v/>
      </c>
      <c r="BQ160" s="174" t="str">
        <f t="shared" si="81"/>
        <v/>
      </c>
      <c r="BR160" s="174" t="str">
        <f t="shared" si="82"/>
        <v/>
      </c>
      <c r="BS160" s="174" t="str">
        <f t="shared" si="83"/>
        <v/>
      </c>
      <c r="BT160" s="174" t="str">
        <f t="shared" si="84"/>
        <v/>
      </c>
      <c r="BU160" s="174" t="str">
        <f t="shared" si="85"/>
        <v/>
      </c>
      <c r="BV160" s="174" t="str">
        <f t="shared" si="86"/>
        <v/>
      </c>
      <c r="BW160" s="174" t="str">
        <f t="shared" si="87"/>
        <v/>
      </c>
      <c r="BX160" s="174" t="str">
        <f t="shared" si="88"/>
        <v/>
      </c>
      <c r="BY160" s="174" t="str">
        <f t="shared" si="89"/>
        <v/>
      </c>
      <c r="BZ160" s="174" t="str">
        <f t="shared" si="90"/>
        <v/>
      </c>
      <c r="CA160" s="174" t="str">
        <f t="shared" si="91"/>
        <v/>
      </c>
      <c r="CB160" s="161"/>
      <c r="CC160" s="161"/>
      <c r="CD160" s="161"/>
      <c r="CE160" s="161" t="s">
        <v>150</v>
      </c>
      <c r="CF160" s="161" t="s">
        <v>220</v>
      </c>
    </row>
    <row r="161" spans="1:84" ht="14.25" customHeight="1" x14ac:dyDescent="0.25">
      <c r="A161" s="203">
        <v>151</v>
      </c>
      <c r="B161" s="86"/>
      <c r="C161" s="193"/>
      <c r="D161" s="143"/>
      <c r="E161" s="308" t="s">
        <v>92</v>
      </c>
      <c r="F161" s="213"/>
      <c r="G161" s="214"/>
      <c r="H161" s="214"/>
      <c r="I161" s="214"/>
      <c r="J161" s="214"/>
      <c r="K161" s="214"/>
      <c r="L161" s="295">
        <f t="shared" si="92"/>
        <v>0</v>
      </c>
      <c r="M161" s="296"/>
      <c r="N161" s="297"/>
      <c r="O161" s="340"/>
      <c r="P161" s="311" t="s">
        <v>66</v>
      </c>
      <c r="Q161" s="213"/>
      <c r="R161" s="214"/>
      <c r="S161" s="214"/>
      <c r="T161" s="214"/>
      <c r="U161" s="214"/>
      <c r="V161" s="214"/>
      <c r="W161" s="295">
        <f t="shared" si="93"/>
        <v>0</v>
      </c>
      <c r="X161" s="296"/>
      <c r="Y161" s="297"/>
      <c r="Z161" s="346"/>
      <c r="AA161" s="314" t="s">
        <v>148</v>
      </c>
      <c r="AB161" s="13"/>
      <c r="AC161" s="222"/>
      <c r="AD161" s="222"/>
      <c r="AE161" s="222"/>
      <c r="AF161" s="222"/>
      <c r="AG161" s="5"/>
      <c r="AH161" s="20">
        <f t="shared" si="94"/>
        <v>0</v>
      </c>
      <c r="AI161" s="13"/>
      <c r="AJ161" s="5"/>
      <c r="AK161" s="343"/>
      <c r="AL161" s="100"/>
      <c r="AM161" s="98"/>
      <c r="AN161" s="226"/>
      <c r="AO161" s="225"/>
      <c r="AP161" s="89"/>
      <c r="AQ161" s="225"/>
      <c r="AR161" s="89"/>
      <c r="AS161" s="225"/>
      <c r="AT161" s="89"/>
      <c r="AU161" s="15">
        <f t="shared" si="68"/>
        <v>1.6099999999999998E-5</v>
      </c>
      <c r="AV161" s="15">
        <f t="shared" si="69"/>
        <v>0</v>
      </c>
      <c r="AW161" s="15"/>
      <c r="AX161" s="173">
        <v>151</v>
      </c>
      <c r="AY161" s="206">
        <f t="shared" si="70"/>
        <v>1.8499999999999999E-5</v>
      </c>
      <c r="AZ161" s="173">
        <f t="shared" si="71"/>
        <v>0</v>
      </c>
      <c r="BA161" s="233">
        <f t="shared" si="72"/>
        <v>1.6099999999999998E-5</v>
      </c>
      <c r="BB161" s="15">
        <f t="shared" si="78"/>
        <v>0</v>
      </c>
      <c r="BC161" s="173">
        <v>151</v>
      </c>
      <c r="BD161" s="84">
        <f t="shared" si="73"/>
        <v>1.6900000000000001E-5</v>
      </c>
      <c r="BE161" s="207">
        <f t="shared" si="74"/>
        <v>0</v>
      </c>
      <c r="BF161" s="233">
        <f t="shared" si="75"/>
        <v>1.6099999999999998E-5</v>
      </c>
      <c r="BG161" s="15">
        <f t="shared" si="79"/>
        <v>0</v>
      </c>
      <c r="BH161" s="173">
        <v>151</v>
      </c>
      <c r="BI161" s="84">
        <f t="shared" si="76"/>
        <v>1.6900000000000001E-5</v>
      </c>
      <c r="BJ161" s="207">
        <f t="shared" si="77"/>
        <v>0</v>
      </c>
      <c r="BL161" s="123"/>
      <c r="BM161" s="123"/>
      <c r="BO161" s="173"/>
      <c r="BP161" s="174" t="str">
        <f t="shared" si="80"/>
        <v/>
      </c>
      <c r="BQ161" s="174" t="str">
        <f t="shared" si="81"/>
        <v/>
      </c>
      <c r="BR161" s="174" t="str">
        <f t="shared" si="82"/>
        <v/>
      </c>
      <c r="BS161" s="174" t="str">
        <f t="shared" si="83"/>
        <v/>
      </c>
      <c r="BT161" s="174" t="str">
        <f t="shared" si="84"/>
        <v/>
      </c>
      <c r="BU161" s="174" t="str">
        <f t="shared" si="85"/>
        <v/>
      </c>
      <c r="BV161" s="174" t="str">
        <f t="shared" si="86"/>
        <v/>
      </c>
      <c r="BW161" s="174" t="str">
        <f t="shared" si="87"/>
        <v/>
      </c>
      <c r="BX161" s="174" t="str">
        <f t="shared" si="88"/>
        <v/>
      </c>
      <c r="BY161" s="174" t="str">
        <f t="shared" si="89"/>
        <v/>
      </c>
      <c r="BZ161" s="174" t="str">
        <f t="shared" si="90"/>
        <v/>
      </c>
      <c r="CA161" s="174" t="str">
        <f t="shared" si="91"/>
        <v/>
      </c>
      <c r="CB161" s="161"/>
      <c r="CC161" s="161"/>
      <c r="CD161" s="161"/>
      <c r="CE161" s="161" t="s">
        <v>150</v>
      </c>
      <c r="CF161" s="161" t="s">
        <v>220</v>
      </c>
    </row>
    <row r="162" spans="1:84" ht="14.25" customHeight="1" x14ac:dyDescent="0.25">
      <c r="A162" s="204">
        <v>152</v>
      </c>
      <c r="B162" s="211"/>
      <c r="C162" s="194"/>
      <c r="D162" s="142"/>
      <c r="E162" s="309" t="s">
        <v>92</v>
      </c>
      <c r="F162" s="305"/>
      <c r="G162" s="306"/>
      <c r="H162" s="306"/>
      <c r="I162" s="306"/>
      <c r="J162" s="306"/>
      <c r="K162" s="306"/>
      <c r="L162" s="223">
        <f t="shared" si="92"/>
        <v>0</v>
      </c>
      <c r="M162" s="298"/>
      <c r="N162" s="299"/>
      <c r="O162" s="341"/>
      <c r="P162" s="312" t="s">
        <v>66</v>
      </c>
      <c r="Q162" s="305"/>
      <c r="R162" s="306"/>
      <c r="S162" s="306"/>
      <c r="T162" s="306"/>
      <c r="U162" s="306"/>
      <c r="V162" s="306"/>
      <c r="W162" s="223">
        <f t="shared" si="93"/>
        <v>0</v>
      </c>
      <c r="X162" s="298"/>
      <c r="Y162" s="299"/>
      <c r="Z162" s="341"/>
      <c r="AA162" s="312" t="s">
        <v>86</v>
      </c>
      <c r="AB162" s="77"/>
      <c r="AC162" s="319"/>
      <c r="AD162" s="319"/>
      <c r="AE162" s="319"/>
      <c r="AF162" s="319"/>
      <c r="AG162" s="320"/>
      <c r="AH162" s="20">
        <f t="shared" si="94"/>
        <v>0</v>
      </c>
      <c r="AI162" s="77"/>
      <c r="AJ162" s="320"/>
      <c r="AK162" s="344"/>
      <c r="AL162" s="101"/>
      <c r="AM162" s="209"/>
      <c r="AN162" s="208"/>
      <c r="AO162" s="220"/>
      <c r="AP162" s="212"/>
      <c r="AQ162" s="220"/>
      <c r="AR162" s="212"/>
      <c r="AS162" s="220"/>
      <c r="AT162" s="212"/>
      <c r="AU162" s="15">
        <f t="shared" si="68"/>
        <v>1.6200000000000001E-5</v>
      </c>
      <c r="AV162" s="15">
        <f t="shared" si="69"/>
        <v>0</v>
      </c>
      <c r="AW162" s="15"/>
      <c r="AX162" s="173">
        <v>152</v>
      </c>
      <c r="AY162" s="206">
        <f t="shared" si="70"/>
        <v>1.84E-5</v>
      </c>
      <c r="AZ162" s="173">
        <f t="shared" si="71"/>
        <v>0</v>
      </c>
      <c r="BA162" s="233">
        <f t="shared" si="72"/>
        <v>1.6200000000000001E-5</v>
      </c>
      <c r="BB162" s="15">
        <f t="shared" si="78"/>
        <v>0</v>
      </c>
      <c r="BC162" s="173">
        <v>152</v>
      </c>
      <c r="BD162" s="84">
        <f t="shared" si="73"/>
        <v>1.6799999999999998E-5</v>
      </c>
      <c r="BE162" s="207">
        <f t="shared" si="74"/>
        <v>0</v>
      </c>
      <c r="BF162" s="233">
        <f t="shared" si="75"/>
        <v>1.6200000000000001E-5</v>
      </c>
      <c r="BG162" s="15">
        <f t="shared" si="79"/>
        <v>0</v>
      </c>
      <c r="BH162" s="173">
        <v>152</v>
      </c>
      <c r="BI162" s="84">
        <f t="shared" si="76"/>
        <v>1.6799999999999998E-5</v>
      </c>
      <c r="BJ162" s="207">
        <f t="shared" si="77"/>
        <v>0</v>
      </c>
      <c r="BL162" s="123"/>
      <c r="BM162" s="123"/>
      <c r="BO162" s="173"/>
      <c r="BP162" s="174" t="str">
        <f t="shared" si="80"/>
        <v/>
      </c>
      <c r="BQ162" s="174" t="str">
        <f t="shared" si="81"/>
        <v/>
      </c>
      <c r="BR162" s="174" t="str">
        <f t="shared" si="82"/>
        <v/>
      </c>
      <c r="BS162" s="174" t="str">
        <f t="shared" si="83"/>
        <v/>
      </c>
      <c r="BT162" s="174" t="str">
        <f t="shared" si="84"/>
        <v/>
      </c>
      <c r="BU162" s="174" t="str">
        <f t="shared" si="85"/>
        <v/>
      </c>
      <c r="BV162" s="174" t="str">
        <f t="shared" si="86"/>
        <v/>
      </c>
      <c r="BW162" s="174" t="str">
        <f t="shared" si="87"/>
        <v/>
      </c>
      <c r="BX162" s="174" t="str">
        <f t="shared" si="88"/>
        <v/>
      </c>
      <c r="BY162" s="174" t="str">
        <f t="shared" si="89"/>
        <v/>
      </c>
      <c r="BZ162" s="174" t="str">
        <f t="shared" si="90"/>
        <v/>
      </c>
      <c r="CA162" s="174" t="str">
        <f t="shared" si="91"/>
        <v/>
      </c>
      <c r="CB162" s="161"/>
      <c r="CC162" s="161"/>
      <c r="CD162" s="161"/>
      <c r="CE162" s="161" t="s">
        <v>150</v>
      </c>
      <c r="CF162" s="161" t="s">
        <v>220</v>
      </c>
    </row>
    <row r="163" spans="1:84" ht="14.25" customHeight="1" thickBot="1" x14ac:dyDescent="0.3">
      <c r="A163" s="205">
        <v>153</v>
      </c>
      <c r="B163" s="85"/>
      <c r="C163" s="195"/>
      <c r="D163" s="91"/>
      <c r="E163" s="310" t="s">
        <v>92</v>
      </c>
      <c r="F163" s="93"/>
      <c r="G163" s="97"/>
      <c r="H163" s="97"/>
      <c r="I163" s="97"/>
      <c r="J163" s="97"/>
      <c r="K163" s="97"/>
      <c r="L163" s="224">
        <f t="shared" si="92"/>
        <v>0</v>
      </c>
      <c r="M163" s="300"/>
      <c r="N163" s="301"/>
      <c r="O163" s="342"/>
      <c r="P163" s="313" t="s">
        <v>66</v>
      </c>
      <c r="Q163" s="93"/>
      <c r="R163" s="97"/>
      <c r="S163" s="97"/>
      <c r="T163" s="97"/>
      <c r="U163" s="97"/>
      <c r="V163" s="97"/>
      <c r="W163" s="224">
        <f t="shared" si="93"/>
        <v>0</v>
      </c>
      <c r="X163" s="300"/>
      <c r="Y163" s="301"/>
      <c r="Z163" s="342"/>
      <c r="AA163" s="313" t="s">
        <v>86</v>
      </c>
      <c r="AB163" s="78"/>
      <c r="AC163" s="321"/>
      <c r="AD163" s="321"/>
      <c r="AE163" s="321"/>
      <c r="AF163" s="321"/>
      <c r="AG163" s="322"/>
      <c r="AH163" s="88">
        <f t="shared" si="94"/>
        <v>0</v>
      </c>
      <c r="AI163" s="78"/>
      <c r="AJ163" s="322"/>
      <c r="AK163" s="345"/>
      <c r="AL163" s="102"/>
      <c r="AM163" s="99"/>
      <c r="AN163" s="227"/>
      <c r="AO163" s="221"/>
      <c r="AP163" s="90"/>
      <c r="AQ163" s="221"/>
      <c r="AR163" s="90"/>
      <c r="AS163" s="221"/>
      <c r="AT163" s="90"/>
      <c r="AU163" s="15">
        <f t="shared" si="68"/>
        <v>1.63E-5</v>
      </c>
      <c r="AV163" s="15">
        <f t="shared" si="69"/>
        <v>0</v>
      </c>
      <c r="AW163" s="15"/>
      <c r="AX163" s="173">
        <v>153</v>
      </c>
      <c r="AY163" s="206">
        <f t="shared" si="70"/>
        <v>1.8299999999999998E-5</v>
      </c>
      <c r="AZ163" s="173">
        <f t="shared" si="71"/>
        <v>0</v>
      </c>
      <c r="BA163" s="233">
        <f t="shared" si="72"/>
        <v>1.63E-5</v>
      </c>
      <c r="BB163" s="15">
        <f t="shared" si="78"/>
        <v>0</v>
      </c>
      <c r="BC163" s="173">
        <v>153</v>
      </c>
      <c r="BD163" s="84">
        <f t="shared" si="73"/>
        <v>1.6699999999999999E-5</v>
      </c>
      <c r="BE163" s="207">
        <f t="shared" si="74"/>
        <v>0</v>
      </c>
      <c r="BF163" s="233">
        <f t="shared" si="75"/>
        <v>1.63E-5</v>
      </c>
      <c r="BG163" s="15">
        <f t="shared" si="79"/>
        <v>0</v>
      </c>
      <c r="BH163" s="173">
        <v>153</v>
      </c>
      <c r="BI163" s="84">
        <f t="shared" si="76"/>
        <v>1.6699999999999999E-5</v>
      </c>
      <c r="BJ163" s="207">
        <f t="shared" si="77"/>
        <v>0</v>
      </c>
      <c r="BL163" s="123"/>
      <c r="BM163" s="123"/>
      <c r="BO163" s="173"/>
      <c r="BP163" s="174" t="str">
        <f t="shared" si="80"/>
        <v/>
      </c>
      <c r="BQ163" s="174" t="str">
        <f t="shared" si="81"/>
        <v/>
      </c>
      <c r="BR163" s="174" t="str">
        <f t="shared" si="82"/>
        <v/>
      </c>
      <c r="BS163" s="174" t="str">
        <f t="shared" si="83"/>
        <v/>
      </c>
      <c r="BT163" s="174" t="str">
        <f t="shared" si="84"/>
        <v/>
      </c>
      <c r="BU163" s="174" t="str">
        <f t="shared" si="85"/>
        <v/>
      </c>
      <c r="BV163" s="174" t="str">
        <f t="shared" si="86"/>
        <v/>
      </c>
      <c r="BW163" s="174" t="str">
        <f t="shared" si="87"/>
        <v/>
      </c>
      <c r="BX163" s="174" t="str">
        <f t="shared" si="88"/>
        <v/>
      </c>
      <c r="BY163" s="174" t="str">
        <f t="shared" si="89"/>
        <v/>
      </c>
      <c r="BZ163" s="174" t="str">
        <f t="shared" si="90"/>
        <v/>
      </c>
      <c r="CA163" s="174" t="str">
        <f t="shared" si="91"/>
        <v/>
      </c>
      <c r="CB163" s="161"/>
      <c r="CC163" s="161"/>
      <c r="CD163" s="161"/>
      <c r="CE163" s="161" t="s">
        <v>150</v>
      </c>
      <c r="CF163" s="161" t="s">
        <v>220</v>
      </c>
    </row>
    <row r="164" spans="1:84" ht="14.25" customHeight="1" x14ac:dyDescent="0.25">
      <c r="A164" s="203">
        <v>154</v>
      </c>
      <c r="B164" s="86"/>
      <c r="C164" s="193"/>
      <c r="D164" s="143"/>
      <c r="E164" s="308" t="s">
        <v>92</v>
      </c>
      <c r="F164" s="213"/>
      <c r="G164" s="214"/>
      <c r="H164" s="214"/>
      <c r="I164" s="214"/>
      <c r="J164" s="214"/>
      <c r="K164" s="214"/>
      <c r="L164" s="295">
        <f t="shared" si="92"/>
        <v>0</v>
      </c>
      <c r="M164" s="296"/>
      <c r="N164" s="297"/>
      <c r="O164" s="340"/>
      <c r="P164" s="311" t="s">
        <v>66</v>
      </c>
      <c r="Q164" s="213"/>
      <c r="R164" s="214"/>
      <c r="S164" s="214"/>
      <c r="T164" s="214"/>
      <c r="U164" s="214"/>
      <c r="V164" s="214"/>
      <c r="W164" s="295">
        <f t="shared" si="93"/>
        <v>0</v>
      </c>
      <c r="X164" s="296"/>
      <c r="Y164" s="297"/>
      <c r="Z164" s="346"/>
      <c r="AA164" s="314" t="s">
        <v>148</v>
      </c>
      <c r="AB164" s="13"/>
      <c r="AC164" s="222"/>
      <c r="AD164" s="222"/>
      <c r="AE164" s="222"/>
      <c r="AF164" s="222"/>
      <c r="AG164" s="5"/>
      <c r="AH164" s="20">
        <f t="shared" si="94"/>
        <v>0</v>
      </c>
      <c r="AI164" s="13"/>
      <c r="AJ164" s="5"/>
      <c r="AK164" s="343"/>
      <c r="AL164" s="100"/>
      <c r="AM164" s="98"/>
      <c r="AN164" s="226"/>
      <c r="AO164" s="225"/>
      <c r="AP164" s="89"/>
      <c r="AQ164" s="225"/>
      <c r="AR164" s="89"/>
      <c r="AS164" s="225"/>
      <c r="AT164" s="89"/>
      <c r="AU164" s="15">
        <f t="shared" si="68"/>
        <v>1.6399999999999999E-5</v>
      </c>
      <c r="AV164" s="15">
        <f t="shared" si="69"/>
        <v>0</v>
      </c>
      <c r="AW164" s="15"/>
      <c r="AX164" s="173">
        <v>154</v>
      </c>
      <c r="AY164" s="206">
        <f t="shared" si="70"/>
        <v>1.8199999999999999E-5</v>
      </c>
      <c r="AZ164" s="173">
        <f t="shared" si="71"/>
        <v>0</v>
      </c>
      <c r="BA164" s="233">
        <f t="shared" si="72"/>
        <v>1.6399999999999999E-5</v>
      </c>
      <c r="BB164" s="15">
        <f t="shared" si="78"/>
        <v>0</v>
      </c>
      <c r="BC164" s="173">
        <v>154</v>
      </c>
      <c r="BD164" s="84">
        <f t="shared" si="73"/>
        <v>1.66E-5</v>
      </c>
      <c r="BE164" s="207">
        <f t="shared" si="74"/>
        <v>0</v>
      </c>
      <c r="BF164" s="233">
        <f t="shared" si="75"/>
        <v>1.6399999999999999E-5</v>
      </c>
      <c r="BG164" s="15">
        <f t="shared" si="79"/>
        <v>0</v>
      </c>
      <c r="BH164" s="173">
        <v>154</v>
      </c>
      <c r="BI164" s="84">
        <f t="shared" si="76"/>
        <v>1.66E-5</v>
      </c>
      <c r="BJ164" s="207">
        <f t="shared" si="77"/>
        <v>0</v>
      </c>
      <c r="BL164" s="123"/>
      <c r="BM164" s="123"/>
      <c r="BO164" s="173"/>
      <c r="BP164" s="174" t="str">
        <f t="shared" si="80"/>
        <v/>
      </c>
      <c r="BQ164" s="174" t="str">
        <f t="shared" si="81"/>
        <v/>
      </c>
      <c r="BR164" s="174" t="str">
        <f t="shared" si="82"/>
        <v/>
      </c>
      <c r="BS164" s="174" t="str">
        <f t="shared" si="83"/>
        <v/>
      </c>
      <c r="BT164" s="174" t="str">
        <f t="shared" si="84"/>
        <v/>
      </c>
      <c r="BU164" s="174" t="str">
        <f t="shared" si="85"/>
        <v/>
      </c>
      <c r="BV164" s="174" t="str">
        <f t="shared" si="86"/>
        <v/>
      </c>
      <c r="BW164" s="174" t="str">
        <f t="shared" si="87"/>
        <v/>
      </c>
      <c r="BX164" s="174" t="str">
        <f t="shared" si="88"/>
        <v/>
      </c>
      <c r="BY164" s="174" t="str">
        <f t="shared" si="89"/>
        <v/>
      </c>
      <c r="BZ164" s="174" t="str">
        <f t="shared" si="90"/>
        <v/>
      </c>
      <c r="CA164" s="174" t="str">
        <f t="shared" si="91"/>
        <v/>
      </c>
      <c r="CB164" s="161"/>
      <c r="CC164" s="161"/>
      <c r="CD164" s="161"/>
      <c r="CE164" s="161" t="s">
        <v>150</v>
      </c>
      <c r="CF164" s="161" t="s">
        <v>220</v>
      </c>
    </row>
    <row r="165" spans="1:84" ht="14.25" customHeight="1" x14ac:dyDescent="0.25">
      <c r="A165" s="204">
        <v>155</v>
      </c>
      <c r="B165" s="211"/>
      <c r="C165" s="194"/>
      <c r="D165" s="142"/>
      <c r="E165" s="309" t="s">
        <v>92</v>
      </c>
      <c r="F165" s="305"/>
      <c r="G165" s="306"/>
      <c r="H165" s="306"/>
      <c r="I165" s="306"/>
      <c r="J165" s="306"/>
      <c r="K165" s="306"/>
      <c r="L165" s="223">
        <f t="shared" si="92"/>
        <v>0</v>
      </c>
      <c r="M165" s="298"/>
      <c r="N165" s="299"/>
      <c r="O165" s="341"/>
      <c r="P165" s="312" t="s">
        <v>66</v>
      </c>
      <c r="Q165" s="305"/>
      <c r="R165" s="306"/>
      <c r="S165" s="306"/>
      <c r="T165" s="306"/>
      <c r="U165" s="306"/>
      <c r="V165" s="306"/>
      <c r="W165" s="223">
        <f t="shared" si="93"/>
        <v>0</v>
      </c>
      <c r="X165" s="298"/>
      <c r="Y165" s="299"/>
      <c r="Z165" s="341"/>
      <c r="AA165" s="312" t="s">
        <v>86</v>
      </c>
      <c r="AB165" s="77"/>
      <c r="AC165" s="319"/>
      <c r="AD165" s="319"/>
      <c r="AE165" s="319"/>
      <c r="AF165" s="319"/>
      <c r="AG165" s="320"/>
      <c r="AH165" s="20">
        <f t="shared" si="94"/>
        <v>0</v>
      </c>
      <c r="AI165" s="77"/>
      <c r="AJ165" s="320"/>
      <c r="AK165" s="344"/>
      <c r="AL165" s="101"/>
      <c r="AM165" s="209"/>
      <c r="AN165" s="208"/>
      <c r="AO165" s="220"/>
      <c r="AP165" s="212"/>
      <c r="AQ165" s="220"/>
      <c r="AR165" s="212"/>
      <c r="AS165" s="220"/>
      <c r="AT165" s="212"/>
      <c r="AU165" s="15">
        <f t="shared" si="68"/>
        <v>1.6499999999999998E-5</v>
      </c>
      <c r="AV165" s="15">
        <f t="shared" si="69"/>
        <v>0</v>
      </c>
      <c r="AW165" s="15"/>
      <c r="AX165" s="173">
        <v>155</v>
      </c>
      <c r="AY165" s="206">
        <f t="shared" si="70"/>
        <v>1.8099999999999999E-5</v>
      </c>
      <c r="AZ165" s="173">
        <f t="shared" si="71"/>
        <v>0</v>
      </c>
      <c r="BA165" s="233">
        <f t="shared" si="72"/>
        <v>1.6499999999999998E-5</v>
      </c>
      <c r="BB165" s="15">
        <f t="shared" si="78"/>
        <v>0</v>
      </c>
      <c r="BC165" s="173">
        <v>155</v>
      </c>
      <c r="BD165" s="84">
        <f t="shared" si="73"/>
        <v>1.6499999999999998E-5</v>
      </c>
      <c r="BE165" s="207">
        <f t="shared" si="74"/>
        <v>0</v>
      </c>
      <c r="BF165" s="233">
        <f t="shared" si="75"/>
        <v>1.6499999999999998E-5</v>
      </c>
      <c r="BG165" s="15">
        <f t="shared" si="79"/>
        <v>0</v>
      </c>
      <c r="BH165" s="173">
        <v>155</v>
      </c>
      <c r="BI165" s="84">
        <f t="shared" si="76"/>
        <v>1.6499999999999998E-5</v>
      </c>
      <c r="BJ165" s="207">
        <f t="shared" si="77"/>
        <v>0</v>
      </c>
      <c r="BL165" s="123"/>
      <c r="BM165" s="123"/>
      <c r="BO165" s="173"/>
      <c r="BP165" s="174" t="str">
        <f t="shared" si="80"/>
        <v/>
      </c>
      <c r="BQ165" s="174" t="str">
        <f t="shared" si="81"/>
        <v/>
      </c>
      <c r="BR165" s="174" t="str">
        <f t="shared" si="82"/>
        <v/>
      </c>
      <c r="BS165" s="174" t="str">
        <f t="shared" si="83"/>
        <v/>
      </c>
      <c r="BT165" s="174" t="str">
        <f t="shared" si="84"/>
        <v/>
      </c>
      <c r="BU165" s="174" t="str">
        <f t="shared" si="85"/>
        <v/>
      </c>
      <c r="BV165" s="174" t="str">
        <f t="shared" si="86"/>
        <v/>
      </c>
      <c r="BW165" s="174" t="str">
        <f t="shared" si="87"/>
        <v/>
      </c>
      <c r="BX165" s="174" t="str">
        <f t="shared" si="88"/>
        <v/>
      </c>
      <c r="BY165" s="174" t="str">
        <f t="shared" si="89"/>
        <v/>
      </c>
      <c r="BZ165" s="174" t="str">
        <f t="shared" si="90"/>
        <v/>
      </c>
      <c r="CA165" s="174" t="str">
        <f t="shared" si="91"/>
        <v/>
      </c>
      <c r="CB165" s="161"/>
      <c r="CC165" s="161"/>
      <c r="CD165" s="161"/>
      <c r="CE165" s="161" t="s">
        <v>150</v>
      </c>
      <c r="CF165" s="161" t="s">
        <v>220</v>
      </c>
    </row>
    <row r="166" spans="1:84" ht="14.25" customHeight="1" thickBot="1" x14ac:dyDescent="0.3">
      <c r="A166" s="205">
        <v>156</v>
      </c>
      <c r="B166" s="85"/>
      <c r="C166" s="195"/>
      <c r="D166" s="91"/>
      <c r="E166" s="310" t="s">
        <v>92</v>
      </c>
      <c r="F166" s="93"/>
      <c r="G166" s="97"/>
      <c r="H166" s="97"/>
      <c r="I166" s="97"/>
      <c r="J166" s="97"/>
      <c r="K166" s="97"/>
      <c r="L166" s="224">
        <f t="shared" si="92"/>
        <v>0</v>
      </c>
      <c r="M166" s="300"/>
      <c r="N166" s="301"/>
      <c r="O166" s="342"/>
      <c r="P166" s="313" t="s">
        <v>66</v>
      </c>
      <c r="Q166" s="93"/>
      <c r="R166" s="97"/>
      <c r="S166" s="97"/>
      <c r="T166" s="97"/>
      <c r="U166" s="97"/>
      <c r="V166" s="97"/>
      <c r="W166" s="224">
        <f t="shared" si="93"/>
        <v>0</v>
      </c>
      <c r="X166" s="300"/>
      <c r="Y166" s="301"/>
      <c r="Z166" s="342"/>
      <c r="AA166" s="313" t="s">
        <v>86</v>
      </c>
      <c r="AB166" s="78"/>
      <c r="AC166" s="321"/>
      <c r="AD166" s="321"/>
      <c r="AE166" s="321"/>
      <c r="AF166" s="321"/>
      <c r="AG166" s="322"/>
      <c r="AH166" s="88">
        <f t="shared" si="94"/>
        <v>0</v>
      </c>
      <c r="AI166" s="78"/>
      <c r="AJ166" s="322"/>
      <c r="AK166" s="345"/>
      <c r="AL166" s="102"/>
      <c r="AM166" s="99"/>
      <c r="AN166" s="227"/>
      <c r="AO166" s="221"/>
      <c r="AP166" s="90"/>
      <c r="AQ166" s="221"/>
      <c r="AR166" s="90"/>
      <c r="AS166" s="221"/>
      <c r="AT166" s="90"/>
      <c r="AU166" s="15">
        <f t="shared" si="68"/>
        <v>1.66E-5</v>
      </c>
      <c r="AV166" s="15">
        <f t="shared" si="69"/>
        <v>0</v>
      </c>
      <c r="AW166" s="15"/>
      <c r="AX166" s="173">
        <v>156</v>
      </c>
      <c r="AY166" s="206">
        <f t="shared" si="70"/>
        <v>1.8E-5</v>
      </c>
      <c r="AZ166" s="173">
        <f t="shared" si="71"/>
        <v>0</v>
      </c>
      <c r="BA166" s="233">
        <f t="shared" si="72"/>
        <v>1.66E-5</v>
      </c>
      <c r="BB166" s="15">
        <f t="shared" si="78"/>
        <v>0</v>
      </c>
      <c r="BC166" s="173">
        <v>156</v>
      </c>
      <c r="BD166" s="84">
        <f t="shared" si="73"/>
        <v>1.6399999999999999E-5</v>
      </c>
      <c r="BE166" s="207">
        <f t="shared" si="74"/>
        <v>0</v>
      </c>
      <c r="BF166" s="233">
        <f t="shared" si="75"/>
        <v>1.66E-5</v>
      </c>
      <c r="BG166" s="15">
        <f t="shared" si="79"/>
        <v>0</v>
      </c>
      <c r="BH166" s="173">
        <v>156</v>
      </c>
      <c r="BI166" s="84">
        <f t="shared" si="76"/>
        <v>1.6399999999999999E-5</v>
      </c>
      <c r="BJ166" s="207">
        <f t="shared" si="77"/>
        <v>0</v>
      </c>
      <c r="BL166" s="123"/>
      <c r="BM166" s="123"/>
      <c r="BO166" s="173"/>
      <c r="BP166" s="174" t="str">
        <f t="shared" si="80"/>
        <v/>
      </c>
      <c r="BQ166" s="174" t="str">
        <f t="shared" si="81"/>
        <v/>
      </c>
      <c r="BR166" s="174" t="str">
        <f t="shared" si="82"/>
        <v/>
      </c>
      <c r="BS166" s="174" t="str">
        <f t="shared" si="83"/>
        <v/>
      </c>
      <c r="BT166" s="174" t="str">
        <f t="shared" si="84"/>
        <v/>
      </c>
      <c r="BU166" s="174" t="str">
        <f t="shared" si="85"/>
        <v/>
      </c>
      <c r="BV166" s="174" t="str">
        <f t="shared" si="86"/>
        <v/>
      </c>
      <c r="BW166" s="174" t="str">
        <f t="shared" si="87"/>
        <v/>
      </c>
      <c r="BX166" s="174" t="str">
        <f t="shared" si="88"/>
        <v/>
      </c>
      <c r="BY166" s="174" t="str">
        <f t="shared" si="89"/>
        <v/>
      </c>
      <c r="BZ166" s="174" t="str">
        <f t="shared" si="90"/>
        <v/>
      </c>
      <c r="CA166" s="174" t="str">
        <f t="shared" si="91"/>
        <v/>
      </c>
      <c r="CB166" s="161"/>
      <c r="CC166" s="161"/>
      <c r="CD166" s="161"/>
      <c r="CE166" s="161" t="s">
        <v>150</v>
      </c>
      <c r="CF166" s="161" t="s">
        <v>220</v>
      </c>
    </row>
    <row r="167" spans="1:84" ht="14.25" customHeight="1" x14ac:dyDescent="0.25">
      <c r="A167" s="203">
        <v>157</v>
      </c>
      <c r="B167" s="86"/>
      <c r="C167" s="193"/>
      <c r="D167" s="143"/>
      <c r="E167" s="308" t="s">
        <v>92</v>
      </c>
      <c r="F167" s="213"/>
      <c r="G167" s="214"/>
      <c r="H167" s="214"/>
      <c r="I167" s="214"/>
      <c r="J167" s="214"/>
      <c r="K167" s="214"/>
      <c r="L167" s="295">
        <f t="shared" si="92"/>
        <v>0</v>
      </c>
      <c r="M167" s="296"/>
      <c r="N167" s="297"/>
      <c r="O167" s="340"/>
      <c r="P167" s="311" t="s">
        <v>66</v>
      </c>
      <c r="Q167" s="213"/>
      <c r="R167" s="214"/>
      <c r="S167" s="214"/>
      <c r="T167" s="214"/>
      <c r="U167" s="214"/>
      <c r="V167" s="214"/>
      <c r="W167" s="295">
        <f t="shared" si="93"/>
        <v>0</v>
      </c>
      <c r="X167" s="296"/>
      <c r="Y167" s="297"/>
      <c r="Z167" s="346"/>
      <c r="AA167" s="314" t="s">
        <v>148</v>
      </c>
      <c r="AB167" s="13"/>
      <c r="AC167" s="222"/>
      <c r="AD167" s="222"/>
      <c r="AE167" s="222"/>
      <c r="AF167" s="222"/>
      <c r="AG167" s="5"/>
      <c r="AH167" s="20">
        <f t="shared" si="94"/>
        <v>0</v>
      </c>
      <c r="AI167" s="13"/>
      <c r="AJ167" s="5"/>
      <c r="AK167" s="343"/>
      <c r="AL167" s="100"/>
      <c r="AM167" s="98"/>
      <c r="AN167" s="226"/>
      <c r="AO167" s="225"/>
      <c r="AP167" s="89"/>
      <c r="AQ167" s="225"/>
      <c r="AR167" s="89"/>
      <c r="AS167" s="225"/>
      <c r="AT167" s="89"/>
      <c r="AU167" s="15">
        <f t="shared" si="68"/>
        <v>1.6699999999999999E-5</v>
      </c>
      <c r="AV167" s="15">
        <f t="shared" si="69"/>
        <v>0</v>
      </c>
      <c r="AW167" s="15"/>
      <c r="AX167" s="173">
        <v>157</v>
      </c>
      <c r="AY167" s="206">
        <f t="shared" si="70"/>
        <v>1.7899999999999998E-5</v>
      </c>
      <c r="AZ167" s="173">
        <f t="shared" si="71"/>
        <v>0</v>
      </c>
      <c r="BA167" s="233">
        <f t="shared" si="72"/>
        <v>1.6699999999999999E-5</v>
      </c>
      <c r="BB167" s="15">
        <f t="shared" si="78"/>
        <v>0</v>
      </c>
      <c r="BC167" s="173">
        <v>157</v>
      </c>
      <c r="BD167" s="84">
        <f t="shared" si="73"/>
        <v>1.63E-5</v>
      </c>
      <c r="BE167" s="207">
        <f t="shared" si="74"/>
        <v>0</v>
      </c>
      <c r="BF167" s="233">
        <f t="shared" si="75"/>
        <v>1.6699999999999999E-5</v>
      </c>
      <c r="BG167" s="15">
        <f t="shared" si="79"/>
        <v>0</v>
      </c>
      <c r="BH167" s="173">
        <v>157</v>
      </c>
      <c r="BI167" s="84">
        <f t="shared" si="76"/>
        <v>1.63E-5</v>
      </c>
      <c r="BJ167" s="207">
        <f t="shared" si="77"/>
        <v>0</v>
      </c>
      <c r="BL167" s="123"/>
      <c r="BM167" s="123"/>
      <c r="BO167" s="173"/>
      <c r="BP167" s="174" t="str">
        <f t="shared" si="80"/>
        <v/>
      </c>
      <c r="BQ167" s="174" t="str">
        <f t="shared" si="81"/>
        <v/>
      </c>
      <c r="BR167" s="174" t="str">
        <f t="shared" si="82"/>
        <v/>
      </c>
      <c r="BS167" s="174" t="str">
        <f t="shared" si="83"/>
        <v/>
      </c>
      <c r="BT167" s="174" t="str">
        <f t="shared" si="84"/>
        <v/>
      </c>
      <c r="BU167" s="174" t="str">
        <f t="shared" si="85"/>
        <v/>
      </c>
      <c r="BV167" s="174" t="str">
        <f t="shared" si="86"/>
        <v/>
      </c>
      <c r="BW167" s="174" t="str">
        <f t="shared" si="87"/>
        <v/>
      </c>
      <c r="BX167" s="174" t="str">
        <f t="shared" si="88"/>
        <v/>
      </c>
      <c r="BY167" s="174" t="str">
        <f t="shared" si="89"/>
        <v/>
      </c>
      <c r="BZ167" s="174" t="str">
        <f t="shared" si="90"/>
        <v/>
      </c>
      <c r="CA167" s="174" t="str">
        <f t="shared" si="91"/>
        <v/>
      </c>
      <c r="CB167" s="161"/>
      <c r="CC167" s="161"/>
      <c r="CD167" s="161"/>
      <c r="CE167" s="161" t="s">
        <v>150</v>
      </c>
      <c r="CF167" s="161" t="s">
        <v>220</v>
      </c>
    </row>
    <row r="168" spans="1:84" ht="14.25" customHeight="1" x14ac:dyDescent="0.25">
      <c r="A168" s="204">
        <v>158</v>
      </c>
      <c r="B168" s="211"/>
      <c r="C168" s="194"/>
      <c r="D168" s="142"/>
      <c r="E168" s="309" t="s">
        <v>92</v>
      </c>
      <c r="F168" s="305"/>
      <c r="G168" s="306"/>
      <c r="H168" s="306"/>
      <c r="I168" s="306"/>
      <c r="J168" s="306"/>
      <c r="K168" s="306"/>
      <c r="L168" s="223">
        <f t="shared" si="92"/>
        <v>0</v>
      </c>
      <c r="M168" s="298"/>
      <c r="N168" s="299"/>
      <c r="O168" s="341"/>
      <c r="P168" s="312" t="s">
        <v>66</v>
      </c>
      <c r="Q168" s="305"/>
      <c r="R168" s="306"/>
      <c r="S168" s="306"/>
      <c r="T168" s="306"/>
      <c r="U168" s="306"/>
      <c r="V168" s="306"/>
      <c r="W168" s="223">
        <f t="shared" si="93"/>
        <v>0</v>
      </c>
      <c r="X168" s="298"/>
      <c r="Y168" s="299"/>
      <c r="Z168" s="341"/>
      <c r="AA168" s="312" t="s">
        <v>86</v>
      </c>
      <c r="AB168" s="77"/>
      <c r="AC168" s="319"/>
      <c r="AD168" s="319"/>
      <c r="AE168" s="319"/>
      <c r="AF168" s="319"/>
      <c r="AG168" s="320"/>
      <c r="AH168" s="20">
        <f t="shared" si="94"/>
        <v>0</v>
      </c>
      <c r="AI168" s="77"/>
      <c r="AJ168" s="320"/>
      <c r="AK168" s="344"/>
      <c r="AL168" s="101"/>
      <c r="AM168" s="209"/>
      <c r="AN168" s="208"/>
      <c r="AO168" s="220"/>
      <c r="AP168" s="212"/>
      <c r="AQ168" s="220"/>
      <c r="AR168" s="212"/>
      <c r="AS168" s="220"/>
      <c r="AT168" s="212"/>
      <c r="AU168" s="15">
        <f t="shared" si="68"/>
        <v>1.6799999999999998E-5</v>
      </c>
      <c r="AV168" s="15">
        <f t="shared" si="69"/>
        <v>0</v>
      </c>
      <c r="AW168" s="15"/>
      <c r="AX168" s="173">
        <v>158</v>
      </c>
      <c r="AY168" s="206">
        <f t="shared" si="70"/>
        <v>1.7799999999999999E-5</v>
      </c>
      <c r="AZ168" s="173">
        <f t="shared" si="71"/>
        <v>0</v>
      </c>
      <c r="BA168" s="233">
        <f t="shared" si="72"/>
        <v>1.6799999999999998E-5</v>
      </c>
      <c r="BB168" s="15">
        <f t="shared" si="78"/>
        <v>0</v>
      </c>
      <c r="BC168" s="173">
        <v>158</v>
      </c>
      <c r="BD168" s="84">
        <f t="shared" si="73"/>
        <v>1.6200000000000001E-5</v>
      </c>
      <c r="BE168" s="207">
        <f t="shared" si="74"/>
        <v>0</v>
      </c>
      <c r="BF168" s="233">
        <f t="shared" si="75"/>
        <v>1.6799999999999998E-5</v>
      </c>
      <c r="BG168" s="15">
        <f t="shared" si="79"/>
        <v>0</v>
      </c>
      <c r="BH168" s="173">
        <v>158</v>
      </c>
      <c r="BI168" s="84">
        <f t="shared" si="76"/>
        <v>1.6200000000000001E-5</v>
      </c>
      <c r="BJ168" s="207">
        <f t="shared" si="77"/>
        <v>0</v>
      </c>
      <c r="BL168" s="123"/>
      <c r="BM168" s="123"/>
      <c r="BO168" s="173"/>
      <c r="BP168" s="174" t="str">
        <f t="shared" si="80"/>
        <v/>
      </c>
      <c r="BQ168" s="174" t="str">
        <f t="shared" si="81"/>
        <v/>
      </c>
      <c r="BR168" s="174" t="str">
        <f t="shared" si="82"/>
        <v/>
      </c>
      <c r="BS168" s="174" t="str">
        <f t="shared" si="83"/>
        <v/>
      </c>
      <c r="BT168" s="174" t="str">
        <f t="shared" si="84"/>
        <v/>
      </c>
      <c r="BU168" s="174" t="str">
        <f t="shared" si="85"/>
        <v/>
      </c>
      <c r="BV168" s="174" t="str">
        <f t="shared" si="86"/>
        <v/>
      </c>
      <c r="BW168" s="174" t="str">
        <f t="shared" si="87"/>
        <v/>
      </c>
      <c r="BX168" s="174" t="str">
        <f t="shared" si="88"/>
        <v/>
      </c>
      <c r="BY168" s="174" t="str">
        <f t="shared" si="89"/>
        <v/>
      </c>
      <c r="BZ168" s="174" t="str">
        <f t="shared" si="90"/>
        <v/>
      </c>
      <c r="CA168" s="174" t="str">
        <f t="shared" si="91"/>
        <v/>
      </c>
      <c r="CB168" s="161"/>
      <c r="CC168" s="161"/>
      <c r="CD168" s="161"/>
      <c r="CE168" s="161" t="s">
        <v>150</v>
      </c>
      <c r="CF168" s="161"/>
    </row>
    <row r="169" spans="1:84" ht="14.25" customHeight="1" thickBot="1" x14ac:dyDescent="0.3">
      <c r="A169" s="205">
        <v>159</v>
      </c>
      <c r="B169" s="85"/>
      <c r="C169" s="195"/>
      <c r="D169" s="91"/>
      <c r="E169" s="310" t="s">
        <v>92</v>
      </c>
      <c r="F169" s="93"/>
      <c r="G169" s="97"/>
      <c r="H169" s="97"/>
      <c r="I169" s="97"/>
      <c r="J169" s="97"/>
      <c r="K169" s="97"/>
      <c r="L169" s="224">
        <f t="shared" si="92"/>
        <v>0</v>
      </c>
      <c r="M169" s="300"/>
      <c r="N169" s="301"/>
      <c r="O169" s="342"/>
      <c r="P169" s="313" t="s">
        <v>66</v>
      </c>
      <c r="Q169" s="93"/>
      <c r="R169" s="97"/>
      <c r="S169" s="97"/>
      <c r="T169" s="97"/>
      <c r="U169" s="97"/>
      <c r="V169" s="97"/>
      <c r="W169" s="224">
        <f t="shared" si="93"/>
        <v>0</v>
      </c>
      <c r="X169" s="300"/>
      <c r="Y169" s="301"/>
      <c r="Z169" s="342"/>
      <c r="AA169" s="313" t="s">
        <v>86</v>
      </c>
      <c r="AB169" s="78"/>
      <c r="AC169" s="321"/>
      <c r="AD169" s="321"/>
      <c r="AE169" s="321"/>
      <c r="AF169" s="321"/>
      <c r="AG169" s="322"/>
      <c r="AH169" s="88">
        <f t="shared" si="94"/>
        <v>0</v>
      </c>
      <c r="AI169" s="78"/>
      <c r="AJ169" s="322"/>
      <c r="AK169" s="345"/>
      <c r="AL169" s="102"/>
      <c r="AM169" s="99"/>
      <c r="AN169" s="227"/>
      <c r="AO169" s="221"/>
      <c r="AP169" s="90"/>
      <c r="AQ169" s="221"/>
      <c r="AR169" s="90"/>
      <c r="AS169" s="221"/>
      <c r="AT169" s="90"/>
      <c r="AU169" s="15">
        <f t="shared" si="68"/>
        <v>1.6900000000000001E-5</v>
      </c>
      <c r="AV169" s="15">
        <f t="shared" si="69"/>
        <v>0</v>
      </c>
      <c r="AW169" s="15"/>
      <c r="AX169" s="173">
        <v>159</v>
      </c>
      <c r="AY169" s="206">
        <f t="shared" si="70"/>
        <v>1.77E-5</v>
      </c>
      <c r="AZ169" s="173">
        <f t="shared" si="71"/>
        <v>0</v>
      </c>
      <c r="BA169" s="233">
        <f t="shared" si="72"/>
        <v>1.6900000000000001E-5</v>
      </c>
      <c r="BB169" s="15">
        <f t="shared" si="78"/>
        <v>0</v>
      </c>
      <c r="BC169" s="173">
        <v>159</v>
      </c>
      <c r="BD169" s="84">
        <f t="shared" si="73"/>
        <v>1.6099999999999998E-5</v>
      </c>
      <c r="BE169" s="207">
        <f t="shared" si="74"/>
        <v>0</v>
      </c>
      <c r="BF169" s="233">
        <f t="shared" si="75"/>
        <v>1.6900000000000001E-5</v>
      </c>
      <c r="BG169" s="15">
        <f t="shared" si="79"/>
        <v>0</v>
      </c>
      <c r="BH169" s="173">
        <v>159</v>
      </c>
      <c r="BI169" s="84">
        <f t="shared" si="76"/>
        <v>1.6099999999999998E-5</v>
      </c>
      <c r="BJ169" s="207">
        <f t="shared" si="77"/>
        <v>0</v>
      </c>
      <c r="BL169" s="123"/>
      <c r="BM169" s="123"/>
      <c r="BO169" s="173"/>
      <c r="BP169" s="174" t="str">
        <f t="shared" si="80"/>
        <v/>
      </c>
      <c r="BQ169" s="174" t="str">
        <f t="shared" si="81"/>
        <v/>
      </c>
      <c r="BR169" s="174" t="str">
        <f t="shared" si="82"/>
        <v/>
      </c>
      <c r="BS169" s="174" t="str">
        <f t="shared" si="83"/>
        <v/>
      </c>
      <c r="BT169" s="174" t="str">
        <f t="shared" si="84"/>
        <v/>
      </c>
      <c r="BU169" s="174" t="str">
        <f t="shared" si="85"/>
        <v/>
      </c>
      <c r="BV169" s="174" t="str">
        <f t="shared" si="86"/>
        <v/>
      </c>
      <c r="BW169" s="174" t="str">
        <f t="shared" si="87"/>
        <v/>
      </c>
      <c r="BX169" s="174" t="str">
        <f t="shared" si="88"/>
        <v/>
      </c>
      <c r="BY169" s="174" t="str">
        <f t="shared" si="89"/>
        <v/>
      </c>
      <c r="BZ169" s="174" t="str">
        <f t="shared" si="90"/>
        <v/>
      </c>
      <c r="CA169" s="174" t="str">
        <f t="shared" si="91"/>
        <v/>
      </c>
      <c r="CB169" s="161"/>
      <c r="CC169" s="161"/>
      <c r="CD169" s="161"/>
      <c r="CE169" s="161" t="s">
        <v>150</v>
      </c>
      <c r="CF169" s="161"/>
    </row>
    <row r="170" spans="1:84" ht="14.25" customHeight="1" x14ac:dyDescent="0.25">
      <c r="A170" s="203">
        <v>160</v>
      </c>
      <c r="B170" s="86"/>
      <c r="C170" s="193"/>
      <c r="D170" s="143"/>
      <c r="E170" s="308" t="s">
        <v>92</v>
      </c>
      <c r="F170" s="213"/>
      <c r="G170" s="214"/>
      <c r="H170" s="214"/>
      <c r="I170" s="214"/>
      <c r="J170" s="214"/>
      <c r="K170" s="214"/>
      <c r="L170" s="295">
        <f t="shared" si="92"/>
        <v>0</v>
      </c>
      <c r="M170" s="296"/>
      <c r="N170" s="297"/>
      <c r="O170" s="340"/>
      <c r="P170" s="311" t="s">
        <v>66</v>
      </c>
      <c r="Q170" s="213"/>
      <c r="R170" s="214"/>
      <c r="S170" s="214"/>
      <c r="T170" s="214"/>
      <c r="U170" s="214"/>
      <c r="V170" s="214"/>
      <c r="W170" s="295">
        <f t="shared" si="93"/>
        <v>0</v>
      </c>
      <c r="X170" s="296"/>
      <c r="Y170" s="297"/>
      <c r="Z170" s="346"/>
      <c r="AA170" s="314" t="s">
        <v>148</v>
      </c>
      <c r="AB170" s="13"/>
      <c r="AC170" s="222"/>
      <c r="AD170" s="222"/>
      <c r="AE170" s="222"/>
      <c r="AF170" s="222"/>
      <c r="AG170" s="5"/>
      <c r="AH170" s="20">
        <f t="shared" si="94"/>
        <v>0</v>
      </c>
      <c r="AI170" s="13"/>
      <c r="AJ170" s="5"/>
      <c r="AK170" s="343"/>
      <c r="AL170" s="100"/>
      <c r="AM170" s="98"/>
      <c r="AN170" s="226"/>
      <c r="AO170" s="225"/>
      <c r="AP170" s="89"/>
      <c r="AQ170" s="225"/>
      <c r="AR170" s="89"/>
      <c r="AS170" s="225"/>
      <c r="AT170" s="89"/>
      <c r="AU170" s="15">
        <f t="shared" si="68"/>
        <v>1.7E-5</v>
      </c>
      <c r="AV170" s="15">
        <f t="shared" si="69"/>
        <v>0</v>
      </c>
      <c r="AW170" s="15"/>
      <c r="AX170" s="173">
        <v>160</v>
      </c>
      <c r="AY170" s="206">
        <f t="shared" si="70"/>
        <v>1.7600000000000001E-5</v>
      </c>
      <c r="AZ170" s="173">
        <f t="shared" si="71"/>
        <v>0</v>
      </c>
      <c r="BA170" s="233">
        <f t="shared" si="72"/>
        <v>1.7E-5</v>
      </c>
      <c r="BB170" s="15">
        <f t="shared" si="78"/>
        <v>0</v>
      </c>
      <c r="BC170" s="173">
        <v>160</v>
      </c>
      <c r="BD170" s="84">
        <f t="shared" si="73"/>
        <v>1.5999999999999999E-5</v>
      </c>
      <c r="BE170" s="207">
        <f t="shared" si="74"/>
        <v>0</v>
      </c>
      <c r="BF170" s="233">
        <f t="shared" si="75"/>
        <v>1.7E-5</v>
      </c>
      <c r="BG170" s="15">
        <f t="shared" si="79"/>
        <v>0</v>
      </c>
      <c r="BH170" s="173">
        <v>160</v>
      </c>
      <c r="BI170" s="84">
        <f t="shared" si="76"/>
        <v>1.5999999999999999E-5</v>
      </c>
      <c r="BJ170" s="207">
        <f t="shared" si="77"/>
        <v>0</v>
      </c>
      <c r="BL170" s="123"/>
      <c r="BM170" s="123"/>
      <c r="BO170" s="173"/>
      <c r="BP170" s="174" t="str">
        <f t="shared" si="80"/>
        <v/>
      </c>
      <c r="BQ170" s="174" t="str">
        <f t="shared" si="81"/>
        <v/>
      </c>
      <c r="BR170" s="174" t="str">
        <f t="shared" si="82"/>
        <v/>
      </c>
      <c r="BS170" s="174" t="str">
        <f t="shared" si="83"/>
        <v/>
      </c>
      <c r="BT170" s="174" t="str">
        <f t="shared" si="84"/>
        <v/>
      </c>
      <c r="BU170" s="174" t="str">
        <f t="shared" si="85"/>
        <v/>
      </c>
      <c r="BV170" s="174" t="str">
        <f t="shared" si="86"/>
        <v/>
      </c>
      <c r="BW170" s="174" t="str">
        <f t="shared" si="87"/>
        <v/>
      </c>
      <c r="BX170" s="174" t="str">
        <f t="shared" si="88"/>
        <v/>
      </c>
      <c r="BY170" s="174" t="str">
        <f t="shared" si="89"/>
        <v/>
      </c>
      <c r="BZ170" s="174" t="str">
        <f t="shared" si="90"/>
        <v/>
      </c>
      <c r="CA170" s="174" t="str">
        <f t="shared" si="91"/>
        <v/>
      </c>
      <c r="CB170" s="161"/>
      <c r="CC170" s="161"/>
      <c r="CD170" s="161"/>
      <c r="CE170" s="161" t="s">
        <v>150</v>
      </c>
      <c r="CF170" s="161"/>
    </row>
    <row r="171" spans="1:84" ht="14.25" customHeight="1" x14ac:dyDescent="0.25">
      <c r="A171" s="204">
        <v>161</v>
      </c>
      <c r="B171" s="211"/>
      <c r="C171" s="194"/>
      <c r="D171" s="142"/>
      <c r="E171" s="309" t="s">
        <v>92</v>
      </c>
      <c r="F171" s="305"/>
      <c r="G171" s="306"/>
      <c r="H171" s="306"/>
      <c r="I171" s="306"/>
      <c r="J171" s="306"/>
      <c r="K171" s="306"/>
      <c r="L171" s="223">
        <f t="shared" si="92"/>
        <v>0</v>
      </c>
      <c r="M171" s="298"/>
      <c r="N171" s="299"/>
      <c r="O171" s="341"/>
      <c r="P171" s="312" t="s">
        <v>66</v>
      </c>
      <c r="Q171" s="305"/>
      <c r="R171" s="306"/>
      <c r="S171" s="306"/>
      <c r="T171" s="306"/>
      <c r="U171" s="306"/>
      <c r="V171" s="306"/>
      <c r="W171" s="223">
        <f t="shared" si="93"/>
        <v>0</v>
      </c>
      <c r="X171" s="298"/>
      <c r="Y171" s="299"/>
      <c r="Z171" s="341"/>
      <c r="AA171" s="312" t="s">
        <v>86</v>
      </c>
      <c r="AB171" s="77"/>
      <c r="AC171" s="319"/>
      <c r="AD171" s="319"/>
      <c r="AE171" s="319"/>
      <c r="AF171" s="319"/>
      <c r="AG171" s="320"/>
      <c r="AH171" s="20">
        <f t="shared" si="94"/>
        <v>0</v>
      </c>
      <c r="AI171" s="77"/>
      <c r="AJ171" s="320"/>
      <c r="AK171" s="344"/>
      <c r="AL171" s="101"/>
      <c r="AM171" s="209"/>
      <c r="AN171" s="208"/>
      <c r="AO171" s="220"/>
      <c r="AP171" s="212"/>
      <c r="AQ171" s="220"/>
      <c r="AR171" s="212"/>
      <c r="AS171" s="220"/>
      <c r="AT171" s="212"/>
      <c r="AU171" s="15">
        <f t="shared" si="68"/>
        <v>1.7099999999999999E-5</v>
      </c>
      <c r="AV171" s="15">
        <f t="shared" si="69"/>
        <v>0</v>
      </c>
      <c r="AW171" s="15"/>
      <c r="AX171" s="173">
        <v>161</v>
      </c>
      <c r="AY171" s="206">
        <f t="shared" si="70"/>
        <v>1.7499999999999998E-5</v>
      </c>
      <c r="AZ171" s="173">
        <f t="shared" si="71"/>
        <v>0</v>
      </c>
      <c r="BA171" s="233">
        <f t="shared" si="72"/>
        <v>1.7099999999999999E-5</v>
      </c>
      <c r="BB171" s="15">
        <f t="shared" si="78"/>
        <v>0</v>
      </c>
      <c r="BC171" s="173">
        <v>161</v>
      </c>
      <c r="BD171" s="84">
        <f t="shared" si="73"/>
        <v>1.59E-5</v>
      </c>
      <c r="BE171" s="207">
        <f t="shared" si="74"/>
        <v>0</v>
      </c>
      <c r="BF171" s="233">
        <f t="shared" si="75"/>
        <v>1.7099999999999999E-5</v>
      </c>
      <c r="BG171" s="15">
        <f t="shared" si="79"/>
        <v>0</v>
      </c>
      <c r="BH171" s="173">
        <v>161</v>
      </c>
      <c r="BI171" s="84">
        <f t="shared" si="76"/>
        <v>1.59E-5</v>
      </c>
      <c r="BJ171" s="207">
        <f t="shared" si="77"/>
        <v>0</v>
      </c>
      <c r="BL171" s="123"/>
      <c r="BM171" s="123"/>
      <c r="BO171" s="173"/>
      <c r="BP171" s="174" t="str">
        <f t="shared" si="80"/>
        <v/>
      </c>
      <c r="BQ171" s="174" t="str">
        <f t="shared" si="81"/>
        <v/>
      </c>
      <c r="BR171" s="174" t="str">
        <f t="shared" si="82"/>
        <v/>
      </c>
      <c r="BS171" s="174" t="str">
        <f t="shared" si="83"/>
        <v/>
      </c>
      <c r="BT171" s="174" t="str">
        <f t="shared" si="84"/>
        <v/>
      </c>
      <c r="BU171" s="174" t="str">
        <f t="shared" si="85"/>
        <v/>
      </c>
      <c r="BV171" s="174" t="str">
        <f t="shared" si="86"/>
        <v/>
      </c>
      <c r="BW171" s="174" t="str">
        <f t="shared" si="87"/>
        <v/>
      </c>
      <c r="BX171" s="174" t="str">
        <f t="shared" si="88"/>
        <v/>
      </c>
      <c r="BY171" s="174" t="str">
        <f t="shared" si="89"/>
        <v/>
      </c>
      <c r="BZ171" s="174" t="str">
        <f t="shared" si="90"/>
        <v/>
      </c>
      <c r="CA171" s="174" t="str">
        <f t="shared" si="91"/>
        <v/>
      </c>
      <c r="CB171" s="161"/>
      <c r="CC171" s="161"/>
      <c r="CD171" s="161"/>
      <c r="CE171" s="161" t="s">
        <v>150</v>
      </c>
      <c r="CF171" s="161"/>
    </row>
    <row r="172" spans="1:84" ht="14.25" customHeight="1" thickBot="1" x14ac:dyDescent="0.3">
      <c r="A172" s="205">
        <v>162</v>
      </c>
      <c r="B172" s="85"/>
      <c r="C172" s="195"/>
      <c r="D172" s="91"/>
      <c r="E172" s="310" t="s">
        <v>92</v>
      </c>
      <c r="F172" s="93"/>
      <c r="G172" s="97"/>
      <c r="H172" s="97"/>
      <c r="I172" s="97"/>
      <c r="J172" s="97"/>
      <c r="K172" s="97"/>
      <c r="L172" s="224">
        <f t="shared" si="92"/>
        <v>0</v>
      </c>
      <c r="M172" s="300"/>
      <c r="N172" s="301"/>
      <c r="O172" s="342"/>
      <c r="P172" s="313" t="s">
        <v>66</v>
      </c>
      <c r="Q172" s="93"/>
      <c r="R172" s="97"/>
      <c r="S172" s="97"/>
      <c r="T172" s="97"/>
      <c r="U172" s="97"/>
      <c r="V172" s="97"/>
      <c r="W172" s="224">
        <f t="shared" si="93"/>
        <v>0</v>
      </c>
      <c r="X172" s="300"/>
      <c r="Y172" s="301"/>
      <c r="Z172" s="342"/>
      <c r="AA172" s="313" t="s">
        <v>86</v>
      </c>
      <c r="AB172" s="78"/>
      <c r="AC172" s="321"/>
      <c r="AD172" s="321"/>
      <c r="AE172" s="321"/>
      <c r="AF172" s="321"/>
      <c r="AG172" s="322"/>
      <c r="AH172" s="88">
        <f t="shared" si="94"/>
        <v>0</v>
      </c>
      <c r="AI172" s="78"/>
      <c r="AJ172" s="322"/>
      <c r="AK172" s="345"/>
      <c r="AL172" s="102"/>
      <c r="AM172" s="99"/>
      <c r="AN172" s="227"/>
      <c r="AO172" s="221"/>
      <c r="AP172" s="90"/>
      <c r="AQ172" s="221"/>
      <c r="AR172" s="90"/>
      <c r="AS172" s="221"/>
      <c r="AT172" s="90"/>
      <c r="AU172" s="15">
        <f t="shared" si="68"/>
        <v>1.7199999999999998E-5</v>
      </c>
      <c r="AV172" s="15">
        <f t="shared" si="69"/>
        <v>0</v>
      </c>
      <c r="AW172" s="15"/>
      <c r="AX172" s="173">
        <v>162</v>
      </c>
      <c r="AY172" s="206">
        <f t="shared" si="70"/>
        <v>1.7399999999999999E-5</v>
      </c>
      <c r="AZ172" s="173">
        <f t="shared" si="71"/>
        <v>0</v>
      </c>
      <c r="BA172" s="233">
        <f t="shared" si="72"/>
        <v>1.7199999999999998E-5</v>
      </c>
      <c r="BB172" s="15">
        <f t="shared" si="78"/>
        <v>0</v>
      </c>
      <c r="BC172" s="173">
        <v>162</v>
      </c>
      <c r="BD172" s="84">
        <f t="shared" si="73"/>
        <v>1.5799999999999998E-5</v>
      </c>
      <c r="BE172" s="207">
        <f t="shared" si="74"/>
        <v>0</v>
      </c>
      <c r="BF172" s="233">
        <f t="shared" si="75"/>
        <v>1.7199999999999998E-5</v>
      </c>
      <c r="BG172" s="15">
        <f t="shared" si="79"/>
        <v>0</v>
      </c>
      <c r="BH172" s="173">
        <v>162</v>
      </c>
      <c r="BI172" s="84">
        <f t="shared" si="76"/>
        <v>1.5799999999999998E-5</v>
      </c>
      <c r="BJ172" s="207">
        <f t="shared" si="77"/>
        <v>0</v>
      </c>
      <c r="BL172" s="123"/>
      <c r="BM172" s="123"/>
      <c r="BO172" s="173"/>
      <c r="BP172" s="174" t="str">
        <f t="shared" si="80"/>
        <v/>
      </c>
      <c r="BQ172" s="174" t="str">
        <f t="shared" si="81"/>
        <v/>
      </c>
      <c r="BR172" s="174" t="str">
        <f t="shared" si="82"/>
        <v/>
      </c>
      <c r="BS172" s="174" t="str">
        <f t="shared" si="83"/>
        <v/>
      </c>
      <c r="BT172" s="174" t="str">
        <f t="shared" si="84"/>
        <v/>
      </c>
      <c r="BU172" s="174" t="str">
        <f t="shared" si="85"/>
        <v/>
      </c>
      <c r="BV172" s="174" t="str">
        <f t="shared" si="86"/>
        <v/>
      </c>
      <c r="BW172" s="174" t="str">
        <f t="shared" si="87"/>
        <v/>
      </c>
      <c r="BX172" s="174" t="str">
        <f t="shared" si="88"/>
        <v/>
      </c>
      <c r="BY172" s="174" t="str">
        <f t="shared" si="89"/>
        <v/>
      </c>
      <c r="BZ172" s="174" t="str">
        <f t="shared" si="90"/>
        <v/>
      </c>
      <c r="CA172" s="174" t="str">
        <f t="shared" si="91"/>
        <v/>
      </c>
      <c r="CB172" s="161"/>
      <c r="CC172" s="161"/>
      <c r="CD172" s="161"/>
      <c r="CE172" s="161" t="s">
        <v>150</v>
      </c>
      <c r="CF172" s="161"/>
    </row>
    <row r="173" spans="1:84" ht="14.25" customHeight="1" x14ac:dyDescent="0.25">
      <c r="A173" s="203">
        <v>163</v>
      </c>
      <c r="B173" s="86"/>
      <c r="C173" s="193"/>
      <c r="D173" s="143"/>
      <c r="E173" s="308" t="s">
        <v>92</v>
      </c>
      <c r="F173" s="213"/>
      <c r="G173" s="214"/>
      <c r="H173" s="214"/>
      <c r="I173" s="214"/>
      <c r="J173" s="214"/>
      <c r="K173" s="214"/>
      <c r="L173" s="295">
        <f t="shared" si="92"/>
        <v>0</v>
      </c>
      <c r="M173" s="296"/>
      <c r="N173" s="297"/>
      <c r="O173" s="340"/>
      <c r="P173" s="311" t="s">
        <v>66</v>
      </c>
      <c r="Q173" s="213"/>
      <c r="R173" s="214"/>
      <c r="S173" s="214"/>
      <c r="T173" s="214"/>
      <c r="U173" s="214"/>
      <c r="V173" s="214"/>
      <c r="W173" s="295">
        <f t="shared" si="93"/>
        <v>0</v>
      </c>
      <c r="X173" s="296"/>
      <c r="Y173" s="297"/>
      <c r="Z173" s="346"/>
      <c r="AA173" s="314" t="s">
        <v>148</v>
      </c>
      <c r="AB173" s="13"/>
      <c r="AC173" s="222"/>
      <c r="AD173" s="222"/>
      <c r="AE173" s="222"/>
      <c r="AF173" s="222"/>
      <c r="AG173" s="5"/>
      <c r="AH173" s="20">
        <f t="shared" si="94"/>
        <v>0</v>
      </c>
      <c r="AI173" s="13"/>
      <c r="AJ173" s="5"/>
      <c r="AK173" s="343"/>
      <c r="AL173" s="100"/>
      <c r="AM173" s="98"/>
      <c r="AN173" s="226"/>
      <c r="AO173" s="225"/>
      <c r="AP173" s="89"/>
      <c r="AQ173" s="225"/>
      <c r="AR173" s="89"/>
      <c r="AS173" s="225"/>
      <c r="AT173" s="89"/>
      <c r="AU173" s="15">
        <f t="shared" si="68"/>
        <v>1.73E-5</v>
      </c>
      <c r="AV173" s="15">
        <f t="shared" si="69"/>
        <v>0</v>
      </c>
      <c r="AW173" s="15"/>
      <c r="AX173" s="173">
        <v>163</v>
      </c>
      <c r="AY173" s="206">
        <f t="shared" si="70"/>
        <v>1.73E-5</v>
      </c>
      <c r="AZ173" s="173">
        <f t="shared" si="71"/>
        <v>0</v>
      </c>
      <c r="BA173" s="233">
        <f t="shared" si="72"/>
        <v>1.73E-5</v>
      </c>
      <c r="BB173" s="15">
        <f t="shared" si="78"/>
        <v>0</v>
      </c>
      <c r="BC173" s="173">
        <v>163</v>
      </c>
      <c r="BD173" s="84">
        <f t="shared" si="73"/>
        <v>1.5699999999999999E-5</v>
      </c>
      <c r="BE173" s="207">
        <f t="shared" si="74"/>
        <v>0</v>
      </c>
      <c r="BF173" s="233">
        <f t="shared" si="75"/>
        <v>1.73E-5</v>
      </c>
      <c r="BG173" s="15">
        <f t="shared" si="79"/>
        <v>0</v>
      </c>
      <c r="BH173" s="173">
        <v>163</v>
      </c>
      <c r="BI173" s="84">
        <f t="shared" si="76"/>
        <v>1.5699999999999999E-5</v>
      </c>
      <c r="BJ173" s="207">
        <f t="shared" si="77"/>
        <v>0</v>
      </c>
      <c r="BL173" s="123"/>
      <c r="BM173" s="123"/>
      <c r="BO173" s="173"/>
      <c r="BP173" s="174" t="str">
        <f t="shared" si="80"/>
        <v/>
      </c>
      <c r="BQ173" s="174" t="str">
        <f t="shared" si="81"/>
        <v/>
      </c>
      <c r="BR173" s="174" t="str">
        <f t="shared" si="82"/>
        <v/>
      </c>
      <c r="BS173" s="174" t="str">
        <f t="shared" si="83"/>
        <v/>
      </c>
      <c r="BT173" s="174" t="str">
        <f t="shared" si="84"/>
        <v/>
      </c>
      <c r="BU173" s="174" t="str">
        <f t="shared" si="85"/>
        <v/>
      </c>
      <c r="BV173" s="174" t="str">
        <f t="shared" si="86"/>
        <v/>
      </c>
      <c r="BW173" s="174" t="str">
        <f t="shared" si="87"/>
        <v/>
      </c>
      <c r="BX173" s="174" t="str">
        <f t="shared" si="88"/>
        <v/>
      </c>
      <c r="BY173" s="174" t="str">
        <f t="shared" si="89"/>
        <v/>
      </c>
      <c r="BZ173" s="174" t="str">
        <f t="shared" si="90"/>
        <v/>
      </c>
      <c r="CA173" s="174" t="str">
        <f t="shared" si="91"/>
        <v/>
      </c>
      <c r="CB173" s="161"/>
      <c r="CC173" s="161"/>
      <c r="CD173" s="161"/>
      <c r="CE173" s="161" t="s">
        <v>150</v>
      </c>
      <c r="CF173" s="161"/>
    </row>
    <row r="174" spans="1:84" ht="14.25" customHeight="1" x14ac:dyDescent="0.25">
      <c r="A174" s="204">
        <v>164</v>
      </c>
      <c r="B174" s="211"/>
      <c r="C174" s="194"/>
      <c r="D174" s="142"/>
      <c r="E174" s="309" t="s">
        <v>92</v>
      </c>
      <c r="F174" s="305"/>
      <c r="G174" s="306"/>
      <c r="H174" s="306"/>
      <c r="I174" s="306"/>
      <c r="J174" s="306"/>
      <c r="K174" s="306"/>
      <c r="L174" s="223">
        <f t="shared" si="92"/>
        <v>0</v>
      </c>
      <c r="M174" s="298"/>
      <c r="N174" s="299"/>
      <c r="O174" s="341"/>
      <c r="P174" s="312" t="s">
        <v>66</v>
      </c>
      <c r="Q174" s="305"/>
      <c r="R174" s="306"/>
      <c r="S174" s="306"/>
      <c r="T174" s="306"/>
      <c r="U174" s="306"/>
      <c r="V174" s="306"/>
      <c r="W174" s="223">
        <f t="shared" si="93"/>
        <v>0</v>
      </c>
      <c r="X174" s="298"/>
      <c r="Y174" s="299"/>
      <c r="Z174" s="341"/>
      <c r="AA174" s="312" t="s">
        <v>86</v>
      </c>
      <c r="AB174" s="77"/>
      <c r="AC174" s="319"/>
      <c r="AD174" s="319"/>
      <c r="AE174" s="319"/>
      <c r="AF174" s="319"/>
      <c r="AG174" s="320"/>
      <c r="AH174" s="20">
        <f t="shared" si="94"/>
        <v>0</v>
      </c>
      <c r="AI174" s="77"/>
      <c r="AJ174" s="320"/>
      <c r="AK174" s="344"/>
      <c r="AL174" s="101"/>
      <c r="AM174" s="209"/>
      <c r="AN174" s="208"/>
      <c r="AO174" s="220"/>
      <c r="AP174" s="212"/>
      <c r="AQ174" s="220"/>
      <c r="AR174" s="212"/>
      <c r="AS174" s="220"/>
      <c r="AT174" s="212"/>
      <c r="AU174" s="15">
        <f t="shared" si="68"/>
        <v>1.7399999999999999E-5</v>
      </c>
      <c r="AV174" s="15">
        <f t="shared" si="69"/>
        <v>0</v>
      </c>
      <c r="AW174" s="15"/>
      <c r="AX174" s="173">
        <v>164</v>
      </c>
      <c r="AY174" s="206">
        <f t="shared" si="70"/>
        <v>1.7199999999999998E-5</v>
      </c>
      <c r="AZ174" s="173">
        <f t="shared" si="71"/>
        <v>0</v>
      </c>
      <c r="BA174" s="233">
        <f t="shared" si="72"/>
        <v>1.7399999999999999E-5</v>
      </c>
      <c r="BB174" s="15">
        <f t="shared" si="78"/>
        <v>0</v>
      </c>
      <c r="BC174" s="173">
        <v>164</v>
      </c>
      <c r="BD174" s="84">
        <f t="shared" si="73"/>
        <v>1.56E-5</v>
      </c>
      <c r="BE174" s="207">
        <f t="shared" si="74"/>
        <v>0</v>
      </c>
      <c r="BF174" s="233">
        <f t="shared" si="75"/>
        <v>1.7399999999999999E-5</v>
      </c>
      <c r="BG174" s="15">
        <f t="shared" si="79"/>
        <v>0</v>
      </c>
      <c r="BH174" s="173">
        <v>164</v>
      </c>
      <c r="BI174" s="84">
        <f t="shared" si="76"/>
        <v>1.56E-5</v>
      </c>
      <c r="BJ174" s="207">
        <f t="shared" si="77"/>
        <v>0</v>
      </c>
      <c r="BL174" s="123"/>
      <c r="BM174" s="123"/>
      <c r="BO174" s="173"/>
      <c r="BP174" s="174" t="str">
        <f t="shared" si="80"/>
        <v/>
      </c>
      <c r="BQ174" s="174" t="str">
        <f t="shared" si="81"/>
        <v/>
      </c>
      <c r="BR174" s="174" t="str">
        <f t="shared" si="82"/>
        <v/>
      </c>
      <c r="BS174" s="174" t="str">
        <f t="shared" si="83"/>
        <v/>
      </c>
      <c r="BT174" s="174" t="str">
        <f t="shared" si="84"/>
        <v/>
      </c>
      <c r="BU174" s="174" t="str">
        <f t="shared" si="85"/>
        <v/>
      </c>
      <c r="BV174" s="174" t="str">
        <f t="shared" si="86"/>
        <v/>
      </c>
      <c r="BW174" s="174" t="str">
        <f t="shared" si="87"/>
        <v/>
      </c>
      <c r="BX174" s="174" t="str">
        <f t="shared" si="88"/>
        <v/>
      </c>
      <c r="BY174" s="174" t="str">
        <f t="shared" si="89"/>
        <v/>
      </c>
      <c r="BZ174" s="174" t="str">
        <f t="shared" si="90"/>
        <v/>
      </c>
      <c r="CA174" s="174" t="str">
        <f t="shared" si="91"/>
        <v/>
      </c>
      <c r="CB174" s="161"/>
      <c r="CC174" s="161"/>
      <c r="CD174" s="161"/>
      <c r="CE174" s="161" t="s">
        <v>150</v>
      </c>
      <c r="CF174" s="161"/>
    </row>
    <row r="175" spans="1:84" ht="14.25" customHeight="1" thickBot="1" x14ac:dyDescent="0.3">
      <c r="A175" s="205">
        <v>165</v>
      </c>
      <c r="B175" s="85"/>
      <c r="C175" s="195"/>
      <c r="D175" s="91"/>
      <c r="E175" s="310" t="s">
        <v>92</v>
      </c>
      <c r="F175" s="93"/>
      <c r="G175" s="97"/>
      <c r="H175" s="97"/>
      <c r="I175" s="97"/>
      <c r="J175" s="97"/>
      <c r="K175" s="97"/>
      <c r="L175" s="224">
        <f t="shared" si="92"/>
        <v>0</v>
      </c>
      <c r="M175" s="300"/>
      <c r="N175" s="301"/>
      <c r="O175" s="342"/>
      <c r="P175" s="313" t="s">
        <v>66</v>
      </c>
      <c r="Q175" s="93"/>
      <c r="R175" s="97"/>
      <c r="S175" s="97"/>
      <c r="T175" s="97"/>
      <c r="U175" s="97"/>
      <c r="V175" s="97"/>
      <c r="W175" s="224">
        <f t="shared" si="93"/>
        <v>0</v>
      </c>
      <c r="X175" s="300"/>
      <c r="Y175" s="301"/>
      <c r="Z175" s="342"/>
      <c r="AA175" s="313" t="s">
        <v>86</v>
      </c>
      <c r="AB175" s="78"/>
      <c r="AC175" s="321"/>
      <c r="AD175" s="321"/>
      <c r="AE175" s="321"/>
      <c r="AF175" s="321"/>
      <c r="AG175" s="322"/>
      <c r="AH175" s="88">
        <f t="shared" si="94"/>
        <v>0</v>
      </c>
      <c r="AI175" s="78"/>
      <c r="AJ175" s="322"/>
      <c r="AK175" s="345"/>
      <c r="AL175" s="102"/>
      <c r="AM175" s="99"/>
      <c r="AN175" s="227"/>
      <c r="AO175" s="221"/>
      <c r="AP175" s="90"/>
      <c r="AQ175" s="221"/>
      <c r="AR175" s="90"/>
      <c r="AS175" s="221"/>
      <c r="AT175" s="90"/>
      <c r="AU175" s="15">
        <f t="shared" si="68"/>
        <v>1.7499999999999998E-5</v>
      </c>
      <c r="AV175" s="15">
        <f t="shared" si="69"/>
        <v>0</v>
      </c>
      <c r="AW175" s="15"/>
      <c r="AX175" s="173">
        <v>165</v>
      </c>
      <c r="AY175" s="206">
        <f t="shared" si="70"/>
        <v>1.7099999999999999E-5</v>
      </c>
      <c r="AZ175" s="173">
        <f t="shared" si="71"/>
        <v>0</v>
      </c>
      <c r="BA175" s="233">
        <f t="shared" si="72"/>
        <v>1.7499999999999998E-5</v>
      </c>
      <c r="BB175" s="15">
        <f t="shared" si="78"/>
        <v>0</v>
      </c>
      <c r="BC175" s="173">
        <v>165</v>
      </c>
      <c r="BD175" s="84">
        <f t="shared" si="73"/>
        <v>1.5500000000000001E-5</v>
      </c>
      <c r="BE175" s="207">
        <f t="shared" si="74"/>
        <v>0</v>
      </c>
      <c r="BF175" s="233">
        <f t="shared" si="75"/>
        <v>1.7499999999999998E-5</v>
      </c>
      <c r="BG175" s="15">
        <f t="shared" si="79"/>
        <v>0</v>
      </c>
      <c r="BH175" s="173">
        <v>165</v>
      </c>
      <c r="BI175" s="84">
        <f t="shared" si="76"/>
        <v>1.5500000000000001E-5</v>
      </c>
      <c r="BJ175" s="207">
        <f t="shared" si="77"/>
        <v>0</v>
      </c>
      <c r="BL175" s="123"/>
      <c r="BM175" s="123"/>
      <c r="BO175" s="173"/>
      <c r="BP175" s="174" t="str">
        <f t="shared" si="80"/>
        <v/>
      </c>
      <c r="BQ175" s="174" t="str">
        <f t="shared" si="81"/>
        <v/>
      </c>
      <c r="BR175" s="174" t="str">
        <f t="shared" si="82"/>
        <v/>
      </c>
      <c r="BS175" s="174" t="str">
        <f t="shared" si="83"/>
        <v/>
      </c>
      <c r="BT175" s="174" t="str">
        <f t="shared" si="84"/>
        <v/>
      </c>
      <c r="BU175" s="174" t="str">
        <f t="shared" si="85"/>
        <v/>
      </c>
      <c r="BV175" s="174" t="str">
        <f t="shared" si="86"/>
        <v/>
      </c>
      <c r="BW175" s="174" t="str">
        <f t="shared" si="87"/>
        <v/>
      </c>
      <c r="BX175" s="174" t="str">
        <f t="shared" si="88"/>
        <v/>
      </c>
      <c r="BY175" s="174" t="str">
        <f t="shared" si="89"/>
        <v/>
      </c>
      <c r="BZ175" s="174" t="str">
        <f t="shared" si="90"/>
        <v/>
      </c>
      <c r="CA175" s="174" t="str">
        <f t="shared" si="91"/>
        <v/>
      </c>
      <c r="CB175" s="161"/>
      <c r="CC175" s="161"/>
      <c r="CD175" s="161"/>
      <c r="CE175" s="161" t="s">
        <v>150</v>
      </c>
      <c r="CF175" s="161"/>
    </row>
    <row r="176" spans="1:84" ht="14.25" customHeight="1" x14ac:dyDescent="0.25">
      <c r="A176" s="203">
        <v>166</v>
      </c>
      <c r="B176" s="86"/>
      <c r="C176" s="193"/>
      <c r="D176" s="143"/>
      <c r="E176" s="308" t="s">
        <v>92</v>
      </c>
      <c r="F176" s="213"/>
      <c r="G176" s="214"/>
      <c r="H176" s="214"/>
      <c r="I176" s="214"/>
      <c r="J176" s="214"/>
      <c r="K176" s="214"/>
      <c r="L176" s="295">
        <f t="shared" si="92"/>
        <v>0</v>
      </c>
      <c r="M176" s="296"/>
      <c r="N176" s="297"/>
      <c r="O176" s="340"/>
      <c r="P176" s="311" t="s">
        <v>66</v>
      </c>
      <c r="Q176" s="213"/>
      <c r="R176" s="214"/>
      <c r="S176" s="214"/>
      <c r="T176" s="214"/>
      <c r="U176" s="214"/>
      <c r="V176" s="214"/>
      <c r="W176" s="295">
        <f t="shared" si="93"/>
        <v>0</v>
      </c>
      <c r="X176" s="296"/>
      <c r="Y176" s="297"/>
      <c r="Z176" s="346"/>
      <c r="AA176" s="314" t="s">
        <v>148</v>
      </c>
      <c r="AB176" s="13"/>
      <c r="AC176" s="222"/>
      <c r="AD176" s="222"/>
      <c r="AE176" s="222"/>
      <c r="AF176" s="222"/>
      <c r="AG176" s="5"/>
      <c r="AH176" s="20">
        <f t="shared" si="94"/>
        <v>0</v>
      </c>
      <c r="AI176" s="13"/>
      <c r="AJ176" s="5"/>
      <c r="AK176" s="343"/>
      <c r="AL176" s="100"/>
      <c r="AM176" s="98"/>
      <c r="AN176" s="226"/>
      <c r="AO176" s="225"/>
      <c r="AP176" s="89"/>
      <c r="AQ176" s="225"/>
      <c r="AR176" s="89"/>
      <c r="AS176" s="225"/>
      <c r="AT176" s="89"/>
      <c r="AU176" s="15">
        <f t="shared" si="68"/>
        <v>1.7600000000000001E-5</v>
      </c>
      <c r="AV176" s="15">
        <f t="shared" si="69"/>
        <v>0</v>
      </c>
      <c r="AW176" s="15"/>
      <c r="AX176" s="173">
        <v>166</v>
      </c>
      <c r="AY176" s="206">
        <f t="shared" si="70"/>
        <v>1.7E-5</v>
      </c>
      <c r="AZ176" s="173">
        <f t="shared" si="71"/>
        <v>0</v>
      </c>
      <c r="BA176" s="233">
        <f t="shared" si="72"/>
        <v>1.7600000000000001E-5</v>
      </c>
      <c r="BB176" s="15">
        <f t="shared" si="78"/>
        <v>0</v>
      </c>
      <c r="BC176" s="173">
        <v>166</v>
      </c>
      <c r="BD176" s="84">
        <f t="shared" si="73"/>
        <v>1.5399999999999998E-5</v>
      </c>
      <c r="BE176" s="207">
        <f t="shared" si="74"/>
        <v>0</v>
      </c>
      <c r="BF176" s="233">
        <f t="shared" si="75"/>
        <v>1.7600000000000001E-5</v>
      </c>
      <c r="BG176" s="15">
        <f t="shared" si="79"/>
        <v>0</v>
      </c>
      <c r="BH176" s="173">
        <v>166</v>
      </c>
      <c r="BI176" s="84">
        <f t="shared" si="76"/>
        <v>1.5399999999999998E-5</v>
      </c>
      <c r="BJ176" s="207">
        <f t="shared" si="77"/>
        <v>0</v>
      </c>
      <c r="BL176" s="123"/>
      <c r="BM176" s="123"/>
      <c r="BO176" s="173"/>
      <c r="BP176" s="174" t="str">
        <f t="shared" si="80"/>
        <v/>
      </c>
      <c r="BQ176" s="174" t="str">
        <f t="shared" si="81"/>
        <v/>
      </c>
      <c r="BR176" s="174" t="str">
        <f t="shared" si="82"/>
        <v/>
      </c>
      <c r="BS176" s="174" t="str">
        <f t="shared" si="83"/>
        <v/>
      </c>
      <c r="BT176" s="174" t="str">
        <f t="shared" si="84"/>
        <v/>
      </c>
      <c r="BU176" s="174" t="str">
        <f t="shared" si="85"/>
        <v/>
      </c>
      <c r="BV176" s="174" t="str">
        <f t="shared" si="86"/>
        <v/>
      </c>
      <c r="BW176" s="174" t="str">
        <f t="shared" si="87"/>
        <v/>
      </c>
      <c r="BX176" s="174" t="str">
        <f t="shared" si="88"/>
        <v/>
      </c>
      <c r="BY176" s="174" t="str">
        <f t="shared" si="89"/>
        <v/>
      </c>
      <c r="BZ176" s="174" t="str">
        <f t="shared" si="90"/>
        <v/>
      </c>
      <c r="CA176" s="174" t="str">
        <f t="shared" si="91"/>
        <v/>
      </c>
      <c r="CB176" s="161"/>
      <c r="CC176" s="161"/>
      <c r="CD176" s="161"/>
      <c r="CE176" s="161" t="s">
        <v>150</v>
      </c>
      <c r="CF176" s="161"/>
    </row>
    <row r="177" spans="1:84" ht="14.25" customHeight="1" x14ac:dyDescent="0.25">
      <c r="A177" s="204">
        <v>167</v>
      </c>
      <c r="B177" s="211"/>
      <c r="C177" s="194"/>
      <c r="D177" s="142"/>
      <c r="E177" s="309" t="s">
        <v>92</v>
      </c>
      <c r="F177" s="305"/>
      <c r="G177" s="306"/>
      <c r="H177" s="306"/>
      <c r="I177" s="306"/>
      <c r="J177" s="306"/>
      <c r="K177" s="306"/>
      <c r="L177" s="223">
        <f t="shared" si="92"/>
        <v>0</v>
      </c>
      <c r="M177" s="298"/>
      <c r="N177" s="299"/>
      <c r="O177" s="341"/>
      <c r="P177" s="312" t="s">
        <v>66</v>
      </c>
      <c r="Q177" s="305"/>
      <c r="R177" s="306"/>
      <c r="S177" s="306"/>
      <c r="T177" s="306"/>
      <c r="U177" s="306"/>
      <c r="V177" s="306"/>
      <c r="W177" s="223">
        <f t="shared" si="93"/>
        <v>0</v>
      </c>
      <c r="X177" s="298"/>
      <c r="Y177" s="299"/>
      <c r="Z177" s="341"/>
      <c r="AA177" s="312" t="s">
        <v>86</v>
      </c>
      <c r="AB177" s="77"/>
      <c r="AC177" s="319"/>
      <c r="AD177" s="319"/>
      <c r="AE177" s="319"/>
      <c r="AF177" s="319"/>
      <c r="AG177" s="320"/>
      <c r="AH177" s="20">
        <f t="shared" si="94"/>
        <v>0</v>
      </c>
      <c r="AI177" s="77"/>
      <c r="AJ177" s="320"/>
      <c r="AK177" s="344"/>
      <c r="AL177" s="101"/>
      <c r="AM177" s="209"/>
      <c r="AN177" s="208"/>
      <c r="AO177" s="220"/>
      <c r="AP177" s="212"/>
      <c r="AQ177" s="220"/>
      <c r="AR177" s="212"/>
      <c r="AS177" s="220"/>
      <c r="AT177" s="212"/>
      <c r="AU177" s="15">
        <f t="shared" si="68"/>
        <v>1.77E-5</v>
      </c>
      <c r="AV177" s="15">
        <f t="shared" si="69"/>
        <v>0</v>
      </c>
      <c r="AW177" s="15"/>
      <c r="AX177" s="173">
        <v>167</v>
      </c>
      <c r="AY177" s="206">
        <f t="shared" si="70"/>
        <v>1.6900000000000001E-5</v>
      </c>
      <c r="AZ177" s="173">
        <f t="shared" si="71"/>
        <v>0</v>
      </c>
      <c r="BA177" s="233">
        <f t="shared" si="72"/>
        <v>1.77E-5</v>
      </c>
      <c r="BB177" s="15">
        <f t="shared" si="78"/>
        <v>0</v>
      </c>
      <c r="BC177" s="173">
        <v>167</v>
      </c>
      <c r="BD177" s="84">
        <f t="shared" si="73"/>
        <v>1.5299999999999999E-5</v>
      </c>
      <c r="BE177" s="207">
        <f t="shared" si="74"/>
        <v>0</v>
      </c>
      <c r="BF177" s="233">
        <f t="shared" si="75"/>
        <v>1.77E-5</v>
      </c>
      <c r="BG177" s="15">
        <f t="shared" si="79"/>
        <v>0</v>
      </c>
      <c r="BH177" s="173">
        <v>167</v>
      </c>
      <c r="BI177" s="84">
        <f t="shared" si="76"/>
        <v>1.5299999999999999E-5</v>
      </c>
      <c r="BJ177" s="207">
        <f t="shared" si="77"/>
        <v>0</v>
      </c>
      <c r="BL177" s="123"/>
      <c r="BM177" s="123"/>
      <c r="BO177" s="173"/>
      <c r="BP177" s="174" t="str">
        <f t="shared" si="80"/>
        <v/>
      </c>
      <c r="BQ177" s="174" t="str">
        <f t="shared" si="81"/>
        <v/>
      </c>
      <c r="BR177" s="174" t="str">
        <f t="shared" si="82"/>
        <v/>
      </c>
      <c r="BS177" s="174" t="str">
        <f t="shared" si="83"/>
        <v/>
      </c>
      <c r="BT177" s="174" t="str">
        <f t="shared" si="84"/>
        <v/>
      </c>
      <c r="BU177" s="174" t="str">
        <f t="shared" si="85"/>
        <v/>
      </c>
      <c r="BV177" s="174" t="str">
        <f t="shared" si="86"/>
        <v/>
      </c>
      <c r="BW177" s="174" t="str">
        <f t="shared" si="87"/>
        <v/>
      </c>
      <c r="BX177" s="174" t="str">
        <f t="shared" si="88"/>
        <v/>
      </c>
      <c r="BY177" s="174" t="str">
        <f t="shared" si="89"/>
        <v/>
      </c>
      <c r="BZ177" s="174" t="str">
        <f t="shared" si="90"/>
        <v/>
      </c>
      <c r="CA177" s="174" t="str">
        <f t="shared" si="91"/>
        <v/>
      </c>
      <c r="CB177" s="161"/>
      <c r="CC177" s="161"/>
      <c r="CD177" s="161"/>
      <c r="CE177" s="161" t="s">
        <v>150</v>
      </c>
      <c r="CF177" s="161"/>
    </row>
    <row r="178" spans="1:84" ht="14.25" customHeight="1" thickBot="1" x14ac:dyDescent="0.3">
      <c r="A178" s="205">
        <v>168</v>
      </c>
      <c r="B178" s="85"/>
      <c r="C178" s="195"/>
      <c r="D178" s="91"/>
      <c r="E178" s="310" t="s">
        <v>92</v>
      </c>
      <c r="F178" s="93"/>
      <c r="G178" s="97"/>
      <c r="H178" s="97"/>
      <c r="I178" s="97"/>
      <c r="J178" s="97"/>
      <c r="K178" s="97"/>
      <c r="L178" s="224">
        <f t="shared" si="92"/>
        <v>0</v>
      </c>
      <c r="M178" s="300"/>
      <c r="N178" s="301"/>
      <c r="O178" s="342"/>
      <c r="P178" s="313" t="s">
        <v>66</v>
      </c>
      <c r="Q178" s="93"/>
      <c r="R178" s="97"/>
      <c r="S178" s="97"/>
      <c r="T178" s="97"/>
      <c r="U178" s="97"/>
      <c r="V178" s="97"/>
      <c r="W178" s="224">
        <f t="shared" si="93"/>
        <v>0</v>
      </c>
      <c r="X178" s="300"/>
      <c r="Y178" s="301"/>
      <c r="Z178" s="342"/>
      <c r="AA178" s="313" t="s">
        <v>86</v>
      </c>
      <c r="AB178" s="78"/>
      <c r="AC178" s="321"/>
      <c r="AD178" s="321"/>
      <c r="AE178" s="321"/>
      <c r="AF178" s="321"/>
      <c r="AG178" s="322"/>
      <c r="AH178" s="88">
        <f t="shared" si="94"/>
        <v>0</v>
      </c>
      <c r="AI178" s="78"/>
      <c r="AJ178" s="322"/>
      <c r="AK178" s="345"/>
      <c r="AL178" s="102"/>
      <c r="AM178" s="99"/>
      <c r="AN178" s="227"/>
      <c r="AO178" s="221"/>
      <c r="AP178" s="90"/>
      <c r="AQ178" s="221"/>
      <c r="AR178" s="90"/>
      <c r="AS178" s="221"/>
      <c r="AT178" s="90"/>
      <c r="AU178" s="15">
        <f t="shared" si="68"/>
        <v>1.7799999999999999E-5</v>
      </c>
      <c r="AV178" s="15">
        <f t="shared" si="69"/>
        <v>0</v>
      </c>
      <c r="AW178" s="15"/>
      <c r="AX178" s="173">
        <v>168</v>
      </c>
      <c r="AY178" s="206">
        <f t="shared" si="70"/>
        <v>1.6799999999999998E-5</v>
      </c>
      <c r="AZ178" s="173">
        <f t="shared" si="71"/>
        <v>0</v>
      </c>
      <c r="BA178" s="233">
        <f t="shared" si="72"/>
        <v>1.7799999999999999E-5</v>
      </c>
      <c r="BB178" s="15">
        <f t="shared" si="78"/>
        <v>0</v>
      </c>
      <c r="BC178" s="173">
        <v>168</v>
      </c>
      <c r="BD178" s="84">
        <f t="shared" si="73"/>
        <v>1.52E-5</v>
      </c>
      <c r="BE178" s="207">
        <f t="shared" si="74"/>
        <v>0</v>
      </c>
      <c r="BF178" s="233">
        <f t="shared" si="75"/>
        <v>1.7799999999999999E-5</v>
      </c>
      <c r="BG178" s="15">
        <f t="shared" si="79"/>
        <v>0</v>
      </c>
      <c r="BH178" s="173">
        <v>168</v>
      </c>
      <c r="BI178" s="84">
        <f t="shared" si="76"/>
        <v>1.52E-5</v>
      </c>
      <c r="BJ178" s="207">
        <f t="shared" si="77"/>
        <v>0</v>
      </c>
      <c r="BL178" s="123"/>
      <c r="BM178" s="123"/>
      <c r="BO178" s="173"/>
      <c r="BP178" s="174" t="str">
        <f t="shared" si="80"/>
        <v/>
      </c>
      <c r="BQ178" s="174" t="str">
        <f t="shared" si="81"/>
        <v/>
      </c>
      <c r="BR178" s="174" t="str">
        <f t="shared" si="82"/>
        <v/>
      </c>
      <c r="BS178" s="174" t="str">
        <f t="shared" si="83"/>
        <v/>
      </c>
      <c r="BT178" s="174" t="str">
        <f t="shared" si="84"/>
        <v/>
      </c>
      <c r="BU178" s="174" t="str">
        <f t="shared" si="85"/>
        <v/>
      </c>
      <c r="BV178" s="174" t="str">
        <f t="shared" si="86"/>
        <v/>
      </c>
      <c r="BW178" s="174" t="str">
        <f t="shared" si="87"/>
        <v/>
      </c>
      <c r="BX178" s="174" t="str">
        <f t="shared" si="88"/>
        <v/>
      </c>
      <c r="BY178" s="174" t="str">
        <f t="shared" si="89"/>
        <v/>
      </c>
      <c r="BZ178" s="174" t="str">
        <f t="shared" si="90"/>
        <v/>
      </c>
      <c r="CA178" s="174" t="str">
        <f t="shared" si="91"/>
        <v/>
      </c>
      <c r="CB178" s="161"/>
      <c r="CC178" s="161"/>
      <c r="CD178" s="161"/>
      <c r="CE178" s="161" t="s">
        <v>150</v>
      </c>
      <c r="CF178" s="161"/>
    </row>
    <row r="179" spans="1:84" ht="14.25" customHeight="1" x14ac:dyDescent="0.25">
      <c r="A179" s="203">
        <v>169</v>
      </c>
      <c r="B179" s="86"/>
      <c r="C179" s="193"/>
      <c r="D179" s="143"/>
      <c r="E179" s="308" t="s">
        <v>92</v>
      </c>
      <c r="F179" s="213"/>
      <c r="G179" s="214"/>
      <c r="H179" s="214"/>
      <c r="I179" s="214"/>
      <c r="J179" s="214"/>
      <c r="K179" s="214"/>
      <c r="L179" s="295">
        <f t="shared" si="92"/>
        <v>0</v>
      </c>
      <c r="M179" s="296"/>
      <c r="N179" s="297"/>
      <c r="O179" s="340"/>
      <c r="P179" s="311" t="s">
        <v>66</v>
      </c>
      <c r="Q179" s="213"/>
      <c r="R179" s="214"/>
      <c r="S179" s="214"/>
      <c r="T179" s="214"/>
      <c r="U179" s="214"/>
      <c r="V179" s="214"/>
      <c r="W179" s="295">
        <f t="shared" si="93"/>
        <v>0</v>
      </c>
      <c r="X179" s="296"/>
      <c r="Y179" s="297"/>
      <c r="Z179" s="346"/>
      <c r="AA179" s="314" t="s">
        <v>148</v>
      </c>
      <c r="AB179" s="13"/>
      <c r="AC179" s="222"/>
      <c r="AD179" s="222"/>
      <c r="AE179" s="222"/>
      <c r="AF179" s="222"/>
      <c r="AG179" s="5"/>
      <c r="AH179" s="20">
        <f t="shared" si="94"/>
        <v>0</v>
      </c>
      <c r="AI179" s="13"/>
      <c r="AJ179" s="5"/>
      <c r="AK179" s="343"/>
      <c r="AL179" s="100"/>
      <c r="AM179" s="98"/>
      <c r="AN179" s="226"/>
      <c r="AO179" s="225"/>
      <c r="AP179" s="89"/>
      <c r="AQ179" s="225"/>
      <c r="AR179" s="89"/>
      <c r="AS179" s="225"/>
      <c r="AT179" s="89"/>
      <c r="AU179" s="15">
        <f t="shared" si="68"/>
        <v>1.7899999999999998E-5</v>
      </c>
      <c r="AV179" s="15">
        <f t="shared" si="69"/>
        <v>0</v>
      </c>
      <c r="AW179" s="15"/>
      <c r="AX179" s="173">
        <v>169</v>
      </c>
      <c r="AY179" s="206">
        <f t="shared" si="70"/>
        <v>1.6699999999999999E-5</v>
      </c>
      <c r="AZ179" s="173">
        <f t="shared" si="71"/>
        <v>0</v>
      </c>
      <c r="BA179" s="233">
        <f t="shared" si="72"/>
        <v>1.7899999999999998E-5</v>
      </c>
      <c r="BB179" s="15">
        <f t="shared" si="78"/>
        <v>0</v>
      </c>
      <c r="BC179" s="173">
        <v>169</v>
      </c>
      <c r="BD179" s="84">
        <f t="shared" si="73"/>
        <v>1.5099999999999999E-5</v>
      </c>
      <c r="BE179" s="207">
        <f t="shared" si="74"/>
        <v>0</v>
      </c>
      <c r="BF179" s="233">
        <f t="shared" si="75"/>
        <v>1.7899999999999998E-5</v>
      </c>
      <c r="BG179" s="15">
        <f t="shared" si="79"/>
        <v>0</v>
      </c>
      <c r="BH179" s="173">
        <v>169</v>
      </c>
      <c r="BI179" s="84">
        <f t="shared" si="76"/>
        <v>1.5099999999999999E-5</v>
      </c>
      <c r="BJ179" s="207">
        <f t="shared" si="77"/>
        <v>0</v>
      </c>
      <c r="BL179" s="123"/>
      <c r="BM179" s="123"/>
      <c r="BO179" s="173"/>
      <c r="BP179" s="174" t="str">
        <f t="shared" si="80"/>
        <v/>
      </c>
      <c r="BQ179" s="174" t="str">
        <f t="shared" si="81"/>
        <v/>
      </c>
      <c r="BR179" s="174" t="str">
        <f t="shared" si="82"/>
        <v/>
      </c>
      <c r="BS179" s="174" t="str">
        <f t="shared" si="83"/>
        <v/>
      </c>
      <c r="BT179" s="174" t="str">
        <f t="shared" si="84"/>
        <v/>
      </c>
      <c r="BU179" s="174" t="str">
        <f t="shared" si="85"/>
        <v/>
      </c>
      <c r="BV179" s="174" t="str">
        <f t="shared" si="86"/>
        <v/>
      </c>
      <c r="BW179" s="174" t="str">
        <f t="shared" si="87"/>
        <v/>
      </c>
      <c r="BX179" s="174" t="str">
        <f t="shared" si="88"/>
        <v/>
      </c>
      <c r="BY179" s="174" t="str">
        <f t="shared" si="89"/>
        <v/>
      </c>
      <c r="BZ179" s="174" t="str">
        <f t="shared" si="90"/>
        <v/>
      </c>
      <c r="CA179" s="174" t="str">
        <f t="shared" si="91"/>
        <v/>
      </c>
      <c r="CB179" s="161"/>
      <c r="CC179" s="161"/>
      <c r="CD179" s="161"/>
      <c r="CE179" s="161" t="s">
        <v>150</v>
      </c>
      <c r="CF179" s="161"/>
    </row>
    <row r="180" spans="1:84" ht="14.25" customHeight="1" x14ac:dyDescent="0.25">
      <c r="A180" s="204">
        <v>170</v>
      </c>
      <c r="B180" s="211"/>
      <c r="C180" s="194"/>
      <c r="D180" s="142"/>
      <c r="E180" s="309" t="s">
        <v>92</v>
      </c>
      <c r="F180" s="305"/>
      <c r="G180" s="306"/>
      <c r="H180" s="306"/>
      <c r="I180" s="306"/>
      <c r="J180" s="306"/>
      <c r="K180" s="306"/>
      <c r="L180" s="223">
        <f t="shared" si="92"/>
        <v>0</v>
      </c>
      <c r="M180" s="298"/>
      <c r="N180" s="299"/>
      <c r="O180" s="341"/>
      <c r="P180" s="312" t="s">
        <v>66</v>
      </c>
      <c r="Q180" s="305"/>
      <c r="R180" s="306"/>
      <c r="S180" s="306"/>
      <c r="T180" s="306"/>
      <c r="U180" s="306"/>
      <c r="V180" s="306"/>
      <c r="W180" s="223">
        <f t="shared" si="93"/>
        <v>0</v>
      </c>
      <c r="X180" s="298"/>
      <c r="Y180" s="299"/>
      <c r="Z180" s="341"/>
      <c r="AA180" s="312" t="s">
        <v>86</v>
      </c>
      <c r="AB180" s="77"/>
      <c r="AC180" s="319"/>
      <c r="AD180" s="319"/>
      <c r="AE180" s="319"/>
      <c r="AF180" s="319"/>
      <c r="AG180" s="320"/>
      <c r="AH180" s="20">
        <f t="shared" si="94"/>
        <v>0</v>
      </c>
      <c r="AI180" s="77"/>
      <c r="AJ180" s="320"/>
      <c r="AK180" s="344"/>
      <c r="AL180" s="101"/>
      <c r="AM180" s="209"/>
      <c r="AN180" s="208"/>
      <c r="AO180" s="220"/>
      <c r="AP180" s="212"/>
      <c r="AQ180" s="220"/>
      <c r="AR180" s="212"/>
      <c r="AS180" s="220"/>
      <c r="AT180" s="212"/>
      <c r="AU180" s="15">
        <f t="shared" si="68"/>
        <v>1.8E-5</v>
      </c>
      <c r="AV180" s="15">
        <f t="shared" si="69"/>
        <v>0</v>
      </c>
      <c r="AW180" s="15"/>
      <c r="AX180" s="173">
        <v>170</v>
      </c>
      <c r="AY180" s="206">
        <f t="shared" si="70"/>
        <v>1.66E-5</v>
      </c>
      <c r="AZ180" s="173">
        <f t="shared" si="71"/>
        <v>0</v>
      </c>
      <c r="BA180" s="233">
        <f t="shared" si="72"/>
        <v>1.8E-5</v>
      </c>
      <c r="BB180" s="15">
        <f t="shared" si="78"/>
        <v>0</v>
      </c>
      <c r="BC180" s="173">
        <v>170</v>
      </c>
      <c r="BD180" s="84">
        <f t="shared" si="73"/>
        <v>1.4999999999999999E-5</v>
      </c>
      <c r="BE180" s="207">
        <f t="shared" si="74"/>
        <v>0</v>
      </c>
      <c r="BF180" s="233">
        <f t="shared" si="75"/>
        <v>1.8E-5</v>
      </c>
      <c r="BG180" s="15">
        <f t="shared" si="79"/>
        <v>0</v>
      </c>
      <c r="BH180" s="173">
        <v>170</v>
      </c>
      <c r="BI180" s="84">
        <f t="shared" si="76"/>
        <v>1.4999999999999999E-5</v>
      </c>
      <c r="BJ180" s="207">
        <f t="shared" si="77"/>
        <v>0</v>
      </c>
      <c r="BL180" s="123"/>
      <c r="BM180" s="123"/>
      <c r="BO180" s="173"/>
      <c r="BP180" s="174" t="str">
        <f t="shared" si="80"/>
        <v/>
      </c>
      <c r="BQ180" s="174" t="str">
        <f t="shared" si="81"/>
        <v/>
      </c>
      <c r="BR180" s="174" t="str">
        <f t="shared" si="82"/>
        <v/>
      </c>
      <c r="BS180" s="174" t="str">
        <f t="shared" si="83"/>
        <v/>
      </c>
      <c r="BT180" s="174" t="str">
        <f t="shared" si="84"/>
        <v/>
      </c>
      <c r="BU180" s="174" t="str">
        <f t="shared" si="85"/>
        <v/>
      </c>
      <c r="BV180" s="174" t="str">
        <f t="shared" si="86"/>
        <v/>
      </c>
      <c r="BW180" s="174" t="str">
        <f t="shared" si="87"/>
        <v/>
      </c>
      <c r="BX180" s="174" t="str">
        <f t="shared" si="88"/>
        <v/>
      </c>
      <c r="BY180" s="174" t="str">
        <f t="shared" si="89"/>
        <v/>
      </c>
      <c r="BZ180" s="174" t="str">
        <f t="shared" si="90"/>
        <v/>
      </c>
      <c r="CA180" s="174" t="str">
        <f t="shared" si="91"/>
        <v/>
      </c>
      <c r="CB180" s="161"/>
      <c r="CC180" s="161"/>
      <c r="CD180" s="161"/>
      <c r="CE180" s="161" t="s">
        <v>150</v>
      </c>
      <c r="CF180" s="161"/>
    </row>
    <row r="181" spans="1:84" ht="14.25" customHeight="1" thickBot="1" x14ac:dyDescent="0.3">
      <c r="A181" s="205">
        <v>171</v>
      </c>
      <c r="B181" s="85"/>
      <c r="C181" s="195"/>
      <c r="D181" s="91"/>
      <c r="E181" s="310" t="s">
        <v>92</v>
      </c>
      <c r="F181" s="93"/>
      <c r="G181" s="97"/>
      <c r="H181" s="97"/>
      <c r="I181" s="97"/>
      <c r="J181" s="97"/>
      <c r="K181" s="97"/>
      <c r="L181" s="224">
        <f t="shared" si="92"/>
        <v>0</v>
      </c>
      <c r="M181" s="300"/>
      <c r="N181" s="301"/>
      <c r="O181" s="342"/>
      <c r="P181" s="313" t="s">
        <v>66</v>
      </c>
      <c r="Q181" s="93"/>
      <c r="R181" s="97"/>
      <c r="S181" s="97"/>
      <c r="T181" s="97"/>
      <c r="U181" s="97"/>
      <c r="V181" s="97"/>
      <c r="W181" s="224">
        <f t="shared" si="93"/>
        <v>0</v>
      </c>
      <c r="X181" s="300"/>
      <c r="Y181" s="301"/>
      <c r="Z181" s="342"/>
      <c r="AA181" s="313" t="s">
        <v>86</v>
      </c>
      <c r="AB181" s="78"/>
      <c r="AC181" s="321"/>
      <c r="AD181" s="321"/>
      <c r="AE181" s="321"/>
      <c r="AF181" s="321"/>
      <c r="AG181" s="322"/>
      <c r="AH181" s="88">
        <f t="shared" si="94"/>
        <v>0</v>
      </c>
      <c r="AI181" s="78"/>
      <c r="AJ181" s="322"/>
      <c r="AK181" s="345"/>
      <c r="AL181" s="102"/>
      <c r="AM181" s="99"/>
      <c r="AN181" s="227"/>
      <c r="AO181" s="221"/>
      <c r="AP181" s="90"/>
      <c r="AQ181" s="221"/>
      <c r="AR181" s="90"/>
      <c r="AS181" s="221"/>
      <c r="AT181" s="90"/>
      <c r="AU181" s="15">
        <f t="shared" si="68"/>
        <v>1.8099999999999999E-5</v>
      </c>
      <c r="AV181" s="15">
        <f t="shared" si="69"/>
        <v>0</v>
      </c>
      <c r="AW181" s="15"/>
      <c r="AX181" s="173">
        <v>171</v>
      </c>
      <c r="AY181" s="206">
        <f t="shared" si="70"/>
        <v>1.6499999999999998E-5</v>
      </c>
      <c r="AZ181" s="173">
        <f t="shared" si="71"/>
        <v>0</v>
      </c>
      <c r="BA181" s="233">
        <f t="shared" si="72"/>
        <v>1.8099999999999999E-5</v>
      </c>
      <c r="BB181" s="15">
        <f t="shared" si="78"/>
        <v>0</v>
      </c>
      <c r="BC181" s="173">
        <v>171</v>
      </c>
      <c r="BD181" s="84">
        <f t="shared" si="73"/>
        <v>1.49E-5</v>
      </c>
      <c r="BE181" s="207">
        <f t="shared" si="74"/>
        <v>0</v>
      </c>
      <c r="BF181" s="233">
        <f t="shared" si="75"/>
        <v>1.8099999999999999E-5</v>
      </c>
      <c r="BG181" s="15">
        <f t="shared" si="79"/>
        <v>0</v>
      </c>
      <c r="BH181" s="173">
        <v>171</v>
      </c>
      <c r="BI181" s="84">
        <f t="shared" si="76"/>
        <v>1.49E-5</v>
      </c>
      <c r="BJ181" s="207">
        <f t="shared" si="77"/>
        <v>0</v>
      </c>
      <c r="BL181" s="123"/>
      <c r="BM181" s="123"/>
      <c r="BO181" s="173"/>
      <c r="BP181" s="174" t="str">
        <f t="shared" si="80"/>
        <v/>
      </c>
      <c r="BQ181" s="174" t="str">
        <f t="shared" si="81"/>
        <v/>
      </c>
      <c r="BR181" s="174" t="str">
        <f t="shared" si="82"/>
        <v/>
      </c>
      <c r="BS181" s="174" t="str">
        <f t="shared" si="83"/>
        <v/>
      </c>
      <c r="BT181" s="174" t="str">
        <f t="shared" si="84"/>
        <v/>
      </c>
      <c r="BU181" s="174" t="str">
        <f t="shared" si="85"/>
        <v/>
      </c>
      <c r="BV181" s="174" t="str">
        <f t="shared" si="86"/>
        <v/>
      </c>
      <c r="BW181" s="174" t="str">
        <f t="shared" si="87"/>
        <v/>
      </c>
      <c r="BX181" s="174" t="str">
        <f t="shared" si="88"/>
        <v/>
      </c>
      <c r="BY181" s="174" t="str">
        <f t="shared" si="89"/>
        <v/>
      </c>
      <c r="BZ181" s="174" t="str">
        <f t="shared" si="90"/>
        <v/>
      </c>
      <c r="CA181" s="174" t="str">
        <f t="shared" si="91"/>
        <v/>
      </c>
      <c r="CB181" s="161"/>
      <c r="CC181" s="161"/>
      <c r="CD181" s="161"/>
      <c r="CE181" s="161" t="s">
        <v>150</v>
      </c>
      <c r="CF181" s="161"/>
    </row>
    <row r="182" spans="1:84" ht="14.25" customHeight="1" x14ac:dyDescent="0.25">
      <c r="A182" s="203">
        <v>172</v>
      </c>
      <c r="B182" s="86"/>
      <c r="C182" s="193"/>
      <c r="D182" s="143"/>
      <c r="E182" s="308" t="s">
        <v>92</v>
      </c>
      <c r="F182" s="213"/>
      <c r="G182" s="214"/>
      <c r="H182" s="214"/>
      <c r="I182" s="214"/>
      <c r="J182" s="214"/>
      <c r="K182" s="214"/>
      <c r="L182" s="295">
        <f t="shared" si="92"/>
        <v>0</v>
      </c>
      <c r="M182" s="296"/>
      <c r="N182" s="297"/>
      <c r="O182" s="340"/>
      <c r="P182" s="311" t="s">
        <v>66</v>
      </c>
      <c r="Q182" s="213"/>
      <c r="R182" s="214"/>
      <c r="S182" s="214"/>
      <c r="T182" s="214"/>
      <c r="U182" s="214"/>
      <c r="V182" s="214"/>
      <c r="W182" s="295">
        <f t="shared" si="93"/>
        <v>0</v>
      </c>
      <c r="X182" s="296"/>
      <c r="Y182" s="297"/>
      <c r="Z182" s="346"/>
      <c r="AA182" s="314" t="s">
        <v>148</v>
      </c>
      <c r="AB182" s="13"/>
      <c r="AC182" s="222"/>
      <c r="AD182" s="222"/>
      <c r="AE182" s="222"/>
      <c r="AF182" s="222"/>
      <c r="AG182" s="5"/>
      <c r="AH182" s="20">
        <f t="shared" si="94"/>
        <v>0</v>
      </c>
      <c r="AI182" s="13"/>
      <c r="AJ182" s="5"/>
      <c r="AK182" s="343"/>
      <c r="AL182" s="100"/>
      <c r="AM182" s="98"/>
      <c r="AN182" s="226"/>
      <c r="AO182" s="225"/>
      <c r="AP182" s="89"/>
      <c r="AQ182" s="225"/>
      <c r="AR182" s="89"/>
      <c r="AS182" s="225"/>
      <c r="AT182" s="89"/>
      <c r="AU182" s="15">
        <f t="shared" si="68"/>
        <v>1.8199999999999999E-5</v>
      </c>
      <c r="AV182" s="15">
        <f t="shared" si="69"/>
        <v>0</v>
      </c>
      <c r="AW182" s="15"/>
      <c r="AX182" s="173">
        <v>172</v>
      </c>
      <c r="AY182" s="206">
        <f t="shared" si="70"/>
        <v>1.6399999999999999E-5</v>
      </c>
      <c r="AZ182" s="173">
        <f t="shared" si="71"/>
        <v>0</v>
      </c>
      <c r="BA182" s="233">
        <f t="shared" si="72"/>
        <v>1.8199999999999999E-5</v>
      </c>
      <c r="BB182" s="15">
        <f t="shared" si="78"/>
        <v>0</v>
      </c>
      <c r="BC182" s="173">
        <v>172</v>
      </c>
      <c r="BD182" s="84">
        <f t="shared" si="73"/>
        <v>1.4799999999999999E-5</v>
      </c>
      <c r="BE182" s="207">
        <f t="shared" si="74"/>
        <v>0</v>
      </c>
      <c r="BF182" s="233">
        <f t="shared" si="75"/>
        <v>1.8199999999999999E-5</v>
      </c>
      <c r="BG182" s="15">
        <f t="shared" si="79"/>
        <v>0</v>
      </c>
      <c r="BH182" s="173">
        <v>172</v>
      </c>
      <c r="BI182" s="84">
        <f t="shared" si="76"/>
        <v>1.4799999999999999E-5</v>
      </c>
      <c r="BJ182" s="207">
        <f t="shared" si="77"/>
        <v>0</v>
      </c>
      <c r="BL182" s="123"/>
      <c r="BM182" s="123"/>
      <c r="BO182" s="173"/>
      <c r="BP182" s="174" t="str">
        <f t="shared" si="80"/>
        <v/>
      </c>
      <c r="BQ182" s="174" t="str">
        <f t="shared" si="81"/>
        <v/>
      </c>
      <c r="BR182" s="174" t="str">
        <f t="shared" si="82"/>
        <v/>
      </c>
      <c r="BS182" s="174" t="str">
        <f t="shared" si="83"/>
        <v/>
      </c>
      <c r="BT182" s="174" t="str">
        <f t="shared" si="84"/>
        <v/>
      </c>
      <c r="BU182" s="174" t="str">
        <f t="shared" si="85"/>
        <v/>
      </c>
      <c r="BV182" s="174" t="str">
        <f t="shared" si="86"/>
        <v/>
      </c>
      <c r="BW182" s="174" t="str">
        <f t="shared" si="87"/>
        <v/>
      </c>
      <c r="BX182" s="174" t="str">
        <f t="shared" si="88"/>
        <v/>
      </c>
      <c r="BY182" s="174" t="str">
        <f t="shared" si="89"/>
        <v/>
      </c>
      <c r="BZ182" s="174" t="str">
        <f t="shared" si="90"/>
        <v/>
      </c>
      <c r="CA182" s="174" t="str">
        <f t="shared" si="91"/>
        <v/>
      </c>
      <c r="CB182" s="161"/>
      <c r="CC182" s="161"/>
      <c r="CD182" s="161"/>
      <c r="CE182" s="161" t="s">
        <v>150</v>
      </c>
      <c r="CF182" s="161"/>
    </row>
    <row r="183" spans="1:84" ht="14.25" customHeight="1" x14ac:dyDescent="0.25">
      <c r="A183" s="204">
        <v>173</v>
      </c>
      <c r="B183" s="211"/>
      <c r="C183" s="194"/>
      <c r="D183" s="142"/>
      <c r="E183" s="309" t="s">
        <v>92</v>
      </c>
      <c r="F183" s="305"/>
      <c r="G183" s="306"/>
      <c r="H183" s="306"/>
      <c r="I183" s="306"/>
      <c r="J183" s="306"/>
      <c r="K183" s="306"/>
      <c r="L183" s="223">
        <f t="shared" si="92"/>
        <v>0</v>
      </c>
      <c r="M183" s="298"/>
      <c r="N183" s="299"/>
      <c r="O183" s="341"/>
      <c r="P183" s="312" t="s">
        <v>66</v>
      </c>
      <c r="Q183" s="305"/>
      <c r="R183" s="306"/>
      <c r="S183" s="306"/>
      <c r="T183" s="306"/>
      <c r="U183" s="306"/>
      <c r="V183" s="306"/>
      <c r="W183" s="223">
        <f t="shared" si="93"/>
        <v>0</v>
      </c>
      <c r="X183" s="298"/>
      <c r="Y183" s="299"/>
      <c r="Z183" s="341"/>
      <c r="AA183" s="312" t="s">
        <v>86</v>
      </c>
      <c r="AB183" s="77"/>
      <c r="AC183" s="319"/>
      <c r="AD183" s="319"/>
      <c r="AE183" s="319"/>
      <c r="AF183" s="319"/>
      <c r="AG183" s="320"/>
      <c r="AH183" s="20">
        <f t="shared" si="94"/>
        <v>0</v>
      </c>
      <c r="AI183" s="77"/>
      <c r="AJ183" s="320"/>
      <c r="AK183" s="344"/>
      <c r="AL183" s="101"/>
      <c r="AM183" s="209"/>
      <c r="AN183" s="208"/>
      <c r="AO183" s="220"/>
      <c r="AP183" s="212"/>
      <c r="AQ183" s="220"/>
      <c r="AR183" s="212"/>
      <c r="AS183" s="220"/>
      <c r="AT183" s="212"/>
      <c r="AU183" s="15">
        <f t="shared" si="68"/>
        <v>1.8299999999999998E-5</v>
      </c>
      <c r="AV183" s="15">
        <f t="shared" si="69"/>
        <v>0</v>
      </c>
      <c r="AW183" s="15"/>
      <c r="AX183" s="173">
        <v>173</v>
      </c>
      <c r="AY183" s="206">
        <f t="shared" si="70"/>
        <v>1.63E-5</v>
      </c>
      <c r="AZ183" s="173">
        <f t="shared" si="71"/>
        <v>0</v>
      </c>
      <c r="BA183" s="233">
        <f t="shared" si="72"/>
        <v>1.8299999999999998E-5</v>
      </c>
      <c r="BB183" s="15">
        <f t="shared" si="78"/>
        <v>0</v>
      </c>
      <c r="BC183" s="173">
        <v>173</v>
      </c>
      <c r="BD183" s="84">
        <f t="shared" si="73"/>
        <v>1.47E-5</v>
      </c>
      <c r="BE183" s="207">
        <f t="shared" si="74"/>
        <v>0</v>
      </c>
      <c r="BF183" s="233">
        <f t="shared" si="75"/>
        <v>1.8299999999999998E-5</v>
      </c>
      <c r="BG183" s="15">
        <f t="shared" si="79"/>
        <v>0</v>
      </c>
      <c r="BH183" s="173">
        <v>173</v>
      </c>
      <c r="BI183" s="84">
        <f t="shared" si="76"/>
        <v>1.47E-5</v>
      </c>
      <c r="BJ183" s="207">
        <f t="shared" si="77"/>
        <v>0</v>
      </c>
      <c r="BL183" s="123"/>
      <c r="BM183" s="123"/>
      <c r="BO183" s="173"/>
      <c r="BP183" s="174" t="str">
        <f t="shared" si="80"/>
        <v/>
      </c>
      <c r="BQ183" s="174" t="str">
        <f t="shared" si="81"/>
        <v/>
      </c>
      <c r="BR183" s="174" t="str">
        <f t="shared" si="82"/>
        <v/>
      </c>
      <c r="BS183" s="174" t="str">
        <f t="shared" si="83"/>
        <v/>
      </c>
      <c r="BT183" s="174" t="str">
        <f t="shared" si="84"/>
        <v/>
      </c>
      <c r="BU183" s="174" t="str">
        <f t="shared" si="85"/>
        <v/>
      </c>
      <c r="BV183" s="174" t="str">
        <f t="shared" si="86"/>
        <v/>
      </c>
      <c r="BW183" s="174" t="str">
        <f t="shared" si="87"/>
        <v/>
      </c>
      <c r="BX183" s="174" t="str">
        <f t="shared" si="88"/>
        <v/>
      </c>
      <c r="BY183" s="174" t="str">
        <f t="shared" si="89"/>
        <v/>
      </c>
      <c r="BZ183" s="174" t="str">
        <f t="shared" si="90"/>
        <v/>
      </c>
      <c r="CA183" s="174" t="str">
        <f t="shared" si="91"/>
        <v/>
      </c>
      <c r="CB183" s="161"/>
      <c r="CC183" s="161"/>
      <c r="CD183" s="161"/>
      <c r="CE183" s="161" t="s">
        <v>150</v>
      </c>
      <c r="CF183" s="161"/>
    </row>
    <row r="184" spans="1:84" ht="14.25" customHeight="1" thickBot="1" x14ac:dyDescent="0.3">
      <c r="A184" s="205">
        <v>174</v>
      </c>
      <c r="B184" s="85"/>
      <c r="C184" s="195"/>
      <c r="D184" s="91"/>
      <c r="E184" s="310" t="s">
        <v>92</v>
      </c>
      <c r="F184" s="93"/>
      <c r="G184" s="97"/>
      <c r="H184" s="97"/>
      <c r="I184" s="97"/>
      <c r="J184" s="97"/>
      <c r="K184" s="97"/>
      <c r="L184" s="224">
        <f t="shared" si="92"/>
        <v>0</v>
      </c>
      <c r="M184" s="300"/>
      <c r="N184" s="301"/>
      <c r="O184" s="342"/>
      <c r="P184" s="313" t="s">
        <v>66</v>
      </c>
      <c r="Q184" s="93"/>
      <c r="R184" s="97"/>
      <c r="S184" s="97"/>
      <c r="T184" s="97"/>
      <c r="U184" s="97"/>
      <c r="V184" s="97"/>
      <c r="W184" s="224">
        <f t="shared" si="93"/>
        <v>0</v>
      </c>
      <c r="X184" s="300"/>
      <c r="Y184" s="301"/>
      <c r="Z184" s="342"/>
      <c r="AA184" s="313" t="s">
        <v>86</v>
      </c>
      <c r="AB184" s="78"/>
      <c r="AC184" s="321"/>
      <c r="AD184" s="321"/>
      <c r="AE184" s="321"/>
      <c r="AF184" s="321"/>
      <c r="AG184" s="322"/>
      <c r="AH184" s="88">
        <f t="shared" si="94"/>
        <v>0</v>
      </c>
      <c r="AI184" s="78"/>
      <c r="AJ184" s="322"/>
      <c r="AK184" s="345"/>
      <c r="AL184" s="102"/>
      <c r="AM184" s="99"/>
      <c r="AN184" s="227"/>
      <c r="AO184" s="221"/>
      <c r="AP184" s="90"/>
      <c r="AQ184" s="221"/>
      <c r="AR184" s="90"/>
      <c r="AS184" s="221"/>
      <c r="AT184" s="90"/>
      <c r="AU184" s="15">
        <f t="shared" si="68"/>
        <v>1.84E-5</v>
      </c>
      <c r="AV184" s="15">
        <f t="shared" si="69"/>
        <v>0</v>
      </c>
      <c r="AW184" s="15"/>
      <c r="AX184" s="173">
        <v>174</v>
      </c>
      <c r="AY184" s="206">
        <f t="shared" si="70"/>
        <v>1.6200000000000001E-5</v>
      </c>
      <c r="AZ184" s="173">
        <f t="shared" si="71"/>
        <v>0</v>
      </c>
      <c r="BA184" s="233">
        <f t="shared" si="72"/>
        <v>1.84E-5</v>
      </c>
      <c r="BB184" s="15">
        <f t="shared" si="78"/>
        <v>0</v>
      </c>
      <c r="BC184" s="173">
        <v>174</v>
      </c>
      <c r="BD184" s="84">
        <f t="shared" si="73"/>
        <v>1.4599999999999999E-5</v>
      </c>
      <c r="BE184" s="207">
        <f t="shared" si="74"/>
        <v>0</v>
      </c>
      <c r="BF184" s="233">
        <f t="shared" si="75"/>
        <v>1.84E-5</v>
      </c>
      <c r="BG184" s="15">
        <f t="shared" si="79"/>
        <v>0</v>
      </c>
      <c r="BH184" s="173">
        <v>174</v>
      </c>
      <c r="BI184" s="84">
        <f t="shared" si="76"/>
        <v>1.4599999999999999E-5</v>
      </c>
      <c r="BJ184" s="207">
        <f t="shared" si="77"/>
        <v>0</v>
      </c>
      <c r="BL184" s="123"/>
      <c r="BM184" s="123"/>
      <c r="BO184" s="173"/>
      <c r="BP184" s="174" t="str">
        <f t="shared" si="80"/>
        <v/>
      </c>
      <c r="BQ184" s="174" t="str">
        <f t="shared" si="81"/>
        <v/>
      </c>
      <c r="BR184" s="174" t="str">
        <f t="shared" si="82"/>
        <v/>
      </c>
      <c r="BS184" s="174" t="str">
        <f t="shared" si="83"/>
        <v/>
      </c>
      <c r="BT184" s="174" t="str">
        <f t="shared" si="84"/>
        <v/>
      </c>
      <c r="BU184" s="174" t="str">
        <f t="shared" si="85"/>
        <v/>
      </c>
      <c r="BV184" s="174" t="str">
        <f t="shared" si="86"/>
        <v/>
      </c>
      <c r="BW184" s="174" t="str">
        <f t="shared" si="87"/>
        <v/>
      </c>
      <c r="BX184" s="174" t="str">
        <f t="shared" si="88"/>
        <v/>
      </c>
      <c r="BY184" s="174" t="str">
        <f t="shared" si="89"/>
        <v/>
      </c>
      <c r="BZ184" s="174" t="str">
        <f t="shared" si="90"/>
        <v/>
      </c>
      <c r="CA184" s="174" t="str">
        <f t="shared" si="91"/>
        <v/>
      </c>
      <c r="CB184" s="161"/>
      <c r="CC184" s="161"/>
      <c r="CD184" s="161"/>
      <c r="CE184" s="161" t="s">
        <v>150</v>
      </c>
      <c r="CF184" s="161"/>
    </row>
    <row r="185" spans="1:84" ht="14.25" customHeight="1" x14ac:dyDescent="0.25">
      <c r="A185" s="203">
        <v>175</v>
      </c>
      <c r="B185" s="86"/>
      <c r="C185" s="193"/>
      <c r="D185" s="143"/>
      <c r="E185" s="308" t="s">
        <v>92</v>
      </c>
      <c r="F185" s="213"/>
      <c r="G185" s="214"/>
      <c r="H185" s="214"/>
      <c r="I185" s="214"/>
      <c r="J185" s="214"/>
      <c r="K185" s="214"/>
      <c r="L185" s="295">
        <f t="shared" si="92"/>
        <v>0</v>
      </c>
      <c r="M185" s="296"/>
      <c r="N185" s="297"/>
      <c r="O185" s="340"/>
      <c r="P185" s="311" t="s">
        <v>66</v>
      </c>
      <c r="Q185" s="213"/>
      <c r="R185" s="214"/>
      <c r="S185" s="214"/>
      <c r="T185" s="214"/>
      <c r="U185" s="214"/>
      <c r="V185" s="214"/>
      <c r="W185" s="295">
        <f t="shared" si="93"/>
        <v>0</v>
      </c>
      <c r="X185" s="296"/>
      <c r="Y185" s="297"/>
      <c r="Z185" s="346"/>
      <c r="AA185" s="314" t="s">
        <v>148</v>
      </c>
      <c r="AB185" s="13"/>
      <c r="AC185" s="222"/>
      <c r="AD185" s="222"/>
      <c r="AE185" s="222"/>
      <c r="AF185" s="222"/>
      <c r="AG185" s="5"/>
      <c r="AH185" s="20">
        <f t="shared" si="94"/>
        <v>0</v>
      </c>
      <c r="AI185" s="13"/>
      <c r="AJ185" s="5"/>
      <c r="AK185" s="343"/>
      <c r="AL185" s="100"/>
      <c r="AM185" s="98"/>
      <c r="AN185" s="226"/>
      <c r="AO185" s="225"/>
      <c r="AP185" s="89"/>
      <c r="AQ185" s="225"/>
      <c r="AR185" s="89"/>
      <c r="AS185" s="225"/>
      <c r="AT185" s="89"/>
      <c r="AU185" s="15">
        <f t="shared" si="68"/>
        <v>1.8499999999999999E-5</v>
      </c>
      <c r="AV185" s="15">
        <f t="shared" si="69"/>
        <v>0</v>
      </c>
      <c r="AW185" s="15"/>
      <c r="AX185" s="173">
        <v>175</v>
      </c>
      <c r="AY185" s="206">
        <f t="shared" si="70"/>
        <v>1.6099999999999998E-5</v>
      </c>
      <c r="AZ185" s="173">
        <f t="shared" si="71"/>
        <v>0</v>
      </c>
      <c r="BA185" s="233">
        <f t="shared" si="72"/>
        <v>1.8499999999999999E-5</v>
      </c>
      <c r="BB185" s="15">
        <f t="shared" si="78"/>
        <v>0</v>
      </c>
      <c r="BC185" s="173">
        <v>175</v>
      </c>
      <c r="BD185" s="84">
        <f t="shared" si="73"/>
        <v>1.45E-5</v>
      </c>
      <c r="BE185" s="207">
        <f t="shared" si="74"/>
        <v>0</v>
      </c>
      <c r="BF185" s="233">
        <f t="shared" si="75"/>
        <v>1.8499999999999999E-5</v>
      </c>
      <c r="BG185" s="15">
        <f t="shared" si="79"/>
        <v>0</v>
      </c>
      <c r="BH185" s="173">
        <v>175</v>
      </c>
      <c r="BI185" s="84">
        <f t="shared" si="76"/>
        <v>1.45E-5</v>
      </c>
      <c r="BJ185" s="207">
        <f t="shared" si="77"/>
        <v>0</v>
      </c>
      <c r="BL185" s="123"/>
      <c r="BM185" s="123"/>
      <c r="BO185" s="173"/>
      <c r="BP185" s="174" t="str">
        <f t="shared" si="80"/>
        <v/>
      </c>
      <c r="BQ185" s="174" t="str">
        <f t="shared" si="81"/>
        <v/>
      </c>
      <c r="BR185" s="174" t="str">
        <f t="shared" si="82"/>
        <v/>
      </c>
      <c r="BS185" s="174" t="str">
        <f t="shared" si="83"/>
        <v/>
      </c>
      <c r="BT185" s="174" t="str">
        <f t="shared" si="84"/>
        <v/>
      </c>
      <c r="BU185" s="174" t="str">
        <f t="shared" si="85"/>
        <v/>
      </c>
      <c r="BV185" s="174" t="str">
        <f t="shared" si="86"/>
        <v/>
      </c>
      <c r="BW185" s="174" t="str">
        <f t="shared" si="87"/>
        <v/>
      </c>
      <c r="BX185" s="174" t="str">
        <f t="shared" si="88"/>
        <v/>
      </c>
      <c r="BY185" s="174" t="str">
        <f t="shared" si="89"/>
        <v/>
      </c>
      <c r="BZ185" s="174" t="str">
        <f t="shared" si="90"/>
        <v/>
      </c>
      <c r="CA185" s="174" t="str">
        <f t="shared" si="91"/>
        <v/>
      </c>
      <c r="CB185" s="161"/>
      <c r="CC185" s="161"/>
      <c r="CD185" s="161"/>
      <c r="CE185" s="161" t="s">
        <v>150</v>
      </c>
      <c r="CF185" s="161"/>
    </row>
    <row r="186" spans="1:84" ht="14.25" customHeight="1" x14ac:dyDescent="0.25">
      <c r="A186" s="204">
        <v>176</v>
      </c>
      <c r="B186" s="211"/>
      <c r="C186" s="194"/>
      <c r="D186" s="142"/>
      <c r="E186" s="309" t="s">
        <v>92</v>
      </c>
      <c r="F186" s="305"/>
      <c r="G186" s="306"/>
      <c r="H186" s="306"/>
      <c r="I186" s="306"/>
      <c r="J186" s="306"/>
      <c r="K186" s="306"/>
      <c r="L186" s="223">
        <f t="shared" si="92"/>
        <v>0</v>
      </c>
      <c r="M186" s="298"/>
      <c r="N186" s="299"/>
      <c r="O186" s="341"/>
      <c r="P186" s="312" t="s">
        <v>66</v>
      </c>
      <c r="Q186" s="305"/>
      <c r="R186" s="306"/>
      <c r="S186" s="306"/>
      <c r="T186" s="306"/>
      <c r="U186" s="306"/>
      <c r="V186" s="306"/>
      <c r="W186" s="223">
        <f t="shared" si="93"/>
        <v>0</v>
      </c>
      <c r="X186" s="298"/>
      <c r="Y186" s="299"/>
      <c r="Z186" s="341"/>
      <c r="AA186" s="312" t="s">
        <v>86</v>
      </c>
      <c r="AB186" s="77"/>
      <c r="AC186" s="319"/>
      <c r="AD186" s="319"/>
      <c r="AE186" s="319"/>
      <c r="AF186" s="319"/>
      <c r="AG186" s="320"/>
      <c r="AH186" s="20">
        <f t="shared" si="94"/>
        <v>0</v>
      </c>
      <c r="AI186" s="77"/>
      <c r="AJ186" s="320"/>
      <c r="AK186" s="344"/>
      <c r="AL186" s="101"/>
      <c r="AM186" s="209"/>
      <c r="AN186" s="208"/>
      <c r="AO186" s="220"/>
      <c r="AP186" s="212"/>
      <c r="AQ186" s="220"/>
      <c r="AR186" s="212"/>
      <c r="AS186" s="220"/>
      <c r="AT186" s="212"/>
      <c r="AU186" s="15">
        <f t="shared" si="68"/>
        <v>1.8599999999999998E-5</v>
      </c>
      <c r="AV186" s="15">
        <f t="shared" si="69"/>
        <v>0</v>
      </c>
      <c r="AW186" s="15"/>
      <c r="AX186" s="173">
        <v>176</v>
      </c>
      <c r="AY186" s="206">
        <f t="shared" si="70"/>
        <v>1.5999999999999999E-5</v>
      </c>
      <c r="AZ186" s="173">
        <f t="shared" si="71"/>
        <v>0</v>
      </c>
      <c r="BA186" s="233">
        <f t="shared" si="72"/>
        <v>1.8599999999999998E-5</v>
      </c>
      <c r="BB186" s="15">
        <f t="shared" si="78"/>
        <v>0</v>
      </c>
      <c r="BC186" s="173">
        <v>176</v>
      </c>
      <c r="BD186" s="84">
        <f t="shared" si="73"/>
        <v>1.4399999999999999E-5</v>
      </c>
      <c r="BE186" s="207">
        <f t="shared" si="74"/>
        <v>0</v>
      </c>
      <c r="BF186" s="233">
        <f t="shared" si="75"/>
        <v>1.8599999999999998E-5</v>
      </c>
      <c r="BG186" s="15">
        <f t="shared" si="79"/>
        <v>0</v>
      </c>
      <c r="BH186" s="173">
        <v>176</v>
      </c>
      <c r="BI186" s="84">
        <f t="shared" si="76"/>
        <v>1.4399999999999999E-5</v>
      </c>
      <c r="BJ186" s="207">
        <f t="shared" si="77"/>
        <v>0</v>
      </c>
      <c r="BL186" s="123"/>
      <c r="BM186" s="123"/>
      <c r="BO186" s="173"/>
      <c r="BP186" s="174" t="str">
        <f t="shared" si="80"/>
        <v/>
      </c>
      <c r="BQ186" s="174" t="str">
        <f t="shared" si="81"/>
        <v/>
      </c>
      <c r="BR186" s="174" t="str">
        <f t="shared" si="82"/>
        <v/>
      </c>
      <c r="BS186" s="174" t="str">
        <f t="shared" si="83"/>
        <v/>
      </c>
      <c r="BT186" s="174" t="str">
        <f t="shared" si="84"/>
        <v/>
      </c>
      <c r="BU186" s="174" t="str">
        <f t="shared" si="85"/>
        <v/>
      </c>
      <c r="BV186" s="174" t="str">
        <f t="shared" si="86"/>
        <v/>
      </c>
      <c r="BW186" s="174" t="str">
        <f t="shared" si="87"/>
        <v/>
      </c>
      <c r="BX186" s="174" t="str">
        <f t="shared" si="88"/>
        <v/>
      </c>
      <c r="BY186" s="174" t="str">
        <f t="shared" si="89"/>
        <v/>
      </c>
      <c r="BZ186" s="174" t="str">
        <f t="shared" si="90"/>
        <v/>
      </c>
      <c r="CA186" s="174" t="str">
        <f t="shared" si="91"/>
        <v/>
      </c>
      <c r="CB186" s="161"/>
      <c r="CC186" s="161"/>
      <c r="CD186" s="161"/>
      <c r="CE186" s="161" t="s">
        <v>150</v>
      </c>
      <c r="CF186" s="161"/>
    </row>
    <row r="187" spans="1:84" ht="14.25" customHeight="1" thickBot="1" x14ac:dyDescent="0.3">
      <c r="A187" s="205">
        <v>177</v>
      </c>
      <c r="B187" s="85"/>
      <c r="C187" s="195"/>
      <c r="D187" s="91"/>
      <c r="E187" s="310" t="s">
        <v>92</v>
      </c>
      <c r="F187" s="93"/>
      <c r="G187" s="97"/>
      <c r="H187" s="97"/>
      <c r="I187" s="97"/>
      <c r="J187" s="97"/>
      <c r="K187" s="97"/>
      <c r="L187" s="224">
        <f t="shared" si="92"/>
        <v>0</v>
      </c>
      <c r="M187" s="300"/>
      <c r="N187" s="301"/>
      <c r="O187" s="342"/>
      <c r="P187" s="313" t="s">
        <v>66</v>
      </c>
      <c r="Q187" s="93"/>
      <c r="R187" s="97"/>
      <c r="S187" s="97"/>
      <c r="T187" s="97"/>
      <c r="U187" s="97"/>
      <c r="V187" s="97"/>
      <c r="W187" s="224">
        <f t="shared" si="93"/>
        <v>0</v>
      </c>
      <c r="X187" s="300"/>
      <c r="Y187" s="301"/>
      <c r="Z187" s="342"/>
      <c r="AA187" s="313" t="s">
        <v>86</v>
      </c>
      <c r="AB187" s="78"/>
      <c r="AC187" s="321"/>
      <c r="AD187" s="321"/>
      <c r="AE187" s="321"/>
      <c r="AF187" s="321"/>
      <c r="AG187" s="322"/>
      <c r="AH187" s="88">
        <f t="shared" si="94"/>
        <v>0</v>
      </c>
      <c r="AI187" s="78"/>
      <c r="AJ187" s="322"/>
      <c r="AK187" s="345"/>
      <c r="AL187" s="102"/>
      <c r="AM187" s="99"/>
      <c r="AN187" s="227"/>
      <c r="AO187" s="221"/>
      <c r="AP187" s="90"/>
      <c r="AQ187" s="221"/>
      <c r="AR187" s="90"/>
      <c r="AS187" s="221"/>
      <c r="AT187" s="90"/>
      <c r="AU187" s="15">
        <f t="shared" si="68"/>
        <v>1.8700000000000001E-5</v>
      </c>
      <c r="AV187" s="15">
        <f t="shared" si="69"/>
        <v>0</v>
      </c>
      <c r="AW187" s="15"/>
      <c r="AX187" s="173">
        <v>177</v>
      </c>
      <c r="AY187" s="206">
        <f t="shared" si="70"/>
        <v>1.59E-5</v>
      </c>
      <c r="AZ187" s="173">
        <f t="shared" si="71"/>
        <v>0</v>
      </c>
      <c r="BA187" s="233">
        <f t="shared" si="72"/>
        <v>1.8700000000000001E-5</v>
      </c>
      <c r="BB187" s="15">
        <f t="shared" si="78"/>
        <v>0</v>
      </c>
      <c r="BC187" s="173">
        <v>177</v>
      </c>
      <c r="BD187" s="84">
        <f t="shared" si="73"/>
        <v>1.4299999999999999E-5</v>
      </c>
      <c r="BE187" s="207">
        <f t="shared" si="74"/>
        <v>0</v>
      </c>
      <c r="BF187" s="233">
        <f t="shared" si="75"/>
        <v>1.8700000000000001E-5</v>
      </c>
      <c r="BG187" s="15">
        <f t="shared" si="79"/>
        <v>0</v>
      </c>
      <c r="BH187" s="173">
        <v>177</v>
      </c>
      <c r="BI187" s="84">
        <f t="shared" si="76"/>
        <v>1.4299999999999999E-5</v>
      </c>
      <c r="BJ187" s="207">
        <f t="shared" si="77"/>
        <v>0</v>
      </c>
      <c r="BL187" s="123"/>
      <c r="BM187" s="123"/>
      <c r="BO187" s="173"/>
      <c r="BP187" s="174" t="str">
        <f t="shared" si="80"/>
        <v/>
      </c>
      <c r="BQ187" s="174" t="str">
        <f t="shared" si="81"/>
        <v/>
      </c>
      <c r="BR187" s="174" t="str">
        <f t="shared" si="82"/>
        <v/>
      </c>
      <c r="BS187" s="174" t="str">
        <f t="shared" si="83"/>
        <v/>
      </c>
      <c r="BT187" s="174" t="str">
        <f t="shared" si="84"/>
        <v/>
      </c>
      <c r="BU187" s="174" t="str">
        <f t="shared" si="85"/>
        <v/>
      </c>
      <c r="BV187" s="174" t="str">
        <f t="shared" si="86"/>
        <v/>
      </c>
      <c r="BW187" s="174" t="str">
        <f t="shared" si="87"/>
        <v/>
      </c>
      <c r="BX187" s="174" t="str">
        <f t="shared" si="88"/>
        <v/>
      </c>
      <c r="BY187" s="174" t="str">
        <f t="shared" si="89"/>
        <v/>
      </c>
      <c r="BZ187" s="174" t="str">
        <f t="shared" si="90"/>
        <v/>
      </c>
      <c r="CA187" s="174" t="str">
        <f t="shared" si="91"/>
        <v/>
      </c>
      <c r="CB187" s="161"/>
      <c r="CC187" s="161"/>
      <c r="CD187" s="161"/>
      <c r="CE187" s="161" t="s">
        <v>150</v>
      </c>
      <c r="CF187" s="161"/>
    </row>
    <row r="188" spans="1:84" ht="14.25" customHeight="1" x14ac:dyDescent="0.25">
      <c r="A188" s="203">
        <v>178</v>
      </c>
      <c r="B188" s="86"/>
      <c r="C188" s="193"/>
      <c r="D188" s="143"/>
      <c r="E188" s="308" t="s">
        <v>92</v>
      </c>
      <c r="F188" s="213"/>
      <c r="G188" s="214"/>
      <c r="H188" s="214"/>
      <c r="I188" s="214"/>
      <c r="J188" s="214"/>
      <c r="K188" s="214"/>
      <c r="L188" s="295">
        <f t="shared" si="92"/>
        <v>0</v>
      </c>
      <c r="M188" s="296"/>
      <c r="N188" s="297"/>
      <c r="O188" s="340"/>
      <c r="P188" s="311" t="s">
        <v>66</v>
      </c>
      <c r="Q188" s="213"/>
      <c r="R188" s="214"/>
      <c r="S188" s="214"/>
      <c r="T188" s="214"/>
      <c r="U188" s="214"/>
      <c r="V188" s="214"/>
      <c r="W188" s="295">
        <f t="shared" si="93"/>
        <v>0</v>
      </c>
      <c r="X188" s="296"/>
      <c r="Y188" s="297"/>
      <c r="Z188" s="346"/>
      <c r="AA188" s="314" t="s">
        <v>148</v>
      </c>
      <c r="AB188" s="13"/>
      <c r="AC188" s="222"/>
      <c r="AD188" s="222"/>
      <c r="AE188" s="222"/>
      <c r="AF188" s="222"/>
      <c r="AG188" s="5"/>
      <c r="AH188" s="20">
        <f t="shared" si="94"/>
        <v>0</v>
      </c>
      <c r="AI188" s="13"/>
      <c r="AJ188" s="5"/>
      <c r="AK188" s="343"/>
      <c r="AL188" s="100"/>
      <c r="AM188" s="98"/>
      <c r="AN188" s="226"/>
      <c r="AO188" s="225"/>
      <c r="AP188" s="89"/>
      <c r="AQ188" s="225"/>
      <c r="AR188" s="89"/>
      <c r="AS188" s="225"/>
      <c r="AT188" s="89"/>
      <c r="AU188" s="15">
        <f t="shared" si="68"/>
        <v>1.88E-5</v>
      </c>
      <c r="AV188" s="15">
        <f t="shared" si="69"/>
        <v>0</v>
      </c>
      <c r="AW188" s="15"/>
      <c r="AX188" s="173">
        <v>178</v>
      </c>
      <c r="AY188" s="206">
        <f t="shared" si="70"/>
        <v>1.5799999999999998E-5</v>
      </c>
      <c r="AZ188" s="173">
        <f t="shared" si="71"/>
        <v>0</v>
      </c>
      <c r="BA188" s="233">
        <f t="shared" si="72"/>
        <v>1.88E-5</v>
      </c>
      <c r="BB188" s="15">
        <f t="shared" si="78"/>
        <v>0</v>
      </c>
      <c r="BC188" s="173">
        <v>178</v>
      </c>
      <c r="BD188" s="84">
        <f t="shared" si="73"/>
        <v>1.42E-5</v>
      </c>
      <c r="BE188" s="207">
        <f t="shared" si="74"/>
        <v>0</v>
      </c>
      <c r="BF188" s="233">
        <f t="shared" si="75"/>
        <v>1.88E-5</v>
      </c>
      <c r="BG188" s="15">
        <f t="shared" si="79"/>
        <v>0</v>
      </c>
      <c r="BH188" s="173">
        <v>178</v>
      </c>
      <c r="BI188" s="84">
        <f t="shared" si="76"/>
        <v>1.42E-5</v>
      </c>
      <c r="BJ188" s="207">
        <f t="shared" si="77"/>
        <v>0</v>
      </c>
      <c r="BL188" s="123"/>
      <c r="BM188" s="123"/>
      <c r="BO188" s="173"/>
      <c r="BP188" s="174" t="str">
        <f t="shared" si="80"/>
        <v/>
      </c>
      <c r="BQ188" s="174" t="str">
        <f t="shared" si="81"/>
        <v/>
      </c>
      <c r="BR188" s="174" t="str">
        <f t="shared" si="82"/>
        <v/>
      </c>
      <c r="BS188" s="174" t="str">
        <f t="shared" si="83"/>
        <v/>
      </c>
      <c r="BT188" s="174" t="str">
        <f t="shared" si="84"/>
        <v/>
      </c>
      <c r="BU188" s="174" t="str">
        <f t="shared" si="85"/>
        <v/>
      </c>
      <c r="BV188" s="174" t="str">
        <f t="shared" si="86"/>
        <v/>
      </c>
      <c r="BW188" s="174" t="str">
        <f t="shared" si="87"/>
        <v/>
      </c>
      <c r="BX188" s="174" t="str">
        <f t="shared" si="88"/>
        <v/>
      </c>
      <c r="BY188" s="174" t="str">
        <f t="shared" si="89"/>
        <v/>
      </c>
      <c r="BZ188" s="174" t="str">
        <f t="shared" si="90"/>
        <v/>
      </c>
      <c r="CA188" s="174" t="str">
        <f t="shared" si="91"/>
        <v/>
      </c>
      <c r="CB188" s="161"/>
      <c r="CC188" s="161"/>
      <c r="CD188" s="161"/>
      <c r="CE188" s="161" t="s">
        <v>150</v>
      </c>
      <c r="CF188" s="161"/>
    </row>
    <row r="189" spans="1:84" ht="14.25" customHeight="1" x14ac:dyDescent="0.25">
      <c r="A189" s="204">
        <v>179</v>
      </c>
      <c r="B189" s="211"/>
      <c r="C189" s="194"/>
      <c r="D189" s="142"/>
      <c r="E189" s="309" t="s">
        <v>92</v>
      </c>
      <c r="F189" s="305"/>
      <c r="G189" s="306"/>
      <c r="H189" s="306"/>
      <c r="I189" s="306"/>
      <c r="J189" s="306"/>
      <c r="K189" s="306"/>
      <c r="L189" s="223">
        <f t="shared" si="92"/>
        <v>0</v>
      </c>
      <c r="M189" s="298"/>
      <c r="N189" s="299"/>
      <c r="O189" s="341"/>
      <c r="P189" s="312" t="s">
        <v>66</v>
      </c>
      <c r="Q189" s="305"/>
      <c r="R189" s="306"/>
      <c r="S189" s="306"/>
      <c r="T189" s="306"/>
      <c r="U189" s="306"/>
      <c r="V189" s="306"/>
      <c r="W189" s="223">
        <f t="shared" si="93"/>
        <v>0</v>
      </c>
      <c r="X189" s="298"/>
      <c r="Y189" s="299"/>
      <c r="Z189" s="341"/>
      <c r="AA189" s="312" t="s">
        <v>86</v>
      </c>
      <c r="AB189" s="77"/>
      <c r="AC189" s="319"/>
      <c r="AD189" s="319"/>
      <c r="AE189" s="319"/>
      <c r="AF189" s="319"/>
      <c r="AG189" s="320"/>
      <c r="AH189" s="20">
        <f t="shared" si="94"/>
        <v>0</v>
      </c>
      <c r="AI189" s="77"/>
      <c r="AJ189" s="320"/>
      <c r="AK189" s="344"/>
      <c r="AL189" s="101"/>
      <c r="AM189" s="209"/>
      <c r="AN189" s="208"/>
      <c r="AO189" s="220"/>
      <c r="AP189" s="212"/>
      <c r="AQ189" s="220"/>
      <c r="AR189" s="212"/>
      <c r="AS189" s="220"/>
      <c r="AT189" s="212"/>
      <c r="AU189" s="15">
        <f t="shared" si="68"/>
        <v>1.8899999999999999E-5</v>
      </c>
      <c r="AV189" s="15">
        <f t="shared" si="69"/>
        <v>0</v>
      </c>
      <c r="AW189" s="15"/>
      <c r="AX189" s="173">
        <v>179</v>
      </c>
      <c r="AY189" s="206">
        <f t="shared" si="70"/>
        <v>1.5699999999999999E-5</v>
      </c>
      <c r="AZ189" s="173">
        <f t="shared" si="71"/>
        <v>0</v>
      </c>
      <c r="BA189" s="233">
        <f t="shared" si="72"/>
        <v>1.8899999999999999E-5</v>
      </c>
      <c r="BB189" s="15">
        <f t="shared" si="78"/>
        <v>0</v>
      </c>
      <c r="BC189" s="173">
        <v>179</v>
      </c>
      <c r="BD189" s="84">
        <f t="shared" si="73"/>
        <v>1.4099999999999999E-5</v>
      </c>
      <c r="BE189" s="207">
        <f t="shared" si="74"/>
        <v>0</v>
      </c>
      <c r="BF189" s="233">
        <f t="shared" si="75"/>
        <v>1.8899999999999999E-5</v>
      </c>
      <c r="BG189" s="15">
        <f t="shared" si="79"/>
        <v>0</v>
      </c>
      <c r="BH189" s="173">
        <v>179</v>
      </c>
      <c r="BI189" s="84">
        <f t="shared" si="76"/>
        <v>1.4099999999999999E-5</v>
      </c>
      <c r="BJ189" s="207">
        <f t="shared" si="77"/>
        <v>0</v>
      </c>
      <c r="BL189" s="123"/>
      <c r="BM189" s="123"/>
      <c r="BO189" s="173"/>
      <c r="BP189" s="174" t="str">
        <f t="shared" si="80"/>
        <v/>
      </c>
      <c r="BQ189" s="174" t="str">
        <f t="shared" si="81"/>
        <v/>
      </c>
      <c r="BR189" s="174" t="str">
        <f t="shared" si="82"/>
        <v/>
      </c>
      <c r="BS189" s="174" t="str">
        <f t="shared" si="83"/>
        <v/>
      </c>
      <c r="BT189" s="174" t="str">
        <f t="shared" si="84"/>
        <v/>
      </c>
      <c r="BU189" s="174" t="str">
        <f t="shared" si="85"/>
        <v/>
      </c>
      <c r="BV189" s="174" t="str">
        <f t="shared" si="86"/>
        <v/>
      </c>
      <c r="BW189" s="174" t="str">
        <f t="shared" si="87"/>
        <v/>
      </c>
      <c r="BX189" s="174" t="str">
        <f t="shared" si="88"/>
        <v/>
      </c>
      <c r="BY189" s="174" t="str">
        <f t="shared" si="89"/>
        <v/>
      </c>
      <c r="BZ189" s="174" t="str">
        <f t="shared" si="90"/>
        <v/>
      </c>
      <c r="CA189" s="174" t="str">
        <f t="shared" si="91"/>
        <v/>
      </c>
      <c r="CB189" s="161"/>
      <c r="CC189" s="161"/>
      <c r="CD189" s="161"/>
      <c r="CE189" s="161" t="s">
        <v>150</v>
      </c>
      <c r="CF189" s="161"/>
    </row>
    <row r="190" spans="1:84" ht="14.25" customHeight="1" thickBot="1" x14ac:dyDescent="0.3">
      <c r="A190" s="205">
        <v>180</v>
      </c>
      <c r="B190" s="85"/>
      <c r="C190" s="195"/>
      <c r="D190" s="91"/>
      <c r="E190" s="310" t="s">
        <v>92</v>
      </c>
      <c r="F190" s="93"/>
      <c r="G190" s="97"/>
      <c r="H190" s="97"/>
      <c r="I190" s="97"/>
      <c r="J190" s="97"/>
      <c r="K190" s="97"/>
      <c r="L190" s="224">
        <f t="shared" si="92"/>
        <v>0</v>
      </c>
      <c r="M190" s="300"/>
      <c r="N190" s="301"/>
      <c r="O190" s="342"/>
      <c r="P190" s="313" t="s">
        <v>66</v>
      </c>
      <c r="Q190" s="93"/>
      <c r="R190" s="97"/>
      <c r="S190" s="97"/>
      <c r="T190" s="97"/>
      <c r="U190" s="97"/>
      <c r="V190" s="97"/>
      <c r="W190" s="224">
        <f t="shared" si="93"/>
        <v>0</v>
      </c>
      <c r="X190" s="300"/>
      <c r="Y190" s="301"/>
      <c r="Z190" s="342"/>
      <c r="AA190" s="313" t="s">
        <v>86</v>
      </c>
      <c r="AB190" s="78"/>
      <c r="AC190" s="321"/>
      <c r="AD190" s="321"/>
      <c r="AE190" s="321"/>
      <c r="AF190" s="321"/>
      <c r="AG190" s="322"/>
      <c r="AH190" s="88">
        <f t="shared" si="94"/>
        <v>0</v>
      </c>
      <c r="AI190" s="78"/>
      <c r="AJ190" s="322"/>
      <c r="AK190" s="345"/>
      <c r="AL190" s="102"/>
      <c r="AM190" s="99"/>
      <c r="AN190" s="227"/>
      <c r="AO190" s="221"/>
      <c r="AP190" s="90"/>
      <c r="AQ190" s="221"/>
      <c r="AR190" s="90"/>
      <c r="AS190" s="221"/>
      <c r="AT190" s="90"/>
      <c r="AU190" s="15">
        <f t="shared" si="68"/>
        <v>1.8999999999999998E-5</v>
      </c>
      <c r="AV190" s="15">
        <f t="shared" si="69"/>
        <v>0</v>
      </c>
      <c r="AW190" s="15"/>
      <c r="AX190" s="173">
        <v>180</v>
      </c>
      <c r="AY190" s="206">
        <f t="shared" si="70"/>
        <v>1.56E-5</v>
      </c>
      <c r="AZ190" s="173">
        <f t="shared" si="71"/>
        <v>0</v>
      </c>
      <c r="BA190" s="233">
        <f t="shared" si="72"/>
        <v>1.8999999999999998E-5</v>
      </c>
      <c r="BB190" s="15">
        <f t="shared" si="78"/>
        <v>0</v>
      </c>
      <c r="BC190" s="173">
        <v>180</v>
      </c>
      <c r="BD190" s="84">
        <f t="shared" si="73"/>
        <v>1.4E-5</v>
      </c>
      <c r="BE190" s="207">
        <f t="shared" si="74"/>
        <v>0</v>
      </c>
      <c r="BF190" s="233">
        <f t="shared" si="75"/>
        <v>1.8999999999999998E-5</v>
      </c>
      <c r="BG190" s="15">
        <f t="shared" si="79"/>
        <v>0</v>
      </c>
      <c r="BH190" s="173">
        <v>180</v>
      </c>
      <c r="BI190" s="84">
        <f t="shared" si="76"/>
        <v>1.4E-5</v>
      </c>
      <c r="BJ190" s="207">
        <f t="shared" si="77"/>
        <v>0</v>
      </c>
      <c r="BL190" s="123"/>
      <c r="BM190" s="123"/>
      <c r="BO190" s="173"/>
      <c r="BP190" s="174" t="str">
        <f t="shared" si="80"/>
        <v/>
      </c>
      <c r="BQ190" s="174" t="str">
        <f t="shared" si="81"/>
        <v/>
      </c>
      <c r="BR190" s="174" t="str">
        <f t="shared" si="82"/>
        <v/>
      </c>
      <c r="BS190" s="174" t="str">
        <f t="shared" si="83"/>
        <v/>
      </c>
      <c r="BT190" s="174" t="str">
        <f t="shared" si="84"/>
        <v/>
      </c>
      <c r="BU190" s="174" t="str">
        <f t="shared" si="85"/>
        <v/>
      </c>
      <c r="BV190" s="174" t="str">
        <f t="shared" si="86"/>
        <v/>
      </c>
      <c r="BW190" s="174" t="str">
        <f t="shared" si="87"/>
        <v/>
      </c>
      <c r="BX190" s="174" t="str">
        <f t="shared" si="88"/>
        <v/>
      </c>
      <c r="BY190" s="174" t="str">
        <f t="shared" si="89"/>
        <v/>
      </c>
      <c r="BZ190" s="174" t="str">
        <f t="shared" si="90"/>
        <v/>
      </c>
      <c r="CA190" s="174" t="str">
        <f t="shared" si="91"/>
        <v/>
      </c>
      <c r="CB190" s="161"/>
      <c r="CC190" s="161"/>
      <c r="CD190" s="161"/>
      <c r="CE190" s="161" t="s">
        <v>150</v>
      </c>
      <c r="CF190" s="161"/>
    </row>
    <row r="191" spans="1:84" ht="14.25" customHeight="1" x14ac:dyDescent="0.25">
      <c r="A191" s="203">
        <v>181</v>
      </c>
      <c r="B191" s="86"/>
      <c r="C191" s="193"/>
      <c r="D191" s="143"/>
      <c r="E191" s="308" t="s">
        <v>92</v>
      </c>
      <c r="F191" s="213"/>
      <c r="G191" s="214"/>
      <c r="H191" s="214"/>
      <c r="I191" s="214"/>
      <c r="J191" s="214"/>
      <c r="K191" s="214"/>
      <c r="L191" s="295">
        <f t="shared" si="92"/>
        <v>0</v>
      </c>
      <c r="M191" s="296"/>
      <c r="N191" s="297"/>
      <c r="O191" s="340"/>
      <c r="P191" s="311" t="s">
        <v>66</v>
      </c>
      <c r="Q191" s="213"/>
      <c r="R191" s="214"/>
      <c r="S191" s="214"/>
      <c r="T191" s="214"/>
      <c r="U191" s="214"/>
      <c r="V191" s="214"/>
      <c r="W191" s="295">
        <f t="shared" si="93"/>
        <v>0</v>
      </c>
      <c r="X191" s="296"/>
      <c r="Y191" s="297"/>
      <c r="Z191" s="346"/>
      <c r="AA191" s="314" t="s">
        <v>148</v>
      </c>
      <c r="AB191" s="13"/>
      <c r="AC191" s="222"/>
      <c r="AD191" s="222"/>
      <c r="AE191" s="222"/>
      <c r="AF191" s="222"/>
      <c r="AG191" s="5"/>
      <c r="AH191" s="20">
        <f t="shared" si="94"/>
        <v>0</v>
      </c>
      <c r="AI191" s="13"/>
      <c r="AJ191" s="5"/>
      <c r="AK191" s="343"/>
      <c r="AL191" s="100"/>
      <c r="AM191" s="98"/>
      <c r="AN191" s="226"/>
      <c r="AO191" s="225"/>
      <c r="AP191" s="89"/>
      <c r="AQ191" s="225"/>
      <c r="AR191" s="89"/>
      <c r="AS191" s="225"/>
      <c r="AT191" s="89"/>
      <c r="AU191" s="15">
        <f t="shared" si="68"/>
        <v>1.91E-5</v>
      </c>
      <c r="AV191" s="15">
        <f t="shared" si="69"/>
        <v>0</v>
      </c>
      <c r="AW191" s="15"/>
      <c r="AX191" s="173">
        <v>181</v>
      </c>
      <c r="AY191" s="206">
        <f t="shared" si="70"/>
        <v>1.5500000000000001E-5</v>
      </c>
      <c r="AZ191" s="173">
        <f t="shared" si="71"/>
        <v>0</v>
      </c>
      <c r="BA191" s="233">
        <f t="shared" si="72"/>
        <v>1.91E-5</v>
      </c>
      <c r="BB191" s="15">
        <f t="shared" si="78"/>
        <v>0</v>
      </c>
      <c r="BC191" s="173">
        <v>181</v>
      </c>
      <c r="BD191" s="84">
        <f t="shared" si="73"/>
        <v>1.3899999999999999E-5</v>
      </c>
      <c r="BE191" s="207">
        <f t="shared" si="74"/>
        <v>0</v>
      </c>
      <c r="BF191" s="233">
        <f t="shared" si="75"/>
        <v>1.91E-5</v>
      </c>
      <c r="BG191" s="15">
        <f t="shared" si="79"/>
        <v>0</v>
      </c>
      <c r="BH191" s="173">
        <v>181</v>
      </c>
      <c r="BI191" s="84">
        <f t="shared" si="76"/>
        <v>1.3899999999999999E-5</v>
      </c>
      <c r="BJ191" s="207">
        <f t="shared" si="77"/>
        <v>0</v>
      </c>
      <c r="BL191" s="123"/>
      <c r="BM191" s="123"/>
      <c r="BO191" s="173"/>
      <c r="BP191" s="174" t="str">
        <f t="shared" si="80"/>
        <v/>
      </c>
      <c r="BQ191" s="174" t="str">
        <f t="shared" si="81"/>
        <v/>
      </c>
      <c r="BR191" s="174" t="str">
        <f t="shared" si="82"/>
        <v/>
      </c>
      <c r="BS191" s="174" t="str">
        <f t="shared" si="83"/>
        <v/>
      </c>
      <c r="BT191" s="174" t="str">
        <f t="shared" si="84"/>
        <v/>
      </c>
      <c r="BU191" s="174" t="str">
        <f t="shared" si="85"/>
        <v/>
      </c>
      <c r="BV191" s="174" t="str">
        <f t="shared" si="86"/>
        <v/>
      </c>
      <c r="BW191" s="174" t="str">
        <f t="shared" si="87"/>
        <v/>
      </c>
      <c r="BX191" s="174" t="str">
        <f t="shared" si="88"/>
        <v/>
      </c>
      <c r="BY191" s="174" t="str">
        <f t="shared" si="89"/>
        <v/>
      </c>
      <c r="BZ191" s="174" t="str">
        <f t="shared" si="90"/>
        <v/>
      </c>
      <c r="CA191" s="174" t="str">
        <f t="shared" si="91"/>
        <v/>
      </c>
      <c r="CB191" s="161"/>
      <c r="CC191" s="161"/>
      <c r="CD191" s="161"/>
      <c r="CE191" s="161" t="s">
        <v>150</v>
      </c>
      <c r="CF191" s="161"/>
    </row>
    <row r="192" spans="1:84" ht="14.25" customHeight="1" x14ac:dyDescent="0.25">
      <c r="A192" s="204">
        <v>182</v>
      </c>
      <c r="B192" s="211"/>
      <c r="C192" s="194"/>
      <c r="D192" s="142"/>
      <c r="E192" s="309" t="s">
        <v>92</v>
      </c>
      <c r="F192" s="305"/>
      <c r="G192" s="306"/>
      <c r="H192" s="306"/>
      <c r="I192" s="306"/>
      <c r="J192" s="306"/>
      <c r="K192" s="306"/>
      <c r="L192" s="223">
        <f t="shared" si="92"/>
        <v>0</v>
      </c>
      <c r="M192" s="298"/>
      <c r="N192" s="299"/>
      <c r="O192" s="341"/>
      <c r="P192" s="312" t="s">
        <v>66</v>
      </c>
      <c r="Q192" s="305"/>
      <c r="R192" s="306"/>
      <c r="S192" s="306"/>
      <c r="T192" s="306"/>
      <c r="U192" s="306"/>
      <c r="V192" s="306"/>
      <c r="W192" s="223">
        <f t="shared" si="93"/>
        <v>0</v>
      </c>
      <c r="X192" s="298"/>
      <c r="Y192" s="299"/>
      <c r="Z192" s="341"/>
      <c r="AA192" s="312" t="s">
        <v>86</v>
      </c>
      <c r="AB192" s="77"/>
      <c r="AC192" s="319"/>
      <c r="AD192" s="319"/>
      <c r="AE192" s="319"/>
      <c r="AF192" s="319"/>
      <c r="AG192" s="320"/>
      <c r="AH192" s="20">
        <f t="shared" si="94"/>
        <v>0</v>
      </c>
      <c r="AI192" s="77"/>
      <c r="AJ192" s="320"/>
      <c r="AK192" s="344"/>
      <c r="AL192" s="101"/>
      <c r="AM192" s="209"/>
      <c r="AN192" s="208"/>
      <c r="AO192" s="220"/>
      <c r="AP192" s="212"/>
      <c r="AQ192" s="220"/>
      <c r="AR192" s="212"/>
      <c r="AS192" s="220"/>
      <c r="AT192" s="212"/>
      <c r="AU192" s="15">
        <f t="shared" si="68"/>
        <v>1.9199999999999999E-5</v>
      </c>
      <c r="AV192" s="15">
        <f t="shared" si="69"/>
        <v>0</v>
      </c>
      <c r="AW192" s="15"/>
      <c r="AX192" s="173">
        <v>182</v>
      </c>
      <c r="AY192" s="206">
        <f t="shared" si="70"/>
        <v>1.5399999999999998E-5</v>
      </c>
      <c r="AZ192" s="173">
        <f t="shared" si="71"/>
        <v>0</v>
      </c>
      <c r="BA192" s="233">
        <f t="shared" si="72"/>
        <v>1.9199999999999999E-5</v>
      </c>
      <c r="BB192" s="15">
        <f t="shared" si="78"/>
        <v>0</v>
      </c>
      <c r="BC192" s="173">
        <v>182</v>
      </c>
      <c r="BD192" s="84">
        <f t="shared" si="73"/>
        <v>1.38E-5</v>
      </c>
      <c r="BE192" s="207">
        <f t="shared" si="74"/>
        <v>0</v>
      </c>
      <c r="BF192" s="233">
        <f t="shared" si="75"/>
        <v>1.9199999999999999E-5</v>
      </c>
      <c r="BG192" s="15">
        <f t="shared" si="79"/>
        <v>0</v>
      </c>
      <c r="BH192" s="173">
        <v>182</v>
      </c>
      <c r="BI192" s="84">
        <f t="shared" si="76"/>
        <v>1.38E-5</v>
      </c>
      <c r="BJ192" s="207">
        <f t="shared" si="77"/>
        <v>0</v>
      </c>
      <c r="BL192" s="123"/>
      <c r="BM192" s="123"/>
      <c r="BO192" s="173"/>
      <c r="BP192" s="174" t="str">
        <f t="shared" si="80"/>
        <v/>
      </c>
      <c r="BQ192" s="174" t="str">
        <f t="shared" si="81"/>
        <v/>
      </c>
      <c r="BR192" s="174" t="str">
        <f t="shared" si="82"/>
        <v/>
      </c>
      <c r="BS192" s="174" t="str">
        <f t="shared" si="83"/>
        <v/>
      </c>
      <c r="BT192" s="174" t="str">
        <f t="shared" si="84"/>
        <v/>
      </c>
      <c r="BU192" s="174" t="str">
        <f t="shared" si="85"/>
        <v/>
      </c>
      <c r="BV192" s="174" t="str">
        <f t="shared" si="86"/>
        <v/>
      </c>
      <c r="BW192" s="174" t="str">
        <f t="shared" si="87"/>
        <v/>
      </c>
      <c r="BX192" s="174" t="str">
        <f t="shared" si="88"/>
        <v/>
      </c>
      <c r="BY192" s="174" t="str">
        <f t="shared" si="89"/>
        <v/>
      </c>
      <c r="BZ192" s="174" t="str">
        <f t="shared" si="90"/>
        <v/>
      </c>
      <c r="CA192" s="174" t="str">
        <f t="shared" si="91"/>
        <v/>
      </c>
      <c r="CB192" s="161"/>
      <c r="CC192" s="161"/>
      <c r="CD192" s="161"/>
      <c r="CE192" s="161" t="s">
        <v>150</v>
      </c>
      <c r="CF192" s="161"/>
    </row>
    <row r="193" spans="1:84" ht="14.25" customHeight="1" thickBot="1" x14ac:dyDescent="0.3">
      <c r="A193" s="205">
        <v>183</v>
      </c>
      <c r="B193" s="85"/>
      <c r="C193" s="195"/>
      <c r="D193" s="91"/>
      <c r="E193" s="310" t="s">
        <v>92</v>
      </c>
      <c r="F193" s="93"/>
      <c r="G193" s="97"/>
      <c r="H193" s="97"/>
      <c r="I193" s="97"/>
      <c r="J193" s="97"/>
      <c r="K193" s="97"/>
      <c r="L193" s="224">
        <f t="shared" si="92"/>
        <v>0</v>
      </c>
      <c r="M193" s="300"/>
      <c r="N193" s="301"/>
      <c r="O193" s="342"/>
      <c r="P193" s="313" t="s">
        <v>66</v>
      </c>
      <c r="Q193" s="93"/>
      <c r="R193" s="97"/>
      <c r="S193" s="97"/>
      <c r="T193" s="97"/>
      <c r="U193" s="97"/>
      <c r="V193" s="97"/>
      <c r="W193" s="224">
        <f t="shared" si="93"/>
        <v>0</v>
      </c>
      <c r="X193" s="300"/>
      <c r="Y193" s="301"/>
      <c r="Z193" s="342"/>
      <c r="AA193" s="313" t="s">
        <v>86</v>
      </c>
      <c r="AB193" s="78"/>
      <c r="AC193" s="321"/>
      <c r="AD193" s="321"/>
      <c r="AE193" s="321"/>
      <c r="AF193" s="321"/>
      <c r="AG193" s="322"/>
      <c r="AH193" s="88">
        <f t="shared" si="94"/>
        <v>0</v>
      </c>
      <c r="AI193" s="78"/>
      <c r="AJ193" s="322"/>
      <c r="AK193" s="345"/>
      <c r="AL193" s="102"/>
      <c r="AM193" s="99"/>
      <c r="AN193" s="227"/>
      <c r="AO193" s="221"/>
      <c r="AP193" s="90"/>
      <c r="AQ193" s="221"/>
      <c r="AR193" s="90"/>
      <c r="AS193" s="221"/>
      <c r="AT193" s="90"/>
      <c r="AU193" s="15">
        <f t="shared" si="68"/>
        <v>1.9299999999999998E-5</v>
      </c>
      <c r="AV193" s="15">
        <f t="shared" si="69"/>
        <v>0</v>
      </c>
      <c r="AW193" s="15"/>
      <c r="AX193" s="173">
        <v>183</v>
      </c>
      <c r="AY193" s="206">
        <f t="shared" si="70"/>
        <v>1.5299999999999999E-5</v>
      </c>
      <c r="AZ193" s="173">
        <f t="shared" si="71"/>
        <v>0</v>
      </c>
      <c r="BA193" s="233">
        <f t="shared" si="72"/>
        <v>1.9299999999999998E-5</v>
      </c>
      <c r="BB193" s="15">
        <f t="shared" si="78"/>
        <v>0</v>
      </c>
      <c r="BC193" s="173">
        <v>183</v>
      </c>
      <c r="BD193" s="84">
        <f t="shared" si="73"/>
        <v>1.3699999999999999E-5</v>
      </c>
      <c r="BE193" s="207">
        <f t="shared" si="74"/>
        <v>0</v>
      </c>
      <c r="BF193" s="233">
        <f t="shared" si="75"/>
        <v>1.9299999999999998E-5</v>
      </c>
      <c r="BG193" s="15">
        <f t="shared" si="79"/>
        <v>0</v>
      </c>
      <c r="BH193" s="173">
        <v>183</v>
      </c>
      <c r="BI193" s="84">
        <f t="shared" si="76"/>
        <v>1.3699999999999999E-5</v>
      </c>
      <c r="BJ193" s="207">
        <f t="shared" si="77"/>
        <v>0</v>
      </c>
      <c r="BL193" s="123"/>
      <c r="BM193" s="123"/>
      <c r="BO193" s="173"/>
      <c r="BP193" s="174" t="str">
        <f t="shared" si="80"/>
        <v/>
      </c>
      <c r="BQ193" s="174" t="str">
        <f t="shared" si="81"/>
        <v/>
      </c>
      <c r="BR193" s="174" t="str">
        <f t="shared" si="82"/>
        <v/>
      </c>
      <c r="BS193" s="174" t="str">
        <f t="shared" si="83"/>
        <v/>
      </c>
      <c r="BT193" s="174" t="str">
        <f t="shared" si="84"/>
        <v/>
      </c>
      <c r="BU193" s="174" t="str">
        <f t="shared" si="85"/>
        <v/>
      </c>
      <c r="BV193" s="174" t="str">
        <f t="shared" si="86"/>
        <v/>
      </c>
      <c r="BW193" s="174" t="str">
        <f t="shared" si="87"/>
        <v/>
      </c>
      <c r="BX193" s="174" t="str">
        <f t="shared" si="88"/>
        <v/>
      </c>
      <c r="BY193" s="174" t="str">
        <f t="shared" si="89"/>
        <v/>
      </c>
      <c r="BZ193" s="174" t="str">
        <f t="shared" si="90"/>
        <v/>
      </c>
      <c r="CA193" s="174" t="str">
        <f t="shared" si="91"/>
        <v/>
      </c>
      <c r="CB193" s="161"/>
      <c r="CC193" s="161"/>
      <c r="CD193" s="161"/>
      <c r="CE193" s="161" t="s">
        <v>150</v>
      </c>
      <c r="CF193" s="161"/>
    </row>
    <row r="194" spans="1:84" ht="14.25" customHeight="1" x14ac:dyDescent="0.25">
      <c r="A194" s="203">
        <v>184</v>
      </c>
      <c r="B194" s="86"/>
      <c r="C194" s="193"/>
      <c r="D194" s="143"/>
      <c r="E194" s="308" t="s">
        <v>92</v>
      </c>
      <c r="F194" s="213"/>
      <c r="G194" s="214"/>
      <c r="H194" s="214"/>
      <c r="I194" s="214"/>
      <c r="J194" s="214"/>
      <c r="K194" s="214"/>
      <c r="L194" s="295">
        <f t="shared" si="92"/>
        <v>0</v>
      </c>
      <c r="M194" s="296"/>
      <c r="N194" s="297"/>
      <c r="O194" s="340"/>
      <c r="P194" s="311" t="s">
        <v>66</v>
      </c>
      <c r="Q194" s="213"/>
      <c r="R194" s="214"/>
      <c r="S194" s="214"/>
      <c r="T194" s="214"/>
      <c r="U194" s="214"/>
      <c r="V194" s="214"/>
      <c r="W194" s="295">
        <f t="shared" si="93"/>
        <v>0</v>
      </c>
      <c r="X194" s="296"/>
      <c r="Y194" s="297"/>
      <c r="Z194" s="346"/>
      <c r="AA194" s="314" t="s">
        <v>148</v>
      </c>
      <c r="AB194" s="13"/>
      <c r="AC194" s="222"/>
      <c r="AD194" s="222"/>
      <c r="AE194" s="222"/>
      <c r="AF194" s="222"/>
      <c r="AG194" s="5"/>
      <c r="AH194" s="20">
        <f t="shared" si="94"/>
        <v>0</v>
      </c>
      <c r="AI194" s="13"/>
      <c r="AJ194" s="5"/>
      <c r="AK194" s="343"/>
      <c r="AL194" s="100"/>
      <c r="AM194" s="98"/>
      <c r="AN194" s="226"/>
      <c r="AO194" s="225"/>
      <c r="AP194" s="89"/>
      <c r="AQ194" s="225"/>
      <c r="AR194" s="89"/>
      <c r="AS194" s="225"/>
      <c r="AT194" s="89"/>
      <c r="AU194" s="15">
        <f t="shared" si="68"/>
        <v>1.9400000000000001E-5</v>
      </c>
      <c r="AV194" s="15">
        <f t="shared" si="69"/>
        <v>0</v>
      </c>
      <c r="AW194" s="15"/>
      <c r="AX194" s="173">
        <v>184</v>
      </c>
      <c r="AY194" s="206">
        <f t="shared" si="70"/>
        <v>1.52E-5</v>
      </c>
      <c r="AZ194" s="173">
        <f t="shared" si="71"/>
        <v>0</v>
      </c>
      <c r="BA194" s="233">
        <f t="shared" si="72"/>
        <v>1.9400000000000001E-5</v>
      </c>
      <c r="BB194" s="15">
        <f t="shared" si="78"/>
        <v>0</v>
      </c>
      <c r="BC194" s="173">
        <v>184</v>
      </c>
      <c r="BD194" s="84">
        <f t="shared" si="73"/>
        <v>1.3599999999999999E-5</v>
      </c>
      <c r="BE194" s="207">
        <f t="shared" si="74"/>
        <v>0</v>
      </c>
      <c r="BF194" s="233">
        <f t="shared" si="75"/>
        <v>1.9400000000000001E-5</v>
      </c>
      <c r="BG194" s="15">
        <f t="shared" si="79"/>
        <v>0</v>
      </c>
      <c r="BH194" s="173">
        <v>184</v>
      </c>
      <c r="BI194" s="84">
        <f t="shared" si="76"/>
        <v>1.3599999999999999E-5</v>
      </c>
      <c r="BJ194" s="207">
        <f t="shared" si="77"/>
        <v>0</v>
      </c>
      <c r="BL194" s="123"/>
      <c r="BM194" s="123"/>
      <c r="BO194" s="173"/>
      <c r="BP194" s="174" t="str">
        <f t="shared" si="80"/>
        <v/>
      </c>
      <c r="BQ194" s="174" t="str">
        <f t="shared" si="81"/>
        <v/>
      </c>
      <c r="BR194" s="174" t="str">
        <f t="shared" si="82"/>
        <v/>
      </c>
      <c r="BS194" s="174" t="str">
        <f t="shared" si="83"/>
        <v/>
      </c>
      <c r="BT194" s="174" t="str">
        <f t="shared" si="84"/>
        <v/>
      </c>
      <c r="BU194" s="174" t="str">
        <f t="shared" si="85"/>
        <v/>
      </c>
      <c r="BV194" s="174" t="str">
        <f t="shared" si="86"/>
        <v/>
      </c>
      <c r="BW194" s="174" t="str">
        <f t="shared" si="87"/>
        <v/>
      </c>
      <c r="BX194" s="174" t="str">
        <f t="shared" si="88"/>
        <v/>
      </c>
      <c r="BY194" s="174" t="str">
        <f t="shared" si="89"/>
        <v/>
      </c>
      <c r="BZ194" s="174" t="str">
        <f t="shared" si="90"/>
        <v/>
      </c>
      <c r="CA194" s="174" t="str">
        <f t="shared" si="91"/>
        <v/>
      </c>
      <c r="CB194" s="161"/>
      <c r="CC194" s="161"/>
      <c r="CD194" s="161"/>
      <c r="CE194" s="161" t="s">
        <v>150</v>
      </c>
      <c r="CF194" s="161"/>
    </row>
    <row r="195" spans="1:84" ht="14.25" customHeight="1" x14ac:dyDescent="0.25">
      <c r="A195" s="204">
        <v>185</v>
      </c>
      <c r="B195" s="211"/>
      <c r="C195" s="194"/>
      <c r="D195" s="142"/>
      <c r="E195" s="309" t="s">
        <v>92</v>
      </c>
      <c r="F195" s="305"/>
      <c r="G195" s="306"/>
      <c r="H195" s="306"/>
      <c r="I195" s="306"/>
      <c r="J195" s="306"/>
      <c r="K195" s="306"/>
      <c r="L195" s="223">
        <f t="shared" si="92"/>
        <v>0</v>
      </c>
      <c r="M195" s="298"/>
      <c r="N195" s="299"/>
      <c r="O195" s="341"/>
      <c r="P195" s="312" t="s">
        <v>66</v>
      </c>
      <c r="Q195" s="305"/>
      <c r="R195" s="306"/>
      <c r="S195" s="306"/>
      <c r="T195" s="306"/>
      <c r="U195" s="306"/>
      <c r="V195" s="306"/>
      <c r="W195" s="223">
        <f t="shared" si="93"/>
        <v>0</v>
      </c>
      <c r="X195" s="298"/>
      <c r="Y195" s="299"/>
      <c r="Z195" s="341"/>
      <c r="AA195" s="312" t="s">
        <v>86</v>
      </c>
      <c r="AB195" s="77"/>
      <c r="AC195" s="319"/>
      <c r="AD195" s="319"/>
      <c r="AE195" s="319"/>
      <c r="AF195" s="319"/>
      <c r="AG195" s="320"/>
      <c r="AH195" s="20">
        <f t="shared" si="94"/>
        <v>0</v>
      </c>
      <c r="AI195" s="77"/>
      <c r="AJ195" s="320"/>
      <c r="AK195" s="344"/>
      <c r="AL195" s="101"/>
      <c r="AM195" s="209"/>
      <c r="AN195" s="208"/>
      <c r="AO195" s="220"/>
      <c r="AP195" s="212"/>
      <c r="AQ195" s="220"/>
      <c r="AR195" s="212"/>
      <c r="AS195" s="220"/>
      <c r="AT195" s="212"/>
      <c r="AU195" s="15">
        <f t="shared" si="68"/>
        <v>1.95E-5</v>
      </c>
      <c r="AV195" s="15">
        <f t="shared" si="69"/>
        <v>0</v>
      </c>
      <c r="AW195" s="15"/>
      <c r="AX195" s="173">
        <v>185</v>
      </c>
      <c r="AY195" s="206">
        <f t="shared" si="70"/>
        <v>1.5099999999999999E-5</v>
      </c>
      <c r="AZ195" s="173">
        <f t="shared" si="71"/>
        <v>0</v>
      </c>
      <c r="BA195" s="233">
        <f t="shared" si="72"/>
        <v>1.95E-5</v>
      </c>
      <c r="BB195" s="15">
        <f t="shared" si="78"/>
        <v>0</v>
      </c>
      <c r="BC195" s="173">
        <v>185</v>
      </c>
      <c r="BD195" s="84">
        <f t="shared" si="73"/>
        <v>1.3499999999999999E-5</v>
      </c>
      <c r="BE195" s="207">
        <f t="shared" si="74"/>
        <v>0</v>
      </c>
      <c r="BF195" s="233">
        <f t="shared" si="75"/>
        <v>1.95E-5</v>
      </c>
      <c r="BG195" s="15">
        <f t="shared" si="79"/>
        <v>0</v>
      </c>
      <c r="BH195" s="173">
        <v>185</v>
      </c>
      <c r="BI195" s="84">
        <f t="shared" si="76"/>
        <v>1.3499999999999999E-5</v>
      </c>
      <c r="BJ195" s="207">
        <f t="shared" si="77"/>
        <v>0</v>
      </c>
      <c r="BL195" s="123"/>
      <c r="BM195" s="123"/>
      <c r="BO195" s="173"/>
      <c r="BP195" s="174" t="str">
        <f t="shared" si="80"/>
        <v/>
      </c>
      <c r="BQ195" s="174" t="str">
        <f t="shared" si="81"/>
        <v/>
      </c>
      <c r="BR195" s="174" t="str">
        <f t="shared" si="82"/>
        <v/>
      </c>
      <c r="BS195" s="174" t="str">
        <f t="shared" si="83"/>
        <v/>
      </c>
      <c r="BT195" s="174" t="str">
        <f t="shared" si="84"/>
        <v/>
      </c>
      <c r="BU195" s="174" t="str">
        <f t="shared" si="85"/>
        <v/>
      </c>
      <c r="BV195" s="174" t="str">
        <f t="shared" si="86"/>
        <v/>
      </c>
      <c r="BW195" s="174" t="str">
        <f t="shared" si="87"/>
        <v/>
      </c>
      <c r="BX195" s="174" t="str">
        <f t="shared" si="88"/>
        <v/>
      </c>
      <c r="BY195" s="174" t="str">
        <f t="shared" si="89"/>
        <v/>
      </c>
      <c r="BZ195" s="174" t="str">
        <f t="shared" si="90"/>
        <v/>
      </c>
      <c r="CA195" s="174" t="str">
        <f t="shared" si="91"/>
        <v/>
      </c>
      <c r="CB195" s="161"/>
      <c r="CC195" s="161"/>
      <c r="CD195" s="161"/>
      <c r="CE195" s="161" t="s">
        <v>150</v>
      </c>
      <c r="CF195" s="161"/>
    </row>
    <row r="196" spans="1:84" ht="14.25" customHeight="1" thickBot="1" x14ac:dyDescent="0.3">
      <c r="A196" s="205">
        <v>186</v>
      </c>
      <c r="B196" s="85"/>
      <c r="C196" s="195"/>
      <c r="D196" s="91"/>
      <c r="E196" s="310" t="s">
        <v>92</v>
      </c>
      <c r="F196" s="93"/>
      <c r="G196" s="97"/>
      <c r="H196" s="97"/>
      <c r="I196" s="97"/>
      <c r="J196" s="97"/>
      <c r="K196" s="97"/>
      <c r="L196" s="224">
        <f t="shared" si="92"/>
        <v>0</v>
      </c>
      <c r="M196" s="300"/>
      <c r="N196" s="301"/>
      <c r="O196" s="342"/>
      <c r="P196" s="313" t="s">
        <v>66</v>
      </c>
      <c r="Q196" s="93"/>
      <c r="R196" s="97"/>
      <c r="S196" s="97"/>
      <c r="T196" s="97"/>
      <c r="U196" s="97"/>
      <c r="V196" s="97"/>
      <c r="W196" s="224">
        <f t="shared" si="93"/>
        <v>0</v>
      </c>
      <c r="X196" s="300"/>
      <c r="Y196" s="301"/>
      <c r="Z196" s="342"/>
      <c r="AA196" s="313" t="s">
        <v>86</v>
      </c>
      <c r="AB196" s="78"/>
      <c r="AC196" s="321"/>
      <c r="AD196" s="321"/>
      <c r="AE196" s="321"/>
      <c r="AF196" s="321"/>
      <c r="AG196" s="322"/>
      <c r="AH196" s="88">
        <f t="shared" si="94"/>
        <v>0</v>
      </c>
      <c r="AI196" s="78"/>
      <c r="AJ196" s="322"/>
      <c r="AK196" s="345"/>
      <c r="AL196" s="102"/>
      <c r="AM196" s="99"/>
      <c r="AN196" s="227"/>
      <c r="AO196" s="221"/>
      <c r="AP196" s="90"/>
      <c r="AQ196" s="221"/>
      <c r="AR196" s="90"/>
      <c r="AS196" s="221"/>
      <c r="AT196" s="90"/>
      <c r="AU196" s="15">
        <f t="shared" si="68"/>
        <v>1.9599999999999999E-5</v>
      </c>
      <c r="AV196" s="15">
        <f t="shared" si="69"/>
        <v>0</v>
      </c>
      <c r="AW196" s="15"/>
      <c r="AX196" s="173">
        <v>186</v>
      </c>
      <c r="AY196" s="206">
        <f t="shared" si="70"/>
        <v>1.4999999999999999E-5</v>
      </c>
      <c r="AZ196" s="173">
        <f t="shared" si="71"/>
        <v>0</v>
      </c>
      <c r="BA196" s="233">
        <f t="shared" si="72"/>
        <v>1.9599999999999999E-5</v>
      </c>
      <c r="BB196" s="15">
        <f t="shared" si="78"/>
        <v>0</v>
      </c>
      <c r="BC196" s="173">
        <v>186</v>
      </c>
      <c r="BD196" s="84">
        <f t="shared" si="73"/>
        <v>1.3399999999999999E-5</v>
      </c>
      <c r="BE196" s="207">
        <f t="shared" si="74"/>
        <v>0</v>
      </c>
      <c r="BF196" s="233">
        <f t="shared" si="75"/>
        <v>1.9599999999999999E-5</v>
      </c>
      <c r="BG196" s="15">
        <f t="shared" si="79"/>
        <v>0</v>
      </c>
      <c r="BH196" s="173">
        <v>186</v>
      </c>
      <c r="BI196" s="84">
        <f t="shared" si="76"/>
        <v>1.3399999999999999E-5</v>
      </c>
      <c r="BJ196" s="207">
        <f t="shared" si="77"/>
        <v>0</v>
      </c>
      <c r="BL196" s="123"/>
      <c r="BM196" s="123"/>
      <c r="BO196" s="173"/>
      <c r="BP196" s="174" t="str">
        <f t="shared" si="80"/>
        <v/>
      </c>
      <c r="BQ196" s="174" t="str">
        <f t="shared" si="81"/>
        <v/>
      </c>
      <c r="BR196" s="174" t="str">
        <f t="shared" si="82"/>
        <v/>
      </c>
      <c r="BS196" s="174" t="str">
        <f t="shared" si="83"/>
        <v/>
      </c>
      <c r="BT196" s="174" t="str">
        <f t="shared" si="84"/>
        <v/>
      </c>
      <c r="BU196" s="174" t="str">
        <f t="shared" si="85"/>
        <v/>
      </c>
      <c r="BV196" s="174" t="str">
        <f t="shared" si="86"/>
        <v/>
      </c>
      <c r="BW196" s="174" t="str">
        <f t="shared" si="87"/>
        <v/>
      </c>
      <c r="BX196" s="174" t="str">
        <f t="shared" si="88"/>
        <v/>
      </c>
      <c r="BY196" s="174" t="str">
        <f t="shared" si="89"/>
        <v/>
      </c>
      <c r="BZ196" s="174" t="str">
        <f t="shared" si="90"/>
        <v/>
      </c>
      <c r="CA196" s="174" t="str">
        <f t="shared" si="91"/>
        <v/>
      </c>
      <c r="CB196" s="161"/>
      <c r="CC196" s="161"/>
      <c r="CD196" s="161"/>
      <c r="CE196" s="161" t="s">
        <v>150</v>
      </c>
      <c r="CF196" s="161"/>
    </row>
    <row r="197" spans="1:84" ht="14.25" customHeight="1" x14ac:dyDescent="0.25">
      <c r="A197" s="203">
        <v>187</v>
      </c>
      <c r="B197" s="86"/>
      <c r="C197" s="193"/>
      <c r="D197" s="143"/>
      <c r="E197" s="308" t="s">
        <v>92</v>
      </c>
      <c r="F197" s="213"/>
      <c r="G197" s="214"/>
      <c r="H197" s="214"/>
      <c r="I197" s="214"/>
      <c r="J197" s="214"/>
      <c r="K197" s="214"/>
      <c r="L197" s="295">
        <f t="shared" si="92"/>
        <v>0</v>
      </c>
      <c r="M197" s="296"/>
      <c r="N197" s="297"/>
      <c r="O197" s="340"/>
      <c r="P197" s="311" t="s">
        <v>66</v>
      </c>
      <c r="Q197" s="213"/>
      <c r="R197" s="214"/>
      <c r="S197" s="214"/>
      <c r="T197" s="214"/>
      <c r="U197" s="214"/>
      <c r="V197" s="214"/>
      <c r="W197" s="295">
        <f t="shared" si="93"/>
        <v>0</v>
      </c>
      <c r="X197" s="296"/>
      <c r="Y197" s="297"/>
      <c r="Z197" s="346"/>
      <c r="AA197" s="314" t="s">
        <v>148</v>
      </c>
      <c r="AB197" s="13"/>
      <c r="AC197" s="222"/>
      <c r="AD197" s="222"/>
      <c r="AE197" s="222"/>
      <c r="AF197" s="222"/>
      <c r="AG197" s="5"/>
      <c r="AH197" s="20">
        <f t="shared" si="94"/>
        <v>0</v>
      </c>
      <c r="AI197" s="13"/>
      <c r="AJ197" s="5"/>
      <c r="AK197" s="343"/>
      <c r="AL197" s="100"/>
      <c r="AM197" s="98"/>
      <c r="AN197" s="226"/>
      <c r="AO197" s="225"/>
      <c r="AP197" s="89"/>
      <c r="AQ197" s="225"/>
      <c r="AR197" s="89"/>
      <c r="AS197" s="225"/>
      <c r="AT197" s="89"/>
      <c r="AU197" s="15">
        <f t="shared" si="68"/>
        <v>1.9699999999999998E-5</v>
      </c>
      <c r="AV197" s="15">
        <f t="shared" si="69"/>
        <v>0</v>
      </c>
      <c r="AW197" s="15"/>
      <c r="AX197" s="173">
        <v>187</v>
      </c>
      <c r="AY197" s="206">
        <f t="shared" si="70"/>
        <v>1.49E-5</v>
      </c>
      <c r="AZ197" s="173">
        <f t="shared" si="71"/>
        <v>0</v>
      </c>
      <c r="BA197" s="233">
        <f t="shared" si="72"/>
        <v>1.9699999999999998E-5</v>
      </c>
      <c r="BB197" s="15">
        <f t="shared" si="78"/>
        <v>0</v>
      </c>
      <c r="BC197" s="173">
        <v>187</v>
      </c>
      <c r="BD197" s="84">
        <f t="shared" si="73"/>
        <v>1.33E-5</v>
      </c>
      <c r="BE197" s="207">
        <f t="shared" si="74"/>
        <v>0</v>
      </c>
      <c r="BF197" s="233">
        <f t="shared" si="75"/>
        <v>1.9699999999999998E-5</v>
      </c>
      <c r="BG197" s="15">
        <f t="shared" si="79"/>
        <v>0</v>
      </c>
      <c r="BH197" s="173">
        <v>187</v>
      </c>
      <c r="BI197" s="84">
        <f t="shared" si="76"/>
        <v>1.33E-5</v>
      </c>
      <c r="BJ197" s="207">
        <f t="shared" si="77"/>
        <v>0</v>
      </c>
      <c r="BL197" s="123"/>
      <c r="BM197" s="123"/>
      <c r="BO197" s="173"/>
      <c r="BP197" s="174" t="str">
        <f t="shared" si="80"/>
        <v/>
      </c>
      <c r="BQ197" s="174" t="str">
        <f t="shared" si="81"/>
        <v/>
      </c>
      <c r="BR197" s="174" t="str">
        <f t="shared" si="82"/>
        <v/>
      </c>
      <c r="BS197" s="174" t="str">
        <f t="shared" si="83"/>
        <v/>
      </c>
      <c r="BT197" s="174" t="str">
        <f t="shared" si="84"/>
        <v/>
      </c>
      <c r="BU197" s="174" t="str">
        <f t="shared" si="85"/>
        <v/>
      </c>
      <c r="BV197" s="174" t="str">
        <f t="shared" si="86"/>
        <v/>
      </c>
      <c r="BW197" s="174" t="str">
        <f t="shared" si="87"/>
        <v/>
      </c>
      <c r="BX197" s="174" t="str">
        <f t="shared" si="88"/>
        <v/>
      </c>
      <c r="BY197" s="174" t="str">
        <f t="shared" si="89"/>
        <v/>
      </c>
      <c r="BZ197" s="174" t="str">
        <f t="shared" si="90"/>
        <v/>
      </c>
      <c r="CA197" s="174" t="str">
        <f t="shared" si="91"/>
        <v/>
      </c>
      <c r="CB197" s="161"/>
      <c r="CC197" s="161"/>
      <c r="CD197" s="161"/>
      <c r="CE197" s="161" t="s">
        <v>150</v>
      </c>
      <c r="CF197" s="161"/>
    </row>
    <row r="198" spans="1:84" ht="14.25" customHeight="1" x14ac:dyDescent="0.25">
      <c r="A198" s="204">
        <v>188</v>
      </c>
      <c r="B198" s="211"/>
      <c r="C198" s="194"/>
      <c r="D198" s="142"/>
      <c r="E198" s="309" t="s">
        <v>92</v>
      </c>
      <c r="F198" s="305"/>
      <c r="G198" s="306"/>
      <c r="H198" s="306"/>
      <c r="I198" s="306"/>
      <c r="J198" s="306"/>
      <c r="K198" s="306"/>
      <c r="L198" s="223">
        <f t="shared" si="92"/>
        <v>0</v>
      </c>
      <c r="M198" s="298"/>
      <c r="N198" s="299"/>
      <c r="O198" s="341"/>
      <c r="P198" s="312" t="s">
        <v>66</v>
      </c>
      <c r="Q198" s="305"/>
      <c r="R198" s="306"/>
      <c r="S198" s="306"/>
      <c r="T198" s="306"/>
      <c r="U198" s="306"/>
      <c r="V198" s="306"/>
      <c r="W198" s="223">
        <f t="shared" si="93"/>
        <v>0</v>
      </c>
      <c r="X198" s="298"/>
      <c r="Y198" s="299"/>
      <c r="Z198" s="341"/>
      <c r="AA198" s="312" t="s">
        <v>86</v>
      </c>
      <c r="AB198" s="77"/>
      <c r="AC198" s="319"/>
      <c r="AD198" s="319"/>
      <c r="AE198" s="319"/>
      <c r="AF198" s="319"/>
      <c r="AG198" s="320"/>
      <c r="AH198" s="20">
        <f t="shared" si="94"/>
        <v>0</v>
      </c>
      <c r="AI198" s="77"/>
      <c r="AJ198" s="320"/>
      <c r="AK198" s="344"/>
      <c r="AL198" s="101"/>
      <c r="AM198" s="209"/>
      <c r="AN198" s="208"/>
      <c r="AO198" s="220"/>
      <c r="AP198" s="212"/>
      <c r="AQ198" s="220"/>
      <c r="AR198" s="212"/>
      <c r="AS198" s="220"/>
      <c r="AT198" s="212"/>
      <c r="AU198" s="15">
        <f t="shared" si="68"/>
        <v>1.98E-5</v>
      </c>
      <c r="AV198" s="15">
        <f t="shared" si="69"/>
        <v>0</v>
      </c>
      <c r="AW198" s="15"/>
      <c r="AX198" s="173">
        <v>188</v>
      </c>
      <c r="AY198" s="206">
        <f t="shared" si="70"/>
        <v>1.4799999999999999E-5</v>
      </c>
      <c r="AZ198" s="173">
        <f t="shared" si="71"/>
        <v>0</v>
      </c>
      <c r="BA198" s="233">
        <f t="shared" si="72"/>
        <v>1.98E-5</v>
      </c>
      <c r="BB198" s="15">
        <f t="shared" si="78"/>
        <v>0</v>
      </c>
      <c r="BC198" s="173">
        <v>188</v>
      </c>
      <c r="BD198" s="84">
        <f t="shared" si="73"/>
        <v>1.3199999999999999E-5</v>
      </c>
      <c r="BE198" s="207">
        <f t="shared" si="74"/>
        <v>0</v>
      </c>
      <c r="BF198" s="233">
        <f t="shared" si="75"/>
        <v>1.98E-5</v>
      </c>
      <c r="BG198" s="15">
        <f t="shared" si="79"/>
        <v>0</v>
      </c>
      <c r="BH198" s="173">
        <v>188</v>
      </c>
      <c r="BI198" s="84">
        <f t="shared" si="76"/>
        <v>1.3199999999999999E-5</v>
      </c>
      <c r="BJ198" s="207">
        <f t="shared" si="77"/>
        <v>0</v>
      </c>
      <c r="BL198" s="123"/>
      <c r="BM198" s="123"/>
      <c r="BO198" s="173"/>
      <c r="BP198" s="174" t="str">
        <f t="shared" si="80"/>
        <v/>
      </c>
      <c r="BQ198" s="174" t="str">
        <f t="shared" si="81"/>
        <v/>
      </c>
      <c r="BR198" s="174" t="str">
        <f t="shared" si="82"/>
        <v/>
      </c>
      <c r="BS198" s="174" t="str">
        <f t="shared" si="83"/>
        <v/>
      </c>
      <c r="BT198" s="174" t="str">
        <f t="shared" si="84"/>
        <v/>
      </c>
      <c r="BU198" s="174" t="str">
        <f t="shared" si="85"/>
        <v/>
      </c>
      <c r="BV198" s="174" t="str">
        <f t="shared" si="86"/>
        <v/>
      </c>
      <c r="BW198" s="174" t="str">
        <f t="shared" si="87"/>
        <v/>
      </c>
      <c r="BX198" s="174" t="str">
        <f t="shared" si="88"/>
        <v/>
      </c>
      <c r="BY198" s="174" t="str">
        <f t="shared" si="89"/>
        <v/>
      </c>
      <c r="BZ198" s="174" t="str">
        <f t="shared" si="90"/>
        <v/>
      </c>
      <c r="CA198" s="174" t="str">
        <f t="shared" si="91"/>
        <v/>
      </c>
      <c r="CB198" s="161"/>
      <c r="CC198" s="161"/>
      <c r="CD198" s="161"/>
      <c r="CE198" s="161" t="s">
        <v>150</v>
      </c>
      <c r="CF198" s="161"/>
    </row>
    <row r="199" spans="1:84" ht="14.25" customHeight="1" thickBot="1" x14ac:dyDescent="0.3">
      <c r="A199" s="205">
        <v>189</v>
      </c>
      <c r="B199" s="85"/>
      <c r="C199" s="195"/>
      <c r="D199" s="91"/>
      <c r="E199" s="310" t="s">
        <v>92</v>
      </c>
      <c r="F199" s="93"/>
      <c r="G199" s="97"/>
      <c r="H199" s="97"/>
      <c r="I199" s="97"/>
      <c r="J199" s="97"/>
      <c r="K199" s="97"/>
      <c r="L199" s="224">
        <f t="shared" si="92"/>
        <v>0</v>
      </c>
      <c r="M199" s="300"/>
      <c r="N199" s="301"/>
      <c r="O199" s="342"/>
      <c r="P199" s="313" t="s">
        <v>66</v>
      </c>
      <c r="Q199" s="93"/>
      <c r="R199" s="97"/>
      <c r="S199" s="97"/>
      <c r="T199" s="97"/>
      <c r="U199" s="97"/>
      <c r="V199" s="97"/>
      <c r="W199" s="224">
        <f t="shared" si="93"/>
        <v>0</v>
      </c>
      <c r="X199" s="300"/>
      <c r="Y199" s="301"/>
      <c r="Z199" s="342"/>
      <c r="AA199" s="313" t="s">
        <v>86</v>
      </c>
      <c r="AB199" s="78"/>
      <c r="AC199" s="321"/>
      <c r="AD199" s="321"/>
      <c r="AE199" s="321"/>
      <c r="AF199" s="321"/>
      <c r="AG199" s="322"/>
      <c r="AH199" s="88">
        <f t="shared" si="94"/>
        <v>0</v>
      </c>
      <c r="AI199" s="78"/>
      <c r="AJ199" s="322"/>
      <c r="AK199" s="345"/>
      <c r="AL199" s="102"/>
      <c r="AM199" s="99"/>
      <c r="AN199" s="227"/>
      <c r="AO199" s="221"/>
      <c r="AP199" s="90"/>
      <c r="AQ199" s="221"/>
      <c r="AR199" s="90"/>
      <c r="AS199" s="221"/>
      <c r="AT199" s="90"/>
      <c r="AU199" s="15">
        <f t="shared" si="68"/>
        <v>1.9899999999999999E-5</v>
      </c>
      <c r="AV199" s="15">
        <f t="shared" si="69"/>
        <v>0</v>
      </c>
      <c r="AW199" s="15"/>
      <c r="AX199" s="173">
        <v>189</v>
      </c>
      <c r="AY199" s="206">
        <f t="shared" si="70"/>
        <v>1.47E-5</v>
      </c>
      <c r="AZ199" s="173">
        <f t="shared" si="71"/>
        <v>0</v>
      </c>
      <c r="BA199" s="233">
        <f t="shared" si="72"/>
        <v>1.9899999999999999E-5</v>
      </c>
      <c r="BB199" s="15">
        <f t="shared" si="78"/>
        <v>0</v>
      </c>
      <c r="BC199" s="173">
        <v>189</v>
      </c>
      <c r="BD199" s="84">
        <f t="shared" si="73"/>
        <v>1.31E-5</v>
      </c>
      <c r="BE199" s="207">
        <f t="shared" si="74"/>
        <v>0</v>
      </c>
      <c r="BF199" s="233">
        <f t="shared" si="75"/>
        <v>1.9899999999999999E-5</v>
      </c>
      <c r="BG199" s="15">
        <f t="shared" si="79"/>
        <v>0</v>
      </c>
      <c r="BH199" s="173">
        <v>189</v>
      </c>
      <c r="BI199" s="84">
        <f t="shared" si="76"/>
        <v>1.31E-5</v>
      </c>
      <c r="BJ199" s="207">
        <f t="shared" si="77"/>
        <v>0</v>
      </c>
      <c r="BL199" s="123"/>
      <c r="BM199" s="123"/>
      <c r="BO199" s="173"/>
      <c r="BP199" s="174" t="str">
        <f t="shared" si="80"/>
        <v/>
      </c>
      <c r="BQ199" s="174" t="str">
        <f t="shared" si="81"/>
        <v/>
      </c>
      <c r="BR199" s="174" t="str">
        <f t="shared" si="82"/>
        <v/>
      </c>
      <c r="BS199" s="174" t="str">
        <f t="shared" si="83"/>
        <v/>
      </c>
      <c r="BT199" s="174" t="str">
        <f t="shared" si="84"/>
        <v/>
      </c>
      <c r="BU199" s="174" t="str">
        <f t="shared" si="85"/>
        <v/>
      </c>
      <c r="BV199" s="174" t="str">
        <f t="shared" si="86"/>
        <v/>
      </c>
      <c r="BW199" s="174" t="str">
        <f t="shared" si="87"/>
        <v/>
      </c>
      <c r="BX199" s="174" t="str">
        <f t="shared" si="88"/>
        <v/>
      </c>
      <c r="BY199" s="174" t="str">
        <f t="shared" si="89"/>
        <v/>
      </c>
      <c r="BZ199" s="174" t="str">
        <f t="shared" si="90"/>
        <v/>
      </c>
      <c r="CA199" s="174" t="str">
        <f t="shared" si="91"/>
        <v/>
      </c>
      <c r="CB199" s="161"/>
      <c r="CC199" s="161"/>
      <c r="CD199" s="161"/>
      <c r="CE199" s="161" t="s">
        <v>150</v>
      </c>
      <c r="CF199" s="161"/>
    </row>
    <row r="200" spans="1:84" ht="14.25" customHeight="1" x14ac:dyDescent="0.25">
      <c r="A200" s="203">
        <v>190</v>
      </c>
      <c r="B200" s="86"/>
      <c r="C200" s="193"/>
      <c r="D200" s="143"/>
      <c r="E200" s="308" t="s">
        <v>92</v>
      </c>
      <c r="F200" s="213"/>
      <c r="G200" s="214"/>
      <c r="H200" s="214"/>
      <c r="I200" s="214"/>
      <c r="J200" s="214"/>
      <c r="K200" s="214"/>
      <c r="L200" s="295">
        <f t="shared" si="92"/>
        <v>0</v>
      </c>
      <c r="M200" s="296"/>
      <c r="N200" s="297"/>
      <c r="O200" s="340"/>
      <c r="P200" s="311" t="s">
        <v>66</v>
      </c>
      <c r="Q200" s="213"/>
      <c r="R200" s="214"/>
      <c r="S200" s="214"/>
      <c r="T200" s="214"/>
      <c r="U200" s="214"/>
      <c r="V200" s="214"/>
      <c r="W200" s="295">
        <f t="shared" si="93"/>
        <v>0</v>
      </c>
      <c r="X200" s="296"/>
      <c r="Y200" s="297"/>
      <c r="Z200" s="346"/>
      <c r="AA200" s="314" t="s">
        <v>148</v>
      </c>
      <c r="AB200" s="13"/>
      <c r="AC200" s="222"/>
      <c r="AD200" s="222"/>
      <c r="AE200" s="222"/>
      <c r="AF200" s="222"/>
      <c r="AG200" s="5"/>
      <c r="AH200" s="20">
        <f t="shared" si="94"/>
        <v>0</v>
      </c>
      <c r="AI200" s="13"/>
      <c r="AJ200" s="5"/>
      <c r="AK200" s="343"/>
      <c r="AL200" s="100"/>
      <c r="AM200" s="98"/>
      <c r="AN200" s="226"/>
      <c r="AO200" s="225"/>
      <c r="AP200" s="89"/>
      <c r="AQ200" s="225"/>
      <c r="AR200" s="89"/>
      <c r="AS200" s="225"/>
      <c r="AT200" s="89"/>
      <c r="AU200" s="15">
        <f t="shared" si="68"/>
        <v>1.9999999999999998E-5</v>
      </c>
      <c r="AV200" s="15">
        <f t="shared" si="69"/>
        <v>0</v>
      </c>
      <c r="AW200" s="15"/>
      <c r="AX200" s="173">
        <v>190</v>
      </c>
      <c r="AY200" s="206">
        <f t="shared" si="70"/>
        <v>1.4599999999999999E-5</v>
      </c>
      <c r="AZ200" s="173">
        <f t="shared" si="71"/>
        <v>0</v>
      </c>
      <c r="BA200" s="233">
        <f t="shared" si="72"/>
        <v>1.9999999999999998E-5</v>
      </c>
      <c r="BB200" s="15">
        <f t="shared" si="78"/>
        <v>0</v>
      </c>
      <c r="BC200" s="173">
        <v>190</v>
      </c>
      <c r="BD200" s="84">
        <f t="shared" si="73"/>
        <v>1.2999999999999999E-5</v>
      </c>
      <c r="BE200" s="207">
        <f t="shared" si="74"/>
        <v>0</v>
      </c>
      <c r="BF200" s="233">
        <f t="shared" si="75"/>
        <v>1.9999999999999998E-5</v>
      </c>
      <c r="BG200" s="15">
        <f t="shared" si="79"/>
        <v>0</v>
      </c>
      <c r="BH200" s="173">
        <v>190</v>
      </c>
      <c r="BI200" s="84">
        <f t="shared" si="76"/>
        <v>1.2999999999999999E-5</v>
      </c>
      <c r="BJ200" s="207">
        <f t="shared" si="77"/>
        <v>0</v>
      </c>
      <c r="BL200" s="123"/>
      <c r="BM200" s="123"/>
      <c r="BO200" s="173"/>
      <c r="BP200" s="174" t="str">
        <f t="shared" si="80"/>
        <v/>
      </c>
      <c r="BQ200" s="174" t="str">
        <f t="shared" si="81"/>
        <v/>
      </c>
      <c r="BR200" s="174" t="str">
        <f t="shared" si="82"/>
        <v/>
      </c>
      <c r="BS200" s="174" t="str">
        <f t="shared" si="83"/>
        <v/>
      </c>
      <c r="BT200" s="174" t="str">
        <f t="shared" si="84"/>
        <v/>
      </c>
      <c r="BU200" s="174" t="str">
        <f t="shared" si="85"/>
        <v/>
      </c>
      <c r="BV200" s="174" t="str">
        <f t="shared" si="86"/>
        <v/>
      </c>
      <c r="BW200" s="174" t="str">
        <f t="shared" si="87"/>
        <v/>
      </c>
      <c r="BX200" s="174" t="str">
        <f t="shared" si="88"/>
        <v/>
      </c>
      <c r="BY200" s="174" t="str">
        <f t="shared" si="89"/>
        <v/>
      </c>
      <c r="BZ200" s="174" t="str">
        <f t="shared" si="90"/>
        <v/>
      </c>
      <c r="CA200" s="174" t="str">
        <f t="shared" si="91"/>
        <v/>
      </c>
      <c r="CB200" s="161"/>
      <c r="CC200" s="161"/>
      <c r="CD200" s="161"/>
      <c r="CE200" s="161" t="s">
        <v>150</v>
      </c>
      <c r="CF200" s="161"/>
    </row>
    <row r="201" spans="1:84" ht="14.25" customHeight="1" x14ac:dyDescent="0.25">
      <c r="A201" s="204">
        <v>191</v>
      </c>
      <c r="B201" s="211"/>
      <c r="C201" s="194"/>
      <c r="D201" s="142"/>
      <c r="E201" s="309" t="s">
        <v>92</v>
      </c>
      <c r="F201" s="305"/>
      <c r="G201" s="306"/>
      <c r="H201" s="306"/>
      <c r="I201" s="306"/>
      <c r="J201" s="306"/>
      <c r="K201" s="306"/>
      <c r="L201" s="223">
        <f t="shared" si="92"/>
        <v>0</v>
      </c>
      <c r="M201" s="298"/>
      <c r="N201" s="299"/>
      <c r="O201" s="341"/>
      <c r="P201" s="312" t="s">
        <v>66</v>
      </c>
      <c r="Q201" s="305"/>
      <c r="R201" s="306"/>
      <c r="S201" s="306"/>
      <c r="T201" s="306"/>
      <c r="U201" s="306"/>
      <c r="V201" s="306"/>
      <c r="W201" s="223">
        <f t="shared" si="93"/>
        <v>0</v>
      </c>
      <c r="X201" s="298"/>
      <c r="Y201" s="299"/>
      <c r="Z201" s="341"/>
      <c r="AA201" s="312" t="s">
        <v>86</v>
      </c>
      <c r="AB201" s="77"/>
      <c r="AC201" s="319"/>
      <c r="AD201" s="319"/>
      <c r="AE201" s="319"/>
      <c r="AF201" s="319"/>
      <c r="AG201" s="320"/>
      <c r="AH201" s="20">
        <f t="shared" si="94"/>
        <v>0</v>
      </c>
      <c r="AI201" s="77"/>
      <c r="AJ201" s="320"/>
      <c r="AK201" s="344"/>
      <c r="AL201" s="101"/>
      <c r="AM201" s="209"/>
      <c r="AN201" s="208"/>
      <c r="AO201" s="220"/>
      <c r="AP201" s="212"/>
      <c r="AQ201" s="220"/>
      <c r="AR201" s="212"/>
      <c r="AS201" s="220"/>
      <c r="AT201" s="212"/>
      <c r="AU201" s="15">
        <f t="shared" si="68"/>
        <v>2.0100000000000001E-5</v>
      </c>
      <c r="AV201" s="15">
        <f t="shared" si="69"/>
        <v>0</v>
      </c>
      <c r="AW201" s="15"/>
      <c r="AX201" s="173">
        <v>191</v>
      </c>
      <c r="AY201" s="206">
        <f t="shared" si="70"/>
        <v>1.45E-5</v>
      </c>
      <c r="AZ201" s="173">
        <f t="shared" si="71"/>
        <v>0</v>
      </c>
      <c r="BA201" s="233">
        <f t="shared" si="72"/>
        <v>2.0100000000000001E-5</v>
      </c>
      <c r="BB201" s="15">
        <f t="shared" si="78"/>
        <v>0</v>
      </c>
      <c r="BC201" s="173">
        <v>191</v>
      </c>
      <c r="BD201" s="84">
        <f t="shared" si="73"/>
        <v>1.29E-5</v>
      </c>
      <c r="BE201" s="207">
        <f t="shared" si="74"/>
        <v>0</v>
      </c>
      <c r="BF201" s="233">
        <f t="shared" si="75"/>
        <v>2.0100000000000001E-5</v>
      </c>
      <c r="BG201" s="15">
        <f t="shared" si="79"/>
        <v>0</v>
      </c>
      <c r="BH201" s="173">
        <v>191</v>
      </c>
      <c r="BI201" s="84">
        <f t="shared" si="76"/>
        <v>1.29E-5</v>
      </c>
      <c r="BJ201" s="207">
        <f t="shared" si="77"/>
        <v>0</v>
      </c>
      <c r="BL201" s="123"/>
      <c r="BM201" s="123"/>
      <c r="BO201" s="173"/>
      <c r="BP201" s="174" t="str">
        <f t="shared" si="80"/>
        <v/>
      </c>
      <c r="BQ201" s="174" t="str">
        <f t="shared" si="81"/>
        <v/>
      </c>
      <c r="BR201" s="174" t="str">
        <f t="shared" si="82"/>
        <v/>
      </c>
      <c r="BS201" s="174" t="str">
        <f t="shared" si="83"/>
        <v/>
      </c>
      <c r="BT201" s="174" t="str">
        <f t="shared" si="84"/>
        <v/>
      </c>
      <c r="BU201" s="174" t="str">
        <f t="shared" si="85"/>
        <v/>
      </c>
      <c r="BV201" s="174" t="str">
        <f t="shared" si="86"/>
        <v/>
      </c>
      <c r="BW201" s="174" t="str">
        <f t="shared" si="87"/>
        <v/>
      </c>
      <c r="BX201" s="174" t="str">
        <f t="shared" si="88"/>
        <v/>
      </c>
      <c r="BY201" s="174" t="str">
        <f t="shared" si="89"/>
        <v/>
      </c>
      <c r="BZ201" s="174" t="str">
        <f t="shared" si="90"/>
        <v/>
      </c>
      <c r="CA201" s="174" t="str">
        <f t="shared" si="91"/>
        <v/>
      </c>
      <c r="CB201" s="161"/>
      <c r="CC201" s="161"/>
      <c r="CD201" s="161"/>
      <c r="CE201" s="161" t="s">
        <v>150</v>
      </c>
      <c r="CF201" s="161"/>
    </row>
    <row r="202" spans="1:84" ht="14.25" customHeight="1" thickBot="1" x14ac:dyDescent="0.3">
      <c r="A202" s="205">
        <v>192</v>
      </c>
      <c r="B202" s="85"/>
      <c r="C202" s="195"/>
      <c r="D202" s="91"/>
      <c r="E202" s="310" t="s">
        <v>92</v>
      </c>
      <c r="F202" s="93"/>
      <c r="G202" s="97"/>
      <c r="H202" s="97"/>
      <c r="I202" s="97"/>
      <c r="J202" s="97"/>
      <c r="K202" s="97"/>
      <c r="L202" s="224">
        <f t="shared" si="92"/>
        <v>0</v>
      </c>
      <c r="M202" s="300"/>
      <c r="N202" s="301"/>
      <c r="O202" s="342"/>
      <c r="P202" s="313" t="s">
        <v>66</v>
      </c>
      <c r="Q202" s="93"/>
      <c r="R202" s="97"/>
      <c r="S202" s="97"/>
      <c r="T202" s="97"/>
      <c r="U202" s="97"/>
      <c r="V202" s="97"/>
      <c r="W202" s="224">
        <f t="shared" si="93"/>
        <v>0</v>
      </c>
      <c r="X202" s="300"/>
      <c r="Y202" s="301"/>
      <c r="Z202" s="342"/>
      <c r="AA202" s="313" t="s">
        <v>86</v>
      </c>
      <c r="AB202" s="78"/>
      <c r="AC202" s="321"/>
      <c r="AD202" s="321"/>
      <c r="AE202" s="321"/>
      <c r="AF202" s="321"/>
      <c r="AG202" s="322"/>
      <c r="AH202" s="88">
        <f t="shared" si="94"/>
        <v>0</v>
      </c>
      <c r="AI202" s="78"/>
      <c r="AJ202" s="322"/>
      <c r="AK202" s="345"/>
      <c r="AL202" s="102"/>
      <c r="AM202" s="99"/>
      <c r="AN202" s="227"/>
      <c r="AO202" s="221"/>
      <c r="AP202" s="90"/>
      <c r="AQ202" s="221"/>
      <c r="AR202" s="90"/>
      <c r="AS202" s="221"/>
      <c r="AT202" s="90"/>
      <c r="AU202" s="15">
        <f t="shared" si="68"/>
        <v>2.02E-5</v>
      </c>
      <c r="AV202" s="15">
        <f t="shared" si="69"/>
        <v>0</v>
      </c>
      <c r="AW202" s="15"/>
      <c r="AX202" s="173">
        <v>192</v>
      </c>
      <c r="AY202" s="206">
        <f t="shared" si="70"/>
        <v>1.4399999999999999E-5</v>
      </c>
      <c r="AZ202" s="173">
        <f t="shared" si="71"/>
        <v>0</v>
      </c>
      <c r="BA202" s="233">
        <f t="shared" si="72"/>
        <v>2.02E-5</v>
      </c>
      <c r="BB202" s="15">
        <f t="shared" si="78"/>
        <v>0</v>
      </c>
      <c r="BC202" s="173">
        <v>192</v>
      </c>
      <c r="BD202" s="84">
        <f t="shared" si="73"/>
        <v>1.2799999999999999E-5</v>
      </c>
      <c r="BE202" s="207">
        <f t="shared" si="74"/>
        <v>0</v>
      </c>
      <c r="BF202" s="233">
        <f t="shared" si="75"/>
        <v>2.02E-5</v>
      </c>
      <c r="BG202" s="15">
        <f t="shared" si="79"/>
        <v>0</v>
      </c>
      <c r="BH202" s="173">
        <v>192</v>
      </c>
      <c r="BI202" s="84">
        <f t="shared" si="76"/>
        <v>1.2799999999999999E-5</v>
      </c>
      <c r="BJ202" s="207">
        <f t="shared" si="77"/>
        <v>0</v>
      </c>
      <c r="BL202" s="123"/>
      <c r="BM202" s="123"/>
      <c r="BO202" s="173"/>
      <c r="BP202" s="174" t="str">
        <f t="shared" si="80"/>
        <v/>
      </c>
      <c r="BQ202" s="174" t="str">
        <f t="shared" si="81"/>
        <v/>
      </c>
      <c r="BR202" s="174" t="str">
        <f t="shared" si="82"/>
        <v/>
      </c>
      <c r="BS202" s="174" t="str">
        <f t="shared" si="83"/>
        <v/>
      </c>
      <c r="BT202" s="174" t="str">
        <f t="shared" si="84"/>
        <v/>
      </c>
      <c r="BU202" s="174" t="str">
        <f t="shared" si="85"/>
        <v/>
      </c>
      <c r="BV202" s="174" t="str">
        <f t="shared" si="86"/>
        <v/>
      </c>
      <c r="BW202" s="174" t="str">
        <f t="shared" si="87"/>
        <v/>
      </c>
      <c r="BX202" s="174" t="str">
        <f t="shared" si="88"/>
        <v/>
      </c>
      <c r="BY202" s="174" t="str">
        <f t="shared" si="89"/>
        <v/>
      </c>
      <c r="BZ202" s="174" t="str">
        <f t="shared" si="90"/>
        <v/>
      </c>
      <c r="CA202" s="174" t="str">
        <f t="shared" si="91"/>
        <v/>
      </c>
      <c r="CB202" s="161"/>
      <c r="CC202" s="161"/>
      <c r="CD202" s="161"/>
      <c r="CE202" s="161" t="s">
        <v>150</v>
      </c>
      <c r="CF202" s="161"/>
    </row>
    <row r="203" spans="1:84" ht="14.25" customHeight="1" x14ac:dyDescent="0.25">
      <c r="A203" s="203">
        <v>193</v>
      </c>
      <c r="B203" s="86"/>
      <c r="C203" s="193"/>
      <c r="D203" s="143"/>
      <c r="E203" s="308" t="s">
        <v>92</v>
      </c>
      <c r="F203" s="213"/>
      <c r="G203" s="214"/>
      <c r="H203" s="214"/>
      <c r="I203" s="214"/>
      <c r="J203" s="214"/>
      <c r="K203" s="214"/>
      <c r="L203" s="295">
        <f t="shared" si="92"/>
        <v>0</v>
      </c>
      <c r="M203" s="296"/>
      <c r="N203" s="297"/>
      <c r="O203" s="340"/>
      <c r="P203" s="311" t="s">
        <v>66</v>
      </c>
      <c r="Q203" s="213"/>
      <c r="R203" s="214"/>
      <c r="S203" s="214"/>
      <c r="T203" s="214"/>
      <c r="U203" s="214"/>
      <c r="V203" s="214"/>
      <c r="W203" s="295">
        <f t="shared" si="93"/>
        <v>0</v>
      </c>
      <c r="X203" s="296"/>
      <c r="Y203" s="297"/>
      <c r="Z203" s="346"/>
      <c r="AA203" s="314" t="s">
        <v>148</v>
      </c>
      <c r="AB203" s="13"/>
      <c r="AC203" s="222"/>
      <c r="AD203" s="222"/>
      <c r="AE203" s="222"/>
      <c r="AF203" s="222"/>
      <c r="AG203" s="5"/>
      <c r="AH203" s="20">
        <f t="shared" si="94"/>
        <v>0</v>
      </c>
      <c r="AI203" s="13"/>
      <c r="AJ203" s="5"/>
      <c r="AK203" s="343"/>
      <c r="AL203" s="100"/>
      <c r="AM203" s="98"/>
      <c r="AN203" s="226"/>
      <c r="AO203" s="225"/>
      <c r="AP203" s="89"/>
      <c r="AQ203" s="225"/>
      <c r="AR203" s="89"/>
      <c r="AS203" s="225"/>
      <c r="AT203" s="89"/>
      <c r="AU203" s="15">
        <f t="shared" ref="AU203:AU266" si="95">L203+ROW()*0.0000001</f>
        <v>2.0299999999999999E-5</v>
      </c>
      <c r="AV203" s="15">
        <f t="shared" ref="AV203:AV266" si="96">B203</f>
        <v>0</v>
      </c>
      <c r="AW203" s="15"/>
      <c r="AX203" s="173">
        <v>193</v>
      </c>
      <c r="AY203" s="206">
        <f t="shared" ref="AY203:AY266" si="97">IFERROR(LARGE($AU$11:$AU$319,AX203),"")</f>
        <v>1.4299999999999999E-5</v>
      </c>
      <c r="AZ203" s="173">
        <f t="shared" ref="AZ203:AZ266" si="98">IFERROR(VLOOKUP(AY203,الترتيب1,2,0),"")</f>
        <v>0</v>
      </c>
      <c r="BA203" s="233">
        <f t="shared" ref="BA203:BA266" si="99">W203+ROW()*0.0000001</f>
        <v>2.0299999999999999E-5</v>
      </c>
      <c r="BB203" s="15">
        <f t="shared" si="78"/>
        <v>0</v>
      </c>
      <c r="BC203" s="173">
        <v>193</v>
      </c>
      <c r="BD203" s="84">
        <f t="shared" ref="BD203:BD266" si="100">IFERROR(LARGE($BA$11:$BA$319,BC203),"")</f>
        <v>1.2699999999999999E-5</v>
      </c>
      <c r="BE203" s="207">
        <f t="shared" ref="BE203:BE266" si="101">IFERROR(VLOOKUP(BD203,الترتيب2,2,0),"")</f>
        <v>0</v>
      </c>
      <c r="BF203" s="233">
        <f t="shared" ref="BF203:BF266" si="102">AH203+ROW()*0.0000001</f>
        <v>2.0299999999999999E-5</v>
      </c>
      <c r="BG203" s="15">
        <f t="shared" si="79"/>
        <v>0</v>
      </c>
      <c r="BH203" s="173">
        <v>193</v>
      </c>
      <c r="BI203" s="84">
        <f t="shared" ref="BI203:BI266" si="103">IFERROR(LARGE($BF$11:$BF$319,BH203),"")</f>
        <v>1.2699999999999999E-5</v>
      </c>
      <c r="BJ203" s="207">
        <f t="shared" ref="BJ203:BJ266" si="104">IFERROR(VLOOKUP(BI203,الترتيب3,2,0),"")</f>
        <v>0</v>
      </c>
      <c r="BL203" s="123"/>
      <c r="BM203" s="123"/>
      <c r="BO203" s="173"/>
      <c r="BP203" s="174" t="str">
        <f t="shared" si="80"/>
        <v/>
      </c>
      <c r="BQ203" s="174" t="str">
        <f t="shared" si="81"/>
        <v/>
      </c>
      <c r="BR203" s="174" t="str">
        <f t="shared" si="82"/>
        <v/>
      </c>
      <c r="BS203" s="174" t="str">
        <f t="shared" si="83"/>
        <v/>
      </c>
      <c r="BT203" s="174" t="str">
        <f t="shared" si="84"/>
        <v/>
      </c>
      <c r="BU203" s="174" t="str">
        <f t="shared" si="85"/>
        <v/>
      </c>
      <c r="BV203" s="174" t="str">
        <f t="shared" si="86"/>
        <v/>
      </c>
      <c r="BW203" s="174" t="str">
        <f t="shared" si="87"/>
        <v/>
      </c>
      <c r="BX203" s="174" t="str">
        <f t="shared" si="88"/>
        <v/>
      </c>
      <c r="BY203" s="174" t="str">
        <f t="shared" si="89"/>
        <v/>
      </c>
      <c r="BZ203" s="174" t="str">
        <f t="shared" si="90"/>
        <v/>
      </c>
      <c r="CA203" s="174" t="str">
        <f t="shared" si="91"/>
        <v/>
      </c>
      <c r="CB203" s="161"/>
      <c r="CC203" s="161"/>
      <c r="CD203" s="161"/>
      <c r="CE203" s="161" t="s">
        <v>150</v>
      </c>
      <c r="CF203" s="161"/>
    </row>
    <row r="204" spans="1:84" ht="14.25" customHeight="1" x14ac:dyDescent="0.25">
      <c r="A204" s="204">
        <v>194</v>
      </c>
      <c r="B204" s="211"/>
      <c r="C204" s="194"/>
      <c r="D204" s="142"/>
      <c r="E204" s="309" t="s">
        <v>92</v>
      </c>
      <c r="F204" s="305"/>
      <c r="G204" s="306"/>
      <c r="H204" s="306"/>
      <c r="I204" s="306"/>
      <c r="J204" s="306"/>
      <c r="K204" s="306"/>
      <c r="L204" s="223">
        <f t="shared" si="92"/>
        <v>0</v>
      </c>
      <c r="M204" s="298"/>
      <c r="N204" s="299"/>
      <c r="O204" s="341"/>
      <c r="P204" s="312" t="s">
        <v>66</v>
      </c>
      <c r="Q204" s="305"/>
      <c r="R204" s="306"/>
      <c r="S204" s="306"/>
      <c r="T204" s="306"/>
      <c r="U204" s="306"/>
      <c r="V204" s="306"/>
      <c r="W204" s="223">
        <f t="shared" si="93"/>
        <v>0</v>
      </c>
      <c r="X204" s="298"/>
      <c r="Y204" s="299"/>
      <c r="Z204" s="341"/>
      <c r="AA204" s="312" t="s">
        <v>86</v>
      </c>
      <c r="AB204" s="77"/>
      <c r="AC204" s="319"/>
      <c r="AD204" s="319"/>
      <c r="AE204" s="319"/>
      <c r="AF204" s="319"/>
      <c r="AG204" s="320"/>
      <c r="AH204" s="20">
        <f t="shared" si="94"/>
        <v>0</v>
      </c>
      <c r="AI204" s="77"/>
      <c r="AJ204" s="320"/>
      <c r="AK204" s="344"/>
      <c r="AL204" s="101"/>
      <c r="AM204" s="209"/>
      <c r="AN204" s="208"/>
      <c r="AO204" s="220"/>
      <c r="AP204" s="212"/>
      <c r="AQ204" s="220"/>
      <c r="AR204" s="212"/>
      <c r="AS204" s="220"/>
      <c r="AT204" s="212"/>
      <c r="AU204" s="15">
        <f t="shared" si="95"/>
        <v>2.0399999999999998E-5</v>
      </c>
      <c r="AV204" s="15">
        <f t="shared" si="96"/>
        <v>0</v>
      </c>
      <c r="AW204" s="15"/>
      <c r="AX204" s="173">
        <v>194</v>
      </c>
      <c r="AY204" s="206">
        <f t="shared" si="97"/>
        <v>1.42E-5</v>
      </c>
      <c r="AZ204" s="173">
        <f t="shared" si="98"/>
        <v>0</v>
      </c>
      <c r="BA204" s="233">
        <f t="shared" si="99"/>
        <v>2.0399999999999998E-5</v>
      </c>
      <c r="BB204" s="15">
        <f t="shared" ref="BB204:BB267" si="105">AV204</f>
        <v>0</v>
      </c>
      <c r="BC204" s="173">
        <v>194</v>
      </c>
      <c r="BD204" s="84">
        <f t="shared" si="100"/>
        <v>1.26E-5</v>
      </c>
      <c r="BE204" s="207">
        <f t="shared" si="101"/>
        <v>0</v>
      </c>
      <c r="BF204" s="233">
        <f t="shared" si="102"/>
        <v>2.0399999999999998E-5</v>
      </c>
      <c r="BG204" s="15">
        <f t="shared" ref="BG204:BG267" si="106">BB204</f>
        <v>0</v>
      </c>
      <c r="BH204" s="173">
        <v>194</v>
      </c>
      <c r="BI204" s="84">
        <f t="shared" si="103"/>
        <v>1.26E-5</v>
      </c>
      <c r="BJ204" s="207">
        <f t="shared" si="104"/>
        <v>0</v>
      </c>
      <c r="BL204" s="123"/>
      <c r="BM204" s="123"/>
      <c r="BO204" s="173"/>
      <c r="BP204" s="174" t="str">
        <f t="shared" ref="BP204:BP267" si="107">MID($BN204,12,1)</f>
        <v/>
      </c>
      <c r="BQ204" s="174" t="str">
        <f t="shared" ref="BQ204:BQ267" si="108">MID($BN204,11,1)</f>
        <v/>
      </c>
      <c r="BR204" s="174" t="str">
        <f t="shared" ref="BR204:BR267" si="109">MID($BN204,10,1)</f>
        <v/>
      </c>
      <c r="BS204" s="174" t="str">
        <f t="shared" ref="BS204:BS267" si="110">MID($BN204,9,1)</f>
        <v/>
      </c>
      <c r="BT204" s="174" t="str">
        <f t="shared" ref="BT204:BT267" si="111">MID($BN204,8,1)</f>
        <v/>
      </c>
      <c r="BU204" s="174" t="str">
        <f t="shared" ref="BU204:BU267" si="112">MID($BN204,7,1)</f>
        <v/>
      </c>
      <c r="BV204" s="174" t="str">
        <f t="shared" ref="BV204:BV267" si="113">MID($BN204,6,1)</f>
        <v/>
      </c>
      <c r="BW204" s="174" t="str">
        <f t="shared" ref="BW204:BW267" si="114">MID($BN204,5,1)</f>
        <v/>
      </c>
      <c r="BX204" s="174" t="str">
        <f t="shared" ref="BX204:BX267" si="115">MID($BN204,4,1)</f>
        <v/>
      </c>
      <c r="BY204" s="174" t="str">
        <f t="shared" ref="BY204:BY267" si="116">MID($BN204,3,1)</f>
        <v/>
      </c>
      <c r="BZ204" s="174" t="str">
        <f t="shared" ref="BZ204:BZ267" si="117">MID($BN204,2,1)</f>
        <v/>
      </c>
      <c r="CA204" s="174" t="str">
        <f t="shared" ref="CA204:CA267" si="118">MID($BN204,1,1)</f>
        <v/>
      </c>
      <c r="CB204" s="161"/>
      <c r="CC204" s="161"/>
      <c r="CD204" s="161"/>
      <c r="CE204" s="161" t="s">
        <v>150</v>
      </c>
      <c r="CF204" s="161"/>
    </row>
    <row r="205" spans="1:84" ht="14.25" customHeight="1" thickBot="1" x14ac:dyDescent="0.3">
      <c r="A205" s="205">
        <v>195</v>
      </c>
      <c r="B205" s="85"/>
      <c r="C205" s="195"/>
      <c r="D205" s="91"/>
      <c r="E205" s="310" t="s">
        <v>92</v>
      </c>
      <c r="F205" s="93"/>
      <c r="G205" s="97"/>
      <c r="H205" s="97"/>
      <c r="I205" s="97"/>
      <c r="J205" s="97"/>
      <c r="K205" s="97"/>
      <c r="L205" s="224">
        <f t="shared" si="92"/>
        <v>0</v>
      </c>
      <c r="M205" s="300"/>
      <c r="N205" s="301"/>
      <c r="O205" s="342"/>
      <c r="P205" s="313" t="s">
        <v>66</v>
      </c>
      <c r="Q205" s="93"/>
      <c r="R205" s="97"/>
      <c r="S205" s="97"/>
      <c r="T205" s="97"/>
      <c r="U205" s="97"/>
      <c r="V205" s="97"/>
      <c r="W205" s="224">
        <f t="shared" si="93"/>
        <v>0</v>
      </c>
      <c r="X205" s="300"/>
      <c r="Y205" s="301"/>
      <c r="Z205" s="342"/>
      <c r="AA205" s="313" t="s">
        <v>86</v>
      </c>
      <c r="AB205" s="78"/>
      <c r="AC205" s="321"/>
      <c r="AD205" s="321"/>
      <c r="AE205" s="321"/>
      <c r="AF205" s="321"/>
      <c r="AG205" s="322"/>
      <c r="AH205" s="88">
        <f t="shared" si="94"/>
        <v>0</v>
      </c>
      <c r="AI205" s="78"/>
      <c r="AJ205" s="322"/>
      <c r="AK205" s="345"/>
      <c r="AL205" s="102"/>
      <c r="AM205" s="99"/>
      <c r="AN205" s="227"/>
      <c r="AO205" s="221"/>
      <c r="AP205" s="90"/>
      <c r="AQ205" s="221"/>
      <c r="AR205" s="90"/>
      <c r="AS205" s="221"/>
      <c r="AT205" s="90"/>
      <c r="AU205" s="15">
        <f t="shared" si="95"/>
        <v>2.05E-5</v>
      </c>
      <c r="AV205" s="15">
        <f t="shared" si="96"/>
        <v>0</v>
      </c>
      <c r="AW205" s="15"/>
      <c r="AX205" s="173">
        <v>195</v>
      </c>
      <c r="AY205" s="206">
        <f t="shared" si="97"/>
        <v>1.4099999999999999E-5</v>
      </c>
      <c r="AZ205" s="173">
        <f t="shared" si="98"/>
        <v>0</v>
      </c>
      <c r="BA205" s="233">
        <f t="shared" si="99"/>
        <v>2.05E-5</v>
      </c>
      <c r="BB205" s="15">
        <f t="shared" si="105"/>
        <v>0</v>
      </c>
      <c r="BC205" s="173">
        <v>195</v>
      </c>
      <c r="BD205" s="84">
        <f t="shared" si="100"/>
        <v>1.2499999999999999E-5</v>
      </c>
      <c r="BE205" s="207">
        <f t="shared" si="101"/>
        <v>0</v>
      </c>
      <c r="BF205" s="233">
        <f t="shared" si="102"/>
        <v>2.05E-5</v>
      </c>
      <c r="BG205" s="15">
        <f t="shared" si="106"/>
        <v>0</v>
      </c>
      <c r="BH205" s="173">
        <v>195</v>
      </c>
      <c r="BI205" s="84">
        <f t="shared" si="103"/>
        <v>1.2499999999999999E-5</v>
      </c>
      <c r="BJ205" s="207">
        <f t="shared" si="104"/>
        <v>0</v>
      </c>
      <c r="BL205" s="123"/>
      <c r="BM205" s="123"/>
      <c r="BO205" s="173"/>
      <c r="BP205" s="174" t="str">
        <f t="shared" si="107"/>
        <v/>
      </c>
      <c r="BQ205" s="174" t="str">
        <f t="shared" si="108"/>
        <v/>
      </c>
      <c r="BR205" s="174" t="str">
        <f t="shared" si="109"/>
        <v/>
      </c>
      <c r="BS205" s="174" t="str">
        <f t="shared" si="110"/>
        <v/>
      </c>
      <c r="BT205" s="174" t="str">
        <f t="shared" si="111"/>
        <v/>
      </c>
      <c r="BU205" s="174" t="str">
        <f t="shared" si="112"/>
        <v/>
      </c>
      <c r="BV205" s="174" t="str">
        <f t="shared" si="113"/>
        <v/>
      </c>
      <c r="BW205" s="174" t="str">
        <f t="shared" si="114"/>
        <v/>
      </c>
      <c r="BX205" s="174" t="str">
        <f t="shared" si="115"/>
        <v/>
      </c>
      <c r="BY205" s="174" t="str">
        <f t="shared" si="116"/>
        <v/>
      </c>
      <c r="BZ205" s="174" t="str">
        <f t="shared" si="117"/>
        <v/>
      </c>
      <c r="CA205" s="174" t="str">
        <f t="shared" si="118"/>
        <v/>
      </c>
      <c r="CB205" s="161"/>
      <c r="CC205" s="161"/>
      <c r="CD205" s="161"/>
      <c r="CE205" s="161" t="s">
        <v>150</v>
      </c>
      <c r="CF205" s="161"/>
    </row>
    <row r="206" spans="1:84" ht="14.25" customHeight="1" x14ac:dyDescent="0.25">
      <c r="A206" s="203">
        <v>196</v>
      </c>
      <c r="B206" s="86"/>
      <c r="C206" s="193"/>
      <c r="D206" s="143"/>
      <c r="E206" s="308" t="s">
        <v>92</v>
      </c>
      <c r="F206" s="213"/>
      <c r="G206" s="214"/>
      <c r="H206" s="214"/>
      <c r="I206" s="214"/>
      <c r="J206" s="214"/>
      <c r="K206" s="214"/>
      <c r="L206" s="295">
        <f t="shared" ref="L206:L269" si="119">SUM(F206:K206)</f>
        <v>0</v>
      </c>
      <c r="M206" s="296"/>
      <c r="N206" s="297"/>
      <c r="O206" s="340"/>
      <c r="P206" s="311" t="s">
        <v>66</v>
      </c>
      <c r="Q206" s="213"/>
      <c r="R206" s="214"/>
      <c r="S206" s="214"/>
      <c r="T206" s="214"/>
      <c r="U206" s="214"/>
      <c r="V206" s="214"/>
      <c r="W206" s="295">
        <f t="shared" ref="W206:W269" si="120">SUM(Q206:V206)</f>
        <v>0</v>
      </c>
      <c r="X206" s="296"/>
      <c r="Y206" s="297"/>
      <c r="Z206" s="346"/>
      <c r="AA206" s="314" t="s">
        <v>148</v>
      </c>
      <c r="AB206" s="13"/>
      <c r="AC206" s="222"/>
      <c r="AD206" s="222"/>
      <c r="AE206" s="222"/>
      <c r="AF206" s="222"/>
      <c r="AG206" s="5"/>
      <c r="AH206" s="20">
        <f t="shared" ref="AH206:AH269" si="121">SUM(AB206:AG206)</f>
        <v>0</v>
      </c>
      <c r="AI206" s="13"/>
      <c r="AJ206" s="5"/>
      <c r="AK206" s="343"/>
      <c r="AL206" s="100"/>
      <c r="AM206" s="98"/>
      <c r="AN206" s="226"/>
      <c r="AO206" s="225"/>
      <c r="AP206" s="89"/>
      <c r="AQ206" s="225"/>
      <c r="AR206" s="89"/>
      <c r="AS206" s="225"/>
      <c r="AT206" s="89"/>
      <c r="AU206" s="15">
        <f t="shared" si="95"/>
        <v>2.0599999999999999E-5</v>
      </c>
      <c r="AV206" s="15">
        <f t="shared" si="96"/>
        <v>0</v>
      </c>
      <c r="AW206" s="15"/>
      <c r="AX206" s="173">
        <v>196</v>
      </c>
      <c r="AY206" s="206">
        <f t="shared" si="97"/>
        <v>1.4E-5</v>
      </c>
      <c r="AZ206" s="173">
        <f t="shared" si="98"/>
        <v>0</v>
      </c>
      <c r="BA206" s="233">
        <f t="shared" si="99"/>
        <v>2.0599999999999999E-5</v>
      </c>
      <c r="BB206" s="15">
        <f t="shared" si="105"/>
        <v>0</v>
      </c>
      <c r="BC206" s="173">
        <v>196</v>
      </c>
      <c r="BD206" s="84">
        <f t="shared" si="100"/>
        <v>1.24E-5</v>
      </c>
      <c r="BE206" s="207">
        <f t="shared" si="101"/>
        <v>0</v>
      </c>
      <c r="BF206" s="233">
        <f t="shared" si="102"/>
        <v>2.0599999999999999E-5</v>
      </c>
      <c r="BG206" s="15">
        <f t="shared" si="106"/>
        <v>0</v>
      </c>
      <c r="BH206" s="173">
        <v>196</v>
      </c>
      <c r="BI206" s="84">
        <f t="shared" si="103"/>
        <v>1.24E-5</v>
      </c>
      <c r="BJ206" s="207">
        <f t="shared" si="104"/>
        <v>0</v>
      </c>
      <c r="BL206" s="123"/>
      <c r="BM206" s="123"/>
      <c r="BO206" s="173"/>
      <c r="BP206" s="174" t="str">
        <f t="shared" si="107"/>
        <v/>
      </c>
      <c r="BQ206" s="174" t="str">
        <f t="shared" si="108"/>
        <v/>
      </c>
      <c r="BR206" s="174" t="str">
        <f t="shared" si="109"/>
        <v/>
      </c>
      <c r="BS206" s="174" t="str">
        <f t="shared" si="110"/>
        <v/>
      </c>
      <c r="BT206" s="174" t="str">
        <f t="shared" si="111"/>
        <v/>
      </c>
      <c r="BU206" s="174" t="str">
        <f t="shared" si="112"/>
        <v/>
      </c>
      <c r="BV206" s="174" t="str">
        <f t="shared" si="113"/>
        <v/>
      </c>
      <c r="BW206" s="174" t="str">
        <f t="shared" si="114"/>
        <v/>
      </c>
      <c r="BX206" s="174" t="str">
        <f t="shared" si="115"/>
        <v/>
      </c>
      <c r="BY206" s="174" t="str">
        <f t="shared" si="116"/>
        <v/>
      </c>
      <c r="BZ206" s="174" t="str">
        <f t="shared" si="117"/>
        <v/>
      </c>
      <c r="CA206" s="174" t="str">
        <f t="shared" si="118"/>
        <v/>
      </c>
      <c r="CB206" s="161"/>
      <c r="CC206" s="161"/>
      <c r="CD206" s="161"/>
      <c r="CE206" s="161" t="s">
        <v>150</v>
      </c>
      <c r="CF206" s="161"/>
    </row>
    <row r="207" spans="1:84" ht="14.25" customHeight="1" x14ac:dyDescent="0.25">
      <c r="A207" s="204">
        <v>197</v>
      </c>
      <c r="B207" s="211"/>
      <c r="C207" s="194"/>
      <c r="D207" s="142"/>
      <c r="E207" s="309" t="s">
        <v>92</v>
      </c>
      <c r="F207" s="305"/>
      <c r="G207" s="306"/>
      <c r="H207" s="306"/>
      <c r="I207" s="306"/>
      <c r="J207" s="306"/>
      <c r="K207" s="306"/>
      <c r="L207" s="223">
        <f t="shared" si="119"/>
        <v>0</v>
      </c>
      <c r="M207" s="298"/>
      <c r="N207" s="299"/>
      <c r="O207" s="341"/>
      <c r="P207" s="312" t="s">
        <v>66</v>
      </c>
      <c r="Q207" s="305"/>
      <c r="R207" s="306"/>
      <c r="S207" s="306"/>
      <c r="T207" s="306"/>
      <c r="U207" s="306"/>
      <c r="V207" s="306"/>
      <c r="W207" s="223">
        <f t="shared" si="120"/>
        <v>0</v>
      </c>
      <c r="X207" s="298"/>
      <c r="Y207" s="299"/>
      <c r="Z207" s="341"/>
      <c r="AA207" s="312" t="s">
        <v>86</v>
      </c>
      <c r="AB207" s="77"/>
      <c r="AC207" s="319"/>
      <c r="AD207" s="319"/>
      <c r="AE207" s="319"/>
      <c r="AF207" s="319"/>
      <c r="AG207" s="320"/>
      <c r="AH207" s="20">
        <f t="shared" si="121"/>
        <v>0</v>
      </c>
      <c r="AI207" s="77"/>
      <c r="AJ207" s="320"/>
      <c r="AK207" s="344"/>
      <c r="AL207" s="101"/>
      <c r="AM207" s="209"/>
      <c r="AN207" s="208"/>
      <c r="AO207" s="220"/>
      <c r="AP207" s="212"/>
      <c r="AQ207" s="220"/>
      <c r="AR207" s="212"/>
      <c r="AS207" s="220"/>
      <c r="AT207" s="212"/>
      <c r="AU207" s="15">
        <f t="shared" si="95"/>
        <v>2.0699999999999998E-5</v>
      </c>
      <c r="AV207" s="15">
        <f t="shared" si="96"/>
        <v>0</v>
      </c>
      <c r="AW207" s="15"/>
      <c r="AX207" s="173">
        <v>197</v>
      </c>
      <c r="AY207" s="206">
        <f t="shared" si="97"/>
        <v>1.3899999999999999E-5</v>
      </c>
      <c r="AZ207" s="173">
        <f t="shared" si="98"/>
        <v>0</v>
      </c>
      <c r="BA207" s="233">
        <f t="shared" si="99"/>
        <v>2.0699999999999998E-5</v>
      </c>
      <c r="BB207" s="15">
        <f t="shared" si="105"/>
        <v>0</v>
      </c>
      <c r="BC207" s="173">
        <v>197</v>
      </c>
      <c r="BD207" s="84">
        <f t="shared" si="100"/>
        <v>1.2299999999999999E-5</v>
      </c>
      <c r="BE207" s="207">
        <f t="shared" si="101"/>
        <v>0</v>
      </c>
      <c r="BF207" s="233">
        <f t="shared" si="102"/>
        <v>2.0699999999999998E-5</v>
      </c>
      <c r="BG207" s="15">
        <f t="shared" si="106"/>
        <v>0</v>
      </c>
      <c r="BH207" s="173">
        <v>197</v>
      </c>
      <c r="BI207" s="84">
        <f t="shared" si="103"/>
        <v>1.2299999999999999E-5</v>
      </c>
      <c r="BJ207" s="207">
        <f t="shared" si="104"/>
        <v>0</v>
      </c>
      <c r="BL207" s="123"/>
      <c r="BM207" s="123"/>
      <c r="BO207" s="173"/>
      <c r="BP207" s="174" t="str">
        <f t="shared" si="107"/>
        <v/>
      </c>
      <c r="BQ207" s="174" t="str">
        <f t="shared" si="108"/>
        <v/>
      </c>
      <c r="BR207" s="174" t="str">
        <f t="shared" si="109"/>
        <v/>
      </c>
      <c r="BS207" s="174" t="str">
        <f t="shared" si="110"/>
        <v/>
      </c>
      <c r="BT207" s="174" t="str">
        <f t="shared" si="111"/>
        <v/>
      </c>
      <c r="BU207" s="174" t="str">
        <f t="shared" si="112"/>
        <v/>
      </c>
      <c r="BV207" s="174" t="str">
        <f t="shared" si="113"/>
        <v/>
      </c>
      <c r="BW207" s="174" t="str">
        <f t="shared" si="114"/>
        <v/>
      </c>
      <c r="BX207" s="174" t="str">
        <f t="shared" si="115"/>
        <v/>
      </c>
      <c r="BY207" s="174" t="str">
        <f t="shared" si="116"/>
        <v/>
      </c>
      <c r="BZ207" s="174" t="str">
        <f t="shared" si="117"/>
        <v/>
      </c>
      <c r="CA207" s="174" t="str">
        <f t="shared" si="118"/>
        <v/>
      </c>
      <c r="CB207" s="161"/>
      <c r="CC207" s="161"/>
      <c r="CD207" s="161"/>
      <c r="CE207" s="161" t="s">
        <v>150</v>
      </c>
      <c r="CF207" s="161"/>
    </row>
    <row r="208" spans="1:84" ht="14.25" customHeight="1" thickBot="1" x14ac:dyDescent="0.3">
      <c r="A208" s="205">
        <v>198</v>
      </c>
      <c r="B208" s="85"/>
      <c r="C208" s="195"/>
      <c r="D208" s="91"/>
      <c r="E208" s="310" t="s">
        <v>92</v>
      </c>
      <c r="F208" s="93"/>
      <c r="G208" s="97"/>
      <c r="H208" s="97"/>
      <c r="I208" s="97"/>
      <c r="J208" s="97"/>
      <c r="K208" s="97"/>
      <c r="L208" s="224">
        <f t="shared" si="119"/>
        <v>0</v>
      </c>
      <c r="M208" s="300"/>
      <c r="N208" s="301"/>
      <c r="O208" s="342"/>
      <c r="P208" s="313" t="s">
        <v>66</v>
      </c>
      <c r="Q208" s="93"/>
      <c r="R208" s="97"/>
      <c r="S208" s="97"/>
      <c r="T208" s="97"/>
      <c r="U208" s="97"/>
      <c r="V208" s="97"/>
      <c r="W208" s="224">
        <f t="shared" si="120"/>
        <v>0</v>
      </c>
      <c r="X208" s="300"/>
      <c r="Y208" s="301"/>
      <c r="Z208" s="342"/>
      <c r="AA208" s="313" t="s">
        <v>86</v>
      </c>
      <c r="AB208" s="78"/>
      <c r="AC208" s="321"/>
      <c r="AD208" s="321"/>
      <c r="AE208" s="321"/>
      <c r="AF208" s="321"/>
      <c r="AG208" s="322"/>
      <c r="AH208" s="88">
        <f t="shared" si="121"/>
        <v>0</v>
      </c>
      <c r="AI208" s="78"/>
      <c r="AJ208" s="322"/>
      <c r="AK208" s="345"/>
      <c r="AL208" s="102"/>
      <c r="AM208" s="99"/>
      <c r="AN208" s="227"/>
      <c r="AO208" s="221"/>
      <c r="AP208" s="90"/>
      <c r="AQ208" s="221"/>
      <c r="AR208" s="90"/>
      <c r="AS208" s="221"/>
      <c r="AT208" s="90"/>
      <c r="AU208" s="15">
        <f t="shared" si="95"/>
        <v>2.0799999999999997E-5</v>
      </c>
      <c r="AV208" s="15">
        <f t="shared" si="96"/>
        <v>0</v>
      </c>
      <c r="AW208" s="15"/>
      <c r="AX208" s="173">
        <v>198</v>
      </c>
      <c r="AY208" s="206">
        <f t="shared" si="97"/>
        <v>1.38E-5</v>
      </c>
      <c r="AZ208" s="173">
        <f t="shared" si="98"/>
        <v>0</v>
      </c>
      <c r="BA208" s="233">
        <f t="shared" si="99"/>
        <v>2.0799999999999997E-5</v>
      </c>
      <c r="BB208" s="15">
        <f t="shared" si="105"/>
        <v>0</v>
      </c>
      <c r="BC208" s="173">
        <v>198</v>
      </c>
      <c r="BD208" s="84">
        <f t="shared" si="100"/>
        <v>1.22E-5</v>
      </c>
      <c r="BE208" s="207">
        <f t="shared" si="101"/>
        <v>0</v>
      </c>
      <c r="BF208" s="233">
        <f t="shared" si="102"/>
        <v>2.0799999999999997E-5</v>
      </c>
      <c r="BG208" s="15">
        <f t="shared" si="106"/>
        <v>0</v>
      </c>
      <c r="BH208" s="173">
        <v>198</v>
      </c>
      <c r="BI208" s="84">
        <f t="shared" si="103"/>
        <v>1.22E-5</v>
      </c>
      <c r="BJ208" s="207">
        <f t="shared" si="104"/>
        <v>0</v>
      </c>
      <c r="BL208" s="123"/>
      <c r="BM208" s="123"/>
      <c r="BO208" s="173"/>
      <c r="BP208" s="174" t="str">
        <f t="shared" si="107"/>
        <v/>
      </c>
      <c r="BQ208" s="174" t="str">
        <f t="shared" si="108"/>
        <v/>
      </c>
      <c r="BR208" s="174" t="str">
        <f t="shared" si="109"/>
        <v/>
      </c>
      <c r="BS208" s="174" t="str">
        <f t="shared" si="110"/>
        <v/>
      </c>
      <c r="BT208" s="174" t="str">
        <f t="shared" si="111"/>
        <v/>
      </c>
      <c r="BU208" s="174" t="str">
        <f t="shared" si="112"/>
        <v/>
      </c>
      <c r="BV208" s="174" t="str">
        <f t="shared" si="113"/>
        <v/>
      </c>
      <c r="BW208" s="174" t="str">
        <f t="shared" si="114"/>
        <v/>
      </c>
      <c r="BX208" s="174" t="str">
        <f t="shared" si="115"/>
        <v/>
      </c>
      <c r="BY208" s="174" t="str">
        <f t="shared" si="116"/>
        <v/>
      </c>
      <c r="BZ208" s="174" t="str">
        <f t="shared" si="117"/>
        <v/>
      </c>
      <c r="CA208" s="174" t="str">
        <f t="shared" si="118"/>
        <v/>
      </c>
      <c r="CB208" s="161"/>
      <c r="CC208" s="161"/>
      <c r="CD208" s="161"/>
      <c r="CE208" s="161" t="s">
        <v>150</v>
      </c>
      <c r="CF208" s="161"/>
    </row>
    <row r="209" spans="1:84" ht="14.25" customHeight="1" x14ac:dyDescent="0.25">
      <c r="A209" s="203">
        <v>199</v>
      </c>
      <c r="B209" s="86"/>
      <c r="C209" s="193"/>
      <c r="D209" s="143"/>
      <c r="E209" s="308" t="s">
        <v>92</v>
      </c>
      <c r="F209" s="213"/>
      <c r="G209" s="214"/>
      <c r="H209" s="214"/>
      <c r="I209" s="214"/>
      <c r="J209" s="214"/>
      <c r="K209" s="214"/>
      <c r="L209" s="295">
        <f t="shared" si="119"/>
        <v>0</v>
      </c>
      <c r="M209" s="296"/>
      <c r="N209" s="297"/>
      <c r="O209" s="340"/>
      <c r="P209" s="311" t="s">
        <v>66</v>
      </c>
      <c r="Q209" s="213"/>
      <c r="R209" s="214"/>
      <c r="S209" s="214"/>
      <c r="T209" s="214"/>
      <c r="U209" s="214"/>
      <c r="V209" s="214"/>
      <c r="W209" s="295">
        <f t="shared" si="120"/>
        <v>0</v>
      </c>
      <c r="X209" s="296"/>
      <c r="Y209" s="297"/>
      <c r="Z209" s="346"/>
      <c r="AA209" s="314" t="s">
        <v>148</v>
      </c>
      <c r="AB209" s="13"/>
      <c r="AC209" s="222"/>
      <c r="AD209" s="222"/>
      <c r="AE209" s="222"/>
      <c r="AF209" s="222"/>
      <c r="AG209" s="5"/>
      <c r="AH209" s="20">
        <f t="shared" si="121"/>
        <v>0</v>
      </c>
      <c r="AI209" s="13"/>
      <c r="AJ209" s="5"/>
      <c r="AK209" s="343"/>
      <c r="AL209" s="100"/>
      <c r="AM209" s="98"/>
      <c r="AN209" s="226"/>
      <c r="AO209" s="225"/>
      <c r="AP209" s="89"/>
      <c r="AQ209" s="225"/>
      <c r="AR209" s="89"/>
      <c r="AS209" s="225"/>
      <c r="AT209" s="89"/>
      <c r="AU209" s="15">
        <f t="shared" si="95"/>
        <v>2.09E-5</v>
      </c>
      <c r="AV209" s="15">
        <f t="shared" si="96"/>
        <v>0</v>
      </c>
      <c r="AW209" s="15"/>
      <c r="AX209" s="173">
        <v>199</v>
      </c>
      <c r="AY209" s="206">
        <f t="shared" si="97"/>
        <v>1.3699999999999999E-5</v>
      </c>
      <c r="AZ209" s="173">
        <f t="shared" si="98"/>
        <v>0</v>
      </c>
      <c r="BA209" s="233">
        <f t="shared" si="99"/>
        <v>2.09E-5</v>
      </c>
      <c r="BB209" s="15">
        <f t="shared" si="105"/>
        <v>0</v>
      </c>
      <c r="BC209" s="173">
        <v>199</v>
      </c>
      <c r="BD209" s="84">
        <f t="shared" si="100"/>
        <v>1.2099999999999999E-5</v>
      </c>
      <c r="BE209" s="207">
        <f t="shared" si="101"/>
        <v>0</v>
      </c>
      <c r="BF209" s="233">
        <f t="shared" si="102"/>
        <v>2.09E-5</v>
      </c>
      <c r="BG209" s="15">
        <f t="shared" si="106"/>
        <v>0</v>
      </c>
      <c r="BH209" s="173">
        <v>199</v>
      </c>
      <c r="BI209" s="84">
        <f t="shared" si="103"/>
        <v>1.2099999999999999E-5</v>
      </c>
      <c r="BJ209" s="207">
        <f t="shared" si="104"/>
        <v>0</v>
      </c>
      <c r="BL209" s="123"/>
      <c r="BM209" s="123"/>
      <c r="BO209" s="173"/>
      <c r="BP209" s="174" t="str">
        <f t="shared" si="107"/>
        <v/>
      </c>
      <c r="BQ209" s="174" t="str">
        <f t="shared" si="108"/>
        <v/>
      </c>
      <c r="BR209" s="174" t="str">
        <f t="shared" si="109"/>
        <v/>
      </c>
      <c r="BS209" s="174" t="str">
        <f t="shared" si="110"/>
        <v/>
      </c>
      <c r="BT209" s="174" t="str">
        <f t="shared" si="111"/>
        <v/>
      </c>
      <c r="BU209" s="174" t="str">
        <f t="shared" si="112"/>
        <v/>
      </c>
      <c r="BV209" s="174" t="str">
        <f t="shared" si="113"/>
        <v/>
      </c>
      <c r="BW209" s="174" t="str">
        <f t="shared" si="114"/>
        <v/>
      </c>
      <c r="BX209" s="174" t="str">
        <f t="shared" si="115"/>
        <v/>
      </c>
      <c r="BY209" s="174" t="str">
        <f t="shared" si="116"/>
        <v/>
      </c>
      <c r="BZ209" s="174" t="str">
        <f t="shared" si="117"/>
        <v/>
      </c>
      <c r="CA209" s="174" t="str">
        <f t="shared" si="118"/>
        <v/>
      </c>
      <c r="CB209" s="161"/>
      <c r="CC209" s="161"/>
      <c r="CD209" s="161"/>
      <c r="CE209" s="161" t="s">
        <v>150</v>
      </c>
      <c r="CF209" s="161"/>
    </row>
    <row r="210" spans="1:84" ht="14.25" customHeight="1" x14ac:dyDescent="0.25">
      <c r="A210" s="204">
        <v>200</v>
      </c>
      <c r="B210" s="211"/>
      <c r="C210" s="194"/>
      <c r="D210" s="142"/>
      <c r="E210" s="309" t="s">
        <v>92</v>
      </c>
      <c r="F210" s="305"/>
      <c r="G210" s="306"/>
      <c r="H210" s="306"/>
      <c r="I210" s="306"/>
      <c r="J210" s="306"/>
      <c r="K210" s="306"/>
      <c r="L210" s="223">
        <f t="shared" si="119"/>
        <v>0</v>
      </c>
      <c r="M210" s="298"/>
      <c r="N210" s="299"/>
      <c r="O210" s="341"/>
      <c r="P210" s="312" t="s">
        <v>66</v>
      </c>
      <c r="Q210" s="305"/>
      <c r="R210" s="306"/>
      <c r="S210" s="306"/>
      <c r="T210" s="306"/>
      <c r="U210" s="306"/>
      <c r="V210" s="306"/>
      <c r="W210" s="223">
        <f t="shared" si="120"/>
        <v>0</v>
      </c>
      <c r="X210" s="298"/>
      <c r="Y210" s="299"/>
      <c r="Z210" s="341"/>
      <c r="AA210" s="312" t="s">
        <v>86</v>
      </c>
      <c r="AB210" s="77"/>
      <c r="AC210" s="319"/>
      <c r="AD210" s="319"/>
      <c r="AE210" s="319"/>
      <c r="AF210" s="319"/>
      <c r="AG210" s="320"/>
      <c r="AH210" s="20">
        <f t="shared" si="121"/>
        <v>0</v>
      </c>
      <c r="AI210" s="77"/>
      <c r="AJ210" s="320"/>
      <c r="AK210" s="344"/>
      <c r="AL210" s="101"/>
      <c r="AM210" s="209"/>
      <c r="AN210" s="208"/>
      <c r="AO210" s="220"/>
      <c r="AP210" s="212"/>
      <c r="AQ210" s="220"/>
      <c r="AR210" s="212"/>
      <c r="AS210" s="220"/>
      <c r="AT210" s="212"/>
      <c r="AU210" s="15">
        <f t="shared" si="95"/>
        <v>2.0999999999999999E-5</v>
      </c>
      <c r="AV210" s="15">
        <f t="shared" si="96"/>
        <v>0</v>
      </c>
      <c r="AW210" s="15"/>
      <c r="AX210" s="173">
        <v>200</v>
      </c>
      <c r="AY210" s="206">
        <f t="shared" si="97"/>
        <v>1.3599999999999999E-5</v>
      </c>
      <c r="AZ210" s="173">
        <f t="shared" si="98"/>
        <v>0</v>
      </c>
      <c r="BA210" s="233">
        <f t="shared" si="99"/>
        <v>2.0999999999999999E-5</v>
      </c>
      <c r="BB210" s="15">
        <f t="shared" si="105"/>
        <v>0</v>
      </c>
      <c r="BC210" s="173">
        <v>200</v>
      </c>
      <c r="BD210" s="84">
        <f t="shared" si="100"/>
        <v>1.2E-5</v>
      </c>
      <c r="BE210" s="207">
        <f t="shared" si="101"/>
        <v>0</v>
      </c>
      <c r="BF210" s="233">
        <f t="shared" si="102"/>
        <v>2.0999999999999999E-5</v>
      </c>
      <c r="BG210" s="15">
        <f t="shared" si="106"/>
        <v>0</v>
      </c>
      <c r="BH210" s="173">
        <v>200</v>
      </c>
      <c r="BI210" s="84">
        <f t="shared" si="103"/>
        <v>1.2E-5</v>
      </c>
      <c r="BJ210" s="207">
        <f t="shared" si="104"/>
        <v>0</v>
      </c>
      <c r="BL210" s="123"/>
      <c r="BM210" s="123"/>
      <c r="BO210" s="173"/>
      <c r="BP210" s="174" t="str">
        <f t="shared" si="107"/>
        <v/>
      </c>
      <c r="BQ210" s="174" t="str">
        <f t="shared" si="108"/>
        <v/>
      </c>
      <c r="BR210" s="174" t="str">
        <f t="shared" si="109"/>
        <v/>
      </c>
      <c r="BS210" s="174" t="str">
        <f t="shared" si="110"/>
        <v/>
      </c>
      <c r="BT210" s="174" t="str">
        <f t="shared" si="111"/>
        <v/>
      </c>
      <c r="BU210" s="174" t="str">
        <f t="shared" si="112"/>
        <v/>
      </c>
      <c r="BV210" s="174" t="str">
        <f t="shared" si="113"/>
        <v/>
      </c>
      <c r="BW210" s="174" t="str">
        <f t="shared" si="114"/>
        <v/>
      </c>
      <c r="BX210" s="174" t="str">
        <f t="shared" si="115"/>
        <v/>
      </c>
      <c r="BY210" s="174" t="str">
        <f t="shared" si="116"/>
        <v/>
      </c>
      <c r="BZ210" s="174" t="str">
        <f t="shared" si="117"/>
        <v/>
      </c>
      <c r="CA210" s="174" t="str">
        <f t="shared" si="118"/>
        <v/>
      </c>
      <c r="CB210" s="161"/>
      <c r="CC210" s="161"/>
      <c r="CD210" s="161"/>
      <c r="CE210" s="161" t="s">
        <v>150</v>
      </c>
      <c r="CF210" s="161"/>
    </row>
    <row r="211" spans="1:84" ht="14.25" customHeight="1" thickBot="1" x14ac:dyDescent="0.3">
      <c r="A211" s="205">
        <v>201</v>
      </c>
      <c r="B211" s="85"/>
      <c r="C211" s="195"/>
      <c r="D211" s="91"/>
      <c r="E211" s="310" t="s">
        <v>92</v>
      </c>
      <c r="F211" s="93"/>
      <c r="G211" s="97"/>
      <c r="H211" s="97"/>
      <c r="I211" s="97"/>
      <c r="J211" s="97"/>
      <c r="K211" s="97"/>
      <c r="L211" s="224">
        <f t="shared" si="119"/>
        <v>0</v>
      </c>
      <c r="M211" s="300"/>
      <c r="N211" s="301"/>
      <c r="O211" s="342"/>
      <c r="P211" s="313" t="s">
        <v>66</v>
      </c>
      <c r="Q211" s="93"/>
      <c r="R211" s="97"/>
      <c r="S211" s="97"/>
      <c r="T211" s="97"/>
      <c r="U211" s="97"/>
      <c r="V211" s="97"/>
      <c r="W211" s="224">
        <f t="shared" si="120"/>
        <v>0</v>
      </c>
      <c r="X211" s="300"/>
      <c r="Y211" s="301"/>
      <c r="Z211" s="342"/>
      <c r="AA211" s="313" t="s">
        <v>86</v>
      </c>
      <c r="AB211" s="78"/>
      <c r="AC211" s="321"/>
      <c r="AD211" s="321"/>
      <c r="AE211" s="321"/>
      <c r="AF211" s="321"/>
      <c r="AG211" s="322"/>
      <c r="AH211" s="88">
        <f t="shared" si="121"/>
        <v>0</v>
      </c>
      <c r="AI211" s="78"/>
      <c r="AJ211" s="322"/>
      <c r="AK211" s="345"/>
      <c r="AL211" s="102"/>
      <c r="AM211" s="99"/>
      <c r="AN211" s="227"/>
      <c r="AO211" s="221"/>
      <c r="AP211" s="90"/>
      <c r="AQ211" s="221"/>
      <c r="AR211" s="90"/>
      <c r="AS211" s="221"/>
      <c r="AT211" s="90"/>
      <c r="AU211" s="15">
        <f t="shared" si="95"/>
        <v>2.1099999999999998E-5</v>
      </c>
      <c r="AV211" s="15">
        <f t="shared" si="96"/>
        <v>0</v>
      </c>
      <c r="AW211" s="15"/>
      <c r="AX211" s="173">
        <v>201</v>
      </c>
      <c r="AY211" s="206">
        <f t="shared" si="97"/>
        <v>1.3499999999999999E-5</v>
      </c>
      <c r="AZ211" s="173">
        <f t="shared" si="98"/>
        <v>0</v>
      </c>
      <c r="BA211" s="233">
        <f t="shared" si="99"/>
        <v>2.1099999999999998E-5</v>
      </c>
      <c r="BB211" s="15">
        <f t="shared" si="105"/>
        <v>0</v>
      </c>
      <c r="BC211" s="173">
        <v>201</v>
      </c>
      <c r="BD211" s="84">
        <f t="shared" si="100"/>
        <v>1.19E-5</v>
      </c>
      <c r="BE211" s="207">
        <f t="shared" si="101"/>
        <v>0</v>
      </c>
      <c r="BF211" s="233">
        <f t="shared" si="102"/>
        <v>2.1099999999999998E-5</v>
      </c>
      <c r="BG211" s="15">
        <f t="shared" si="106"/>
        <v>0</v>
      </c>
      <c r="BH211" s="173">
        <v>201</v>
      </c>
      <c r="BI211" s="84">
        <f t="shared" si="103"/>
        <v>1.19E-5</v>
      </c>
      <c r="BJ211" s="207">
        <f t="shared" si="104"/>
        <v>0</v>
      </c>
      <c r="BL211" s="123"/>
      <c r="BM211" s="123"/>
      <c r="BO211" s="173"/>
      <c r="BP211" s="174" t="str">
        <f t="shared" si="107"/>
        <v/>
      </c>
      <c r="BQ211" s="174" t="str">
        <f t="shared" si="108"/>
        <v/>
      </c>
      <c r="BR211" s="174" t="str">
        <f t="shared" si="109"/>
        <v/>
      </c>
      <c r="BS211" s="174" t="str">
        <f t="shared" si="110"/>
        <v/>
      </c>
      <c r="BT211" s="174" t="str">
        <f t="shared" si="111"/>
        <v/>
      </c>
      <c r="BU211" s="174" t="str">
        <f t="shared" si="112"/>
        <v/>
      </c>
      <c r="BV211" s="174" t="str">
        <f t="shared" si="113"/>
        <v/>
      </c>
      <c r="BW211" s="174" t="str">
        <f t="shared" si="114"/>
        <v/>
      </c>
      <c r="BX211" s="174" t="str">
        <f t="shared" si="115"/>
        <v/>
      </c>
      <c r="BY211" s="174" t="str">
        <f t="shared" si="116"/>
        <v/>
      </c>
      <c r="BZ211" s="174" t="str">
        <f t="shared" si="117"/>
        <v/>
      </c>
      <c r="CA211" s="174" t="str">
        <f t="shared" si="118"/>
        <v/>
      </c>
      <c r="CB211" s="161"/>
      <c r="CC211" s="161"/>
      <c r="CD211" s="161"/>
      <c r="CE211" s="161" t="s">
        <v>150</v>
      </c>
      <c r="CF211" s="161"/>
    </row>
    <row r="212" spans="1:84" ht="14.25" customHeight="1" x14ac:dyDescent="0.25">
      <c r="A212" s="203">
        <v>202</v>
      </c>
      <c r="B212" s="86"/>
      <c r="C212" s="193"/>
      <c r="D212" s="143"/>
      <c r="E212" s="308" t="s">
        <v>92</v>
      </c>
      <c r="F212" s="213"/>
      <c r="G212" s="214"/>
      <c r="H212" s="214"/>
      <c r="I212" s="214"/>
      <c r="J212" s="214"/>
      <c r="K212" s="214"/>
      <c r="L212" s="295">
        <f t="shared" si="119"/>
        <v>0</v>
      </c>
      <c r="M212" s="296"/>
      <c r="N212" s="297"/>
      <c r="O212" s="340"/>
      <c r="P212" s="311" t="s">
        <v>66</v>
      </c>
      <c r="Q212" s="213"/>
      <c r="R212" s="214"/>
      <c r="S212" s="214"/>
      <c r="T212" s="214"/>
      <c r="U212" s="214"/>
      <c r="V212" s="214"/>
      <c r="W212" s="295">
        <f t="shared" si="120"/>
        <v>0</v>
      </c>
      <c r="X212" s="296"/>
      <c r="Y212" s="297"/>
      <c r="Z212" s="346"/>
      <c r="AA212" s="314" t="s">
        <v>148</v>
      </c>
      <c r="AB212" s="13"/>
      <c r="AC212" s="222"/>
      <c r="AD212" s="222"/>
      <c r="AE212" s="222"/>
      <c r="AF212" s="222"/>
      <c r="AG212" s="5"/>
      <c r="AH212" s="20">
        <f t="shared" si="121"/>
        <v>0</v>
      </c>
      <c r="AI212" s="13"/>
      <c r="AJ212" s="5"/>
      <c r="AK212" s="343"/>
      <c r="AL212" s="100"/>
      <c r="AM212" s="98"/>
      <c r="AN212" s="226"/>
      <c r="AO212" s="225"/>
      <c r="AP212" s="89"/>
      <c r="AQ212" s="225"/>
      <c r="AR212" s="89"/>
      <c r="AS212" s="225"/>
      <c r="AT212" s="89"/>
      <c r="AU212" s="15">
        <f t="shared" si="95"/>
        <v>2.12E-5</v>
      </c>
      <c r="AV212" s="15">
        <f t="shared" si="96"/>
        <v>0</v>
      </c>
      <c r="AW212" s="15"/>
      <c r="AX212" s="173">
        <v>202</v>
      </c>
      <c r="AY212" s="206">
        <f t="shared" si="97"/>
        <v>1.3399999999999999E-5</v>
      </c>
      <c r="AZ212" s="173">
        <f t="shared" si="98"/>
        <v>0</v>
      </c>
      <c r="BA212" s="233">
        <f t="shared" si="99"/>
        <v>2.12E-5</v>
      </c>
      <c r="BB212" s="15">
        <f t="shared" si="105"/>
        <v>0</v>
      </c>
      <c r="BC212" s="173">
        <v>202</v>
      </c>
      <c r="BD212" s="84">
        <f t="shared" si="100"/>
        <v>1.1799999999999999E-5</v>
      </c>
      <c r="BE212" s="207">
        <f t="shared" si="101"/>
        <v>0</v>
      </c>
      <c r="BF212" s="233">
        <f t="shared" si="102"/>
        <v>2.12E-5</v>
      </c>
      <c r="BG212" s="15">
        <f t="shared" si="106"/>
        <v>0</v>
      </c>
      <c r="BH212" s="173">
        <v>202</v>
      </c>
      <c r="BI212" s="84">
        <f t="shared" si="103"/>
        <v>1.1799999999999999E-5</v>
      </c>
      <c r="BJ212" s="207">
        <f t="shared" si="104"/>
        <v>0</v>
      </c>
      <c r="BL212" s="123"/>
      <c r="BM212" s="123"/>
      <c r="BO212" s="173"/>
      <c r="BP212" s="174" t="str">
        <f t="shared" si="107"/>
        <v/>
      </c>
      <c r="BQ212" s="174" t="str">
        <f t="shared" si="108"/>
        <v/>
      </c>
      <c r="BR212" s="174" t="str">
        <f t="shared" si="109"/>
        <v/>
      </c>
      <c r="BS212" s="174" t="str">
        <f t="shared" si="110"/>
        <v/>
      </c>
      <c r="BT212" s="174" t="str">
        <f t="shared" si="111"/>
        <v/>
      </c>
      <c r="BU212" s="174" t="str">
        <f t="shared" si="112"/>
        <v/>
      </c>
      <c r="BV212" s="174" t="str">
        <f t="shared" si="113"/>
        <v/>
      </c>
      <c r="BW212" s="174" t="str">
        <f t="shared" si="114"/>
        <v/>
      </c>
      <c r="BX212" s="174" t="str">
        <f t="shared" si="115"/>
        <v/>
      </c>
      <c r="BY212" s="174" t="str">
        <f t="shared" si="116"/>
        <v/>
      </c>
      <c r="BZ212" s="174" t="str">
        <f t="shared" si="117"/>
        <v/>
      </c>
      <c r="CA212" s="174" t="str">
        <f t="shared" si="118"/>
        <v/>
      </c>
      <c r="CB212" s="161"/>
      <c r="CC212" s="161"/>
      <c r="CD212" s="161"/>
      <c r="CE212" s="161" t="s">
        <v>150</v>
      </c>
      <c r="CF212" s="161"/>
    </row>
    <row r="213" spans="1:84" ht="14.25" customHeight="1" x14ac:dyDescent="0.25">
      <c r="A213" s="204">
        <v>203</v>
      </c>
      <c r="B213" s="211"/>
      <c r="C213" s="194"/>
      <c r="D213" s="142"/>
      <c r="E213" s="309" t="s">
        <v>92</v>
      </c>
      <c r="F213" s="305"/>
      <c r="G213" s="306"/>
      <c r="H213" s="306"/>
      <c r="I213" s="306"/>
      <c r="J213" s="306"/>
      <c r="K213" s="306"/>
      <c r="L213" s="223">
        <f t="shared" si="119"/>
        <v>0</v>
      </c>
      <c r="M213" s="298"/>
      <c r="N213" s="299"/>
      <c r="O213" s="341"/>
      <c r="P213" s="312" t="s">
        <v>66</v>
      </c>
      <c r="Q213" s="305"/>
      <c r="R213" s="306"/>
      <c r="S213" s="306"/>
      <c r="T213" s="306"/>
      <c r="U213" s="306"/>
      <c r="V213" s="306"/>
      <c r="W213" s="223">
        <f t="shared" si="120"/>
        <v>0</v>
      </c>
      <c r="X213" s="298"/>
      <c r="Y213" s="299"/>
      <c r="Z213" s="341"/>
      <c r="AA213" s="312" t="s">
        <v>86</v>
      </c>
      <c r="AB213" s="77"/>
      <c r="AC213" s="319"/>
      <c r="AD213" s="319"/>
      <c r="AE213" s="319"/>
      <c r="AF213" s="319"/>
      <c r="AG213" s="320"/>
      <c r="AH213" s="20">
        <f t="shared" si="121"/>
        <v>0</v>
      </c>
      <c r="AI213" s="77"/>
      <c r="AJ213" s="320"/>
      <c r="AK213" s="344"/>
      <c r="AL213" s="101"/>
      <c r="AM213" s="209"/>
      <c r="AN213" s="208"/>
      <c r="AO213" s="220"/>
      <c r="AP213" s="212"/>
      <c r="AQ213" s="220"/>
      <c r="AR213" s="212"/>
      <c r="AS213" s="220"/>
      <c r="AT213" s="212"/>
      <c r="AU213" s="15">
        <f t="shared" si="95"/>
        <v>2.1299999999999999E-5</v>
      </c>
      <c r="AV213" s="15">
        <f t="shared" si="96"/>
        <v>0</v>
      </c>
      <c r="AW213" s="15"/>
      <c r="AX213" s="173">
        <v>203</v>
      </c>
      <c r="AY213" s="206">
        <f t="shared" si="97"/>
        <v>1.33E-5</v>
      </c>
      <c r="AZ213" s="173">
        <f t="shared" si="98"/>
        <v>0</v>
      </c>
      <c r="BA213" s="233">
        <f t="shared" si="99"/>
        <v>2.1299999999999999E-5</v>
      </c>
      <c r="BB213" s="15">
        <f t="shared" si="105"/>
        <v>0</v>
      </c>
      <c r="BC213" s="173">
        <v>203</v>
      </c>
      <c r="BD213" s="84">
        <f t="shared" si="100"/>
        <v>1.17E-5</v>
      </c>
      <c r="BE213" s="207">
        <f t="shared" si="101"/>
        <v>0</v>
      </c>
      <c r="BF213" s="233">
        <f t="shared" si="102"/>
        <v>2.1299999999999999E-5</v>
      </c>
      <c r="BG213" s="15">
        <f t="shared" si="106"/>
        <v>0</v>
      </c>
      <c r="BH213" s="173">
        <v>203</v>
      </c>
      <c r="BI213" s="84">
        <f t="shared" si="103"/>
        <v>1.17E-5</v>
      </c>
      <c r="BJ213" s="207">
        <f t="shared" si="104"/>
        <v>0</v>
      </c>
      <c r="BL213" s="123"/>
      <c r="BM213" s="123"/>
      <c r="BO213" s="173"/>
      <c r="BP213" s="174" t="str">
        <f t="shared" si="107"/>
        <v/>
      </c>
      <c r="BQ213" s="174" t="str">
        <f t="shared" si="108"/>
        <v/>
      </c>
      <c r="BR213" s="174" t="str">
        <f t="shared" si="109"/>
        <v/>
      </c>
      <c r="BS213" s="174" t="str">
        <f t="shared" si="110"/>
        <v/>
      </c>
      <c r="BT213" s="174" t="str">
        <f t="shared" si="111"/>
        <v/>
      </c>
      <c r="BU213" s="174" t="str">
        <f t="shared" si="112"/>
        <v/>
      </c>
      <c r="BV213" s="174" t="str">
        <f t="shared" si="113"/>
        <v/>
      </c>
      <c r="BW213" s="174" t="str">
        <f t="shared" si="114"/>
        <v/>
      </c>
      <c r="BX213" s="174" t="str">
        <f t="shared" si="115"/>
        <v/>
      </c>
      <c r="BY213" s="174" t="str">
        <f t="shared" si="116"/>
        <v/>
      </c>
      <c r="BZ213" s="174" t="str">
        <f t="shared" si="117"/>
        <v/>
      </c>
      <c r="CA213" s="174" t="str">
        <f t="shared" si="118"/>
        <v/>
      </c>
      <c r="CB213" s="161"/>
      <c r="CC213" s="161"/>
      <c r="CD213" s="161"/>
      <c r="CE213" s="161" t="s">
        <v>150</v>
      </c>
      <c r="CF213" s="161"/>
    </row>
    <row r="214" spans="1:84" ht="14.25" customHeight="1" thickBot="1" x14ac:dyDescent="0.3">
      <c r="A214" s="205">
        <v>204</v>
      </c>
      <c r="B214" s="85"/>
      <c r="C214" s="195"/>
      <c r="D214" s="91"/>
      <c r="E214" s="310" t="s">
        <v>92</v>
      </c>
      <c r="F214" s="93"/>
      <c r="G214" s="97"/>
      <c r="H214" s="97"/>
      <c r="I214" s="97"/>
      <c r="J214" s="97"/>
      <c r="K214" s="97"/>
      <c r="L214" s="224">
        <f t="shared" si="119"/>
        <v>0</v>
      </c>
      <c r="M214" s="300"/>
      <c r="N214" s="301"/>
      <c r="O214" s="342"/>
      <c r="P214" s="313" t="s">
        <v>66</v>
      </c>
      <c r="Q214" s="93"/>
      <c r="R214" s="97"/>
      <c r="S214" s="97"/>
      <c r="T214" s="97"/>
      <c r="U214" s="97"/>
      <c r="V214" s="97"/>
      <c r="W214" s="224">
        <f t="shared" si="120"/>
        <v>0</v>
      </c>
      <c r="X214" s="300"/>
      <c r="Y214" s="301"/>
      <c r="Z214" s="342"/>
      <c r="AA214" s="313" t="s">
        <v>86</v>
      </c>
      <c r="AB214" s="78"/>
      <c r="AC214" s="321"/>
      <c r="AD214" s="321"/>
      <c r="AE214" s="321"/>
      <c r="AF214" s="321"/>
      <c r="AG214" s="322"/>
      <c r="AH214" s="88">
        <f t="shared" si="121"/>
        <v>0</v>
      </c>
      <c r="AI214" s="78"/>
      <c r="AJ214" s="322"/>
      <c r="AK214" s="345"/>
      <c r="AL214" s="102"/>
      <c r="AM214" s="99"/>
      <c r="AN214" s="227"/>
      <c r="AO214" s="221"/>
      <c r="AP214" s="90"/>
      <c r="AQ214" s="221"/>
      <c r="AR214" s="90"/>
      <c r="AS214" s="221"/>
      <c r="AT214" s="90"/>
      <c r="AU214" s="15">
        <f t="shared" si="95"/>
        <v>2.1399999999999998E-5</v>
      </c>
      <c r="AV214" s="15">
        <f t="shared" si="96"/>
        <v>0</v>
      </c>
      <c r="AW214" s="15"/>
      <c r="AX214" s="173">
        <v>204</v>
      </c>
      <c r="AY214" s="206">
        <f t="shared" si="97"/>
        <v>1.3199999999999999E-5</v>
      </c>
      <c r="AZ214" s="173">
        <f t="shared" si="98"/>
        <v>0</v>
      </c>
      <c r="BA214" s="233">
        <f t="shared" si="99"/>
        <v>2.1399999999999998E-5</v>
      </c>
      <c r="BB214" s="15">
        <f t="shared" si="105"/>
        <v>0</v>
      </c>
      <c r="BC214" s="173">
        <v>204</v>
      </c>
      <c r="BD214" s="84">
        <f t="shared" si="100"/>
        <v>1.1599999999999999E-5</v>
      </c>
      <c r="BE214" s="207">
        <f t="shared" si="101"/>
        <v>0</v>
      </c>
      <c r="BF214" s="233">
        <f t="shared" si="102"/>
        <v>2.1399999999999998E-5</v>
      </c>
      <c r="BG214" s="15">
        <f t="shared" si="106"/>
        <v>0</v>
      </c>
      <c r="BH214" s="173">
        <v>204</v>
      </c>
      <c r="BI214" s="84">
        <f t="shared" si="103"/>
        <v>1.1599999999999999E-5</v>
      </c>
      <c r="BJ214" s="207">
        <f t="shared" si="104"/>
        <v>0</v>
      </c>
      <c r="BL214" s="123"/>
      <c r="BM214" s="123"/>
      <c r="BO214" s="173"/>
      <c r="BP214" s="174" t="str">
        <f t="shared" si="107"/>
        <v/>
      </c>
      <c r="BQ214" s="174" t="str">
        <f t="shared" si="108"/>
        <v/>
      </c>
      <c r="BR214" s="174" t="str">
        <f t="shared" si="109"/>
        <v/>
      </c>
      <c r="BS214" s="174" t="str">
        <f t="shared" si="110"/>
        <v/>
      </c>
      <c r="BT214" s="174" t="str">
        <f t="shared" si="111"/>
        <v/>
      </c>
      <c r="BU214" s="174" t="str">
        <f t="shared" si="112"/>
        <v/>
      </c>
      <c r="BV214" s="174" t="str">
        <f t="shared" si="113"/>
        <v/>
      </c>
      <c r="BW214" s="174" t="str">
        <f t="shared" si="114"/>
        <v/>
      </c>
      <c r="BX214" s="174" t="str">
        <f t="shared" si="115"/>
        <v/>
      </c>
      <c r="BY214" s="174" t="str">
        <f t="shared" si="116"/>
        <v/>
      </c>
      <c r="BZ214" s="174" t="str">
        <f t="shared" si="117"/>
        <v/>
      </c>
      <c r="CA214" s="174" t="str">
        <f t="shared" si="118"/>
        <v/>
      </c>
      <c r="CB214" s="161"/>
      <c r="CC214" s="161"/>
      <c r="CD214" s="161"/>
      <c r="CE214" s="161" t="s">
        <v>150</v>
      </c>
      <c r="CF214" s="161"/>
    </row>
    <row r="215" spans="1:84" ht="14.25" customHeight="1" x14ac:dyDescent="0.25">
      <c r="A215" s="203">
        <v>205</v>
      </c>
      <c r="B215" s="86"/>
      <c r="C215" s="193"/>
      <c r="D215" s="143"/>
      <c r="E215" s="308" t="s">
        <v>92</v>
      </c>
      <c r="F215" s="213"/>
      <c r="G215" s="214"/>
      <c r="H215" s="214"/>
      <c r="I215" s="214"/>
      <c r="J215" s="214"/>
      <c r="K215" s="214"/>
      <c r="L215" s="295">
        <f t="shared" si="119"/>
        <v>0</v>
      </c>
      <c r="M215" s="296"/>
      <c r="N215" s="297"/>
      <c r="O215" s="340"/>
      <c r="P215" s="311" t="s">
        <v>66</v>
      </c>
      <c r="Q215" s="213"/>
      <c r="R215" s="214"/>
      <c r="S215" s="214"/>
      <c r="T215" s="214"/>
      <c r="U215" s="214"/>
      <c r="V215" s="214"/>
      <c r="W215" s="295">
        <f t="shared" si="120"/>
        <v>0</v>
      </c>
      <c r="X215" s="296"/>
      <c r="Y215" s="297"/>
      <c r="Z215" s="346"/>
      <c r="AA215" s="314" t="s">
        <v>148</v>
      </c>
      <c r="AB215" s="13"/>
      <c r="AC215" s="222"/>
      <c r="AD215" s="222"/>
      <c r="AE215" s="222"/>
      <c r="AF215" s="222"/>
      <c r="AG215" s="5"/>
      <c r="AH215" s="20">
        <f t="shared" si="121"/>
        <v>0</v>
      </c>
      <c r="AI215" s="13"/>
      <c r="AJ215" s="5"/>
      <c r="AK215" s="343"/>
      <c r="AL215" s="100"/>
      <c r="AM215" s="98"/>
      <c r="AN215" s="226"/>
      <c r="AO215" s="225"/>
      <c r="AP215" s="89"/>
      <c r="AQ215" s="225"/>
      <c r="AR215" s="89"/>
      <c r="AS215" s="225"/>
      <c r="AT215" s="89"/>
      <c r="AU215" s="15">
        <f t="shared" si="95"/>
        <v>2.1499999999999997E-5</v>
      </c>
      <c r="AV215" s="15">
        <f t="shared" si="96"/>
        <v>0</v>
      </c>
      <c r="AW215" s="15"/>
      <c r="AX215" s="173">
        <v>205</v>
      </c>
      <c r="AY215" s="206">
        <f t="shared" si="97"/>
        <v>1.31E-5</v>
      </c>
      <c r="AZ215" s="173">
        <f t="shared" si="98"/>
        <v>0</v>
      </c>
      <c r="BA215" s="233">
        <f t="shared" si="99"/>
        <v>2.1499999999999997E-5</v>
      </c>
      <c r="BB215" s="15">
        <f t="shared" si="105"/>
        <v>0</v>
      </c>
      <c r="BC215" s="173">
        <v>205</v>
      </c>
      <c r="BD215" s="84">
        <f t="shared" si="100"/>
        <v>1.15E-5</v>
      </c>
      <c r="BE215" s="207">
        <f t="shared" si="101"/>
        <v>0</v>
      </c>
      <c r="BF215" s="233">
        <f t="shared" si="102"/>
        <v>2.1499999999999997E-5</v>
      </c>
      <c r="BG215" s="15">
        <f t="shared" si="106"/>
        <v>0</v>
      </c>
      <c r="BH215" s="173">
        <v>205</v>
      </c>
      <c r="BI215" s="84">
        <f t="shared" si="103"/>
        <v>1.15E-5</v>
      </c>
      <c r="BJ215" s="207">
        <f t="shared" si="104"/>
        <v>0</v>
      </c>
      <c r="BL215" s="123"/>
      <c r="BM215" s="123"/>
      <c r="BO215" s="173"/>
      <c r="BP215" s="174" t="str">
        <f t="shared" si="107"/>
        <v/>
      </c>
      <c r="BQ215" s="174" t="str">
        <f t="shared" si="108"/>
        <v/>
      </c>
      <c r="BR215" s="174" t="str">
        <f t="shared" si="109"/>
        <v/>
      </c>
      <c r="BS215" s="174" t="str">
        <f t="shared" si="110"/>
        <v/>
      </c>
      <c r="BT215" s="174" t="str">
        <f t="shared" si="111"/>
        <v/>
      </c>
      <c r="BU215" s="174" t="str">
        <f t="shared" si="112"/>
        <v/>
      </c>
      <c r="BV215" s="174" t="str">
        <f t="shared" si="113"/>
        <v/>
      </c>
      <c r="BW215" s="174" t="str">
        <f t="shared" si="114"/>
        <v/>
      </c>
      <c r="BX215" s="174" t="str">
        <f t="shared" si="115"/>
        <v/>
      </c>
      <c r="BY215" s="174" t="str">
        <f t="shared" si="116"/>
        <v/>
      </c>
      <c r="BZ215" s="174" t="str">
        <f t="shared" si="117"/>
        <v/>
      </c>
      <c r="CA215" s="174" t="str">
        <f t="shared" si="118"/>
        <v/>
      </c>
      <c r="CB215" s="161"/>
      <c r="CC215" s="161"/>
      <c r="CD215" s="161"/>
      <c r="CE215" s="161" t="s">
        <v>150</v>
      </c>
      <c r="CF215" s="161"/>
    </row>
    <row r="216" spans="1:84" ht="14.25" customHeight="1" x14ac:dyDescent="0.25">
      <c r="A216" s="204">
        <v>206</v>
      </c>
      <c r="B216" s="211"/>
      <c r="C216" s="194"/>
      <c r="D216" s="142"/>
      <c r="E216" s="309" t="s">
        <v>92</v>
      </c>
      <c r="F216" s="305"/>
      <c r="G216" s="306"/>
      <c r="H216" s="306"/>
      <c r="I216" s="306"/>
      <c r="J216" s="306"/>
      <c r="K216" s="306"/>
      <c r="L216" s="223">
        <f t="shared" si="119"/>
        <v>0</v>
      </c>
      <c r="M216" s="298"/>
      <c r="N216" s="299"/>
      <c r="O216" s="341"/>
      <c r="P216" s="312" t="s">
        <v>66</v>
      </c>
      <c r="Q216" s="305"/>
      <c r="R216" s="306"/>
      <c r="S216" s="306"/>
      <c r="T216" s="306"/>
      <c r="U216" s="306"/>
      <c r="V216" s="306"/>
      <c r="W216" s="223">
        <f t="shared" si="120"/>
        <v>0</v>
      </c>
      <c r="X216" s="298"/>
      <c r="Y216" s="299"/>
      <c r="Z216" s="341"/>
      <c r="AA216" s="312" t="s">
        <v>86</v>
      </c>
      <c r="AB216" s="77"/>
      <c r="AC216" s="319"/>
      <c r="AD216" s="319"/>
      <c r="AE216" s="319"/>
      <c r="AF216" s="319"/>
      <c r="AG216" s="320"/>
      <c r="AH216" s="20">
        <f t="shared" si="121"/>
        <v>0</v>
      </c>
      <c r="AI216" s="77"/>
      <c r="AJ216" s="320"/>
      <c r="AK216" s="344"/>
      <c r="AL216" s="101"/>
      <c r="AM216" s="209"/>
      <c r="AN216" s="208"/>
      <c r="AO216" s="220"/>
      <c r="AP216" s="212"/>
      <c r="AQ216" s="220"/>
      <c r="AR216" s="212"/>
      <c r="AS216" s="220"/>
      <c r="AT216" s="212"/>
      <c r="AU216" s="15">
        <f t="shared" si="95"/>
        <v>2.16E-5</v>
      </c>
      <c r="AV216" s="15">
        <f t="shared" si="96"/>
        <v>0</v>
      </c>
      <c r="AW216" s="15"/>
      <c r="AX216" s="173">
        <v>206</v>
      </c>
      <c r="AY216" s="206">
        <f t="shared" si="97"/>
        <v>1.2999999999999999E-5</v>
      </c>
      <c r="AZ216" s="173">
        <f t="shared" si="98"/>
        <v>0</v>
      </c>
      <c r="BA216" s="233">
        <f t="shared" si="99"/>
        <v>2.16E-5</v>
      </c>
      <c r="BB216" s="15">
        <f t="shared" si="105"/>
        <v>0</v>
      </c>
      <c r="BC216" s="173">
        <v>206</v>
      </c>
      <c r="BD216" s="84">
        <f t="shared" si="100"/>
        <v>1.1399999999999999E-5</v>
      </c>
      <c r="BE216" s="207">
        <f t="shared" si="101"/>
        <v>0</v>
      </c>
      <c r="BF216" s="233">
        <f t="shared" si="102"/>
        <v>2.16E-5</v>
      </c>
      <c r="BG216" s="15">
        <f t="shared" si="106"/>
        <v>0</v>
      </c>
      <c r="BH216" s="173">
        <v>206</v>
      </c>
      <c r="BI216" s="84">
        <f t="shared" si="103"/>
        <v>1.1399999999999999E-5</v>
      </c>
      <c r="BJ216" s="207">
        <f t="shared" si="104"/>
        <v>0</v>
      </c>
      <c r="BL216" s="123"/>
      <c r="BM216" s="123"/>
      <c r="BO216" s="173"/>
      <c r="BP216" s="174" t="str">
        <f t="shared" si="107"/>
        <v/>
      </c>
      <c r="BQ216" s="174" t="str">
        <f t="shared" si="108"/>
        <v/>
      </c>
      <c r="BR216" s="174" t="str">
        <f t="shared" si="109"/>
        <v/>
      </c>
      <c r="BS216" s="174" t="str">
        <f t="shared" si="110"/>
        <v/>
      </c>
      <c r="BT216" s="174" t="str">
        <f t="shared" si="111"/>
        <v/>
      </c>
      <c r="BU216" s="174" t="str">
        <f t="shared" si="112"/>
        <v/>
      </c>
      <c r="BV216" s="174" t="str">
        <f t="shared" si="113"/>
        <v/>
      </c>
      <c r="BW216" s="174" t="str">
        <f t="shared" si="114"/>
        <v/>
      </c>
      <c r="BX216" s="174" t="str">
        <f t="shared" si="115"/>
        <v/>
      </c>
      <c r="BY216" s="174" t="str">
        <f t="shared" si="116"/>
        <v/>
      </c>
      <c r="BZ216" s="174" t="str">
        <f t="shared" si="117"/>
        <v/>
      </c>
      <c r="CA216" s="174" t="str">
        <f t="shared" si="118"/>
        <v/>
      </c>
      <c r="CB216" s="161"/>
      <c r="CC216" s="161"/>
      <c r="CD216" s="161"/>
      <c r="CE216" s="161" t="s">
        <v>150</v>
      </c>
      <c r="CF216" s="161"/>
    </row>
    <row r="217" spans="1:84" ht="14.25" customHeight="1" thickBot="1" x14ac:dyDescent="0.3">
      <c r="A217" s="205">
        <v>207</v>
      </c>
      <c r="B217" s="85"/>
      <c r="C217" s="195"/>
      <c r="D217" s="91"/>
      <c r="E217" s="310" t="s">
        <v>92</v>
      </c>
      <c r="F217" s="93"/>
      <c r="G217" s="97"/>
      <c r="H217" s="97"/>
      <c r="I217" s="97"/>
      <c r="J217" s="97"/>
      <c r="K217" s="97"/>
      <c r="L217" s="224">
        <f t="shared" si="119"/>
        <v>0</v>
      </c>
      <c r="M217" s="300"/>
      <c r="N217" s="301"/>
      <c r="O217" s="342"/>
      <c r="P217" s="313" t="s">
        <v>66</v>
      </c>
      <c r="Q217" s="93"/>
      <c r="R217" s="97"/>
      <c r="S217" s="97"/>
      <c r="T217" s="97"/>
      <c r="U217" s="97"/>
      <c r="V217" s="97"/>
      <c r="W217" s="224">
        <f t="shared" si="120"/>
        <v>0</v>
      </c>
      <c r="X217" s="300"/>
      <c r="Y217" s="301"/>
      <c r="Z217" s="342"/>
      <c r="AA217" s="313" t="s">
        <v>86</v>
      </c>
      <c r="AB217" s="78"/>
      <c r="AC217" s="321"/>
      <c r="AD217" s="321"/>
      <c r="AE217" s="321"/>
      <c r="AF217" s="321"/>
      <c r="AG217" s="322"/>
      <c r="AH217" s="88">
        <f t="shared" si="121"/>
        <v>0</v>
      </c>
      <c r="AI217" s="78"/>
      <c r="AJ217" s="322"/>
      <c r="AK217" s="345"/>
      <c r="AL217" s="102"/>
      <c r="AM217" s="99"/>
      <c r="AN217" s="227"/>
      <c r="AO217" s="221"/>
      <c r="AP217" s="90"/>
      <c r="AQ217" s="221"/>
      <c r="AR217" s="90"/>
      <c r="AS217" s="221"/>
      <c r="AT217" s="90"/>
      <c r="AU217" s="15">
        <f t="shared" si="95"/>
        <v>2.1699999999999999E-5</v>
      </c>
      <c r="AV217" s="15">
        <f t="shared" si="96"/>
        <v>0</v>
      </c>
      <c r="AW217" s="15"/>
      <c r="AX217" s="173">
        <v>207</v>
      </c>
      <c r="AY217" s="206">
        <f t="shared" si="97"/>
        <v>1.29E-5</v>
      </c>
      <c r="AZ217" s="173">
        <f t="shared" si="98"/>
        <v>0</v>
      </c>
      <c r="BA217" s="233">
        <f t="shared" si="99"/>
        <v>2.1699999999999999E-5</v>
      </c>
      <c r="BB217" s="15">
        <f t="shared" si="105"/>
        <v>0</v>
      </c>
      <c r="BC217" s="173">
        <v>207</v>
      </c>
      <c r="BD217" s="84">
        <f t="shared" si="100"/>
        <v>1.13E-5</v>
      </c>
      <c r="BE217" s="207">
        <f t="shared" si="101"/>
        <v>0</v>
      </c>
      <c r="BF217" s="233">
        <f t="shared" si="102"/>
        <v>2.1699999999999999E-5</v>
      </c>
      <c r="BG217" s="15">
        <f t="shared" si="106"/>
        <v>0</v>
      </c>
      <c r="BH217" s="173">
        <v>207</v>
      </c>
      <c r="BI217" s="84">
        <f t="shared" si="103"/>
        <v>1.13E-5</v>
      </c>
      <c r="BJ217" s="207">
        <f t="shared" si="104"/>
        <v>0</v>
      </c>
      <c r="BL217" s="123"/>
      <c r="BM217" s="123"/>
      <c r="BO217" s="173"/>
      <c r="BP217" s="174" t="str">
        <f t="shared" si="107"/>
        <v/>
      </c>
      <c r="BQ217" s="174" t="str">
        <f t="shared" si="108"/>
        <v/>
      </c>
      <c r="BR217" s="174" t="str">
        <f t="shared" si="109"/>
        <v/>
      </c>
      <c r="BS217" s="174" t="str">
        <f t="shared" si="110"/>
        <v/>
      </c>
      <c r="BT217" s="174" t="str">
        <f t="shared" si="111"/>
        <v/>
      </c>
      <c r="BU217" s="174" t="str">
        <f t="shared" si="112"/>
        <v/>
      </c>
      <c r="BV217" s="174" t="str">
        <f t="shared" si="113"/>
        <v/>
      </c>
      <c r="BW217" s="174" t="str">
        <f t="shared" si="114"/>
        <v/>
      </c>
      <c r="BX217" s="174" t="str">
        <f t="shared" si="115"/>
        <v/>
      </c>
      <c r="BY217" s="174" t="str">
        <f t="shared" si="116"/>
        <v/>
      </c>
      <c r="BZ217" s="174" t="str">
        <f t="shared" si="117"/>
        <v/>
      </c>
      <c r="CA217" s="174" t="str">
        <f t="shared" si="118"/>
        <v/>
      </c>
      <c r="CB217" s="161"/>
      <c r="CC217" s="161"/>
      <c r="CD217" s="161"/>
      <c r="CE217" s="161" t="s">
        <v>150</v>
      </c>
      <c r="CF217" s="161"/>
    </row>
    <row r="218" spans="1:84" ht="14.25" customHeight="1" x14ac:dyDescent="0.25">
      <c r="A218" s="203">
        <v>208</v>
      </c>
      <c r="B218" s="86"/>
      <c r="C218" s="193"/>
      <c r="D218" s="143"/>
      <c r="E218" s="308" t="s">
        <v>92</v>
      </c>
      <c r="F218" s="213"/>
      <c r="G218" s="214"/>
      <c r="H218" s="214"/>
      <c r="I218" s="214"/>
      <c r="J218" s="214"/>
      <c r="K218" s="214"/>
      <c r="L218" s="295">
        <f t="shared" si="119"/>
        <v>0</v>
      </c>
      <c r="M218" s="296"/>
      <c r="N218" s="297"/>
      <c r="O218" s="340"/>
      <c r="P218" s="311" t="s">
        <v>66</v>
      </c>
      <c r="Q218" s="213"/>
      <c r="R218" s="214"/>
      <c r="S218" s="214"/>
      <c r="T218" s="214"/>
      <c r="U218" s="214"/>
      <c r="V218" s="214"/>
      <c r="W218" s="295">
        <f t="shared" si="120"/>
        <v>0</v>
      </c>
      <c r="X218" s="296"/>
      <c r="Y218" s="297"/>
      <c r="Z218" s="346"/>
      <c r="AA218" s="314" t="s">
        <v>148</v>
      </c>
      <c r="AB218" s="13"/>
      <c r="AC218" s="222"/>
      <c r="AD218" s="222"/>
      <c r="AE218" s="222"/>
      <c r="AF218" s="222"/>
      <c r="AG218" s="5"/>
      <c r="AH218" s="20">
        <f t="shared" si="121"/>
        <v>0</v>
      </c>
      <c r="AI218" s="13"/>
      <c r="AJ218" s="5"/>
      <c r="AK218" s="343"/>
      <c r="AL218" s="100"/>
      <c r="AM218" s="98"/>
      <c r="AN218" s="226"/>
      <c r="AO218" s="225"/>
      <c r="AP218" s="89"/>
      <c r="AQ218" s="225"/>
      <c r="AR218" s="89"/>
      <c r="AS218" s="225"/>
      <c r="AT218" s="89"/>
      <c r="AU218" s="15">
        <f t="shared" si="95"/>
        <v>2.1799999999999998E-5</v>
      </c>
      <c r="AV218" s="15">
        <f t="shared" si="96"/>
        <v>0</v>
      </c>
      <c r="AW218" s="15"/>
      <c r="AX218" s="173">
        <v>208</v>
      </c>
      <c r="AY218" s="206">
        <f t="shared" si="97"/>
        <v>1.2799999999999999E-5</v>
      </c>
      <c r="AZ218" s="173">
        <f t="shared" si="98"/>
        <v>0</v>
      </c>
      <c r="BA218" s="233">
        <f t="shared" si="99"/>
        <v>2.1799999999999998E-5</v>
      </c>
      <c r="BB218" s="15">
        <f t="shared" si="105"/>
        <v>0</v>
      </c>
      <c r="BC218" s="173">
        <v>208</v>
      </c>
      <c r="BD218" s="84">
        <f t="shared" si="100"/>
        <v>1.1199999999999999E-5</v>
      </c>
      <c r="BE218" s="207">
        <f t="shared" si="101"/>
        <v>0</v>
      </c>
      <c r="BF218" s="233">
        <f t="shared" si="102"/>
        <v>2.1799999999999998E-5</v>
      </c>
      <c r="BG218" s="15">
        <f t="shared" si="106"/>
        <v>0</v>
      </c>
      <c r="BH218" s="173">
        <v>208</v>
      </c>
      <c r="BI218" s="84">
        <f t="shared" si="103"/>
        <v>1.1199999999999999E-5</v>
      </c>
      <c r="BJ218" s="207">
        <f t="shared" si="104"/>
        <v>0</v>
      </c>
      <c r="BL218" s="123"/>
      <c r="BM218" s="123"/>
      <c r="BO218" s="173"/>
      <c r="BP218" s="174" t="str">
        <f t="shared" si="107"/>
        <v/>
      </c>
      <c r="BQ218" s="174" t="str">
        <f t="shared" si="108"/>
        <v/>
      </c>
      <c r="BR218" s="174" t="str">
        <f t="shared" si="109"/>
        <v/>
      </c>
      <c r="BS218" s="174" t="str">
        <f t="shared" si="110"/>
        <v/>
      </c>
      <c r="BT218" s="174" t="str">
        <f t="shared" si="111"/>
        <v/>
      </c>
      <c r="BU218" s="174" t="str">
        <f t="shared" si="112"/>
        <v/>
      </c>
      <c r="BV218" s="174" t="str">
        <f t="shared" si="113"/>
        <v/>
      </c>
      <c r="BW218" s="174" t="str">
        <f t="shared" si="114"/>
        <v/>
      </c>
      <c r="BX218" s="174" t="str">
        <f t="shared" si="115"/>
        <v/>
      </c>
      <c r="BY218" s="174" t="str">
        <f t="shared" si="116"/>
        <v/>
      </c>
      <c r="BZ218" s="174" t="str">
        <f t="shared" si="117"/>
        <v/>
      </c>
      <c r="CA218" s="174" t="str">
        <f t="shared" si="118"/>
        <v/>
      </c>
      <c r="CB218" s="161"/>
      <c r="CC218" s="161"/>
      <c r="CD218" s="161"/>
      <c r="CE218" s="161" t="s">
        <v>150</v>
      </c>
      <c r="CF218" s="161"/>
    </row>
    <row r="219" spans="1:84" ht="14.25" customHeight="1" x14ac:dyDescent="0.25">
      <c r="A219" s="204">
        <v>209</v>
      </c>
      <c r="B219" s="211"/>
      <c r="C219" s="194"/>
      <c r="D219" s="142"/>
      <c r="E219" s="309" t="s">
        <v>92</v>
      </c>
      <c r="F219" s="305"/>
      <c r="G219" s="306"/>
      <c r="H219" s="306"/>
      <c r="I219" s="306"/>
      <c r="J219" s="306"/>
      <c r="K219" s="306"/>
      <c r="L219" s="223">
        <f t="shared" si="119"/>
        <v>0</v>
      </c>
      <c r="M219" s="298"/>
      <c r="N219" s="299"/>
      <c r="O219" s="341"/>
      <c r="P219" s="312" t="s">
        <v>66</v>
      </c>
      <c r="Q219" s="305"/>
      <c r="R219" s="306"/>
      <c r="S219" s="306"/>
      <c r="T219" s="306"/>
      <c r="U219" s="306"/>
      <c r="V219" s="306"/>
      <c r="W219" s="223">
        <f t="shared" si="120"/>
        <v>0</v>
      </c>
      <c r="X219" s="298"/>
      <c r="Y219" s="299"/>
      <c r="Z219" s="341"/>
      <c r="AA219" s="312" t="s">
        <v>86</v>
      </c>
      <c r="AB219" s="77"/>
      <c r="AC219" s="319"/>
      <c r="AD219" s="319"/>
      <c r="AE219" s="319"/>
      <c r="AF219" s="319"/>
      <c r="AG219" s="320"/>
      <c r="AH219" s="20">
        <f t="shared" si="121"/>
        <v>0</v>
      </c>
      <c r="AI219" s="77"/>
      <c r="AJ219" s="320"/>
      <c r="AK219" s="344"/>
      <c r="AL219" s="101"/>
      <c r="AM219" s="209"/>
      <c r="AN219" s="208"/>
      <c r="AO219" s="220"/>
      <c r="AP219" s="212"/>
      <c r="AQ219" s="220"/>
      <c r="AR219" s="212"/>
      <c r="AS219" s="220"/>
      <c r="AT219" s="212"/>
      <c r="AU219" s="15">
        <f t="shared" si="95"/>
        <v>2.19E-5</v>
      </c>
      <c r="AV219" s="15">
        <f t="shared" si="96"/>
        <v>0</v>
      </c>
      <c r="AW219" s="15"/>
      <c r="AX219" s="173">
        <v>209</v>
      </c>
      <c r="AY219" s="206">
        <f t="shared" si="97"/>
        <v>1.2699999999999999E-5</v>
      </c>
      <c r="AZ219" s="173">
        <f t="shared" si="98"/>
        <v>0</v>
      </c>
      <c r="BA219" s="233">
        <f t="shared" si="99"/>
        <v>2.19E-5</v>
      </c>
      <c r="BB219" s="15">
        <f t="shared" si="105"/>
        <v>0</v>
      </c>
      <c r="BC219" s="173">
        <v>209</v>
      </c>
      <c r="BD219" s="84">
        <f t="shared" si="100"/>
        <v>1.1099999999999999E-5</v>
      </c>
      <c r="BE219" s="207">
        <f t="shared" si="101"/>
        <v>0</v>
      </c>
      <c r="BF219" s="233">
        <f t="shared" si="102"/>
        <v>2.19E-5</v>
      </c>
      <c r="BG219" s="15">
        <f t="shared" si="106"/>
        <v>0</v>
      </c>
      <c r="BH219" s="173">
        <v>209</v>
      </c>
      <c r="BI219" s="84">
        <f t="shared" si="103"/>
        <v>1.1099999999999999E-5</v>
      </c>
      <c r="BJ219" s="207">
        <f t="shared" si="104"/>
        <v>0</v>
      </c>
      <c r="BL219" s="123"/>
      <c r="BM219" s="123"/>
      <c r="BO219" s="173"/>
      <c r="BP219" s="174" t="str">
        <f t="shared" si="107"/>
        <v/>
      </c>
      <c r="BQ219" s="174" t="str">
        <f t="shared" si="108"/>
        <v/>
      </c>
      <c r="BR219" s="174" t="str">
        <f t="shared" si="109"/>
        <v/>
      </c>
      <c r="BS219" s="174" t="str">
        <f t="shared" si="110"/>
        <v/>
      </c>
      <c r="BT219" s="174" t="str">
        <f t="shared" si="111"/>
        <v/>
      </c>
      <c r="BU219" s="174" t="str">
        <f t="shared" si="112"/>
        <v/>
      </c>
      <c r="BV219" s="174" t="str">
        <f t="shared" si="113"/>
        <v/>
      </c>
      <c r="BW219" s="174" t="str">
        <f t="shared" si="114"/>
        <v/>
      </c>
      <c r="BX219" s="174" t="str">
        <f t="shared" si="115"/>
        <v/>
      </c>
      <c r="BY219" s="174" t="str">
        <f t="shared" si="116"/>
        <v/>
      </c>
      <c r="BZ219" s="174" t="str">
        <f t="shared" si="117"/>
        <v/>
      </c>
      <c r="CA219" s="174" t="str">
        <f t="shared" si="118"/>
        <v/>
      </c>
      <c r="CB219" s="161"/>
      <c r="CC219" s="161"/>
      <c r="CD219" s="161"/>
      <c r="CE219" s="161" t="s">
        <v>150</v>
      </c>
      <c r="CF219" s="161"/>
    </row>
    <row r="220" spans="1:84" ht="14.25" customHeight="1" thickBot="1" x14ac:dyDescent="0.3">
      <c r="A220" s="205">
        <v>210</v>
      </c>
      <c r="B220" s="85"/>
      <c r="C220" s="195"/>
      <c r="D220" s="91"/>
      <c r="E220" s="310" t="s">
        <v>92</v>
      </c>
      <c r="F220" s="93"/>
      <c r="G220" s="97"/>
      <c r="H220" s="97"/>
      <c r="I220" s="97"/>
      <c r="J220" s="97"/>
      <c r="K220" s="97"/>
      <c r="L220" s="224">
        <f t="shared" si="119"/>
        <v>0</v>
      </c>
      <c r="M220" s="300"/>
      <c r="N220" s="301"/>
      <c r="O220" s="342"/>
      <c r="P220" s="313" t="s">
        <v>66</v>
      </c>
      <c r="Q220" s="93"/>
      <c r="R220" s="97"/>
      <c r="S220" s="97"/>
      <c r="T220" s="97"/>
      <c r="U220" s="97"/>
      <c r="V220" s="97"/>
      <c r="W220" s="224">
        <f t="shared" si="120"/>
        <v>0</v>
      </c>
      <c r="X220" s="300"/>
      <c r="Y220" s="301"/>
      <c r="Z220" s="342"/>
      <c r="AA220" s="313" t="s">
        <v>86</v>
      </c>
      <c r="AB220" s="78"/>
      <c r="AC220" s="321"/>
      <c r="AD220" s="321"/>
      <c r="AE220" s="321"/>
      <c r="AF220" s="321"/>
      <c r="AG220" s="322"/>
      <c r="AH220" s="88">
        <f t="shared" si="121"/>
        <v>0</v>
      </c>
      <c r="AI220" s="78"/>
      <c r="AJ220" s="322"/>
      <c r="AK220" s="345"/>
      <c r="AL220" s="102"/>
      <c r="AM220" s="99"/>
      <c r="AN220" s="227"/>
      <c r="AO220" s="221"/>
      <c r="AP220" s="90"/>
      <c r="AQ220" s="221"/>
      <c r="AR220" s="90"/>
      <c r="AS220" s="221"/>
      <c r="AT220" s="90"/>
      <c r="AU220" s="15">
        <f t="shared" si="95"/>
        <v>2.1999999999999999E-5</v>
      </c>
      <c r="AV220" s="15">
        <f t="shared" si="96"/>
        <v>0</v>
      </c>
      <c r="AW220" s="15"/>
      <c r="AX220" s="173">
        <v>210</v>
      </c>
      <c r="AY220" s="206">
        <f t="shared" si="97"/>
        <v>1.26E-5</v>
      </c>
      <c r="AZ220" s="173">
        <f t="shared" si="98"/>
        <v>0</v>
      </c>
      <c r="BA220" s="233">
        <f t="shared" si="99"/>
        <v>2.1999999999999999E-5</v>
      </c>
      <c r="BB220" s="15">
        <f t="shared" si="105"/>
        <v>0</v>
      </c>
      <c r="BC220" s="173">
        <v>210</v>
      </c>
      <c r="BD220" s="84">
        <f t="shared" si="100"/>
        <v>1.1E-5</v>
      </c>
      <c r="BE220" s="207">
        <f t="shared" si="101"/>
        <v>0</v>
      </c>
      <c r="BF220" s="233">
        <f t="shared" si="102"/>
        <v>2.1999999999999999E-5</v>
      </c>
      <c r="BG220" s="15">
        <f t="shared" si="106"/>
        <v>0</v>
      </c>
      <c r="BH220" s="173">
        <v>210</v>
      </c>
      <c r="BI220" s="84">
        <f t="shared" si="103"/>
        <v>1.1E-5</v>
      </c>
      <c r="BJ220" s="207">
        <f t="shared" si="104"/>
        <v>0</v>
      </c>
      <c r="BL220" s="123"/>
      <c r="BM220" s="123"/>
      <c r="BO220" s="173"/>
      <c r="BP220" s="174" t="str">
        <f t="shared" si="107"/>
        <v/>
      </c>
      <c r="BQ220" s="174" t="str">
        <f t="shared" si="108"/>
        <v/>
      </c>
      <c r="BR220" s="174" t="str">
        <f t="shared" si="109"/>
        <v/>
      </c>
      <c r="BS220" s="174" t="str">
        <f t="shared" si="110"/>
        <v/>
      </c>
      <c r="BT220" s="174" t="str">
        <f t="shared" si="111"/>
        <v/>
      </c>
      <c r="BU220" s="174" t="str">
        <f t="shared" si="112"/>
        <v/>
      </c>
      <c r="BV220" s="174" t="str">
        <f t="shared" si="113"/>
        <v/>
      </c>
      <c r="BW220" s="174" t="str">
        <f t="shared" si="114"/>
        <v/>
      </c>
      <c r="BX220" s="174" t="str">
        <f t="shared" si="115"/>
        <v/>
      </c>
      <c r="BY220" s="174" t="str">
        <f t="shared" si="116"/>
        <v/>
      </c>
      <c r="BZ220" s="174" t="str">
        <f t="shared" si="117"/>
        <v/>
      </c>
      <c r="CA220" s="174" t="str">
        <f t="shared" si="118"/>
        <v/>
      </c>
      <c r="CB220" s="161"/>
      <c r="CC220" s="161"/>
      <c r="CD220" s="161"/>
      <c r="CE220" s="161" t="s">
        <v>150</v>
      </c>
      <c r="CF220" s="161"/>
    </row>
    <row r="221" spans="1:84" ht="14.25" customHeight="1" x14ac:dyDescent="0.25">
      <c r="A221" s="203">
        <v>211</v>
      </c>
      <c r="B221" s="86"/>
      <c r="C221" s="193"/>
      <c r="D221" s="143"/>
      <c r="E221" s="308" t="s">
        <v>92</v>
      </c>
      <c r="F221" s="213"/>
      <c r="G221" s="214"/>
      <c r="H221" s="214"/>
      <c r="I221" s="214"/>
      <c r="J221" s="214"/>
      <c r="K221" s="214"/>
      <c r="L221" s="295">
        <f t="shared" si="119"/>
        <v>0</v>
      </c>
      <c r="M221" s="296"/>
      <c r="N221" s="297"/>
      <c r="O221" s="340"/>
      <c r="P221" s="311" t="s">
        <v>66</v>
      </c>
      <c r="Q221" s="213"/>
      <c r="R221" s="214"/>
      <c r="S221" s="214"/>
      <c r="T221" s="214"/>
      <c r="U221" s="214"/>
      <c r="V221" s="214"/>
      <c r="W221" s="295">
        <f t="shared" si="120"/>
        <v>0</v>
      </c>
      <c r="X221" s="296"/>
      <c r="Y221" s="297"/>
      <c r="Z221" s="346"/>
      <c r="AA221" s="314" t="s">
        <v>148</v>
      </c>
      <c r="AB221" s="13"/>
      <c r="AC221" s="222"/>
      <c r="AD221" s="222"/>
      <c r="AE221" s="222"/>
      <c r="AF221" s="222"/>
      <c r="AG221" s="5"/>
      <c r="AH221" s="20">
        <f t="shared" si="121"/>
        <v>0</v>
      </c>
      <c r="AI221" s="13"/>
      <c r="AJ221" s="5"/>
      <c r="AK221" s="343"/>
      <c r="AL221" s="100"/>
      <c r="AM221" s="98"/>
      <c r="AN221" s="226"/>
      <c r="AO221" s="225"/>
      <c r="AP221" s="89"/>
      <c r="AQ221" s="225"/>
      <c r="AR221" s="89"/>
      <c r="AS221" s="225"/>
      <c r="AT221" s="89"/>
      <c r="AU221" s="15">
        <f t="shared" si="95"/>
        <v>2.2099999999999998E-5</v>
      </c>
      <c r="AV221" s="15">
        <f t="shared" si="96"/>
        <v>0</v>
      </c>
      <c r="AW221" s="15"/>
      <c r="AX221" s="173">
        <v>211</v>
      </c>
      <c r="AY221" s="206">
        <f t="shared" si="97"/>
        <v>1.2499999999999999E-5</v>
      </c>
      <c r="AZ221" s="173">
        <f t="shared" si="98"/>
        <v>0</v>
      </c>
      <c r="BA221" s="233">
        <f t="shared" si="99"/>
        <v>2.2099999999999998E-5</v>
      </c>
      <c r="BB221" s="15">
        <f t="shared" si="105"/>
        <v>0</v>
      </c>
      <c r="BC221" s="173">
        <v>211</v>
      </c>
      <c r="BD221" s="84">
        <f t="shared" si="100"/>
        <v>1.0899999999999999E-5</v>
      </c>
      <c r="BE221" s="207">
        <f t="shared" si="101"/>
        <v>0</v>
      </c>
      <c r="BF221" s="233">
        <f t="shared" si="102"/>
        <v>2.2099999999999998E-5</v>
      </c>
      <c r="BG221" s="15">
        <f t="shared" si="106"/>
        <v>0</v>
      </c>
      <c r="BH221" s="173">
        <v>211</v>
      </c>
      <c r="BI221" s="84">
        <f t="shared" si="103"/>
        <v>1.0899999999999999E-5</v>
      </c>
      <c r="BJ221" s="207">
        <f t="shared" si="104"/>
        <v>0</v>
      </c>
      <c r="BL221" s="123"/>
      <c r="BM221" s="123"/>
      <c r="BO221" s="173"/>
      <c r="BP221" s="174" t="str">
        <f t="shared" si="107"/>
        <v/>
      </c>
      <c r="BQ221" s="174" t="str">
        <f t="shared" si="108"/>
        <v/>
      </c>
      <c r="BR221" s="174" t="str">
        <f t="shared" si="109"/>
        <v/>
      </c>
      <c r="BS221" s="174" t="str">
        <f t="shared" si="110"/>
        <v/>
      </c>
      <c r="BT221" s="174" t="str">
        <f t="shared" si="111"/>
        <v/>
      </c>
      <c r="BU221" s="174" t="str">
        <f t="shared" si="112"/>
        <v/>
      </c>
      <c r="BV221" s="174" t="str">
        <f t="shared" si="113"/>
        <v/>
      </c>
      <c r="BW221" s="174" t="str">
        <f t="shared" si="114"/>
        <v/>
      </c>
      <c r="BX221" s="174" t="str">
        <f t="shared" si="115"/>
        <v/>
      </c>
      <c r="BY221" s="174" t="str">
        <f t="shared" si="116"/>
        <v/>
      </c>
      <c r="BZ221" s="174" t="str">
        <f t="shared" si="117"/>
        <v/>
      </c>
      <c r="CA221" s="174" t="str">
        <f t="shared" si="118"/>
        <v/>
      </c>
      <c r="CB221" s="161"/>
      <c r="CC221" s="161"/>
      <c r="CD221" s="161"/>
      <c r="CE221" s="161" t="s">
        <v>150</v>
      </c>
      <c r="CF221" s="161"/>
    </row>
    <row r="222" spans="1:84" ht="14.25" customHeight="1" x14ac:dyDescent="0.25">
      <c r="A222" s="204">
        <v>212</v>
      </c>
      <c r="B222" s="211"/>
      <c r="C222" s="194"/>
      <c r="D222" s="142"/>
      <c r="E222" s="309" t="s">
        <v>92</v>
      </c>
      <c r="F222" s="305"/>
      <c r="G222" s="306"/>
      <c r="H222" s="306"/>
      <c r="I222" s="306"/>
      <c r="J222" s="306"/>
      <c r="K222" s="306"/>
      <c r="L222" s="223">
        <f t="shared" si="119"/>
        <v>0</v>
      </c>
      <c r="M222" s="298"/>
      <c r="N222" s="299"/>
      <c r="O222" s="341"/>
      <c r="P222" s="312" t="s">
        <v>66</v>
      </c>
      <c r="Q222" s="305"/>
      <c r="R222" s="306"/>
      <c r="S222" s="306"/>
      <c r="T222" s="306"/>
      <c r="U222" s="306"/>
      <c r="V222" s="306"/>
      <c r="W222" s="223">
        <f t="shared" si="120"/>
        <v>0</v>
      </c>
      <c r="X222" s="298"/>
      <c r="Y222" s="299"/>
      <c r="Z222" s="341"/>
      <c r="AA222" s="312" t="s">
        <v>86</v>
      </c>
      <c r="AB222" s="77"/>
      <c r="AC222" s="319"/>
      <c r="AD222" s="319"/>
      <c r="AE222" s="319"/>
      <c r="AF222" s="319"/>
      <c r="AG222" s="320"/>
      <c r="AH222" s="20">
        <f t="shared" si="121"/>
        <v>0</v>
      </c>
      <c r="AI222" s="77"/>
      <c r="AJ222" s="320"/>
      <c r="AK222" s="344"/>
      <c r="AL222" s="101"/>
      <c r="AM222" s="209"/>
      <c r="AN222" s="208"/>
      <c r="AO222" s="220"/>
      <c r="AP222" s="212"/>
      <c r="AQ222" s="220"/>
      <c r="AR222" s="212"/>
      <c r="AS222" s="220"/>
      <c r="AT222" s="212"/>
      <c r="AU222" s="15">
        <f t="shared" si="95"/>
        <v>2.2199999999999998E-5</v>
      </c>
      <c r="AV222" s="15">
        <f t="shared" si="96"/>
        <v>0</v>
      </c>
      <c r="AW222" s="15"/>
      <c r="AX222" s="173">
        <v>212</v>
      </c>
      <c r="AY222" s="206">
        <f t="shared" si="97"/>
        <v>1.24E-5</v>
      </c>
      <c r="AZ222" s="173">
        <f t="shared" si="98"/>
        <v>0</v>
      </c>
      <c r="BA222" s="233">
        <f t="shared" si="99"/>
        <v>2.2199999999999998E-5</v>
      </c>
      <c r="BB222" s="15">
        <f t="shared" si="105"/>
        <v>0</v>
      </c>
      <c r="BC222" s="173">
        <v>212</v>
      </c>
      <c r="BD222" s="84">
        <f t="shared" si="100"/>
        <v>1.08E-5</v>
      </c>
      <c r="BE222" s="207">
        <f t="shared" si="101"/>
        <v>0</v>
      </c>
      <c r="BF222" s="233">
        <f t="shared" si="102"/>
        <v>2.2199999999999998E-5</v>
      </c>
      <c r="BG222" s="15">
        <f t="shared" si="106"/>
        <v>0</v>
      </c>
      <c r="BH222" s="173">
        <v>212</v>
      </c>
      <c r="BI222" s="84">
        <f t="shared" si="103"/>
        <v>1.08E-5</v>
      </c>
      <c r="BJ222" s="207">
        <f t="shared" si="104"/>
        <v>0</v>
      </c>
      <c r="BL222" s="123"/>
      <c r="BM222" s="123"/>
      <c r="BO222" s="173"/>
      <c r="BP222" s="174" t="str">
        <f t="shared" si="107"/>
        <v/>
      </c>
      <c r="BQ222" s="174" t="str">
        <f t="shared" si="108"/>
        <v/>
      </c>
      <c r="BR222" s="174" t="str">
        <f t="shared" si="109"/>
        <v/>
      </c>
      <c r="BS222" s="174" t="str">
        <f t="shared" si="110"/>
        <v/>
      </c>
      <c r="BT222" s="174" t="str">
        <f t="shared" si="111"/>
        <v/>
      </c>
      <c r="BU222" s="174" t="str">
        <f t="shared" si="112"/>
        <v/>
      </c>
      <c r="BV222" s="174" t="str">
        <f t="shared" si="113"/>
        <v/>
      </c>
      <c r="BW222" s="174" t="str">
        <f t="shared" si="114"/>
        <v/>
      </c>
      <c r="BX222" s="174" t="str">
        <f t="shared" si="115"/>
        <v/>
      </c>
      <c r="BY222" s="174" t="str">
        <f t="shared" si="116"/>
        <v/>
      </c>
      <c r="BZ222" s="174" t="str">
        <f t="shared" si="117"/>
        <v/>
      </c>
      <c r="CA222" s="174" t="str">
        <f t="shared" si="118"/>
        <v/>
      </c>
      <c r="CB222" s="161"/>
      <c r="CC222" s="161"/>
      <c r="CD222" s="161"/>
      <c r="CE222" s="161" t="s">
        <v>150</v>
      </c>
      <c r="CF222" s="161"/>
    </row>
    <row r="223" spans="1:84" ht="14.25" customHeight="1" thickBot="1" x14ac:dyDescent="0.3">
      <c r="A223" s="205">
        <v>213</v>
      </c>
      <c r="B223" s="85"/>
      <c r="C223" s="195"/>
      <c r="D223" s="91"/>
      <c r="E223" s="310" t="s">
        <v>92</v>
      </c>
      <c r="F223" s="93"/>
      <c r="G223" s="97"/>
      <c r="H223" s="97"/>
      <c r="I223" s="97"/>
      <c r="J223" s="97"/>
      <c r="K223" s="97"/>
      <c r="L223" s="224">
        <f t="shared" si="119"/>
        <v>0</v>
      </c>
      <c r="M223" s="300"/>
      <c r="N223" s="301"/>
      <c r="O223" s="342"/>
      <c r="P223" s="313" t="s">
        <v>66</v>
      </c>
      <c r="Q223" s="93"/>
      <c r="R223" s="97"/>
      <c r="S223" s="97"/>
      <c r="T223" s="97"/>
      <c r="U223" s="97"/>
      <c r="V223" s="97"/>
      <c r="W223" s="224">
        <f t="shared" si="120"/>
        <v>0</v>
      </c>
      <c r="X223" s="300"/>
      <c r="Y223" s="301"/>
      <c r="Z223" s="342"/>
      <c r="AA223" s="313" t="s">
        <v>86</v>
      </c>
      <c r="AB223" s="78"/>
      <c r="AC223" s="321"/>
      <c r="AD223" s="321"/>
      <c r="AE223" s="321"/>
      <c r="AF223" s="321"/>
      <c r="AG223" s="322"/>
      <c r="AH223" s="88">
        <f t="shared" si="121"/>
        <v>0</v>
      </c>
      <c r="AI223" s="78"/>
      <c r="AJ223" s="322"/>
      <c r="AK223" s="345"/>
      <c r="AL223" s="102"/>
      <c r="AM223" s="99"/>
      <c r="AN223" s="227"/>
      <c r="AO223" s="221"/>
      <c r="AP223" s="90"/>
      <c r="AQ223" s="221"/>
      <c r="AR223" s="90"/>
      <c r="AS223" s="221"/>
      <c r="AT223" s="90"/>
      <c r="AU223" s="15">
        <f t="shared" si="95"/>
        <v>2.23E-5</v>
      </c>
      <c r="AV223" s="15">
        <f t="shared" si="96"/>
        <v>0</v>
      </c>
      <c r="AW223" s="15"/>
      <c r="AX223" s="173">
        <v>213</v>
      </c>
      <c r="AY223" s="206">
        <f t="shared" si="97"/>
        <v>1.2299999999999999E-5</v>
      </c>
      <c r="AZ223" s="173">
        <f t="shared" si="98"/>
        <v>0</v>
      </c>
      <c r="BA223" s="233">
        <f t="shared" si="99"/>
        <v>2.23E-5</v>
      </c>
      <c r="BB223" s="15">
        <f t="shared" si="105"/>
        <v>0</v>
      </c>
      <c r="BC223" s="173">
        <v>213</v>
      </c>
      <c r="BD223" s="84">
        <f t="shared" si="100"/>
        <v>1.0699999999999999E-5</v>
      </c>
      <c r="BE223" s="207">
        <f t="shared" si="101"/>
        <v>0</v>
      </c>
      <c r="BF223" s="233">
        <f t="shared" si="102"/>
        <v>2.23E-5</v>
      </c>
      <c r="BG223" s="15">
        <f t="shared" si="106"/>
        <v>0</v>
      </c>
      <c r="BH223" s="173">
        <v>213</v>
      </c>
      <c r="BI223" s="84">
        <f t="shared" si="103"/>
        <v>1.0699999999999999E-5</v>
      </c>
      <c r="BJ223" s="207">
        <f t="shared" si="104"/>
        <v>0</v>
      </c>
      <c r="BL223" s="123"/>
      <c r="BM223" s="123"/>
      <c r="BO223" s="173"/>
      <c r="BP223" s="174" t="str">
        <f t="shared" si="107"/>
        <v/>
      </c>
      <c r="BQ223" s="174" t="str">
        <f t="shared" si="108"/>
        <v/>
      </c>
      <c r="BR223" s="174" t="str">
        <f t="shared" si="109"/>
        <v/>
      </c>
      <c r="BS223" s="174" t="str">
        <f t="shared" si="110"/>
        <v/>
      </c>
      <c r="BT223" s="174" t="str">
        <f t="shared" si="111"/>
        <v/>
      </c>
      <c r="BU223" s="174" t="str">
        <f t="shared" si="112"/>
        <v/>
      </c>
      <c r="BV223" s="174" t="str">
        <f t="shared" si="113"/>
        <v/>
      </c>
      <c r="BW223" s="174" t="str">
        <f t="shared" si="114"/>
        <v/>
      </c>
      <c r="BX223" s="174" t="str">
        <f t="shared" si="115"/>
        <v/>
      </c>
      <c r="BY223" s="174" t="str">
        <f t="shared" si="116"/>
        <v/>
      </c>
      <c r="BZ223" s="174" t="str">
        <f t="shared" si="117"/>
        <v/>
      </c>
      <c r="CA223" s="174" t="str">
        <f t="shared" si="118"/>
        <v/>
      </c>
      <c r="CB223" s="161"/>
      <c r="CC223" s="161"/>
      <c r="CD223" s="161"/>
      <c r="CE223" s="161" t="s">
        <v>150</v>
      </c>
      <c r="CF223" s="161"/>
    </row>
    <row r="224" spans="1:84" ht="14.25" customHeight="1" x14ac:dyDescent="0.25">
      <c r="A224" s="203">
        <v>214</v>
      </c>
      <c r="B224" s="86"/>
      <c r="C224" s="193"/>
      <c r="D224" s="143"/>
      <c r="E224" s="308" t="s">
        <v>92</v>
      </c>
      <c r="F224" s="213"/>
      <c r="G224" s="214"/>
      <c r="H224" s="214"/>
      <c r="I224" s="214"/>
      <c r="J224" s="214"/>
      <c r="K224" s="214"/>
      <c r="L224" s="295">
        <f t="shared" si="119"/>
        <v>0</v>
      </c>
      <c r="M224" s="296"/>
      <c r="N224" s="297"/>
      <c r="O224" s="340"/>
      <c r="P224" s="311" t="s">
        <v>66</v>
      </c>
      <c r="Q224" s="213"/>
      <c r="R224" s="214"/>
      <c r="S224" s="214"/>
      <c r="T224" s="214"/>
      <c r="U224" s="214"/>
      <c r="V224" s="214"/>
      <c r="W224" s="295">
        <f t="shared" si="120"/>
        <v>0</v>
      </c>
      <c r="X224" s="296"/>
      <c r="Y224" s="297"/>
      <c r="Z224" s="346"/>
      <c r="AA224" s="314" t="s">
        <v>148</v>
      </c>
      <c r="AB224" s="13"/>
      <c r="AC224" s="222"/>
      <c r="AD224" s="222"/>
      <c r="AE224" s="222"/>
      <c r="AF224" s="222"/>
      <c r="AG224" s="5"/>
      <c r="AH224" s="20">
        <f t="shared" si="121"/>
        <v>0</v>
      </c>
      <c r="AI224" s="13"/>
      <c r="AJ224" s="5"/>
      <c r="AK224" s="343"/>
      <c r="AL224" s="100"/>
      <c r="AM224" s="98"/>
      <c r="AN224" s="226"/>
      <c r="AO224" s="225"/>
      <c r="AP224" s="89"/>
      <c r="AQ224" s="225"/>
      <c r="AR224" s="89"/>
      <c r="AS224" s="225"/>
      <c r="AT224" s="89"/>
      <c r="AU224" s="15">
        <f t="shared" si="95"/>
        <v>2.2399999999999999E-5</v>
      </c>
      <c r="AV224" s="15">
        <f t="shared" si="96"/>
        <v>0</v>
      </c>
      <c r="AW224" s="15"/>
      <c r="AX224" s="173">
        <v>214</v>
      </c>
      <c r="AY224" s="206">
        <f t="shared" si="97"/>
        <v>1.22E-5</v>
      </c>
      <c r="AZ224" s="173">
        <f t="shared" si="98"/>
        <v>0</v>
      </c>
      <c r="BA224" s="233">
        <f t="shared" si="99"/>
        <v>2.2399999999999999E-5</v>
      </c>
      <c r="BB224" s="15">
        <f t="shared" si="105"/>
        <v>0</v>
      </c>
      <c r="BC224" s="173">
        <v>214</v>
      </c>
      <c r="BD224" s="84">
        <f t="shared" si="100"/>
        <v>1.06E-5</v>
      </c>
      <c r="BE224" s="207">
        <f t="shared" si="101"/>
        <v>0</v>
      </c>
      <c r="BF224" s="233">
        <f t="shared" si="102"/>
        <v>2.2399999999999999E-5</v>
      </c>
      <c r="BG224" s="15">
        <f t="shared" si="106"/>
        <v>0</v>
      </c>
      <c r="BH224" s="173">
        <v>214</v>
      </c>
      <c r="BI224" s="84">
        <f t="shared" si="103"/>
        <v>1.06E-5</v>
      </c>
      <c r="BJ224" s="207">
        <f t="shared" si="104"/>
        <v>0</v>
      </c>
      <c r="BL224" s="123"/>
      <c r="BM224" s="123"/>
      <c r="BO224" s="173"/>
      <c r="BP224" s="174" t="str">
        <f t="shared" si="107"/>
        <v/>
      </c>
      <c r="BQ224" s="174" t="str">
        <f t="shared" si="108"/>
        <v/>
      </c>
      <c r="BR224" s="174" t="str">
        <f t="shared" si="109"/>
        <v/>
      </c>
      <c r="BS224" s="174" t="str">
        <f t="shared" si="110"/>
        <v/>
      </c>
      <c r="BT224" s="174" t="str">
        <f t="shared" si="111"/>
        <v/>
      </c>
      <c r="BU224" s="174" t="str">
        <f t="shared" si="112"/>
        <v/>
      </c>
      <c r="BV224" s="174" t="str">
        <f t="shared" si="113"/>
        <v/>
      </c>
      <c r="BW224" s="174" t="str">
        <f t="shared" si="114"/>
        <v/>
      </c>
      <c r="BX224" s="174" t="str">
        <f t="shared" si="115"/>
        <v/>
      </c>
      <c r="BY224" s="174" t="str">
        <f t="shared" si="116"/>
        <v/>
      </c>
      <c r="BZ224" s="174" t="str">
        <f t="shared" si="117"/>
        <v/>
      </c>
      <c r="CA224" s="174" t="str">
        <f t="shared" si="118"/>
        <v/>
      </c>
      <c r="CB224" s="161"/>
      <c r="CC224" s="161"/>
      <c r="CD224" s="161"/>
      <c r="CE224" s="161" t="s">
        <v>150</v>
      </c>
      <c r="CF224" s="161"/>
    </row>
    <row r="225" spans="1:84" ht="14.25" customHeight="1" x14ac:dyDescent="0.25">
      <c r="A225" s="204">
        <v>215</v>
      </c>
      <c r="B225" s="211"/>
      <c r="C225" s="194"/>
      <c r="D225" s="142"/>
      <c r="E225" s="309" t="s">
        <v>92</v>
      </c>
      <c r="F225" s="305"/>
      <c r="G225" s="306"/>
      <c r="H225" s="306"/>
      <c r="I225" s="306"/>
      <c r="J225" s="306"/>
      <c r="K225" s="306"/>
      <c r="L225" s="223">
        <f t="shared" si="119"/>
        <v>0</v>
      </c>
      <c r="M225" s="298"/>
      <c r="N225" s="299"/>
      <c r="O225" s="341"/>
      <c r="P225" s="312" t="s">
        <v>66</v>
      </c>
      <c r="Q225" s="305"/>
      <c r="R225" s="306"/>
      <c r="S225" s="306"/>
      <c r="T225" s="306"/>
      <c r="U225" s="306"/>
      <c r="V225" s="306"/>
      <c r="W225" s="223">
        <f t="shared" si="120"/>
        <v>0</v>
      </c>
      <c r="X225" s="298"/>
      <c r="Y225" s="299"/>
      <c r="Z225" s="341"/>
      <c r="AA225" s="312" t="s">
        <v>86</v>
      </c>
      <c r="AB225" s="77"/>
      <c r="AC225" s="319"/>
      <c r="AD225" s="319"/>
      <c r="AE225" s="319"/>
      <c r="AF225" s="319"/>
      <c r="AG225" s="320"/>
      <c r="AH225" s="20">
        <f t="shared" si="121"/>
        <v>0</v>
      </c>
      <c r="AI225" s="77"/>
      <c r="AJ225" s="320"/>
      <c r="AK225" s="344"/>
      <c r="AL225" s="101"/>
      <c r="AM225" s="209"/>
      <c r="AN225" s="208"/>
      <c r="AO225" s="220"/>
      <c r="AP225" s="212"/>
      <c r="AQ225" s="220"/>
      <c r="AR225" s="212"/>
      <c r="AS225" s="220"/>
      <c r="AT225" s="212"/>
      <c r="AU225" s="15">
        <f t="shared" si="95"/>
        <v>2.2499999999999998E-5</v>
      </c>
      <c r="AV225" s="15">
        <f t="shared" si="96"/>
        <v>0</v>
      </c>
      <c r="AW225" s="15"/>
      <c r="AX225" s="173">
        <v>215</v>
      </c>
      <c r="AY225" s="206">
        <f t="shared" si="97"/>
        <v>1.2099999999999999E-5</v>
      </c>
      <c r="AZ225" s="173">
        <f t="shared" si="98"/>
        <v>0</v>
      </c>
      <c r="BA225" s="233">
        <f t="shared" si="99"/>
        <v>2.2499999999999998E-5</v>
      </c>
      <c r="BB225" s="15">
        <f t="shared" si="105"/>
        <v>0</v>
      </c>
      <c r="BC225" s="173">
        <v>215</v>
      </c>
      <c r="BD225" s="84">
        <f t="shared" si="100"/>
        <v>1.0499999999999999E-5</v>
      </c>
      <c r="BE225" s="207">
        <f t="shared" si="101"/>
        <v>0</v>
      </c>
      <c r="BF225" s="233">
        <f t="shared" si="102"/>
        <v>2.2499999999999998E-5</v>
      </c>
      <c r="BG225" s="15">
        <f t="shared" si="106"/>
        <v>0</v>
      </c>
      <c r="BH225" s="173">
        <v>215</v>
      </c>
      <c r="BI225" s="84">
        <f t="shared" si="103"/>
        <v>1.0499999999999999E-5</v>
      </c>
      <c r="BJ225" s="207">
        <f t="shared" si="104"/>
        <v>0</v>
      </c>
      <c r="BL225" s="123"/>
      <c r="BM225" s="123"/>
      <c r="BO225" s="173"/>
      <c r="BP225" s="174" t="str">
        <f t="shared" si="107"/>
        <v/>
      </c>
      <c r="BQ225" s="174" t="str">
        <f t="shared" si="108"/>
        <v/>
      </c>
      <c r="BR225" s="174" t="str">
        <f t="shared" si="109"/>
        <v/>
      </c>
      <c r="BS225" s="174" t="str">
        <f t="shared" si="110"/>
        <v/>
      </c>
      <c r="BT225" s="174" t="str">
        <f t="shared" si="111"/>
        <v/>
      </c>
      <c r="BU225" s="174" t="str">
        <f t="shared" si="112"/>
        <v/>
      </c>
      <c r="BV225" s="174" t="str">
        <f t="shared" si="113"/>
        <v/>
      </c>
      <c r="BW225" s="174" t="str">
        <f t="shared" si="114"/>
        <v/>
      </c>
      <c r="BX225" s="174" t="str">
        <f t="shared" si="115"/>
        <v/>
      </c>
      <c r="BY225" s="174" t="str">
        <f t="shared" si="116"/>
        <v/>
      </c>
      <c r="BZ225" s="174" t="str">
        <f t="shared" si="117"/>
        <v/>
      </c>
      <c r="CA225" s="174" t="str">
        <f t="shared" si="118"/>
        <v/>
      </c>
      <c r="CB225" s="161"/>
      <c r="CC225" s="161"/>
      <c r="CD225" s="161"/>
      <c r="CE225" s="161" t="s">
        <v>150</v>
      </c>
      <c r="CF225" s="161"/>
    </row>
    <row r="226" spans="1:84" ht="14.25" customHeight="1" thickBot="1" x14ac:dyDescent="0.3">
      <c r="A226" s="205">
        <v>216</v>
      </c>
      <c r="B226" s="85"/>
      <c r="C226" s="195"/>
      <c r="D226" s="91"/>
      <c r="E226" s="310" t="s">
        <v>92</v>
      </c>
      <c r="F226" s="93"/>
      <c r="G226" s="97"/>
      <c r="H226" s="97"/>
      <c r="I226" s="97"/>
      <c r="J226" s="97"/>
      <c r="K226" s="97"/>
      <c r="L226" s="224">
        <f t="shared" si="119"/>
        <v>0</v>
      </c>
      <c r="M226" s="300"/>
      <c r="N226" s="301"/>
      <c r="O226" s="342"/>
      <c r="P226" s="313" t="s">
        <v>66</v>
      </c>
      <c r="Q226" s="93"/>
      <c r="R226" s="97"/>
      <c r="S226" s="97"/>
      <c r="T226" s="97"/>
      <c r="U226" s="97"/>
      <c r="V226" s="97"/>
      <c r="W226" s="224">
        <f t="shared" si="120"/>
        <v>0</v>
      </c>
      <c r="X226" s="300"/>
      <c r="Y226" s="301"/>
      <c r="Z226" s="342"/>
      <c r="AA226" s="313" t="s">
        <v>86</v>
      </c>
      <c r="AB226" s="78"/>
      <c r="AC226" s="321"/>
      <c r="AD226" s="321"/>
      <c r="AE226" s="321"/>
      <c r="AF226" s="321"/>
      <c r="AG226" s="322"/>
      <c r="AH226" s="88">
        <f t="shared" si="121"/>
        <v>0</v>
      </c>
      <c r="AI226" s="78"/>
      <c r="AJ226" s="322"/>
      <c r="AK226" s="345"/>
      <c r="AL226" s="102"/>
      <c r="AM226" s="99"/>
      <c r="AN226" s="227"/>
      <c r="AO226" s="221"/>
      <c r="AP226" s="90"/>
      <c r="AQ226" s="221"/>
      <c r="AR226" s="90"/>
      <c r="AS226" s="221"/>
      <c r="AT226" s="90"/>
      <c r="AU226" s="15">
        <f t="shared" si="95"/>
        <v>2.26E-5</v>
      </c>
      <c r="AV226" s="15">
        <f t="shared" si="96"/>
        <v>0</v>
      </c>
      <c r="AW226" s="15"/>
      <c r="AX226" s="173">
        <v>216</v>
      </c>
      <c r="AY226" s="206">
        <f t="shared" si="97"/>
        <v>1.2E-5</v>
      </c>
      <c r="AZ226" s="173">
        <f t="shared" si="98"/>
        <v>0</v>
      </c>
      <c r="BA226" s="233">
        <f t="shared" si="99"/>
        <v>2.26E-5</v>
      </c>
      <c r="BB226" s="15">
        <f t="shared" si="105"/>
        <v>0</v>
      </c>
      <c r="BC226" s="173">
        <v>216</v>
      </c>
      <c r="BD226" s="84">
        <f t="shared" si="100"/>
        <v>1.0399999999999999E-5</v>
      </c>
      <c r="BE226" s="207">
        <f t="shared" si="101"/>
        <v>0</v>
      </c>
      <c r="BF226" s="233">
        <f t="shared" si="102"/>
        <v>2.26E-5</v>
      </c>
      <c r="BG226" s="15">
        <f t="shared" si="106"/>
        <v>0</v>
      </c>
      <c r="BH226" s="173">
        <v>216</v>
      </c>
      <c r="BI226" s="84">
        <f t="shared" si="103"/>
        <v>1.0399999999999999E-5</v>
      </c>
      <c r="BJ226" s="207">
        <f t="shared" si="104"/>
        <v>0</v>
      </c>
      <c r="BL226" s="123"/>
      <c r="BM226" s="123"/>
      <c r="BO226" s="173"/>
      <c r="BP226" s="174" t="str">
        <f t="shared" si="107"/>
        <v/>
      </c>
      <c r="BQ226" s="174" t="str">
        <f t="shared" si="108"/>
        <v/>
      </c>
      <c r="BR226" s="174" t="str">
        <f t="shared" si="109"/>
        <v/>
      </c>
      <c r="BS226" s="174" t="str">
        <f t="shared" si="110"/>
        <v/>
      </c>
      <c r="BT226" s="174" t="str">
        <f t="shared" si="111"/>
        <v/>
      </c>
      <c r="BU226" s="174" t="str">
        <f t="shared" si="112"/>
        <v/>
      </c>
      <c r="BV226" s="174" t="str">
        <f t="shared" si="113"/>
        <v/>
      </c>
      <c r="BW226" s="174" t="str">
        <f t="shared" si="114"/>
        <v/>
      </c>
      <c r="BX226" s="174" t="str">
        <f t="shared" si="115"/>
        <v/>
      </c>
      <c r="BY226" s="174" t="str">
        <f t="shared" si="116"/>
        <v/>
      </c>
      <c r="BZ226" s="174" t="str">
        <f t="shared" si="117"/>
        <v/>
      </c>
      <c r="CA226" s="174" t="str">
        <f t="shared" si="118"/>
        <v/>
      </c>
      <c r="CB226" s="161"/>
      <c r="CC226" s="161"/>
      <c r="CD226" s="161"/>
      <c r="CE226" s="161" t="s">
        <v>150</v>
      </c>
      <c r="CF226" s="161"/>
    </row>
    <row r="227" spans="1:84" ht="14.25" customHeight="1" x14ac:dyDescent="0.25">
      <c r="A227" s="203">
        <v>217</v>
      </c>
      <c r="B227" s="86"/>
      <c r="C227" s="193"/>
      <c r="D227" s="143"/>
      <c r="E227" s="308" t="s">
        <v>92</v>
      </c>
      <c r="F227" s="213"/>
      <c r="G227" s="214"/>
      <c r="H227" s="214"/>
      <c r="I227" s="214"/>
      <c r="J227" s="214"/>
      <c r="K227" s="214"/>
      <c r="L227" s="295">
        <f t="shared" si="119"/>
        <v>0</v>
      </c>
      <c r="M227" s="296"/>
      <c r="N227" s="297"/>
      <c r="O227" s="340"/>
      <c r="P227" s="311" t="s">
        <v>66</v>
      </c>
      <c r="Q227" s="213"/>
      <c r="R227" s="214"/>
      <c r="S227" s="214"/>
      <c r="T227" s="214"/>
      <c r="U227" s="214"/>
      <c r="V227" s="214"/>
      <c r="W227" s="295">
        <f t="shared" si="120"/>
        <v>0</v>
      </c>
      <c r="X227" s="296"/>
      <c r="Y227" s="297"/>
      <c r="Z227" s="346"/>
      <c r="AA227" s="314" t="s">
        <v>148</v>
      </c>
      <c r="AB227" s="13"/>
      <c r="AC227" s="222"/>
      <c r="AD227" s="222"/>
      <c r="AE227" s="222"/>
      <c r="AF227" s="222"/>
      <c r="AG227" s="5"/>
      <c r="AH227" s="20">
        <f t="shared" si="121"/>
        <v>0</v>
      </c>
      <c r="AI227" s="13"/>
      <c r="AJ227" s="5"/>
      <c r="AK227" s="343"/>
      <c r="AL227" s="100"/>
      <c r="AM227" s="98"/>
      <c r="AN227" s="226"/>
      <c r="AO227" s="225"/>
      <c r="AP227" s="89"/>
      <c r="AQ227" s="225"/>
      <c r="AR227" s="89"/>
      <c r="AS227" s="225"/>
      <c r="AT227" s="89"/>
      <c r="AU227" s="15">
        <f t="shared" si="95"/>
        <v>2.27E-5</v>
      </c>
      <c r="AV227" s="15">
        <f t="shared" si="96"/>
        <v>0</v>
      </c>
      <c r="AW227" s="15"/>
      <c r="AX227" s="173">
        <v>217</v>
      </c>
      <c r="AY227" s="206">
        <f t="shared" si="97"/>
        <v>1.19E-5</v>
      </c>
      <c r="AZ227" s="173">
        <f t="shared" si="98"/>
        <v>0</v>
      </c>
      <c r="BA227" s="233">
        <f t="shared" si="99"/>
        <v>2.27E-5</v>
      </c>
      <c r="BB227" s="15">
        <f t="shared" si="105"/>
        <v>0</v>
      </c>
      <c r="BC227" s="173">
        <v>217</v>
      </c>
      <c r="BD227" s="84">
        <f t="shared" si="100"/>
        <v>1.03E-5</v>
      </c>
      <c r="BE227" s="207">
        <f t="shared" si="101"/>
        <v>0</v>
      </c>
      <c r="BF227" s="233">
        <f t="shared" si="102"/>
        <v>2.27E-5</v>
      </c>
      <c r="BG227" s="15">
        <f t="shared" si="106"/>
        <v>0</v>
      </c>
      <c r="BH227" s="173">
        <v>217</v>
      </c>
      <c r="BI227" s="84">
        <f t="shared" si="103"/>
        <v>1.03E-5</v>
      </c>
      <c r="BJ227" s="207">
        <f t="shared" si="104"/>
        <v>0</v>
      </c>
      <c r="BL227" s="123"/>
      <c r="BM227" s="123"/>
      <c r="BO227" s="173"/>
      <c r="BP227" s="174" t="str">
        <f t="shared" si="107"/>
        <v/>
      </c>
      <c r="BQ227" s="174" t="str">
        <f t="shared" si="108"/>
        <v/>
      </c>
      <c r="BR227" s="174" t="str">
        <f t="shared" si="109"/>
        <v/>
      </c>
      <c r="BS227" s="174" t="str">
        <f t="shared" si="110"/>
        <v/>
      </c>
      <c r="BT227" s="174" t="str">
        <f t="shared" si="111"/>
        <v/>
      </c>
      <c r="BU227" s="174" t="str">
        <f t="shared" si="112"/>
        <v/>
      </c>
      <c r="BV227" s="174" t="str">
        <f t="shared" si="113"/>
        <v/>
      </c>
      <c r="BW227" s="174" t="str">
        <f t="shared" si="114"/>
        <v/>
      </c>
      <c r="BX227" s="174" t="str">
        <f t="shared" si="115"/>
        <v/>
      </c>
      <c r="BY227" s="174" t="str">
        <f t="shared" si="116"/>
        <v/>
      </c>
      <c r="BZ227" s="174" t="str">
        <f t="shared" si="117"/>
        <v/>
      </c>
      <c r="CA227" s="174" t="str">
        <f t="shared" si="118"/>
        <v/>
      </c>
      <c r="CB227" s="161"/>
      <c r="CC227" s="161"/>
      <c r="CD227" s="161"/>
      <c r="CE227" s="161" t="s">
        <v>150</v>
      </c>
      <c r="CF227" s="161"/>
    </row>
    <row r="228" spans="1:84" ht="14.25" customHeight="1" x14ac:dyDescent="0.25">
      <c r="A228" s="204">
        <v>218</v>
      </c>
      <c r="B228" s="211"/>
      <c r="C228" s="194"/>
      <c r="D228" s="142"/>
      <c r="E228" s="309" t="s">
        <v>92</v>
      </c>
      <c r="F228" s="305"/>
      <c r="G228" s="306"/>
      <c r="H228" s="306"/>
      <c r="I228" s="306"/>
      <c r="J228" s="306"/>
      <c r="K228" s="306"/>
      <c r="L228" s="223">
        <f t="shared" si="119"/>
        <v>0</v>
      </c>
      <c r="M228" s="298"/>
      <c r="N228" s="299"/>
      <c r="O228" s="341"/>
      <c r="P228" s="312" t="s">
        <v>66</v>
      </c>
      <c r="Q228" s="305"/>
      <c r="R228" s="306"/>
      <c r="S228" s="306"/>
      <c r="T228" s="306"/>
      <c r="U228" s="306"/>
      <c r="V228" s="306"/>
      <c r="W228" s="223">
        <f t="shared" si="120"/>
        <v>0</v>
      </c>
      <c r="X228" s="298"/>
      <c r="Y228" s="299"/>
      <c r="Z228" s="341"/>
      <c r="AA228" s="312" t="s">
        <v>86</v>
      </c>
      <c r="AB228" s="77"/>
      <c r="AC228" s="319"/>
      <c r="AD228" s="319"/>
      <c r="AE228" s="319"/>
      <c r="AF228" s="319"/>
      <c r="AG228" s="320"/>
      <c r="AH228" s="20">
        <f t="shared" si="121"/>
        <v>0</v>
      </c>
      <c r="AI228" s="77"/>
      <c r="AJ228" s="320"/>
      <c r="AK228" s="344"/>
      <c r="AL228" s="101"/>
      <c r="AM228" s="209"/>
      <c r="AN228" s="208"/>
      <c r="AO228" s="220"/>
      <c r="AP228" s="212"/>
      <c r="AQ228" s="220"/>
      <c r="AR228" s="212"/>
      <c r="AS228" s="220"/>
      <c r="AT228" s="212"/>
      <c r="AU228" s="15">
        <f t="shared" si="95"/>
        <v>2.2799999999999999E-5</v>
      </c>
      <c r="AV228" s="15">
        <f t="shared" si="96"/>
        <v>0</v>
      </c>
      <c r="AW228" s="15"/>
      <c r="AX228" s="173">
        <v>218</v>
      </c>
      <c r="AY228" s="206">
        <f t="shared" si="97"/>
        <v>1.1799999999999999E-5</v>
      </c>
      <c r="AZ228" s="173">
        <f t="shared" si="98"/>
        <v>0</v>
      </c>
      <c r="BA228" s="233">
        <f t="shared" si="99"/>
        <v>2.2799999999999999E-5</v>
      </c>
      <c r="BB228" s="15">
        <f t="shared" si="105"/>
        <v>0</v>
      </c>
      <c r="BC228" s="173">
        <v>218</v>
      </c>
      <c r="BD228" s="84">
        <f t="shared" si="100"/>
        <v>1.0199999999999999E-5</v>
      </c>
      <c r="BE228" s="207">
        <f t="shared" si="101"/>
        <v>0</v>
      </c>
      <c r="BF228" s="233">
        <f t="shared" si="102"/>
        <v>2.2799999999999999E-5</v>
      </c>
      <c r="BG228" s="15">
        <f t="shared" si="106"/>
        <v>0</v>
      </c>
      <c r="BH228" s="173">
        <v>218</v>
      </c>
      <c r="BI228" s="84">
        <f t="shared" si="103"/>
        <v>1.0199999999999999E-5</v>
      </c>
      <c r="BJ228" s="207">
        <f t="shared" si="104"/>
        <v>0</v>
      </c>
      <c r="BL228" s="123"/>
      <c r="BM228" s="123"/>
      <c r="BO228" s="173"/>
      <c r="BP228" s="174" t="str">
        <f t="shared" si="107"/>
        <v/>
      </c>
      <c r="BQ228" s="174" t="str">
        <f t="shared" si="108"/>
        <v/>
      </c>
      <c r="BR228" s="174" t="str">
        <f t="shared" si="109"/>
        <v/>
      </c>
      <c r="BS228" s="174" t="str">
        <f t="shared" si="110"/>
        <v/>
      </c>
      <c r="BT228" s="174" t="str">
        <f t="shared" si="111"/>
        <v/>
      </c>
      <c r="BU228" s="174" t="str">
        <f t="shared" si="112"/>
        <v/>
      </c>
      <c r="BV228" s="174" t="str">
        <f t="shared" si="113"/>
        <v/>
      </c>
      <c r="BW228" s="174" t="str">
        <f t="shared" si="114"/>
        <v/>
      </c>
      <c r="BX228" s="174" t="str">
        <f t="shared" si="115"/>
        <v/>
      </c>
      <c r="BY228" s="174" t="str">
        <f t="shared" si="116"/>
        <v/>
      </c>
      <c r="BZ228" s="174" t="str">
        <f t="shared" si="117"/>
        <v/>
      </c>
      <c r="CA228" s="174" t="str">
        <f t="shared" si="118"/>
        <v/>
      </c>
      <c r="CB228" s="161"/>
      <c r="CC228" s="161"/>
      <c r="CD228" s="161"/>
      <c r="CE228" s="161" t="s">
        <v>150</v>
      </c>
      <c r="CF228" s="161"/>
    </row>
    <row r="229" spans="1:84" ht="14.25" customHeight="1" thickBot="1" x14ac:dyDescent="0.3">
      <c r="A229" s="205">
        <v>219</v>
      </c>
      <c r="B229" s="85"/>
      <c r="C229" s="195"/>
      <c r="D229" s="91"/>
      <c r="E229" s="310" t="s">
        <v>92</v>
      </c>
      <c r="F229" s="93"/>
      <c r="G229" s="97"/>
      <c r="H229" s="97"/>
      <c r="I229" s="97"/>
      <c r="J229" s="97"/>
      <c r="K229" s="97"/>
      <c r="L229" s="224">
        <f t="shared" si="119"/>
        <v>0</v>
      </c>
      <c r="M229" s="300"/>
      <c r="N229" s="301"/>
      <c r="O229" s="342"/>
      <c r="P229" s="313" t="s">
        <v>66</v>
      </c>
      <c r="Q229" s="93"/>
      <c r="R229" s="97"/>
      <c r="S229" s="97"/>
      <c r="T229" s="97"/>
      <c r="U229" s="97"/>
      <c r="V229" s="97"/>
      <c r="W229" s="224">
        <f t="shared" si="120"/>
        <v>0</v>
      </c>
      <c r="X229" s="300"/>
      <c r="Y229" s="301"/>
      <c r="Z229" s="342"/>
      <c r="AA229" s="313" t="s">
        <v>86</v>
      </c>
      <c r="AB229" s="78"/>
      <c r="AC229" s="321"/>
      <c r="AD229" s="321"/>
      <c r="AE229" s="321"/>
      <c r="AF229" s="321"/>
      <c r="AG229" s="322"/>
      <c r="AH229" s="88">
        <f t="shared" si="121"/>
        <v>0</v>
      </c>
      <c r="AI229" s="78"/>
      <c r="AJ229" s="322"/>
      <c r="AK229" s="345"/>
      <c r="AL229" s="102"/>
      <c r="AM229" s="99"/>
      <c r="AN229" s="227"/>
      <c r="AO229" s="221"/>
      <c r="AP229" s="90"/>
      <c r="AQ229" s="221"/>
      <c r="AR229" s="90"/>
      <c r="AS229" s="221"/>
      <c r="AT229" s="90"/>
      <c r="AU229" s="15">
        <f t="shared" si="95"/>
        <v>2.2899999999999998E-5</v>
      </c>
      <c r="AV229" s="15">
        <f t="shared" si="96"/>
        <v>0</v>
      </c>
      <c r="AW229" s="15"/>
      <c r="AX229" s="173">
        <v>219</v>
      </c>
      <c r="AY229" s="206">
        <f t="shared" si="97"/>
        <v>1.17E-5</v>
      </c>
      <c r="AZ229" s="173">
        <f t="shared" si="98"/>
        <v>0</v>
      </c>
      <c r="BA229" s="233">
        <f t="shared" si="99"/>
        <v>2.2899999999999998E-5</v>
      </c>
      <c r="BB229" s="15">
        <f t="shared" si="105"/>
        <v>0</v>
      </c>
      <c r="BC229" s="173">
        <v>219</v>
      </c>
      <c r="BD229" s="84">
        <f t="shared" si="100"/>
        <v>1.01E-5</v>
      </c>
      <c r="BE229" s="207">
        <f t="shared" si="101"/>
        <v>0</v>
      </c>
      <c r="BF229" s="233">
        <f t="shared" si="102"/>
        <v>2.2899999999999998E-5</v>
      </c>
      <c r="BG229" s="15">
        <f t="shared" si="106"/>
        <v>0</v>
      </c>
      <c r="BH229" s="173">
        <v>219</v>
      </c>
      <c r="BI229" s="84">
        <f t="shared" si="103"/>
        <v>1.01E-5</v>
      </c>
      <c r="BJ229" s="207">
        <f t="shared" si="104"/>
        <v>0</v>
      </c>
      <c r="BL229" s="123"/>
      <c r="BM229" s="123"/>
      <c r="BO229" s="173"/>
      <c r="BP229" s="174" t="str">
        <f t="shared" si="107"/>
        <v/>
      </c>
      <c r="BQ229" s="174" t="str">
        <f t="shared" si="108"/>
        <v/>
      </c>
      <c r="BR229" s="174" t="str">
        <f t="shared" si="109"/>
        <v/>
      </c>
      <c r="BS229" s="174" t="str">
        <f t="shared" si="110"/>
        <v/>
      </c>
      <c r="BT229" s="174" t="str">
        <f t="shared" si="111"/>
        <v/>
      </c>
      <c r="BU229" s="174" t="str">
        <f t="shared" si="112"/>
        <v/>
      </c>
      <c r="BV229" s="174" t="str">
        <f t="shared" si="113"/>
        <v/>
      </c>
      <c r="BW229" s="174" t="str">
        <f t="shared" si="114"/>
        <v/>
      </c>
      <c r="BX229" s="174" t="str">
        <f t="shared" si="115"/>
        <v/>
      </c>
      <c r="BY229" s="174" t="str">
        <f t="shared" si="116"/>
        <v/>
      </c>
      <c r="BZ229" s="174" t="str">
        <f t="shared" si="117"/>
        <v/>
      </c>
      <c r="CA229" s="174" t="str">
        <f t="shared" si="118"/>
        <v/>
      </c>
      <c r="CB229" s="161"/>
      <c r="CC229" s="161"/>
      <c r="CD229" s="161"/>
      <c r="CE229" s="161" t="s">
        <v>150</v>
      </c>
      <c r="CF229" s="161"/>
    </row>
    <row r="230" spans="1:84" ht="14.25" customHeight="1" x14ac:dyDescent="0.25">
      <c r="A230" s="203">
        <v>220</v>
      </c>
      <c r="B230" s="86"/>
      <c r="C230" s="193"/>
      <c r="D230" s="143"/>
      <c r="E230" s="308" t="s">
        <v>92</v>
      </c>
      <c r="F230" s="213"/>
      <c r="G230" s="214"/>
      <c r="H230" s="214"/>
      <c r="I230" s="214"/>
      <c r="J230" s="214"/>
      <c r="K230" s="214"/>
      <c r="L230" s="295">
        <f t="shared" si="119"/>
        <v>0</v>
      </c>
      <c r="M230" s="296"/>
      <c r="N230" s="297"/>
      <c r="O230" s="340"/>
      <c r="P230" s="311" t="s">
        <v>66</v>
      </c>
      <c r="Q230" s="213"/>
      <c r="R230" s="214"/>
      <c r="S230" s="214"/>
      <c r="T230" s="214"/>
      <c r="U230" s="214"/>
      <c r="V230" s="214"/>
      <c r="W230" s="295">
        <f t="shared" si="120"/>
        <v>0</v>
      </c>
      <c r="X230" s="296"/>
      <c r="Y230" s="297"/>
      <c r="Z230" s="346"/>
      <c r="AA230" s="314" t="s">
        <v>148</v>
      </c>
      <c r="AB230" s="13"/>
      <c r="AC230" s="222"/>
      <c r="AD230" s="222"/>
      <c r="AE230" s="222"/>
      <c r="AF230" s="222"/>
      <c r="AG230" s="5"/>
      <c r="AH230" s="20">
        <f t="shared" si="121"/>
        <v>0</v>
      </c>
      <c r="AI230" s="13"/>
      <c r="AJ230" s="5"/>
      <c r="AK230" s="343"/>
      <c r="AL230" s="100"/>
      <c r="AM230" s="98"/>
      <c r="AN230" s="226"/>
      <c r="AO230" s="225"/>
      <c r="AP230" s="89"/>
      <c r="AQ230" s="225"/>
      <c r="AR230" s="89"/>
      <c r="AS230" s="225"/>
      <c r="AT230" s="89"/>
      <c r="AU230" s="15">
        <f t="shared" si="95"/>
        <v>2.3E-5</v>
      </c>
      <c r="AV230" s="15">
        <f t="shared" si="96"/>
        <v>0</v>
      </c>
      <c r="AW230" s="15"/>
      <c r="AX230" s="173">
        <v>220</v>
      </c>
      <c r="AY230" s="206">
        <f t="shared" si="97"/>
        <v>1.1599999999999999E-5</v>
      </c>
      <c r="AZ230" s="173">
        <f t="shared" si="98"/>
        <v>0</v>
      </c>
      <c r="BA230" s="233">
        <f t="shared" si="99"/>
        <v>2.3E-5</v>
      </c>
      <c r="BB230" s="15">
        <f t="shared" si="105"/>
        <v>0</v>
      </c>
      <c r="BC230" s="173">
        <v>220</v>
      </c>
      <c r="BD230" s="84">
        <f t="shared" si="100"/>
        <v>9.9999999999999991E-6</v>
      </c>
      <c r="BE230" s="207">
        <f t="shared" si="101"/>
        <v>0</v>
      </c>
      <c r="BF230" s="233">
        <f t="shared" si="102"/>
        <v>2.3E-5</v>
      </c>
      <c r="BG230" s="15">
        <f t="shared" si="106"/>
        <v>0</v>
      </c>
      <c r="BH230" s="173">
        <v>220</v>
      </c>
      <c r="BI230" s="84">
        <f t="shared" si="103"/>
        <v>9.9999999999999991E-6</v>
      </c>
      <c r="BJ230" s="207">
        <f t="shared" si="104"/>
        <v>0</v>
      </c>
      <c r="BL230" s="123"/>
      <c r="BM230" s="123"/>
      <c r="BO230" s="173"/>
      <c r="BP230" s="174" t="str">
        <f t="shared" si="107"/>
        <v/>
      </c>
      <c r="BQ230" s="174" t="str">
        <f t="shared" si="108"/>
        <v/>
      </c>
      <c r="BR230" s="174" t="str">
        <f t="shared" si="109"/>
        <v/>
      </c>
      <c r="BS230" s="174" t="str">
        <f t="shared" si="110"/>
        <v/>
      </c>
      <c r="BT230" s="174" t="str">
        <f t="shared" si="111"/>
        <v/>
      </c>
      <c r="BU230" s="174" t="str">
        <f t="shared" si="112"/>
        <v/>
      </c>
      <c r="BV230" s="174" t="str">
        <f t="shared" si="113"/>
        <v/>
      </c>
      <c r="BW230" s="174" t="str">
        <f t="shared" si="114"/>
        <v/>
      </c>
      <c r="BX230" s="174" t="str">
        <f t="shared" si="115"/>
        <v/>
      </c>
      <c r="BY230" s="174" t="str">
        <f t="shared" si="116"/>
        <v/>
      </c>
      <c r="BZ230" s="174" t="str">
        <f t="shared" si="117"/>
        <v/>
      </c>
      <c r="CA230" s="174" t="str">
        <f t="shared" si="118"/>
        <v/>
      </c>
      <c r="CB230" s="161"/>
      <c r="CC230" s="161"/>
      <c r="CD230" s="161"/>
      <c r="CE230" s="161" t="s">
        <v>150</v>
      </c>
      <c r="CF230" s="161"/>
    </row>
    <row r="231" spans="1:84" ht="14.25" customHeight="1" x14ac:dyDescent="0.25">
      <c r="A231" s="204">
        <v>221</v>
      </c>
      <c r="B231" s="211"/>
      <c r="C231" s="194"/>
      <c r="D231" s="142"/>
      <c r="E231" s="309" t="s">
        <v>92</v>
      </c>
      <c r="F231" s="305"/>
      <c r="G231" s="306"/>
      <c r="H231" s="306"/>
      <c r="I231" s="306"/>
      <c r="J231" s="306"/>
      <c r="K231" s="306"/>
      <c r="L231" s="223">
        <f t="shared" si="119"/>
        <v>0</v>
      </c>
      <c r="M231" s="298"/>
      <c r="N231" s="299"/>
      <c r="O231" s="341"/>
      <c r="P231" s="312" t="s">
        <v>66</v>
      </c>
      <c r="Q231" s="305"/>
      <c r="R231" s="306"/>
      <c r="S231" s="306"/>
      <c r="T231" s="306"/>
      <c r="U231" s="306"/>
      <c r="V231" s="306"/>
      <c r="W231" s="223">
        <f t="shared" si="120"/>
        <v>0</v>
      </c>
      <c r="X231" s="298"/>
      <c r="Y231" s="299"/>
      <c r="Z231" s="341"/>
      <c r="AA231" s="312" t="s">
        <v>86</v>
      </c>
      <c r="AB231" s="77"/>
      <c r="AC231" s="319"/>
      <c r="AD231" s="319"/>
      <c r="AE231" s="319"/>
      <c r="AF231" s="319"/>
      <c r="AG231" s="320"/>
      <c r="AH231" s="20">
        <f t="shared" si="121"/>
        <v>0</v>
      </c>
      <c r="AI231" s="77"/>
      <c r="AJ231" s="320"/>
      <c r="AK231" s="344"/>
      <c r="AL231" s="101"/>
      <c r="AM231" s="209"/>
      <c r="AN231" s="208"/>
      <c r="AO231" s="220"/>
      <c r="AP231" s="212"/>
      <c r="AQ231" s="220"/>
      <c r="AR231" s="212"/>
      <c r="AS231" s="220"/>
      <c r="AT231" s="212"/>
      <c r="AU231" s="15">
        <f t="shared" si="95"/>
        <v>2.3099999999999999E-5</v>
      </c>
      <c r="AV231" s="15">
        <f t="shared" si="96"/>
        <v>0</v>
      </c>
      <c r="AW231" s="15"/>
      <c r="AX231" s="173">
        <v>221</v>
      </c>
      <c r="AY231" s="206">
        <f t="shared" si="97"/>
        <v>1.15E-5</v>
      </c>
      <c r="AZ231" s="173">
        <f t="shared" si="98"/>
        <v>0</v>
      </c>
      <c r="BA231" s="233">
        <f t="shared" si="99"/>
        <v>2.3099999999999999E-5</v>
      </c>
      <c r="BB231" s="15">
        <f t="shared" si="105"/>
        <v>0</v>
      </c>
      <c r="BC231" s="173">
        <v>221</v>
      </c>
      <c r="BD231" s="84">
        <f t="shared" si="100"/>
        <v>9.9000000000000001E-6</v>
      </c>
      <c r="BE231" s="207">
        <f t="shared" si="101"/>
        <v>0</v>
      </c>
      <c r="BF231" s="233">
        <f t="shared" si="102"/>
        <v>2.3099999999999999E-5</v>
      </c>
      <c r="BG231" s="15">
        <f t="shared" si="106"/>
        <v>0</v>
      </c>
      <c r="BH231" s="173">
        <v>221</v>
      </c>
      <c r="BI231" s="84">
        <f t="shared" si="103"/>
        <v>9.9000000000000001E-6</v>
      </c>
      <c r="BJ231" s="207">
        <f t="shared" si="104"/>
        <v>0</v>
      </c>
      <c r="BL231" s="123"/>
      <c r="BM231" s="123"/>
      <c r="BO231" s="173"/>
      <c r="BP231" s="174" t="str">
        <f t="shared" si="107"/>
        <v/>
      </c>
      <c r="BQ231" s="174" t="str">
        <f t="shared" si="108"/>
        <v/>
      </c>
      <c r="BR231" s="174" t="str">
        <f t="shared" si="109"/>
        <v/>
      </c>
      <c r="BS231" s="174" t="str">
        <f t="shared" si="110"/>
        <v/>
      </c>
      <c r="BT231" s="174" t="str">
        <f t="shared" si="111"/>
        <v/>
      </c>
      <c r="BU231" s="174" t="str">
        <f t="shared" si="112"/>
        <v/>
      </c>
      <c r="BV231" s="174" t="str">
        <f t="shared" si="113"/>
        <v/>
      </c>
      <c r="BW231" s="174" t="str">
        <f t="shared" si="114"/>
        <v/>
      </c>
      <c r="BX231" s="174" t="str">
        <f t="shared" si="115"/>
        <v/>
      </c>
      <c r="BY231" s="174" t="str">
        <f t="shared" si="116"/>
        <v/>
      </c>
      <c r="BZ231" s="174" t="str">
        <f t="shared" si="117"/>
        <v/>
      </c>
      <c r="CA231" s="174" t="str">
        <f t="shared" si="118"/>
        <v/>
      </c>
      <c r="CB231" s="161"/>
      <c r="CC231" s="161"/>
      <c r="CD231" s="161"/>
      <c r="CE231" s="161" t="s">
        <v>150</v>
      </c>
      <c r="CF231" s="161"/>
    </row>
    <row r="232" spans="1:84" ht="14.25" customHeight="1" thickBot="1" x14ac:dyDescent="0.3">
      <c r="A232" s="205">
        <v>222</v>
      </c>
      <c r="B232" s="85"/>
      <c r="C232" s="195"/>
      <c r="D232" s="91"/>
      <c r="E232" s="310" t="s">
        <v>92</v>
      </c>
      <c r="F232" s="93"/>
      <c r="G232" s="97"/>
      <c r="H232" s="97"/>
      <c r="I232" s="97"/>
      <c r="J232" s="97"/>
      <c r="K232" s="97"/>
      <c r="L232" s="224">
        <f t="shared" si="119"/>
        <v>0</v>
      </c>
      <c r="M232" s="300"/>
      <c r="N232" s="301"/>
      <c r="O232" s="342"/>
      <c r="P232" s="313" t="s">
        <v>66</v>
      </c>
      <c r="Q232" s="93"/>
      <c r="R232" s="97"/>
      <c r="S232" s="97"/>
      <c r="T232" s="97"/>
      <c r="U232" s="97"/>
      <c r="V232" s="97"/>
      <c r="W232" s="224">
        <f t="shared" si="120"/>
        <v>0</v>
      </c>
      <c r="X232" s="300"/>
      <c r="Y232" s="301"/>
      <c r="Z232" s="342"/>
      <c r="AA232" s="313" t="s">
        <v>86</v>
      </c>
      <c r="AB232" s="78"/>
      <c r="AC232" s="321"/>
      <c r="AD232" s="321"/>
      <c r="AE232" s="321"/>
      <c r="AF232" s="321"/>
      <c r="AG232" s="322"/>
      <c r="AH232" s="88">
        <f t="shared" si="121"/>
        <v>0</v>
      </c>
      <c r="AI232" s="78"/>
      <c r="AJ232" s="322"/>
      <c r="AK232" s="345"/>
      <c r="AL232" s="102"/>
      <c r="AM232" s="99"/>
      <c r="AN232" s="227"/>
      <c r="AO232" s="221"/>
      <c r="AP232" s="90"/>
      <c r="AQ232" s="221"/>
      <c r="AR232" s="90"/>
      <c r="AS232" s="221"/>
      <c r="AT232" s="90"/>
      <c r="AU232" s="15">
        <f t="shared" si="95"/>
        <v>2.3199999999999998E-5</v>
      </c>
      <c r="AV232" s="15">
        <f t="shared" si="96"/>
        <v>0</v>
      </c>
      <c r="AW232" s="15"/>
      <c r="AX232" s="173">
        <v>222</v>
      </c>
      <c r="AY232" s="206">
        <f t="shared" si="97"/>
        <v>1.1399999999999999E-5</v>
      </c>
      <c r="AZ232" s="173">
        <f t="shared" si="98"/>
        <v>0</v>
      </c>
      <c r="BA232" s="233">
        <f t="shared" si="99"/>
        <v>2.3199999999999998E-5</v>
      </c>
      <c r="BB232" s="15">
        <f t="shared" si="105"/>
        <v>0</v>
      </c>
      <c r="BC232" s="173">
        <v>222</v>
      </c>
      <c r="BD232" s="84">
        <f t="shared" si="100"/>
        <v>9.7999999999999993E-6</v>
      </c>
      <c r="BE232" s="207">
        <f t="shared" si="101"/>
        <v>0</v>
      </c>
      <c r="BF232" s="233">
        <f t="shared" si="102"/>
        <v>2.3199999999999998E-5</v>
      </c>
      <c r="BG232" s="15">
        <f t="shared" si="106"/>
        <v>0</v>
      </c>
      <c r="BH232" s="173">
        <v>222</v>
      </c>
      <c r="BI232" s="84">
        <f t="shared" si="103"/>
        <v>9.7999999999999993E-6</v>
      </c>
      <c r="BJ232" s="207">
        <f t="shared" si="104"/>
        <v>0</v>
      </c>
      <c r="BL232" s="123"/>
      <c r="BM232" s="123"/>
      <c r="BO232" s="173"/>
      <c r="BP232" s="174" t="str">
        <f t="shared" si="107"/>
        <v/>
      </c>
      <c r="BQ232" s="174" t="str">
        <f t="shared" si="108"/>
        <v/>
      </c>
      <c r="BR232" s="174" t="str">
        <f t="shared" si="109"/>
        <v/>
      </c>
      <c r="BS232" s="174" t="str">
        <f t="shared" si="110"/>
        <v/>
      </c>
      <c r="BT232" s="174" t="str">
        <f t="shared" si="111"/>
        <v/>
      </c>
      <c r="BU232" s="174" t="str">
        <f t="shared" si="112"/>
        <v/>
      </c>
      <c r="BV232" s="174" t="str">
        <f t="shared" si="113"/>
        <v/>
      </c>
      <c r="BW232" s="174" t="str">
        <f t="shared" si="114"/>
        <v/>
      </c>
      <c r="BX232" s="174" t="str">
        <f t="shared" si="115"/>
        <v/>
      </c>
      <c r="BY232" s="174" t="str">
        <f t="shared" si="116"/>
        <v/>
      </c>
      <c r="BZ232" s="174" t="str">
        <f t="shared" si="117"/>
        <v/>
      </c>
      <c r="CA232" s="174" t="str">
        <f t="shared" si="118"/>
        <v/>
      </c>
      <c r="CB232" s="161"/>
      <c r="CC232" s="161"/>
      <c r="CD232" s="161"/>
      <c r="CE232" s="161" t="s">
        <v>150</v>
      </c>
      <c r="CF232" s="161"/>
    </row>
    <row r="233" spans="1:84" ht="14.25" customHeight="1" x14ac:dyDescent="0.25">
      <c r="A233" s="203">
        <v>223</v>
      </c>
      <c r="B233" s="86"/>
      <c r="C233" s="193"/>
      <c r="D233" s="143"/>
      <c r="E233" s="308" t="s">
        <v>92</v>
      </c>
      <c r="F233" s="213"/>
      <c r="G233" s="214"/>
      <c r="H233" s="214"/>
      <c r="I233" s="214"/>
      <c r="J233" s="214"/>
      <c r="K233" s="214"/>
      <c r="L233" s="295">
        <f t="shared" si="119"/>
        <v>0</v>
      </c>
      <c r="M233" s="296"/>
      <c r="N233" s="297"/>
      <c r="O233" s="340"/>
      <c r="P233" s="311" t="s">
        <v>66</v>
      </c>
      <c r="Q233" s="213"/>
      <c r="R233" s="214"/>
      <c r="S233" s="214"/>
      <c r="T233" s="214"/>
      <c r="U233" s="214"/>
      <c r="V233" s="214"/>
      <c r="W233" s="295">
        <f t="shared" si="120"/>
        <v>0</v>
      </c>
      <c r="X233" s="296"/>
      <c r="Y233" s="297"/>
      <c r="Z233" s="346"/>
      <c r="AA233" s="314" t="s">
        <v>148</v>
      </c>
      <c r="AB233" s="13"/>
      <c r="AC233" s="222"/>
      <c r="AD233" s="222"/>
      <c r="AE233" s="222"/>
      <c r="AF233" s="222"/>
      <c r="AG233" s="5"/>
      <c r="AH233" s="20">
        <f t="shared" si="121"/>
        <v>0</v>
      </c>
      <c r="AI233" s="13"/>
      <c r="AJ233" s="5"/>
      <c r="AK233" s="343"/>
      <c r="AL233" s="100"/>
      <c r="AM233" s="98"/>
      <c r="AN233" s="226"/>
      <c r="AO233" s="225"/>
      <c r="AP233" s="89"/>
      <c r="AQ233" s="225"/>
      <c r="AR233" s="89"/>
      <c r="AS233" s="225"/>
      <c r="AT233" s="89"/>
      <c r="AU233" s="15">
        <f t="shared" si="95"/>
        <v>2.3300000000000001E-5</v>
      </c>
      <c r="AV233" s="15">
        <f t="shared" si="96"/>
        <v>0</v>
      </c>
      <c r="AW233" s="15"/>
      <c r="AX233" s="173">
        <v>223</v>
      </c>
      <c r="AY233" s="206">
        <f t="shared" si="97"/>
        <v>1.13E-5</v>
      </c>
      <c r="AZ233" s="173">
        <f t="shared" si="98"/>
        <v>0</v>
      </c>
      <c r="BA233" s="233">
        <f t="shared" si="99"/>
        <v>2.3300000000000001E-5</v>
      </c>
      <c r="BB233" s="15">
        <f t="shared" si="105"/>
        <v>0</v>
      </c>
      <c r="BC233" s="173">
        <v>223</v>
      </c>
      <c r="BD233" s="84">
        <f t="shared" si="100"/>
        <v>9.7000000000000003E-6</v>
      </c>
      <c r="BE233" s="207">
        <f t="shared" si="101"/>
        <v>0</v>
      </c>
      <c r="BF233" s="233">
        <f t="shared" si="102"/>
        <v>2.3300000000000001E-5</v>
      </c>
      <c r="BG233" s="15">
        <f t="shared" si="106"/>
        <v>0</v>
      </c>
      <c r="BH233" s="173">
        <v>223</v>
      </c>
      <c r="BI233" s="84">
        <f t="shared" si="103"/>
        <v>9.7000000000000003E-6</v>
      </c>
      <c r="BJ233" s="207">
        <f t="shared" si="104"/>
        <v>0</v>
      </c>
      <c r="BL233" s="123"/>
      <c r="BM233" s="123"/>
      <c r="BO233" s="173"/>
      <c r="BP233" s="174" t="str">
        <f t="shared" si="107"/>
        <v/>
      </c>
      <c r="BQ233" s="174" t="str">
        <f t="shared" si="108"/>
        <v/>
      </c>
      <c r="BR233" s="174" t="str">
        <f t="shared" si="109"/>
        <v/>
      </c>
      <c r="BS233" s="174" t="str">
        <f t="shared" si="110"/>
        <v/>
      </c>
      <c r="BT233" s="174" t="str">
        <f t="shared" si="111"/>
        <v/>
      </c>
      <c r="BU233" s="174" t="str">
        <f t="shared" si="112"/>
        <v/>
      </c>
      <c r="BV233" s="174" t="str">
        <f t="shared" si="113"/>
        <v/>
      </c>
      <c r="BW233" s="174" t="str">
        <f t="shared" si="114"/>
        <v/>
      </c>
      <c r="BX233" s="174" t="str">
        <f t="shared" si="115"/>
        <v/>
      </c>
      <c r="BY233" s="174" t="str">
        <f t="shared" si="116"/>
        <v/>
      </c>
      <c r="BZ233" s="174" t="str">
        <f t="shared" si="117"/>
        <v/>
      </c>
      <c r="CA233" s="174" t="str">
        <f t="shared" si="118"/>
        <v/>
      </c>
      <c r="CB233" s="161"/>
      <c r="CC233" s="161"/>
      <c r="CD233" s="161"/>
      <c r="CE233" s="161" t="s">
        <v>150</v>
      </c>
      <c r="CF233" s="161"/>
    </row>
    <row r="234" spans="1:84" ht="14.25" customHeight="1" x14ac:dyDescent="0.25">
      <c r="A234" s="204">
        <v>224</v>
      </c>
      <c r="B234" s="211"/>
      <c r="C234" s="194"/>
      <c r="D234" s="142"/>
      <c r="E234" s="309" t="s">
        <v>92</v>
      </c>
      <c r="F234" s="305"/>
      <c r="G234" s="306"/>
      <c r="H234" s="306"/>
      <c r="I234" s="306"/>
      <c r="J234" s="306"/>
      <c r="K234" s="306"/>
      <c r="L234" s="223">
        <f t="shared" si="119"/>
        <v>0</v>
      </c>
      <c r="M234" s="298"/>
      <c r="N234" s="299"/>
      <c r="O234" s="341"/>
      <c r="P234" s="312" t="s">
        <v>66</v>
      </c>
      <c r="Q234" s="305"/>
      <c r="R234" s="306"/>
      <c r="S234" s="306"/>
      <c r="T234" s="306"/>
      <c r="U234" s="306"/>
      <c r="V234" s="306"/>
      <c r="W234" s="223">
        <f t="shared" si="120"/>
        <v>0</v>
      </c>
      <c r="X234" s="298"/>
      <c r="Y234" s="299"/>
      <c r="Z234" s="341"/>
      <c r="AA234" s="312" t="s">
        <v>86</v>
      </c>
      <c r="AB234" s="77"/>
      <c r="AC234" s="319"/>
      <c r="AD234" s="319"/>
      <c r="AE234" s="319"/>
      <c r="AF234" s="319"/>
      <c r="AG234" s="320"/>
      <c r="AH234" s="20">
        <f t="shared" si="121"/>
        <v>0</v>
      </c>
      <c r="AI234" s="77"/>
      <c r="AJ234" s="320"/>
      <c r="AK234" s="344"/>
      <c r="AL234" s="101"/>
      <c r="AM234" s="209"/>
      <c r="AN234" s="208"/>
      <c r="AO234" s="220"/>
      <c r="AP234" s="212"/>
      <c r="AQ234" s="220"/>
      <c r="AR234" s="212"/>
      <c r="AS234" s="220"/>
      <c r="AT234" s="212"/>
      <c r="AU234" s="15">
        <f t="shared" si="95"/>
        <v>2.34E-5</v>
      </c>
      <c r="AV234" s="15">
        <f t="shared" si="96"/>
        <v>0</v>
      </c>
      <c r="AW234" s="15"/>
      <c r="AX234" s="173">
        <v>224</v>
      </c>
      <c r="AY234" s="206">
        <f t="shared" si="97"/>
        <v>1.1199999999999999E-5</v>
      </c>
      <c r="AZ234" s="173">
        <f t="shared" si="98"/>
        <v>0</v>
      </c>
      <c r="BA234" s="233">
        <f t="shared" si="99"/>
        <v>2.34E-5</v>
      </c>
      <c r="BB234" s="15">
        <f t="shared" si="105"/>
        <v>0</v>
      </c>
      <c r="BC234" s="173">
        <v>224</v>
      </c>
      <c r="BD234" s="84">
        <f t="shared" si="100"/>
        <v>9.5999999999999996E-6</v>
      </c>
      <c r="BE234" s="207">
        <f t="shared" si="101"/>
        <v>0</v>
      </c>
      <c r="BF234" s="233">
        <f t="shared" si="102"/>
        <v>2.34E-5</v>
      </c>
      <c r="BG234" s="15">
        <f t="shared" si="106"/>
        <v>0</v>
      </c>
      <c r="BH234" s="173">
        <v>224</v>
      </c>
      <c r="BI234" s="84">
        <f t="shared" si="103"/>
        <v>9.5999999999999996E-6</v>
      </c>
      <c r="BJ234" s="207">
        <f t="shared" si="104"/>
        <v>0</v>
      </c>
      <c r="BL234" s="123"/>
      <c r="BM234" s="123"/>
      <c r="BO234" s="173"/>
      <c r="BP234" s="174" t="str">
        <f t="shared" si="107"/>
        <v/>
      </c>
      <c r="BQ234" s="174" t="str">
        <f t="shared" si="108"/>
        <v/>
      </c>
      <c r="BR234" s="174" t="str">
        <f t="shared" si="109"/>
        <v/>
      </c>
      <c r="BS234" s="174" t="str">
        <f t="shared" si="110"/>
        <v/>
      </c>
      <c r="BT234" s="174" t="str">
        <f t="shared" si="111"/>
        <v/>
      </c>
      <c r="BU234" s="174" t="str">
        <f t="shared" si="112"/>
        <v/>
      </c>
      <c r="BV234" s="174" t="str">
        <f t="shared" si="113"/>
        <v/>
      </c>
      <c r="BW234" s="174" t="str">
        <f t="shared" si="114"/>
        <v/>
      </c>
      <c r="BX234" s="174" t="str">
        <f t="shared" si="115"/>
        <v/>
      </c>
      <c r="BY234" s="174" t="str">
        <f t="shared" si="116"/>
        <v/>
      </c>
      <c r="BZ234" s="174" t="str">
        <f t="shared" si="117"/>
        <v/>
      </c>
      <c r="CA234" s="174" t="str">
        <f t="shared" si="118"/>
        <v/>
      </c>
      <c r="CB234" s="161"/>
      <c r="CC234" s="161"/>
      <c r="CD234" s="161"/>
      <c r="CE234" s="161" t="s">
        <v>150</v>
      </c>
      <c r="CF234" s="161"/>
    </row>
    <row r="235" spans="1:84" ht="14.25" customHeight="1" thickBot="1" x14ac:dyDescent="0.3">
      <c r="A235" s="205">
        <v>225</v>
      </c>
      <c r="B235" s="85"/>
      <c r="C235" s="195"/>
      <c r="D235" s="91"/>
      <c r="E235" s="310" t="s">
        <v>92</v>
      </c>
      <c r="F235" s="93"/>
      <c r="G235" s="97"/>
      <c r="H235" s="97"/>
      <c r="I235" s="97"/>
      <c r="J235" s="97"/>
      <c r="K235" s="97"/>
      <c r="L235" s="224">
        <f t="shared" si="119"/>
        <v>0</v>
      </c>
      <c r="M235" s="300"/>
      <c r="N235" s="301"/>
      <c r="O235" s="342"/>
      <c r="P235" s="313" t="s">
        <v>66</v>
      </c>
      <c r="Q235" s="93"/>
      <c r="R235" s="97"/>
      <c r="S235" s="97"/>
      <c r="T235" s="97"/>
      <c r="U235" s="97"/>
      <c r="V235" s="97"/>
      <c r="W235" s="224">
        <f t="shared" si="120"/>
        <v>0</v>
      </c>
      <c r="X235" s="300"/>
      <c r="Y235" s="301"/>
      <c r="Z235" s="342"/>
      <c r="AA235" s="313" t="s">
        <v>86</v>
      </c>
      <c r="AB235" s="78"/>
      <c r="AC235" s="321"/>
      <c r="AD235" s="321"/>
      <c r="AE235" s="321"/>
      <c r="AF235" s="321"/>
      <c r="AG235" s="322"/>
      <c r="AH235" s="88">
        <f t="shared" si="121"/>
        <v>0</v>
      </c>
      <c r="AI235" s="78"/>
      <c r="AJ235" s="322"/>
      <c r="AK235" s="345"/>
      <c r="AL235" s="102"/>
      <c r="AM235" s="99"/>
      <c r="AN235" s="227"/>
      <c r="AO235" s="221"/>
      <c r="AP235" s="90"/>
      <c r="AQ235" s="221"/>
      <c r="AR235" s="90"/>
      <c r="AS235" s="221"/>
      <c r="AT235" s="90"/>
      <c r="AU235" s="15">
        <f t="shared" si="95"/>
        <v>2.3499999999999999E-5</v>
      </c>
      <c r="AV235" s="15">
        <f t="shared" si="96"/>
        <v>0</v>
      </c>
      <c r="AW235" s="15"/>
      <c r="AX235" s="173">
        <v>225</v>
      </c>
      <c r="AY235" s="206">
        <f t="shared" si="97"/>
        <v>1.1099999999999999E-5</v>
      </c>
      <c r="AZ235" s="173">
        <f t="shared" si="98"/>
        <v>0</v>
      </c>
      <c r="BA235" s="233">
        <f t="shared" si="99"/>
        <v>2.3499999999999999E-5</v>
      </c>
      <c r="BB235" s="15">
        <f t="shared" si="105"/>
        <v>0</v>
      </c>
      <c r="BC235" s="173">
        <v>225</v>
      </c>
      <c r="BD235" s="84">
        <f t="shared" si="100"/>
        <v>9.4999999999999988E-6</v>
      </c>
      <c r="BE235" s="207">
        <f t="shared" si="101"/>
        <v>0</v>
      </c>
      <c r="BF235" s="233">
        <f t="shared" si="102"/>
        <v>2.3499999999999999E-5</v>
      </c>
      <c r="BG235" s="15">
        <f t="shared" si="106"/>
        <v>0</v>
      </c>
      <c r="BH235" s="173">
        <v>225</v>
      </c>
      <c r="BI235" s="84">
        <f t="shared" si="103"/>
        <v>9.4999999999999988E-6</v>
      </c>
      <c r="BJ235" s="207">
        <f t="shared" si="104"/>
        <v>0</v>
      </c>
      <c r="BL235" s="123"/>
      <c r="BM235" s="123"/>
      <c r="BO235" s="173"/>
      <c r="BP235" s="174" t="str">
        <f t="shared" si="107"/>
        <v/>
      </c>
      <c r="BQ235" s="174" t="str">
        <f t="shared" si="108"/>
        <v/>
      </c>
      <c r="BR235" s="174" t="str">
        <f t="shared" si="109"/>
        <v/>
      </c>
      <c r="BS235" s="174" t="str">
        <f t="shared" si="110"/>
        <v/>
      </c>
      <c r="BT235" s="174" t="str">
        <f t="shared" si="111"/>
        <v/>
      </c>
      <c r="BU235" s="174" t="str">
        <f t="shared" si="112"/>
        <v/>
      </c>
      <c r="BV235" s="174" t="str">
        <f t="shared" si="113"/>
        <v/>
      </c>
      <c r="BW235" s="174" t="str">
        <f t="shared" si="114"/>
        <v/>
      </c>
      <c r="BX235" s="174" t="str">
        <f t="shared" si="115"/>
        <v/>
      </c>
      <c r="BY235" s="174" t="str">
        <f t="shared" si="116"/>
        <v/>
      </c>
      <c r="BZ235" s="174" t="str">
        <f t="shared" si="117"/>
        <v/>
      </c>
      <c r="CA235" s="174" t="str">
        <f t="shared" si="118"/>
        <v/>
      </c>
      <c r="CB235" s="161"/>
      <c r="CC235" s="161"/>
      <c r="CD235" s="161"/>
      <c r="CE235" s="161" t="s">
        <v>150</v>
      </c>
      <c r="CF235" s="161"/>
    </row>
    <row r="236" spans="1:84" ht="14.25" customHeight="1" x14ac:dyDescent="0.25">
      <c r="A236" s="203">
        <v>226</v>
      </c>
      <c r="B236" s="86"/>
      <c r="C236" s="193"/>
      <c r="D236" s="143"/>
      <c r="E236" s="308" t="s">
        <v>92</v>
      </c>
      <c r="F236" s="213"/>
      <c r="G236" s="214"/>
      <c r="H236" s="214"/>
      <c r="I236" s="214"/>
      <c r="J236" s="214"/>
      <c r="K236" s="214"/>
      <c r="L236" s="295">
        <f t="shared" si="119"/>
        <v>0</v>
      </c>
      <c r="M236" s="296"/>
      <c r="N236" s="297"/>
      <c r="O236" s="340"/>
      <c r="P236" s="311" t="s">
        <v>66</v>
      </c>
      <c r="Q236" s="213"/>
      <c r="R236" s="214"/>
      <c r="S236" s="214"/>
      <c r="T236" s="214"/>
      <c r="U236" s="214"/>
      <c r="V236" s="214"/>
      <c r="W236" s="295">
        <f t="shared" si="120"/>
        <v>0</v>
      </c>
      <c r="X236" s="296"/>
      <c r="Y236" s="297"/>
      <c r="Z236" s="346"/>
      <c r="AA236" s="314" t="s">
        <v>148</v>
      </c>
      <c r="AB236" s="13"/>
      <c r="AC236" s="222"/>
      <c r="AD236" s="222"/>
      <c r="AE236" s="222"/>
      <c r="AF236" s="222"/>
      <c r="AG236" s="5"/>
      <c r="AH236" s="20">
        <f t="shared" si="121"/>
        <v>0</v>
      </c>
      <c r="AI236" s="13"/>
      <c r="AJ236" s="5"/>
      <c r="AK236" s="343"/>
      <c r="AL236" s="100"/>
      <c r="AM236" s="98"/>
      <c r="AN236" s="226"/>
      <c r="AO236" s="225"/>
      <c r="AP236" s="89"/>
      <c r="AQ236" s="225"/>
      <c r="AR236" s="89"/>
      <c r="AS236" s="225"/>
      <c r="AT236" s="89"/>
      <c r="AU236" s="15">
        <f t="shared" si="95"/>
        <v>2.3599999999999998E-5</v>
      </c>
      <c r="AV236" s="15">
        <f t="shared" si="96"/>
        <v>0</v>
      </c>
      <c r="AW236" s="15"/>
      <c r="AX236" s="173">
        <v>226</v>
      </c>
      <c r="AY236" s="206">
        <f t="shared" si="97"/>
        <v>1.1E-5</v>
      </c>
      <c r="AZ236" s="173">
        <f t="shared" si="98"/>
        <v>0</v>
      </c>
      <c r="BA236" s="233">
        <f t="shared" si="99"/>
        <v>2.3599999999999998E-5</v>
      </c>
      <c r="BB236" s="15">
        <f t="shared" si="105"/>
        <v>0</v>
      </c>
      <c r="BC236" s="173">
        <v>226</v>
      </c>
      <c r="BD236" s="84">
        <f t="shared" si="100"/>
        <v>9.3999999999999998E-6</v>
      </c>
      <c r="BE236" s="207">
        <f t="shared" si="101"/>
        <v>0</v>
      </c>
      <c r="BF236" s="233">
        <f t="shared" si="102"/>
        <v>2.3599999999999998E-5</v>
      </c>
      <c r="BG236" s="15">
        <f t="shared" si="106"/>
        <v>0</v>
      </c>
      <c r="BH236" s="173">
        <v>226</v>
      </c>
      <c r="BI236" s="84">
        <f t="shared" si="103"/>
        <v>9.3999999999999998E-6</v>
      </c>
      <c r="BJ236" s="207">
        <f t="shared" si="104"/>
        <v>0</v>
      </c>
      <c r="BL236" s="123"/>
      <c r="BM236" s="123"/>
      <c r="BO236" s="173"/>
      <c r="BP236" s="174" t="str">
        <f t="shared" si="107"/>
        <v/>
      </c>
      <c r="BQ236" s="174" t="str">
        <f t="shared" si="108"/>
        <v/>
      </c>
      <c r="BR236" s="174" t="str">
        <f t="shared" si="109"/>
        <v/>
      </c>
      <c r="BS236" s="174" t="str">
        <f t="shared" si="110"/>
        <v/>
      </c>
      <c r="BT236" s="174" t="str">
        <f t="shared" si="111"/>
        <v/>
      </c>
      <c r="BU236" s="174" t="str">
        <f t="shared" si="112"/>
        <v/>
      </c>
      <c r="BV236" s="174" t="str">
        <f t="shared" si="113"/>
        <v/>
      </c>
      <c r="BW236" s="174" t="str">
        <f t="shared" si="114"/>
        <v/>
      </c>
      <c r="BX236" s="174" t="str">
        <f t="shared" si="115"/>
        <v/>
      </c>
      <c r="BY236" s="174" t="str">
        <f t="shared" si="116"/>
        <v/>
      </c>
      <c r="BZ236" s="174" t="str">
        <f t="shared" si="117"/>
        <v/>
      </c>
      <c r="CA236" s="174" t="str">
        <f t="shared" si="118"/>
        <v/>
      </c>
      <c r="CB236" s="161"/>
      <c r="CC236" s="161"/>
      <c r="CD236" s="161"/>
      <c r="CE236" s="161" t="s">
        <v>150</v>
      </c>
      <c r="CF236" s="161"/>
    </row>
    <row r="237" spans="1:84" ht="14.25" customHeight="1" x14ac:dyDescent="0.25">
      <c r="A237" s="204">
        <v>227</v>
      </c>
      <c r="B237" s="211"/>
      <c r="C237" s="194"/>
      <c r="D237" s="142"/>
      <c r="E237" s="309" t="s">
        <v>92</v>
      </c>
      <c r="F237" s="305"/>
      <c r="G237" s="306"/>
      <c r="H237" s="306"/>
      <c r="I237" s="306"/>
      <c r="J237" s="306"/>
      <c r="K237" s="306"/>
      <c r="L237" s="223">
        <f t="shared" si="119"/>
        <v>0</v>
      </c>
      <c r="M237" s="298"/>
      <c r="N237" s="299"/>
      <c r="O237" s="341"/>
      <c r="P237" s="312" t="s">
        <v>66</v>
      </c>
      <c r="Q237" s="305"/>
      <c r="R237" s="306"/>
      <c r="S237" s="306"/>
      <c r="T237" s="306"/>
      <c r="U237" s="306"/>
      <c r="V237" s="306"/>
      <c r="W237" s="223">
        <f t="shared" si="120"/>
        <v>0</v>
      </c>
      <c r="X237" s="298"/>
      <c r="Y237" s="299"/>
      <c r="Z237" s="341"/>
      <c r="AA237" s="312" t="s">
        <v>86</v>
      </c>
      <c r="AB237" s="77"/>
      <c r="AC237" s="319"/>
      <c r="AD237" s="319"/>
      <c r="AE237" s="319"/>
      <c r="AF237" s="319"/>
      <c r="AG237" s="320"/>
      <c r="AH237" s="20">
        <f t="shared" si="121"/>
        <v>0</v>
      </c>
      <c r="AI237" s="77"/>
      <c r="AJ237" s="320"/>
      <c r="AK237" s="344"/>
      <c r="AL237" s="101"/>
      <c r="AM237" s="209"/>
      <c r="AN237" s="208"/>
      <c r="AO237" s="220"/>
      <c r="AP237" s="212"/>
      <c r="AQ237" s="220"/>
      <c r="AR237" s="212"/>
      <c r="AS237" s="220"/>
      <c r="AT237" s="212"/>
      <c r="AU237" s="15">
        <f t="shared" si="95"/>
        <v>2.37E-5</v>
      </c>
      <c r="AV237" s="15">
        <f t="shared" si="96"/>
        <v>0</v>
      </c>
      <c r="AW237" s="15"/>
      <c r="AX237" s="173">
        <v>227</v>
      </c>
      <c r="AY237" s="206">
        <f t="shared" si="97"/>
        <v>1.0899999999999999E-5</v>
      </c>
      <c r="AZ237" s="173">
        <f t="shared" si="98"/>
        <v>0</v>
      </c>
      <c r="BA237" s="233">
        <f t="shared" si="99"/>
        <v>2.37E-5</v>
      </c>
      <c r="BB237" s="15">
        <f t="shared" si="105"/>
        <v>0</v>
      </c>
      <c r="BC237" s="173">
        <v>227</v>
      </c>
      <c r="BD237" s="84">
        <f t="shared" si="100"/>
        <v>9.299999999999999E-6</v>
      </c>
      <c r="BE237" s="207">
        <f t="shared" si="101"/>
        <v>0</v>
      </c>
      <c r="BF237" s="233">
        <f t="shared" si="102"/>
        <v>2.37E-5</v>
      </c>
      <c r="BG237" s="15">
        <f t="shared" si="106"/>
        <v>0</v>
      </c>
      <c r="BH237" s="173">
        <v>227</v>
      </c>
      <c r="BI237" s="84">
        <f t="shared" si="103"/>
        <v>9.299999999999999E-6</v>
      </c>
      <c r="BJ237" s="207">
        <f t="shared" si="104"/>
        <v>0</v>
      </c>
      <c r="BL237" s="123"/>
      <c r="BM237" s="123"/>
      <c r="BO237" s="173"/>
      <c r="BP237" s="174" t="str">
        <f t="shared" si="107"/>
        <v/>
      </c>
      <c r="BQ237" s="174" t="str">
        <f t="shared" si="108"/>
        <v/>
      </c>
      <c r="BR237" s="174" t="str">
        <f t="shared" si="109"/>
        <v/>
      </c>
      <c r="BS237" s="174" t="str">
        <f t="shared" si="110"/>
        <v/>
      </c>
      <c r="BT237" s="174" t="str">
        <f t="shared" si="111"/>
        <v/>
      </c>
      <c r="BU237" s="174" t="str">
        <f t="shared" si="112"/>
        <v/>
      </c>
      <c r="BV237" s="174" t="str">
        <f t="shared" si="113"/>
        <v/>
      </c>
      <c r="BW237" s="174" t="str">
        <f t="shared" si="114"/>
        <v/>
      </c>
      <c r="BX237" s="174" t="str">
        <f t="shared" si="115"/>
        <v/>
      </c>
      <c r="BY237" s="174" t="str">
        <f t="shared" si="116"/>
        <v/>
      </c>
      <c r="BZ237" s="174" t="str">
        <f t="shared" si="117"/>
        <v/>
      </c>
      <c r="CA237" s="174" t="str">
        <f t="shared" si="118"/>
        <v/>
      </c>
      <c r="CB237" s="161"/>
      <c r="CC237" s="161"/>
      <c r="CD237" s="161"/>
      <c r="CE237" s="161" t="s">
        <v>150</v>
      </c>
      <c r="CF237" s="161"/>
    </row>
    <row r="238" spans="1:84" ht="14.25" customHeight="1" thickBot="1" x14ac:dyDescent="0.3">
      <c r="A238" s="205">
        <v>228</v>
      </c>
      <c r="B238" s="85"/>
      <c r="C238" s="195"/>
      <c r="D238" s="91"/>
      <c r="E238" s="310" t="s">
        <v>92</v>
      </c>
      <c r="F238" s="93"/>
      <c r="G238" s="97"/>
      <c r="H238" s="97"/>
      <c r="I238" s="97"/>
      <c r="J238" s="97"/>
      <c r="K238" s="97"/>
      <c r="L238" s="224">
        <f t="shared" si="119"/>
        <v>0</v>
      </c>
      <c r="M238" s="300"/>
      <c r="N238" s="301"/>
      <c r="O238" s="342"/>
      <c r="P238" s="313" t="s">
        <v>66</v>
      </c>
      <c r="Q238" s="93"/>
      <c r="R238" s="97"/>
      <c r="S238" s="97"/>
      <c r="T238" s="97"/>
      <c r="U238" s="97"/>
      <c r="V238" s="97"/>
      <c r="W238" s="224">
        <f t="shared" si="120"/>
        <v>0</v>
      </c>
      <c r="X238" s="300"/>
      <c r="Y238" s="301"/>
      <c r="Z238" s="342"/>
      <c r="AA238" s="313" t="s">
        <v>86</v>
      </c>
      <c r="AB238" s="78"/>
      <c r="AC238" s="321"/>
      <c r="AD238" s="321"/>
      <c r="AE238" s="321"/>
      <c r="AF238" s="321"/>
      <c r="AG238" s="322"/>
      <c r="AH238" s="88">
        <f t="shared" si="121"/>
        <v>0</v>
      </c>
      <c r="AI238" s="78"/>
      <c r="AJ238" s="322"/>
      <c r="AK238" s="345"/>
      <c r="AL238" s="102"/>
      <c r="AM238" s="99"/>
      <c r="AN238" s="227"/>
      <c r="AO238" s="221"/>
      <c r="AP238" s="90"/>
      <c r="AQ238" s="221"/>
      <c r="AR238" s="90"/>
      <c r="AS238" s="221"/>
      <c r="AT238" s="90"/>
      <c r="AU238" s="15">
        <f t="shared" si="95"/>
        <v>2.3799999999999999E-5</v>
      </c>
      <c r="AV238" s="15">
        <f t="shared" si="96"/>
        <v>0</v>
      </c>
      <c r="AW238" s="15"/>
      <c r="AX238" s="173">
        <v>228</v>
      </c>
      <c r="AY238" s="206">
        <f t="shared" si="97"/>
        <v>1.08E-5</v>
      </c>
      <c r="AZ238" s="173">
        <f t="shared" si="98"/>
        <v>0</v>
      </c>
      <c r="BA238" s="233">
        <f t="shared" si="99"/>
        <v>2.3799999999999999E-5</v>
      </c>
      <c r="BB238" s="15">
        <f t="shared" si="105"/>
        <v>0</v>
      </c>
      <c r="BC238" s="173">
        <v>228</v>
      </c>
      <c r="BD238" s="84">
        <f t="shared" si="100"/>
        <v>9.2E-6</v>
      </c>
      <c r="BE238" s="207">
        <f t="shared" si="101"/>
        <v>0</v>
      </c>
      <c r="BF238" s="233">
        <f t="shared" si="102"/>
        <v>2.3799999999999999E-5</v>
      </c>
      <c r="BG238" s="15">
        <f t="shared" si="106"/>
        <v>0</v>
      </c>
      <c r="BH238" s="173">
        <v>228</v>
      </c>
      <c r="BI238" s="84">
        <f t="shared" si="103"/>
        <v>9.2E-6</v>
      </c>
      <c r="BJ238" s="207">
        <f t="shared" si="104"/>
        <v>0</v>
      </c>
      <c r="BL238" s="123"/>
      <c r="BM238" s="123"/>
      <c r="BO238" s="173"/>
      <c r="BP238" s="174" t="str">
        <f t="shared" si="107"/>
        <v/>
      </c>
      <c r="BQ238" s="174" t="str">
        <f t="shared" si="108"/>
        <v/>
      </c>
      <c r="BR238" s="174" t="str">
        <f t="shared" si="109"/>
        <v/>
      </c>
      <c r="BS238" s="174" t="str">
        <f t="shared" si="110"/>
        <v/>
      </c>
      <c r="BT238" s="174" t="str">
        <f t="shared" si="111"/>
        <v/>
      </c>
      <c r="BU238" s="174" t="str">
        <f t="shared" si="112"/>
        <v/>
      </c>
      <c r="BV238" s="174" t="str">
        <f t="shared" si="113"/>
        <v/>
      </c>
      <c r="BW238" s="174" t="str">
        <f t="shared" si="114"/>
        <v/>
      </c>
      <c r="BX238" s="174" t="str">
        <f t="shared" si="115"/>
        <v/>
      </c>
      <c r="BY238" s="174" t="str">
        <f t="shared" si="116"/>
        <v/>
      </c>
      <c r="BZ238" s="174" t="str">
        <f t="shared" si="117"/>
        <v/>
      </c>
      <c r="CA238" s="174" t="str">
        <f t="shared" si="118"/>
        <v/>
      </c>
      <c r="CB238" s="161"/>
      <c r="CC238" s="161"/>
      <c r="CD238" s="161"/>
      <c r="CE238" s="161" t="s">
        <v>150</v>
      </c>
      <c r="CF238" s="161"/>
    </row>
    <row r="239" spans="1:84" ht="14.25" customHeight="1" x14ac:dyDescent="0.25">
      <c r="A239" s="203">
        <v>229</v>
      </c>
      <c r="B239" s="86"/>
      <c r="C239" s="193"/>
      <c r="D239" s="143"/>
      <c r="E239" s="308" t="s">
        <v>92</v>
      </c>
      <c r="F239" s="213"/>
      <c r="G239" s="214"/>
      <c r="H239" s="214"/>
      <c r="I239" s="214"/>
      <c r="J239" s="214"/>
      <c r="K239" s="214"/>
      <c r="L239" s="295">
        <f t="shared" si="119"/>
        <v>0</v>
      </c>
      <c r="M239" s="296"/>
      <c r="N239" s="297"/>
      <c r="O239" s="340"/>
      <c r="P239" s="311" t="s">
        <v>66</v>
      </c>
      <c r="Q239" s="213"/>
      <c r="R239" s="214"/>
      <c r="S239" s="214"/>
      <c r="T239" s="214"/>
      <c r="U239" s="214"/>
      <c r="V239" s="214"/>
      <c r="W239" s="295">
        <f t="shared" si="120"/>
        <v>0</v>
      </c>
      <c r="X239" s="296"/>
      <c r="Y239" s="297"/>
      <c r="Z239" s="346"/>
      <c r="AA239" s="314" t="s">
        <v>148</v>
      </c>
      <c r="AB239" s="13"/>
      <c r="AC239" s="222"/>
      <c r="AD239" s="222"/>
      <c r="AE239" s="222"/>
      <c r="AF239" s="222"/>
      <c r="AG239" s="5"/>
      <c r="AH239" s="20">
        <f t="shared" si="121"/>
        <v>0</v>
      </c>
      <c r="AI239" s="13"/>
      <c r="AJ239" s="5"/>
      <c r="AK239" s="343"/>
      <c r="AL239" s="100"/>
      <c r="AM239" s="98"/>
      <c r="AN239" s="226"/>
      <c r="AO239" s="225"/>
      <c r="AP239" s="89"/>
      <c r="AQ239" s="225"/>
      <c r="AR239" s="89"/>
      <c r="AS239" s="225"/>
      <c r="AT239" s="89"/>
      <c r="AU239" s="15">
        <f t="shared" si="95"/>
        <v>2.3899999999999998E-5</v>
      </c>
      <c r="AV239" s="15">
        <f t="shared" si="96"/>
        <v>0</v>
      </c>
      <c r="AW239" s="15"/>
      <c r="AX239" s="173">
        <v>229</v>
      </c>
      <c r="AY239" s="206">
        <f t="shared" si="97"/>
        <v>1.0699999999999999E-5</v>
      </c>
      <c r="AZ239" s="173">
        <f t="shared" si="98"/>
        <v>0</v>
      </c>
      <c r="BA239" s="233">
        <f t="shared" si="99"/>
        <v>2.3899999999999998E-5</v>
      </c>
      <c r="BB239" s="15">
        <f t="shared" si="105"/>
        <v>0</v>
      </c>
      <c r="BC239" s="173">
        <v>229</v>
      </c>
      <c r="BD239" s="84">
        <f t="shared" si="100"/>
        <v>9.0999999999999993E-6</v>
      </c>
      <c r="BE239" s="207">
        <f t="shared" si="101"/>
        <v>0</v>
      </c>
      <c r="BF239" s="233">
        <f t="shared" si="102"/>
        <v>2.3899999999999998E-5</v>
      </c>
      <c r="BG239" s="15">
        <f t="shared" si="106"/>
        <v>0</v>
      </c>
      <c r="BH239" s="173">
        <v>229</v>
      </c>
      <c r="BI239" s="84">
        <f t="shared" si="103"/>
        <v>9.0999999999999993E-6</v>
      </c>
      <c r="BJ239" s="207">
        <f t="shared" si="104"/>
        <v>0</v>
      </c>
      <c r="BL239" s="123"/>
      <c r="BM239" s="123"/>
      <c r="BO239" s="173"/>
      <c r="BP239" s="174" t="str">
        <f t="shared" si="107"/>
        <v/>
      </c>
      <c r="BQ239" s="174" t="str">
        <f t="shared" si="108"/>
        <v/>
      </c>
      <c r="BR239" s="174" t="str">
        <f t="shared" si="109"/>
        <v/>
      </c>
      <c r="BS239" s="174" t="str">
        <f t="shared" si="110"/>
        <v/>
      </c>
      <c r="BT239" s="174" t="str">
        <f t="shared" si="111"/>
        <v/>
      </c>
      <c r="BU239" s="174" t="str">
        <f t="shared" si="112"/>
        <v/>
      </c>
      <c r="BV239" s="174" t="str">
        <f t="shared" si="113"/>
        <v/>
      </c>
      <c r="BW239" s="174" t="str">
        <f t="shared" si="114"/>
        <v/>
      </c>
      <c r="BX239" s="174" t="str">
        <f t="shared" si="115"/>
        <v/>
      </c>
      <c r="BY239" s="174" t="str">
        <f t="shared" si="116"/>
        <v/>
      </c>
      <c r="BZ239" s="174" t="str">
        <f t="shared" si="117"/>
        <v/>
      </c>
      <c r="CA239" s="174" t="str">
        <f t="shared" si="118"/>
        <v/>
      </c>
      <c r="CB239" s="161"/>
      <c r="CC239" s="161"/>
      <c r="CD239" s="161"/>
      <c r="CE239" s="161" t="s">
        <v>150</v>
      </c>
      <c r="CF239" s="161"/>
    </row>
    <row r="240" spans="1:84" ht="14.25" customHeight="1" x14ac:dyDescent="0.25">
      <c r="A240" s="204">
        <v>230</v>
      </c>
      <c r="B240" s="211"/>
      <c r="C240" s="194"/>
      <c r="D240" s="142"/>
      <c r="E240" s="309" t="s">
        <v>92</v>
      </c>
      <c r="F240" s="305"/>
      <c r="G240" s="306"/>
      <c r="H240" s="306"/>
      <c r="I240" s="306"/>
      <c r="J240" s="306"/>
      <c r="K240" s="306"/>
      <c r="L240" s="223">
        <f t="shared" si="119"/>
        <v>0</v>
      </c>
      <c r="M240" s="298"/>
      <c r="N240" s="299"/>
      <c r="O240" s="341"/>
      <c r="P240" s="312" t="s">
        <v>66</v>
      </c>
      <c r="Q240" s="305"/>
      <c r="R240" s="306"/>
      <c r="S240" s="306"/>
      <c r="T240" s="306"/>
      <c r="U240" s="306"/>
      <c r="V240" s="306"/>
      <c r="W240" s="223">
        <f t="shared" si="120"/>
        <v>0</v>
      </c>
      <c r="X240" s="298"/>
      <c r="Y240" s="299"/>
      <c r="Z240" s="341"/>
      <c r="AA240" s="312" t="s">
        <v>86</v>
      </c>
      <c r="AB240" s="77"/>
      <c r="AC240" s="319"/>
      <c r="AD240" s="319"/>
      <c r="AE240" s="319"/>
      <c r="AF240" s="319"/>
      <c r="AG240" s="320"/>
      <c r="AH240" s="20">
        <f t="shared" si="121"/>
        <v>0</v>
      </c>
      <c r="AI240" s="77"/>
      <c r="AJ240" s="320"/>
      <c r="AK240" s="344"/>
      <c r="AL240" s="101"/>
      <c r="AM240" s="209"/>
      <c r="AN240" s="208"/>
      <c r="AO240" s="220"/>
      <c r="AP240" s="212"/>
      <c r="AQ240" s="220"/>
      <c r="AR240" s="212"/>
      <c r="AS240" s="220"/>
      <c r="AT240" s="212"/>
      <c r="AU240" s="15">
        <f t="shared" si="95"/>
        <v>2.4000000000000001E-5</v>
      </c>
      <c r="AV240" s="15">
        <f t="shared" si="96"/>
        <v>0</v>
      </c>
      <c r="AW240" s="15"/>
      <c r="AX240" s="173">
        <v>230</v>
      </c>
      <c r="AY240" s="206">
        <f t="shared" si="97"/>
        <v>1.06E-5</v>
      </c>
      <c r="AZ240" s="173">
        <f t="shared" si="98"/>
        <v>0</v>
      </c>
      <c r="BA240" s="233">
        <f t="shared" si="99"/>
        <v>2.4000000000000001E-5</v>
      </c>
      <c r="BB240" s="15">
        <f t="shared" si="105"/>
        <v>0</v>
      </c>
      <c r="BC240" s="173">
        <v>230</v>
      </c>
      <c r="BD240" s="84">
        <f t="shared" si="100"/>
        <v>9.0000000000000002E-6</v>
      </c>
      <c r="BE240" s="207">
        <f t="shared" si="101"/>
        <v>0</v>
      </c>
      <c r="BF240" s="233">
        <f t="shared" si="102"/>
        <v>2.4000000000000001E-5</v>
      </c>
      <c r="BG240" s="15">
        <f t="shared" si="106"/>
        <v>0</v>
      </c>
      <c r="BH240" s="173">
        <v>230</v>
      </c>
      <c r="BI240" s="84">
        <f t="shared" si="103"/>
        <v>9.0000000000000002E-6</v>
      </c>
      <c r="BJ240" s="207">
        <f t="shared" si="104"/>
        <v>0</v>
      </c>
      <c r="BL240" s="123"/>
      <c r="BM240" s="123"/>
      <c r="BO240" s="173"/>
      <c r="BP240" s="174" t="str">
        <f t="shared" si="107"/>
        <v/>
      </c>
      <c r="BQ240" s="174" t="str">
        <f t="shared" si="108"/>
        <v/>
      </c>
      <c r="BR240" s="174" t="str">
        <f t="shared" si="109"/>
        <v/>
      </c>
      <c r="BS240" s="174" t="str">
        <f t="shared" si="110"/>
        <v/>
      </c>
      <c r="BT240" s="174" t="str">
        <f t="shared" si="111"/>
        <v/>
      </c>
      <c r="BU240" s="174" t="str">
        <f t="shared" si="112"/>
        <v/>
      </c>
      <c r="BV240" s="174" t="str">
        <f t="shared" si="113"/>
        <v/>
      </c>
      <c r="BW240" s="174" t="str">
        <f t="shared" si="114"/>
        <v/>
      </c>
      <c r="BX240" s="174" t="str">
        <f t="shared" si="115"/>
        <v/>
      </c>
      <c r="BY240" s="174" t="str">
        <f t="shared" si="116"/>
        <v/>
      </c>
      <c r="BZ240" s="174" t="str">
        <f t="shared" si="117"/>
        <v/>
      </c>
      <c r="CA240" s="174" t="str">
        <f t="shared" si="118"/>
        <v/>
      </c>
      <c r="CB240" s="161"/>
      <c r="CC240" s="161"/>
      <c r="CD240" s="161"/>
      <c r="CE240" s="161" t="s">
        <v>150</v>
      </c>
      <c r="CF240" s="161"/>
    </row>
    <row r="241" spans="1:84" ht="14.25" customHeight="1" thickBot="1" x14ac:dyDescent="0.3">
      <c r="A241" s="205">
        <v>231</v>
      </c>
      <c r="B241" s="85"/>
      <c r="C241" s="195"/>
      <c r="D241" s="91"/>
      <c r="E241" s="310" t="s">
        <v>92</v>
      </c>
      <c r="F241" s="93"/>
      <c r="G241" s="97"/>
      <c r="H241" s="97"/>
      <c r="I241" s="97"/>
      <c r="J241" s="97"/>
      <c r="K241" s="97"/>
      <c r="L241" s="224">
        <f t="shared" si="119"/>
        <v>0</v>
      </c>
      <c r="M241" s="300"/>
      <c r="N241" s="301"/>
      <c r="O241" s="342"/>
      <c r="P241" s="313" t="s">
        <v>66</v>
      </c>
      <c r="Q241" s="93"/>
      <c r="R241" s="97"/>
      <c r="S241" s="97"/>
      <c r="T241" s="97"/>
      <c r="U241" s="97"/>
      <c r="V241" s="97"/>
      <c r="W241" s="224">
        <f t="shared" si="120"/>
        <v>0</v>
      </c>
      <c r="X241" s="300"/>
      <c r="Y241" s="301"/>
      <c r="Z241" s="342"/>
      <c r="AA241" s="313" t="s">
        <v>86</v>
      </c>
      <c r="AB241" s="78"/>
      <c r="AC241" s="321"/>
      <c r="AD241" s="321"/>
      <c r="AE241" s="321"/>
      <c r="AF241" s="321"/>
      <c r="AG241" s="322"/>
      <c r="AH241" s="88">
        <f t="shared" si="121"/>
        <v>0</v>
      </c>
      <c r="AI241" s="78"/>
      <c r="AJ241" s="322"/>
      <c r="AK241" s="345"/>
      <c r="AL241" s="102"/>
      <c r="AM241" s="99"/>
      <c r="AN241" s="227"/>
      <c r="AO241" s="221"/>
      <c r="AP241" s="90"/>
      <c r="AQ241" s="221"/>
      <c r="AR241" s="90"/>
      <c r="AS241" s="221"/>
      <c r="AT241" s="90"/>
      <c r="AU241" s="15">
        <f t="shared" si="95"/>
        <v>2.41E-5</v>
      </c>
      <c r="AV241" s="15">
        <f t="shared" si="96"/>
        <v>0</v>
      </c>
      <c r="AW241" s="15"/>
      <c r="AX241" s="173">
        <v>231</v>
      </c>
      <c r="AY241" s="206">
        <f t="shared" si="97"/>
        <v>1.0499999999999999E-5</v>
      </c>
      <c r="AZ241" s="173">
        <f t="shared" si="98"/>
        <v>0</v>
      </c>
      <c r="BA241" s="233">
        <f t="shared" si="99"/>
        <v>2.41E-5</v>
      </c>
      <c r="BB241" s="15">
        <f t="shared" si="105"/>
        <v>0</v>
      </c>
      <c r="BC241" s="173">
        <v>231</v>
      </c>
      <c r="BD241" s="84">
        <f t="shared" si="100"/>
        <v>8.8999999999999995E-6</v>
      </c>
      <c r="BE241" s="207">
        <f t="shared" si="101"/>
        <v>0</v>
      </c>
      <c r="BF241" s="233">
        <f t="shared" si="102"/>
        <v>2.41E-5</v>
      </c>
      <c r="BG241" s="15">
        <f t="shared" si="106"/>
        <v>0</v>
      </c>
      <c r="BH241" s="173">
        <v>231</v>
      </c>
      <c r="BI241" s="84">
        <f t="shared" si="103"/>
        <v>8.8999999999999995E-6</v>
      </c>
      <c r="BJ241" s="207">
        <f t="shared" si="104"/>
        <v>0</v>
      </c>
      <c r="BL241" s="123"/>
      <c r="BM241" s="123"/>
      <c r="BO241" s="173"/>
      <c r="BP241" s="174" t="str">
        <f t="shared" si="107"/>
        <v/>
      </c>
      <c r="BQ241" s="174" t="str">
        <f t="shared" si="108"/>
        <v/>
      </c>
      <c r="BR241" s="174" t="str">
        <f t="shared" si="109"/>
        <v/>
      </c>
      <c r="BS241" s="174" t="str">
        <f t="shared" si="110"/>
        <v/>
      </c>
      <c r="BT241" s="174" t="str">
        <f t="shared" si="111"/>
        <v/>
      </c>
      <c r="BU241" s="174" t="str">
        <f t="shared" si="112"/>
        <v/>
      </c>
      <c r="BV241" s="174" t="str">
        <f t="shared" si="113"/>
        <v/>
      </c>
      <c r="BW241" s="174" t="str">
        <f t="shared" si="114"/>
        <v/>
      </c>
      <c r="BX241" s="174" t="str">
        <f t="shared" si="115"/>
        <v/>
      </c>
      <c r="BY241" s="174" t="str">
        <f t="shared" si="116"/>
        <v/>
      </c>
      <c r="BZ241" s="174" t="str">
        <f t="shared" si="117"/>
        <v/>
      </c>
      <c r="CA241" s="174" t="str">
        <f t="shared" si="118"/>
        <v/>
      </c>
      <c r="CB241" s="161"/>
      <c r="CC241" s="161"/>
      <c r="CD241" s="161"/>
      <c r="CE241" s="161" t="s">
        <v>150</v>
      </c>
      <c r="CF241" s="161"/>
    </row>
    <row r="242" spans="1:84" ht="14.25" customHeight="1" x14ac:dyDescent="0.25">
      <c r="A242" s="203">
        <v>232</v>
      </c>
      <c r="B242" s="86"/>
      <c r="C242" s="193"/>
      <c r="D242" s="143"/>
      <c r="E242" s="308" t="s">
        <v>92</v>
      </c>
      <c r="F242" s="213"/>
      <c r="G242" s="214"/>
      <c r="H242" s="214"/>
      <c r="I242" s="214"/>
      <c r="J242" s="214"/>
      <c r="K242" s="214"/>
      <c r="L242" s="295">
        <f t="shared" si="119"/>
        <v>0</v>
      </c>
      <c r="M242" s="296"/>
      <c r="N242" s="297"/>
      <c r="O242" s="340"/>
      <c r="P242" s="311" t="s">
        <v>66</v>
      </c>
      <c r="Q242" s="213"/>
      <c r="R242" s="214"/>
      <c r="S242" s="214"/>
      <c r="T242" s="214"/>
      <c r="U242" s="214"/>
      <c r="V242" s="214"/>
      <c r="W242" s="295">
        <f t="shared" si="120"/>
        <v>0</v>
      </c>
      <c r="X242" s="296"/>
      <c r="Y242" s="297"/>
      <c r="Z242" s="346"/>
      <c r="AA242" s="314" t="s">
        <v>148</v>
      </c>
      <c r="AB242" s="13"/>
      <c r="AC242" s="222"/>
      <c r="AD242" s="222"/>
      <c r="AE242" s="222"/>
      <c r="AF242" s="222"/>
      <c r="AG242" s="5"/>
      <c r="AH242" s="20">
        <f t="shared" si="121"/>
        <v>0</v>
      </c>
      <c r="AI242" s="13"/>
      <c r="AJ242" s="5"/>
      <c r="AK242" s="343"/>
      <c r="AL242" s="100"/>
      <c r="AM242" s="98"/>
      <c r="AN242" s="226"/>
      <c r="AO242" s="225"/>
      <c r="AP242" s="89"/>
      <c r="AQ242" s="225"/>
      <c r="AR242" s="89"/>
      <c r="AS242" s="225"/>
      <c r="AT242" s="89"/>
      <c r="AU242" s="15">
        <f t="shared" si="95"/>
        <v>2.4199999999999999E-5</v>
      </c>
      <c r="AV242" s="15">
        <f t="shared" si="96"/>
        <v>0</v>
      </c>
      <c r="AW242" s="15"/>
      <c r="AX242" s="173">
        <v>232</v>
      </c>
      <c r="AY242" s="206">
        <f t="shared" si="97"/>
        <v>1.0399999999999999E-5</v>
      </c>
      <c r="AZ242" s="173">
        <f t="shared" si="98"/>
        <v>0</v>
      </c>
      <c r="BA242" s="233">
        <f t="shared" si="99"/>
        <v>2.4199999999999999E-5</v>
      </c>
      <c r="BB242" s="15">
        <f t="shared" si="105"/>
        <v>0</v>
      </c>
      <c r="BC242" s="173">
        <v>232</v>
      </c>
      <c r="BD242" s="84">
        <f t="shared" si="100"/>
        <v>8.8000000000000004E-6</v>
      </c>
      <c r="BE242" s="207">
        <f t="shared" si="101"/>
        <v>0</v>
      </c>
      <c r="BF242" s="233">
        <f t="shared" si="102"/>
        <v>2.4199999999999999E-5</v>
      </c>
      <c r="BG242" s="15">
        <f t="shared" si="106"/>
        <v>0</v>
      </c>
      <c r="BH242" s="173">
        <v>232</v>
      </c>
      <c r="BI242" s="84">
        <f t="shared" si="103"/>
        <v>8.8000000000000004E-6</v>
      </c>
      <c r="BJ242" s="207">
        <f t="shared" si="104"/>
        <v>0</v>
      </c>
      <c r="BL242" s="123"/>
      <c r="BM242" s="123"/>
      <c r="BO242" s="173"/>
      <c r="BP242" s="174" t="str">
        <f t="shared" si="107"/>
        <v/>
      </c>
      <c r="BQ242" s="174" t="str">
        <f t="shared" si="108"/>
        <v/>
      </c>
      <c r="BR242" s="174" t="str">
        <f t="shared" si="109"/>
        <v/>
      </c>
      <c r="BS242" s="174" t="str">
        <f t="shared" si="110"/>
        <v/>
      </c>
      <c r="BT242" s="174" t="str">
        <f t="shared" si="111"/>
        <v/>
      </c>
      <c r="BU242" s="174" t="str">
        <f t="shared" si="112"/>
        <v/>
      </c>
      <c r="BV242" s="174" t="str">
        <f t="shared" si="113"/>
        <v/>
      </c>
      <c r="BW242" s="174" t="str">
        <f t="shared" si="114"/>
        <v/>
      </c>
      <c r="BX242" s="174" t="str">
        <f t="shared" si="115"/>
        <v/>
      </c>
      <c r="BY242" s="174" t="str">
        <f t="shared" si="116"/>
        <v/>
      </c>
      <c r="BZ242" s="174" t="str">
        <f t="shared" si="117"/>
        <v/>
      </c>
      <c r="CA242" s="174" t="str">
        <f t="shared" si="118"/>
        <v/>
      </c>
      <c r="CB242" s="161"/>
      <c r="CC242" s="161"/>
      <c r="CD242" s="161"/>
      <c r="CE242" s="161" t="s">
        <v>150</v>
      </c>
      <c r="CF242" s="161"/>
    </row>
    <row r="243" spans="1:84" ht="14.25" customHeight="1" x14ac:dyDescent="0.25">
      <c r="A243" s="204">
        <v>233</v>
      </c>
      <c r="B243" s="211"/>
      <c r="C243" s="194"/>
      <c r="D243" s="142"/>
      <c r="E243" s="309" t="s">
        <v>92</v>
      </c>
      <c r="F243" s="305"/>
      <c r="G243" s="306"/>
      <c r="H243" s="306"/>
      <c r="I243" s="306"/>
      <c r="J243" s="306"/>
      <c r="K243" s="306"/>
      <c r="L243" s="223">
        <f t="shared" si="119"/>
        <v>0</v>
      </c>
      <c r="M243" s="298"/>
      <c r="N243" s="299"/>
      <c r="O243" s="341"/>
      <c r="P243" s="312" t="s">
        <v>66</v>
      </c>
      <c r="Q243" s="305"/>
      <c r="R243" s="306"/>
      <c r="S243" s="306"/>
      <c r="T243" s="306"/>
      <c r="U243" s="306"/>
      <c r="V243" s="306"/>
      <c r="W243" s="223">
        <f t="shared" si="120"/>
        <v>0</v>
      </c>
      <c r="X243" s="298"/>
      <c r="Y243" s="299"/>
      <c r="Z243" s="341"/>
      <c r="AA243" s="312" t="s">
        <v>86</v>
      </c>
      <c r="AB243" s="77"/>
      <c r="AC243" s="319"/>
      <c r="AD243" s="319"/>
      <c r="AE243" s="319"/>
      <c r="AF243" s="319"/>
      <c r="AG243" s="320"/>
      <c r="AH243" s="20">
        <f t="shared" si="121"/>
        <v>0</v>
      </c>
      <c r="AI243" s="77"/>
      <c r="AJ243" s="320"/>
      <c r="AK243" s="344"/>
      <c r="AL243" s="101"/>
      <c r="AM243" s="209"/>
      <c r="AN243" s="208"/>
      <c r="AO243" s="220"/>
      <c r="AP243" s="212"/>
      <c r="AQ243" s="220"/>
      <c r="AR243" s="212"/>
      <c r="AS243" s="220"/>
      <c r="AT243" s="212"/>
      <c r="AU243" s="15">
        <f t="shared" si="95"/>
        <v>2.4299999999999998E-5</v>
      </c>
      <c r="AV243" s="15">
        <f t="shared" si="96"/>
        <v>0</v>
      </c>
      <c r="AW243" s="15"/>
      <c r="AX243" s="173">
        <v>233</v>
      </c>
      <c r="AY243" s="206">
        <f t="shared" si="97"/>
        <v>1.03E-5</v>
      </c>
      <c r="AZ243" s="173">
        <f t="shared" si="98"/>
        <v>0</v>
      </c>
      <c r="BA243" s="233">
        <f t="shared" si="99"/>
        <v>2.4299999999999998E-5</v>
      </c>
      <c r="BB243" s="15">
        <f t="shared" si="105"/>
        <v>0</v>
      </c>
      <c r="BC243" s="173">
        <v>233</v>
      </c>
      <c r="BD243" s="84">
        <f t="shared" si="100"/>
        <v>8.6999999999999997E-6</v>
      </c>
      <c r="BE243" s="207">
        <f t="shared" si="101"/>
        <v>0</v>
      </c>
      <c r="BF243" s="233">
        <f t="shared" si="102"/>
        <v>2.4299999999999998E-5</v>
      </c>
      <c r="BG243" s="15">
        <f t="shared" si="106"/>
        <v>0</v>
      </c>
      <c r="BH243" s="173">
        <v>233</v>
      </c>
      <c r="BI243" s="84">
        <f t="shared" si="103"/>
        <v>8.6999999999999997E-6</v>
      </c>
      <c r="BJ243" s="207">
        <f t="shared" si="104"/>
        <v>0</v>
      </c>
      <c r="BL243" s="123"/>
      <c r="BM243" s="123"/>
      <c r="BO243" s="173"/>
      <c r="BP243" s="174" t="str">
        <f t="shared" si="107"/>
        <v/>
      </c>
      <c r="BQ243" s="174" t="str">
        <f t="shared" si="108"/>
        <v/>
      </c>
      <c r="BR243" s="174" t="str">
        <f t="shared" si="109"/>
        <v/>
      </c>
      <c r="BS243" s="174" t="str">
        <f t="shared" si="110"/>
        <v/>
      </c>
      <c r="BT243" s="174" t="str">
        <f t="shared" si="111"/>
        <v/>
      </c>
      <c r="BU243" s="174" t="str">
        <f t="shared" si="112"/>
        <v/>
      </c>
      <c r="BV243" s="174" t="str">
        <f t="shared" si="113"/>
        <v/>
      </c>
      <c r="BW243" s="174" t="str">
        <f t="shared" si="114"/>
        <v/>
      </c>
      <c r="BX243" s="174" t="str">
        <f t="shared" si="115"/>
        <v/>
      </c>
      <c r="BY243" s="174" t="str">
        <f t="shared" si="116"/>
        <v/>
      </c>
      <c r="BZ243" s="174" t="str">
        <f t="shared" si="117"/>
        <v/>
      </c>
      <c r="CA243" s="174" t="str">
        <f t="shared" si="118"/>
        <v/>
      </c>
      <c r="CB243" s="161"/>
      <c r="CC243" s="161"/>
      <c r="CD243" s="161"/>
      <c r="CE243" s="161" t="s">
        <v>150</v>
      </c>
      <c r="CF243" s="161"/>
    </row>
    <row r="244" spans="1:84" ht="14.25" customHeight="1" thickBot="1" x14ac:dyDescent="0.3">
      <c r="A244" s="205">
        <v>234</v>
      </c>
      <c r="B244" s="85"/>
      <c r="C244" s="195"/>
      <c r="D244" s="91"/>
      <c r="E244" s="310" t="s">
        <v>92</v>
      </c>
      <c r="F244" s="93"/>
      <c r="G244" s="97"/>
      <c r="H244" s="97"/>
      <c r="I244" s="97"/>
      <c r="J244" s="97"/>
      <c r="K244" s="97"/>
      <c r="L244" s="224">
        <f t="shared" si="119"/>
        <v>0</v>
      </c>
      <c r="M244" s="300"/>
      <c r="N244" s="301"/>
      <c r="O244" s="342"/>
      <c r="P244" s="313" t="s">
        <v>66</v>
      </c>
      <c r="Q244" s="93"/>
      <c r="R244" s="97"/>
      <c r="S244" s="97"/>
      <c r="T244" s="97"/>
      <c r="U244" s="97"/>
      <c r="V244" s="97"/>
      <c r="W244" s="224">
        <f t="shared" si="120"/>
        <v>0</v>
      </c>
      <c r="X244" s="300"/>
      <c r="Y244" s="301"/>
      <c r="Z244" s="342"/>
      <c r="AA244" s="313" t="s">
        <v>86</v>
      </c>
      <c r="AB244" s="78"/>
      <c r="AC244" s="321"/>
      <c r="AD244" s="321"/>
      <c r="AE244" s="321"/>
      <c r="AF244" s="321"/>
      <c r="AG244" s="322"/>
      <c r="AH244" s="88">
        <f t="shared" si="121"/>
        <v>0</v>
      </c>
      <c r="AI244" s="78"/>
      <c r="AJ244" s="322"/>
      <c r="AK244" s="345"/>
      <c r="AL244" s="102"/>
      <c r="AM244" s="99"/>
      <c r="AN244" s="227"/>
      <c r="AO244" s="221"/>
      <c r="AP244" s="90"/>
      <c r="AQ244" s="221"/>
      <c r="AR244" s="90"/>
      <c r="AS244" s="221"/>
      <c r="AT244" s="90"/>
      <c r="AU244" s="15">
        <f t="shared" si="95"/>
        <v>2.44E-5</v>
      </c>
      <c r="AV244" s="15">
        <f t="shared" si="96"/>
        <v>0</v>
      </c>
      <c r="AW244" s="15"/>
      <c r="AX244" s="173">
        <v>234</v>
      </c>
      <c r="AY244" s="206">
        <f t="shared" si="97"/>
        <v>1.0199999999999999E-5</v>
      </c>
      <c r="AZ244" s="173">
        <f t="shared" si="98"/>
        <v>0</v>
      </c>
      <c r="BA244" s="233">
        <f t="shared" si="99"/>
        <v>2.44E-5</v>
      </c>
      <c r="BB244" s="15">
        <f t="shared" si="105"/>
        <v>0</v>
      </c>
      <c r="BC244" s="173">
        <v>234</v>
      </c>
      <c r="BD244" s="84">
        <f t="shared" si="100"/>
        <v>8.599999999999999E-6</v>
      </c>
      <c r="BE244" s="207">
        <f t="shared" si="101"/>
        <v>0</v>
      </c>
      <c r="BF244" s="233">
        <f t="shared" si="102"/>
        <v>2.44E-5</v>
      </c>
      <c r="BG244" s="15">
        <f t="shared" si="106"/>
        <v>0</v>
      </c>
      <c r="BH244" s="173">
        <v>234</v>
      </c>
      <c r="BI244" s="84">
        <f t="shared" si="103"/>
        <v>8.599999999999999E-6</v>
      </c>
      <c r="BJ244" s="207">
        <f t="shared" si="104"/>
        <v>0</v>
      </c>
      <c r="BL244" s="123"/>
      <c r="BM244" s="123"/>
      <c r="BO244" s="173"/>
      <c r="BP244" s="174" t="str">
        <f t="shared" si="107"/>
        <v/>
      </c>
      <c r="BQ244" s="174" t="str">
        <f t="shared" si="108"/>
        <v/>
      </c>
      <c r="BR244" s="174" t="str">
        <f t="shared" si="109"/>
        <v/>
      </c>
      <c r="BS244" s="174" t="str">
        <f t="shared" si="110"/>
        <v/>
      </c>
      <c r="BT244" s="174" t="str">
        <f t="shared" si="111"/>
        <v/>
      </c>
      <c r="BU244" s="174" t="str">
        <f t="shared" si="112"/>
        <v/>
      </c>
      <c r="BV244" s="174" t="str">
        <f t="shared" si="113"/>
        <v/>
      </c>
      <c r="BW244" s="174" t="str">
        <f t="shared" si="114"/>
        <v/>
      </c>
      <c r="BX244" s="174" t="str">
        <f t="shared" si="115"/>
        <v/>
      </c>
      <c r="BY244" s="174" t="str">
        <f t="shared" si="116"/>
        <v/>
      </c>
      <c r="BZ244" s="174" t="str">
        <f t="shared" si="117"/>
        <v/>
      </c>
      <c r="CA244" s="174" t="str">
        <f t="shared" si="118"/>
        <v/>
      </c>
      <c r="CB244" s="161"/>
      <c r="CC244" s="161"/>
      <c r="CD244" s="161"/>
      <c r="CE244" s="161" t="s">
        <v>150</v>
      </c>
      <c r="CF244" s="161"/>
    </row>
    <row r="245" spans="1:84" ht="14.25" customHeight="1" x14ac:dyDescent="0.25">
      <c r="A245" s="203">
        <v>235</v>
      </c>
      <c r="B245" s="86"/>
      <c r="C245" s="193"/>
      <c r="D245" s="143"/>
      <c r="E245" s="308" t="s">
        <v>92</v>
      </c>
      <c r="F245" s="213"/>
      <c r="G245" s="214"/>
      <c r="H245" s="214"/>
      <c r="I245" s="214"/>
      <c r="J245" s="214"/>
      <c r="K245" s="214"/>
      <c r="L245" s="295">
        <f t="shared" si="119"/>
        <v>0</v>
      </c>
      <c r="M245" s="296"/>
      <c r="N245" s="297"/>
      <c r="O245" s="340"/>
      <c r="P245" s="311" t="s">
        <v>66</v>
      </c>
      <c r="Q245" s="213"/>
      <c r="R245" s="214"/>
      <c r="S245" s="214"/>
      <c r="T245" s="214"/>
      <c r="U245" s="214"/>
      <c r="V245" s="214"/>
      <c r="W245" s="295">
        <f t="shared" si="120"/>
        <v>0</v>
      </c>
      <c r="X245" s="296"/>
      <c r="Y245" s="297"/>
      <c r="Z245" s="346"/>
      <c r="AA245" s="314" t="s">
        <v>148</v>
      </c>
      <c r="AB245" s="13"/>
      <c r="AC245" s="222"/>
      <c r="AD245" s="222"/>
      <c r="AE245" s="222"/>
      <c r="AF245" s="222"/>
      <c r="AG245" s="5"/>
      <c r="AH245" s="20">
        <f t="shared" si="121"/>
        <v>0</v>
      </c>
      <c r="AI245" s="13"/>
      <c r="AJ245" s="5"/>
      <c r="AK245" s="343"/>
      <c r="AL245" s="100"/>
      <c r="AM245" s="98"/>
      <c r="AN245" s="226"/>
      <c r="AO245" s="225"/>
      <c r="AP245" s="89"/>
      <c r="AQ245" s="225"/>
      <c r="AR245" s="89"/>
      <c r="AS245" s="225"/>
      <c r="AT245" s="89"/>
      <c r="AU245" s="15">
        <f t="shared" si="95"/>
        <v>2.4499999999999999E-5</v>
      </c>
      <c r="AV245" s="15">
        <f t="shared" si="96"/>
        <v>0</v>
      </c>
      <c r="AW245" s="15"/>
      <c r="AX245" s="173">
        <v>235</v>
      </c>
      <c r="AY245" s="206">
        <f t="shared" si="97"/>
        <v>1.01E-5</v>
      </c>
      <c r="AZ245" s="173">
        <f t="shared" si="98"/>
        <v>0</v>
      </c>
      <c r="BA245" s="233">
        <f t="shared" si="99"/>
        <v>2.4499999999999999E-5</v>
      </c>
      <c r="BB245" s="15">
        <f t="shared" si="105"/>
        <v>0</v>
      </c>
      <c r="BC245" s="173">
        <v>235</v>
      </c>
      <c r="BD245" s="84">
        <f t="shared" si="100"/>
        <v>8.4999999999999999E-6</v>
      </c>
      <c r="BE245" s="207">
        <f t="shared" si="101"/>
        <v>0</v>
      </c>
      <c r="BF245" s="233">
        <f t="shared" si="102"/>
        <v>2.4499999999999999E-5</v>
      </c>
      <c r="BG245" s="15">
        <f t="shared" si="106"/>
        <v>0</v>
      </c>
      <c r="BH245" s="173">
        <v>235</v>
      </c>
      <c r="BI245" s="84">
        <f t="shared" si="103"/>
        <v>8.4999999999999999E-6</v>
      </c>
      <c r="BJ245" s="207">
        <f t="shared" si="104"/>
        <v>0</v>
      </c>
      <c r="BL245" s="123"/>
      <c r="BM245" s="123"/>
      <c r="BO245" s="173"/>
      <c r="BP245" s="174" t="str">
        <f t="shared" si="107"/>
        <v/>
      </c>
      <c r="BQ245" s="174" t="str">
        <f t="shared" si="108"/>
        <v/>
      </c>
      <c r="BR245" s="174" t="str">
        <f t="shared" si="109"/>
        <v/>
      </c>
      <c r="BS245" s="174" t="str">
        <f t="shared" si="110"/>
        <v/>
      </c>
      <c r="BT245" s="174" t="str">
        <f t="shared" si="111"/>
        <v/>
      </c>
      <c r="BU245" s="174" t="str">
        <f t="shared" si="112"/>
        <v/>
      </c>
      <c r="BV245" s="174" t="str">
        <f t="shared" si="113"/>
        <v/>
      </c>
      <c r="BW245" s="174" t="str">
        <f t="shared" si="114"/>
        <v/>
      </c>
      <c r="BX245" s="174" t="str">
        <f t="shared" si="115"/>
        <v/>
      </c>
      <c r="BY245" s="174" t="str">
        <f t="shared" si="116"/>
        <v/>
      </c>
      <c r="BZ245" s="174" t="str">
        <f t="shared" si="117"/>
        <v/>
      </c>
      <c r="CA245" s="174" t="str">
        <f t="shared" si="118"/>
        <v/>
      </c>
      <c r="CB245" s="161"/>
      <c r="CC245" s="161"/>
      <c r="CD245" s="161"/>
      <c r="CE245" s="161" t="s">
        <v>150</v>
      </c>
      <c r="CF245" s="161"/>
    </row>
    <row r="246" spans="1:84" ht="14.25" customHeight="1" x14ac:dyDescent="0.25">
      <c r="A246" s="204">
        <v>236</v>
      </c>
      <c r="B246" s="211"/>
      <c r="C246" s="194"/>
      <c r="D246" s="142"/>
      <c r="E246" s="309" t="s">
        <v>92</v>
      </c>
      <c r="F246" s="305"/>
      <c r="G246" s="306"/>
      <c r="H246" s="306"/>
      <c r="I246" s="306"/>
      <c r="J246" s="306"/>
      <c r="K246" s="306"/>
      <c r="L246" s="223">
        <f t="shared" si="119"/>
        <v>0</v>
      </c>
      <c r="M246" s="298"/>
      <c r="N246" s="299"/>
      <c r="O246" s="341"/>
      <c r="P246" s="312" t="s">
        <v>66</v>
      </c>
      <c r="Q246" s="305"/>
      <c r="R246" s="306"/>
      <c r="S246" s="306"/>
      <c r="T246" s="306"/>
      <c r="U246" s="306"/>
      <c r="V246" s="306"/>
      <c r="W246" s="223">
        <f t="shared" si="120"/>
        <v>0</v>
      </c>
      <c r="X246" s="298"/>
      <c r="Y246" s="299"/>
      <c r="Z246" s="341"/>
      <c r="AA246" s="312" t="s">
        <v>86</v>
      </c>
      <c r="AB246" s="77"/>
      <c r="AC246" s="319"/>
      <c r="AD246" s="319"/>
      <c r="AE246" s="319"/>
      <c r="AF246" s="319"/>
      <c r="AG246" s="320"/>
      <c r="AH246" s="20">
        <f t="shared" si="121"/>
        <v>0</v>
      </c>
      <c r="AI246" s="77"/>
      <c r="AJ246" s="320"/>
      <c r="AK246" s="344"/>
      <c r="AL246" s="101"/>
      <c r="AM246" s="209"/>
      <c r="AN246" s="208"/>
      <c r="AO246" s="220"/>
      <c r="AP246" s="212"/>
      <c r="AQ246" s="220"/>
      <c r="AR246" s="212"/>
      <c r="AS246" s="220"/>
      <c r="AT246" s="212"/>
      <c r="AU246" s="15">
        <f t="shared" si="95"/>
        <v>2.4599999999999998E-5</v>
      </c>
      <c r="AV246" s="15">
        <f t="shared" si="96"/>
        <v>0</v>
      </c>
      <c r="AW246" s="15"/>
      <c r="AX246" s="173">
        <v>236</v>
      </c>
      <c r="AY246" s="206">
        <f t="shared" si="97"/>
        <v>9.9999999999999991E-6</v>
      </c>
      <c r="AZ246" s="173">
        <f t="shared" si="98"/>
        <v>0</v>
      </c>
      <c r="BA246" s="233">
        <f t="shared" si="99"/>
        <v>2.4599999999999998E-5</v>
      </c>
      <c r="BB246" s="15">
        <f t="shared" si="105"/>
        <v>0</v>
      </c>
      <c r="BC246" s="173">
        <v>236</v>
      </c>
      <c r="BD246" s="84">
        <f t="shared" si="100"/>
        <v>8.3999999999999992E-6</v>
      </c>
      <c r="BE246" s="207">
        <f t="shared" si="101"/>
        <v>0</v>
      </c>
      <c r="BF246" s="233">
        <f t="shared" si="102"/>
        <v>2.4599999999999998E-5</v>
      </c>
      <c r="BG246" s="15">
        <f t="shared" si="106"/>
        <v>0</v>
      </c>
      <c r="BH246" s="173">
        <v>236</v>
      </c>
      <c r="BI246" s="84">
        <f t="shared" si="103"/>
        <v>8.3999999999999992E-6</v>
      </c>
      <c r="BJ246" s="207">
        <f t="shared" si="104"/>
        <v>0</v>
      </c>
      <c r="BL246" s="123"/>
      <c r="BM246" s="123"/>
      <c r="BO246" s="173"/>
      <c r="BP246" s="174" t="str">
        <f t="shared" si="107"/>
        <v/>
      </c>
      <c r="BQ246" s="174" t="str">
        <f t="shared" si="108"/>
        <v/>
      </c>
      <c r="BR246" s="174" t="str">
        <f t="shared" si="109"/>
        <v/>
      </c>
      <c r="BS246" s="174" t="str">
        <f t="shared" si="110"/>
        <v/>
      </c>
      <c r="BT246" s="174" t="str">
        <f t="shared" si="111"/>
        <v/>
      </c>
      <c r="BU246" s="174" t="str">
        <f t="shared" si="112"/>
        <v/>
      </c>
      <c r="BV246" s="174" t="str">
        <f t="shared" si="113"/>
        <v/>
      </c>
      <c r="BW246" s="174" t="str">
        <f t="shared" si="114"/>
        <v/>
      </c>
      <c r="BX246" s="174" t="str">
        <f t="shared" si="115"/>
        <v/>
      </c>
      <c r="BY246" s="174" t="str">
        <f t="shared" si="116"/>
        <v/>
      </c>
      <c r="BZ246" s="174" t="str">
        <f t="shared" si="117"/>
        <v/>
      </c>
      <c r="CA246" s="174" t="str">
        <f t="shared" si="118"/>
        <v/>
      </c>
      <c r="CB246" s="161"/>
      <c r="CC246" s="161"/>
      <c r="CD246" s="161"/>
      <c r="CE246" s="161" t="s">
        <v>150</v>
      </c>
      <c r="CF246" s="161"/>
    </row>
    <row r="247" spans="1:84" ht="14.25" customHeight="1" thickBot="1" x14ac:dyDescent="0.3">
      <c r="A247" s="205">
        <v>237</v>
      </c>
      <c r="B247" s="85"/>
      <c r="C247" s="195"/>
      <c r="D247" s="91"/>
      <c r="E247" s="310" t="s">
        <v>92</v>
      </c>
      <c r="F247" s="93"/>
      <c r="G247" s="97"/>
      <c r="H247" s="97"/>
      <c r="I247" s="97"/>
      <c r="J247" s="97"/>
      <c r="K247" s="97"/>
      <c r="L247" s="224">
        <f t="shared" si="119"/>
        <v>0</v>
      </c>
      <c r="M247" s="300"/>
      <c r="N247" s="301"/>
      <c r="O247" s="342"/>
      <c r="P247" s="313" t="s">
        <v>66</v>
      </c>
      <c r="Q247" s="93"/>
      <c r="R247" s="97"/>
      <c r="S247" s="97"/>
      <c r="T247" s="97"/>
      <c r="U247" s="97"/>
      <c r="V247" s="97"/>
      <c r="W247" s="224">
        <f t="shared" si="120"/>
        <v>0</v>
      </c>
      <c r="X247" s="300"/>
      <c r="Y247" s="301"/>
      <c r="Z247" s="342"/>
      <c r="AA247" s="313" t="s">
        <v>86</v>
      </c>
      <c r="AB247" s="78"/>
      <c r="AC247" s="321"/>
      <c r="AD247" s="321"/>
      <c r="AE247" s="321"/>
      <c r="AF247" s="321"/>
      <c r="AG247" s="322"/>
      <c r="AH247" s="88">
        <f t="shared" si="121"/>
        <v>0</v>
      </c>
      <c r="AI247" s="78"/>
      <c r="AJ247" s="322"/>
      <c r="AK247" s="345"/>
      <c r="AL247" s="102"/>
      <c r="AM247" s="99"/>
      <c r="AN247" s="227"/>
      <c r="AO247" s="221"/>
      <c r="AP247" s="90"/>
      <c r="AQ247" s="221"/>
      <c r="AR247" s="90"/>
      <c r="AS247" s="221"/>
      <c r="AT247" s="90"/>
      <c r="AU247" s="15">
        <f t="shared" si="95"/>
        <v>2.4699999999999997E-5</v>
      </c>
      <c r="AV247" s="15">
        <f t="shared" si="96"/>
        <v>0</v>
      </c>
      <c r="AW247" s="15"/>
      <c r="AX247" s="173">
        <v>237</v>
      </c>
      <c r="AY247" s="206">
        <f t="shared" si="97"/>
        <v>9.9000000000000001E-6</v>
      </c>
      <c r="AZ247" s="173">
        <f t="shared" si="98"/>
        <v>0</v>
      </c>
      <c r="BA247" s="233">
        <f t="shared" si="99"/>
        <v>2.4699999999999997E-5</v>
      </c>
      <c r="BB247" s="15">
        <f t="shared" si="105"/>
        <v>0</v>
      </c>
      <c r="BC247" s="173">
        <v>237</v>
      </c>
      <c r="BD247" s="84">
        <f t="shared" si="100"/>
        <v>8.3000000000000002E-6</v>
      </c>
      <c r="BE247" s="207">
        <f t="shared" si="101"/>
        <v>0</v>
      </c>
      <c r="BF247" s="233">
        <f t="shared" si="102"/>
        <v>2.4699999999999997E-5</v>
      </c>
      <c r="BG247" s="15">
        <f t="shared" si="106"/>
        <v>0</v>
      </c>
      <c r="BH247" s="173">
        <v>237</v>
      </c>
      <c r="BI247" s="84">
        <f t="shared" si="103"/>
        <v>8.3000000000000002E-6</v>
      </c>
      <c r="BJ247" s="207">
        <f t="shared" si="104"/>
        <v>0</v>
      </c>
      <c r="BL247" s="123"/>
      <c r="BM247" s="123"/>
      <c r="BO247" s="173"/>
      <c r="BP247" s="174" t="str">
        <f t="shared" si="107"/>
        <v/>
      </c>
      <c r="BQ247" s="174" t="str">
        <f t="shared" si="108"/>
        <v/>
      </c>
      <c r="BR247" s="174" t="str">
        <f t="shared" si="109"/>
        <v/>
      </c>
      <c r="BS247" s="174" t="str">
        <f t="shared" si="110"/>
        <v/>
      </c>
      <c r="BT247" s="174" t="str">
        <f t="shared" si="111"/>
        <v/>
      </c>
      <c r="BU247" s="174" t="str">
        <f t="shared" si="112"/>
        <v/>
      </c>
      <c r="BV247" s="174" t="str">
        <f t="shared" si="113"/>
        <v/>
      </c>
      <c r="BW247" s="174" t="str">
        <f t="shared" si="114"/>
        <v/>
      </c>
      <c r="BX247" s="174" t="str">
        <f t="shared" si="115"/>
        <v/>
      </c>
      <c r="BY247" s="174" t="str">
        <f t="shared" si="116"/>
        <v/>
      </c>
      <c r="BZ247" s="174" t="str">
        <f t="shared" si="117"/>
        <v/>
      </c>
      <c r="CA247" s="174" t="str">
        <f t="shared" si="118"/>
        <v/>
      </c>
      <c r="CB247" s="161"/>
      <c r="CC247" s="161"/>
      <c r="CD247" s="161"/>
      <c r="CE247" s="161" t="s">
        <v>150</v>
      </c>
      <c r="CF247" s="161"/>
    </row>
    <row r="248" spans="1:84" ht="14.25" customHeight="1" x14ac:dyDescent="0.25">
      <c r="A248" s="203">
        <v>238</v>
      </c>
      <c r="B248" s="86"/>
      <c r="C248" s="193"/>
      <c r="D248" s="143"/>
      <c r="E248" s="308" t="s">
        <v>92</v>
      </c>
      <c r="F248" s="213"/>
      <c r="G248" s="214"/>
      <c r="H248" s="214"/>
      <c r="I248" s="214"/>
      <c r="J248" s="214"/>
      <c r="K248" s="214"/>
      <c r="L248" s="295">
        <f t="shared" si="119"/>
        <v>0</v>
      </c>
      <c r="M248" s="296"/>
      <c r="N248" s="297"/>
      <c r="O248" s="340"/>
      <c r="P248" s="311" t="s">
        <v>66</v>
      </c>
      <c r="Q248" s="213"/>
      <c r="R248" s="214"/>
      <c r="S248" s="214"/>
      <c r="T248" s="214"/>
      <c r="U248" s="214"/>
      <c r="V248" s="214"/>
      <c r="W248" s="295">
        <f t="shared" si="120"/>
        <v>0</v>
      </c>
      <c r="X248" s="296"/>
      <c r="Y248" s="297"/>
      <c r="Z248" s="346"/>
      <c r="AA248" s="314" t="s">
        <v>148</v>
      </c>
      <c r="AB248" s="13"/>
      <c r="AC248" s="222"/>
      <c r="AD248" s="222"/>
      <c r="AE248" s="222"/>
      <c r="AF248" s="222"/>
      <c r="AG248" s="5"/>
      <c r="AH248" s="20">
        <f t="shared" si="121"/>
        <v>0</v>
      </c>
      <c r="AI248" s="13"/>
      <c r="AJ248" s="5"/>
      <c r="AK248" s="343"/>
      <c r="AL248" s="100"/>
      <c r="AM248" s="98"/>
      <c r="AN248" s="226"/>
      <c r="AO248" s="225"/>
      <c r="AP248" s="89"/>
      <c r="AQ248" s="225"/>
      <c r="AR248" s="89"/>
      <c r="AS248" s="225"/>
      <c r="AT248" s="89"/>
      <c r="AU248" s="15">
        <f t="shared" si="95"/>
        <v>2.48E-5</v>
      </c>
      <c r="AV248" s="15">
        <f t="shared" si="96"/>
        <v>0</v>
      </c>
      <c r="AW248" s="15"/>
      <c r="AX248" s="173">
        <v>238</v>
      </c>
      <c r="AY248" s="206">
        <f t="shared" si="97"/>
        <v>9.7999999999999993E-6</v>
      </c>
      <c r="AZ248" s="173">
        <f t="shared" si="98"/>
        <v>0</v>
      </c>
      <c r="BA248" s="233">
        <f t="shared" si="99"/>
        <v>2.48E-5</v>
      </c>
      <c r="BB248" s="15">
        <f t="shared" si="105"/>
        <v>0</v>
      </c>
      <c r="BC248" s="173">
        <v>238</v>
      </c>
      <c r="BD248" s="84">
        <f t="shared" si="100"/>
        <v>8.1999999999999994E-6</v>
      </c>
      <c r="BE248" s="207">
        <f t="shared" si="101"/>
        <v>0</v>
      </c>
      <c r="BF248" s="233">
        <f t="shared" si="102"/>
        <v>2.48E-5</v>
      </c>
      <c r="BG248" s="15">
        <f t="shared" si="106"/>
        <v>0</v>
      </c>
      <c r="BH248" s="173">
        <v>238</v>
      </c>
      <c r="BI248" s="84">
        <f t="shared" si="103"/>
        <v>8.1999999999999994E-6</v>
      </c>
      <c r="BJ248" s="207">
        <f t="shared" si="104"/>
        <v>0</v>
      </c>
      <c r="BL248" s="123"/>
      <c r="BM248" s="123"/>
      <c r="BO248" s="173"/>
      <c r="BP248" s="174" t="str">
        <f t="shared" si="107"/>
        <v/>
      </c>
      <c r="BQ248" s="174" t="str">
        <f t="shared" si="108"/>
        <v/>
      </c>
      <c r="BR248" s="174" t="str">
        <f t="shared" si="109"/>
        <v/>
      </c>
      <c r="BS248" s="174" t="str">
        <f t="shared" si="110"/>
        <v/>
      </c>
      <c r="BT248" s="174" t="str">
        <f t="shared" si="111"/>
        <v/>
      </c>
      <c r="BU248" s="174" t="str">
        <f t="shared" si="112"/>
        <v/>
      </c>
      <c r="BV248" s="174" t="str">
        <f t="shared" si="113"/>
        <v/>
      </c>
      <c r="BW248" s="174" t="str">
        <f t="shared" si="114"/>
        <v/>
      </c>
      <c r="BX248" s="174" t="str">
        <f t="shared" si="115"/>
        <v/>
      </c>
      <c r="BY248" s="174" t="str">
        <f t="shared" si="116"/>
        <v/>
      </c>
      <c r="BZ248" s="174" t="str">
        <f t="shared" si="117"/>
        <v/>
      </c>
      <c r="CA248" s="174" t="str">
        <f t="shared" si="118"/>
        <v/>
      </c>
      <c r="CB248" s="161"/>
      <c r="CC248" s="161"/>
      <c r="CD248" s="161"/>
      <c r="CE248" s="161" t="s">
        <v>150</v>
      </c>
      <c r="CF248" s="161"/>
    </row>
    <row r="249" spans="1:84" ht="14.25" customHeight="1" x14ac:dyDescent="0.25">
      <c r="A249" s="204">
        <v>239</v>
      </c>
      <c r="B249" s="211"/>
      <c r="C249" s="194"/>
      <c r="D249" s="142"/>
      <c r="E249" s="309" t="s">
        <v>92</v>
      </c>
      <c r="F249" s="305"/>
      <c r="G249" s="306"/>
      <c r="H249" s="306"/>
      <c r="I249" s="306"/>
      <c r="J249" s="306"/>
      <c r="K249" s="306"/>
      <c r="L249" s="223">
        <f t="shared" si="119"/>
        <v>0</v>
      </c>
      <c r="M249" s="298"/>
      <c r="N249" s="299"/>
      <c r="O249" s="341"/>
      <c r="P249" s="312" t="s">
        <v>66</v>
      </c>
      <c r="Q249" s="305"/>
      <c r="R249" s="306"/>
      <c r="S249" s="306"/>
      <c r="T249" s="306"/>
      <c r="U249" s="306"/>
      <c r="V249" s="306"/>
      <c r="W249" s="223">
        <f t="shared" si="120"/>
        <v>0</v>
      </c>
      <c r="X249" s="298"/>
      <c r="Y249" s="299"/>
      <c r="Z249" s="341"/>
      <c r="AA249" s="312" t="s">
        <v>86</v>
      </c>
      <c r="AB249" s="77"/>
      <c r="AC249" s="319"/>
      <c r="AD249" s="319"/>
      <c r="AE249" s="319"/>
      <c r="AF249" s="319"/>
      <c r="AG249" s="320"/>
      <c r="AH249" s="20">
        <f t="shared" si="121"/>
        <v>0</v>
      </c>
      <c r="AI249" s="77"/>
      <c r="AJ249" s="320"/>
      <c r="AK249" s="344"/>
      <c r="AL249" s="101"/>
      <c r="AM249" s="209"/>
      <c r="AN249" s="208"/>
      <c r="AO249" s="220"/>
      <c r="AP249" s="212"/>
      <c r="AQ249" s="220"/>
      <c r="AR249" s="212"/>
      <c r="AS249" s="220"/>
      <c r="AT249" s="212"/>
      <c r="AU249" s="15">
        <f t="shared" si="95"/>
        <v>2.4899999999999999E-5</v>
      </c>
      <c r="AV249" s="15">
        <f t="shared" si="96"/>
        <v>0</v>
      </c>
      <c r="AW249" s="15"/>
      <c r="AX249" s="173">
        <v>239</v>
      </c>
      <c r="AY249" s="206">
        <f t="shared" si="97"/>
        <v>9.7000000000000003E-6</v>
      </c>
      <c r="AZ249" s="173">
        <f t="shared" si="98"/>
        <v>0</v>
      </c>
      <c r="BA249" s="233">
        <f t="shared" si="99"/>
        <v>2.4899999999999999E-5</v>
      </c>
      <c r="BB249" s="15">
        <f t="shared" si="105"/>
        <v>0</v>
      </c>
      <c r="BC249" s="173">
        <v>239</v>
      </c>
      <c r="BD249" s="84">
        <f t="shared" si="100"/>
        <v>8.1000000000000004E-6</v>
      </c>
      <c r="BE249" s="207">
        <f t="shared" si="101"/>
        <v>0</v>
      </c>
      <c r="BF249" s="233">
        <f t="shared" si="102"/>
        <v>2.4899999999999999E-5</v>
      </c>
      <c r="BG249" s="15">
        <f t="shared" si="106"/>
        <v>0</v>
      </c>
      <c r="BH249" s="173">
        <v>239</v>
      </c>
      <c r="BI249" s="84">
        <f t="shared" si="103"/>
        <v>8.1000000000000004E-6</v>
      </c>
      <c r="BJ249" s="207">
        <f t="shared" si="104"/>
        <v>0</v>
      </c>
      <c r="BL249" s="123"/>
      <c r="BM249" s="123"/>
      <c r="BO249" s="173"/>
      <c r="BP249" s="174" t="str">
        <f t="shared" si="107"/>
        <v/>
      </c>
      <c r="BQ249" s="174" t="str">
        <f t="shared" si="108"/>
        <v/>
      </c>
      <c r="BR249" s="174" t="str">
        <f t="shared" si="109"/>
        <v/>
      </c>
      <c r="BS249" s="174" t="str">
        <f t="shared" si="110"/>
        <v/>
      </c>
      <c r="BT249" s="174" t="str">
        <f t="shared" si="111"/>
        <v/>
      </c>
      <c r="BU249" s="174" t="str">
        <f t="shared" si="112"/>
        <v/>
      </c>
      <c r="BV249" s="174" t="str">
        <f t="shared" si="113"/>
        <v/>
      </c>
      <c r="BW249" s="174" t="str">
        <f t="shared" si="114"/>
        <v/>
      </c>
      <c r="BX249" s="174" t="str">
        <f t="shared" si="115"/>
        <v/>
      </c>
      <c r="BY249" s="174" t="str">
        <f t="shared" si="116"/>
        <v/>
      </c>
      <c r="BZ249" s="174" t="str">
        <f t="shared" si="117"/>
        <v/>
      </c>
      <c r="CA249" s="174" t="str">
        <f t="shared" si="118"/>
        <v/>
      </c>
      <c r="CB249" s="161"/>
      <c r="CC249" s="161"/>
      <c r="CD249" s="161"/>
      <c r="CE249" s="161" t="s">
        <v>150</v>
      </c>
      <c r="CF249" s="161"/>
    </row>
    <row r="250" spans="1:84" ht="14.25" customHeight="1" thickBot="1" x14ac:dyDescent="0.3">
      <c r="A250" s="205">
        <v>240</v>
      </c>
      <c r="B250" s="85"/>
      <c r="C250" s="195"/>
      <c r="D250" s="91"/>
      <c r="E250" s="310" t="s">
        <v>92</v>
      </c>
      <c r="F250" s="93"/>
      <c r="G250" s="97"/>
      <c r="H250" s="97"/>
      <c r="I250" s="97"/>
      <c r="J250" s="97"/>
      <c r="K250" s="97"/>
      <c r="L250" s="224">
        <f t="shared" si="119"/>
        <v>0</v>
      </c>
      <c r="M250" s="300"/>
      <c r="N250" s="301"/>
      <c r="O250" s="342"/>
      <c r="P250" s="313" t="s">
        <v>66</v>
      </c>
      <c r="Q250" s="93"/>
      <c r="R250" s="97"/>
      <c r="S250" s="97"/>
      <c r="T250" s="97"/>
      <c r="U250" s="97"/>
      <c r="V250" s="97"/>
      <c r="W250" s="224">
        <f t="shared" si="120"/>
        <v>0</v>
      </c>
      <c r="X250" s="300"/>
      <c r="Y250" s="301"/>
      <c r="Z250" s="342"/>
      <c r="AA250" s="313" t="s">
        <v>86</v>
      </c>
      <c r="AB250" s="78"/>
      <c r="AC250" s="321"/>
      <c r="AD250" s="321"/>
      <c r="AE250" s="321"/>
      <c r="AF250" s="321"/>
      <c r="AG250" s="322"/>
      <c r="AH250" s="88">
        <f t="shared" si="121"/>
        <v>0</v>
      </c>
      <c r="AI250" s="78"/>
      <c r="AJ250" s="322"/>
      <c r="AK250" s="345"/>
      <c r="AL250" s="102"/>
      <c r="AM250" s="99"/>
      <c r="AN250" s="227"/>
      <c r="AO250" s="221"/>
      <c r="AP250" s="90"/>
      <c r="AQ250" s="221"/>
      <c r="AR250" s="90"/>
      <c r="AS250" s="221"/>
      <c r="AT250" s="90"/>
      <c r="AU250" s="15">
        <f t="shared" si="95"/>
        <v>2.4999999999999998E-5</v>
      </c>
      <c r="AV250" s="15">
        <f t="shared" si="96"/>
        <v>0</v>
      </c>
      <c r="AW250" s="15"/>
      <c r="AX250" s="173">
        <v>240</v>
      </c>
      <c r="AY250" s="206">
        <f t="shared" si="97"/>
        <v>9.5999999999999996E-6</v>
      </c>
      <c r="AZ250" s="173">
        <f t="shared" si="98"/>
        <v>0</v>
      </c>
      <c r="BA250" s="233">
        <f t="shared" si="99"/>
        <v>2.4999999999999998E-5</v>
      </c>
      <c r="BB250" s="15">
        <f t="shared" si="105"/>
        <v>0</v>
      </c>
      <c r="BC250" s="173">
        <v>240</v>
      </c>
      <c r="BD250" s="84">
        <f t="shared" si="100"/>
        <v>7.9999999999999996E-6</v>
      </c>
      <c r="BE250" s="207">
        <f t="shared" si="101"/>
        <v>0</v>
      </c>
      <c r="BF250" s="233">
        <f t="shared" si="102"/>
        <v>2.4999999999999998E-5</v>
      </c>
      <c r="BG250" s="15">
        <f t="shared" si="106"/>
        <v>0</v>
      </c>
      <c r="BH250" s="173">
        <v>240</v>
      </c>
      <c r="BI250" s="84">
        <f t="shared" si="103"/>
        <v>7.9999999999999996E-6</v>
      </c>
      <c r="BJ250" s="207">
        <f t="shared" si="104"/>
        <v>0</v>
      </c>
      <c r="BL250" s="123"/>
      <c r="BM250" s="123"/>
      <c r="BO250" s="173"/>
      <c r="BP250" s="174" t="str">
        <f t="shared" si="107"/>
        <v/>
      </c>
      <c r="BQ250" s="174" t="str">
        <f t="shared" si="108"/>
        <v/>
      </c>
      <c r="BR250" s="174" t="str">
        <f t="shared" si="109"/>
        <v/>
      </c>
      <c r="BS250" s="174" t="str">
        <f t="shared" si="110"/>
        <v/>
      </c>
      <c r="BT250" s="174" t="str">
        <f t="shared" si="111"/>
        <v/>
      </c>
      <c r="BU250" s="174" t="str">
        <f t="shared" si="112"/>
        <v/>
      </c>
      <c r="BV250" s="174" t="str">
        <f t="shared" si="113"/>
        <v/>
      </c>
      <c r="BW250" s="174" t="str">
        <f t="shared" si="114"/>
        <v/>
      </c>
      <c r="BX250" s="174" t="str">
        <f t="shared" si="115"/>
        <v/>
      </c>
      <c r="BY250" s="174" t="str">
        <f t="shared" si="116"/>
        <v/>
      </c>
      <c r="BZ250" s="174" t="str">
        <f t="shared" si="117"/>
        <v/>
      </c>
      <c r="CA250" s="174" t="str">
        <f t="shared" si="118"/>
        <v/>
      </c>
      <c r="CB250" s="161"/>
      <c r="CC250" s="161"/>
      <c r="CD250" s="161"/>
      <c r="CE250" s="161" t="s">
        <v>150</v>
      </c>
      <c r="CF250" s="161"/>
    </row>
    <row r="251" spans="1:84" ht="14.25" customHeight="1" x14ac:dyDescent="0.25">
      <c r="A251" s="203">
        <v>241</v>
      </c>
      <c r="B251" s="86"/>
      <c r="C251" s="193"/>
      <c r="D251" s="143"/>
      <c r="E251" s="308" t="s">
        <v>92</v>
      </c>
      <c r="F251" s="213"/>
      <c r="G251" s="214"/>
      <c r="H251" s="214"/>
      <c r="I251" s="214"/>
      <c r="J251" s="214"/>
      <c r="K251" s="214"/>
      <c r="L251" s="295">
        <f t="shared" si="119"/>
        <v>0</v>
      </c>
      <c r="M251" s="296"/>
      <c r="N251" s="297"/>
      <c r="O251" s="340"/>
      <c r="P251" s="311" t="s">
        <v>66</v>
      </c>
      <c r="Q251" s="213"/>
      <c r="R251" s="214"/>
      <c r="S251" s="214"/>
      <c r="T251" s="214"/>
      <c r="U251" s="214"/>
      <c r="V251" s="214"/>
      <c r="W251" s="295">
        <f t="shared" si="120"/>
        <v>0</v>
      </c>
      <c r="X251" s="296"/>
      <c r="Y251" s="297"/>
      <c r="Z251" s="346"/>
      <c r="AA251" s="314" t="s">
        <v>148</v>
      </c>
      <c r="AB251" s="13"/>
      <c r="AC251" s="222"/>
      <c r="AD251" s="222"/>
      <c r="AE251" s="222"/>
      <c r="AF251" s="222"/>
      <c r="AG251" s="5"/>
      <c r="AH251" s="20">
        <f t="shared" si="121"/>
        <v>0</v>
      </c>
      <c r="AI251" s="13"/>
      <c r="AJ251" s="5"/>
      <c r="AK251" s="343"/>
      <c r="AL251" s="100"/>
      <c r="AM251" s="98"/>
      <c r="AN251" s="226"/>
      <c r="AO251" s="225"/>
      <c r="AP251" s="89"/>
      <c r="AQ251" s="225"/>
      <c r="AR251" s="89"/>
      <c r="AS251" s="225"/>
      <c r="AT251" s="89"/>
      <c r="AU251" s="15">
        <f t="shared" si="95"/>
        <v>2.51E-5</v>
      </c>
      <c r="AV251" s="15">
        <f t="shared" si="96"/>
        <v>0</v>
      </c>
      <c r="AW251" s="15"/>
      <c r="AX251" s="173">
        <v>241</v>
      </c>
      <c r="AY251" s="206">
        <f t="shared" si="97"/>
        <v>9.4999999999999988E-6</v>
      </c>
      <c r="AZ251" s="173">
        <f t="shared" si="98"/>
        <v>0</v>
      </c>
      <c r="BA251" s="233">
        <f t="shared" si="99"/>
        <v>2.51E-5</v>
      </c>
      <c r="BB251" s="15">
        <f t="shared" si="105"/>
        <v>0</v>
      </c>
      <c r="BC251" s="173">
        <v>241</v>
      </c>
      <c r="BD251" s="84">
        <f t="shared" si="100"/>
        <v>7.8999999999999989E-6</v>
      </c>
      <c r="BE251" s="207">
        <f t="shared" si="101"/>
        <v>0</v>
      </c>
      <c r="BF251" s="233">
        <f t="shared" si="102"/>
        <v>2.51E-5</v>
      </c>
      <c r="BG251" s="15">
        <f t="shared" si="106"/>
        <v>0</v>
      </c>
      <c r="BH251" s="173">
        <v>241</v>
      </c>
      <c r="BI251" s="84">
        <f t="shared" si="103"/>
        <v>7.8999999999999989E-6</v>
      </c>
      <c r="BJ251" s="207">
        <f t="shared" si="104"/>
        <v>0</v>
      </c>
      <c r="BL251" s="123"/>
      <c r="BM251" s="123"/>
      <c r="BO251" s="173"/>
      <c r="BP251" s="174" t="str">
        <f t="shared" si="107"/>
        <v/>
      </c>
      <c r="BQ251" s="174" t="str">
        <f t="shared" si="108"/>
        <v/>
      </c>
      <c r="BR251" s="174" t="str">
        <f t="shared" si="109"/>
        <v/>
      </c>
      <c r="BS251" s="174" t="str">
        <f t="shared" si="110"/>
        <v/>
      </c>
      <c r="BT251" s="174" t="str">
        <f t="shared" si="111"/>
        <v/>
      </c>
      <c r="BU251" s="174" t="str">
        <f t="shared" si="112"/>
        <v/>
      </c>
      <c r="BV251" s="174" t="str">
        <f t="shared" si="113"/>
        <v/>
      </c>
      <c r="BW251" s="174" t="str">
        <f t="shared" si="114"/>
        <v/>
      </c>
      <c r="BX251" s="174" t="str">
        <f t="shared" si="115"/>
        <v/>
      </c>
      <c r="BY251" s="174" t="str">
        <f t="shared" si="116"/>
        <v/>
      </c>
      <c r="BZ251" s="174" t="str">
        <f t="shared" si="117"/>
        <v/>
      </c>
      <c r="CA251" s="174" t="str">
        <f t="shared" si="118"/>
        <v/>
      </c>
      <c r="CB251" s="161"/>
      <c r="CC251" s="161"/>
      <c r="CD251" s="161"/>
      <c r="CE251" s="161" t="s">
        <v>150</v>
      </c>
      <c r="CF251" s="161"/>
    </row>
    <row r="252" spans="1:84" ht="14.25" customHeight="1" x14ac:dyDescent="0.25">
      <c r="A252" s="204">
        <v>242</v>
      </c>
      <c r="B252" s="211"/>
      <c r="C252" s="194"/>
      <c r="D252" s="142"/>
      <c r="E252" s="309" t="s">
        <v>92</v>
      </c>
      <c r="F252" s="305"/>
      <c r="G252" s="306"/>
      <c r="H252" s="306"/>
      <c r="I252" s="306"/>
      <c r="J252" s="306"/>
      <c r="K252" s="306"/>
      <c r="L252" s="223">
        <f t="shared" si="119"/>
        <v>0</v>
      </c>
      <c r="M252" s="298"/>
      <c r="N252" s="299"/>
      <c r="O252" s="341"/>
      <c r="P252" s="312" t="s">
        <v>66</v>
      </c>
      <c r="Q252" s="305"/>
      <c r="R252" s="306"/>
      <c r="S252" s="306"/>
      <c r="T252" s="306"/>
      <c r="U252" s="306"/>
      <c r="V252" s="306"/>
      <c r="W252" s="223">
        <f t="shared" si="120"/>
        <v>0</v>
      </c>
      <c r="X252" s="298"/>
      <c r="Y252" s="299"/>
      <c r="Z252" s="341"/>
      <c r="AA252" s="312" t="s">
        <v>86</v>
      </c>
      <c r="AB252" s="77"/>
      <c r="AC252" s="319"/>
      <c r="AD252" s="319"/>
      <c r="AE252" s="319"/>
      <c r="AF252" s="319"/>
      <c r="AG252" s="320"/>
      <c r="AH252" s="20">
        <f t="shared" si="121"/>
        <v>0</v>
      </c>
      <c r="AI252" s="77"/>
      <c r="AJ252" s="320"/>
      <c r="AK252" s="344"/>
      <c r="AL252" s="101"/>
      <c r="AM252" s="209"/>
      <c r="AN252" s="208"/>
      <c r="AO252" s="220"/>
      <c r="AP252" s="212"/>
      <c r="AQ252" s="220"/>
      <c r="AR252" s="212"/>
      <c r="AS252" s="220"/>
      <c r="AT252" s="212"/>
      <c r="AU252" s="15">
        <f t="shared" si="95"/>
        <v>2.5199999999999999E-5</v>
      </c>
      <c r="AV252" s="15">
        <f t="shared" si="96"/>
        <v>0</v>
      </c>
      <c r="AW252" s="15"/>
      <c r="AX252" s="173">
        <v>242</v>
      </c>
      <c r="AY252" s="206">
        <f t="shared" si="97"/>
        <v>9.3999999999999998E-6</v>
      </c>
      <c r="AZ252" s="173">
        <f t="shared" si="98"/>
        <v>0</v>
      </c>
      <c r="BA252" s="233">
        <f t="shared" si="99"/>
        <v>2.5199999999999999E-5</v>
      </c>
      <c r="BB252" s="15">
        <f t="shared" si="105"/>
        <v>0</v>
      </c>
      <c r="BC252" s="173">
        <v>242</v>
      </c>
      <c r="BD252" s="84">
        <f t="shared" si="100"/>
        <v>7.7999999999999999E-6</v>
      </c>
      <c r="BE252" s="207">
        <f t="shared" si="101"/>
        <v>0</v>
      </c>
      <c r="BF252" s="233">
        <f t="shared" si="102"/>
        <v>2.5199999999999999E-5</v>
      </c>
      <c r="BG252" s="15">
        <f t="shared" si="106"/>
        <v>0</v>
      </c>
      <c r="BH252" s="173">
        <v>242</v>
      </c>
      <c r="BI252" s="84">
        <f t="shared" si="103"/>
        <v>7.7999999999999999E-6</v>
      </c>
      <c r="BJ252" s="207">
        <f t="shared" si="104"/>
        <v>0</v>
      </c>
      <c r="BL252" s="123"/>
      <c r="BM252" s="123"/>
      <c r="BO252" s="173"/>
      <c r="BP252" s="174" t="str">
        <f t="shared" si="107"/>
        <v/>
      </c>
      <c r="BQ252" s="174" t="str">
        <f t="shared" si="108"/>
        <v/>
      </c>
      <c r="BR252" s="174" t="str">
        <f t="shared" si="109"/>
        <v/>
      </c>
      <c r="BS252" s="174" t="str">
        <f t="shared" si="110"/>
        <v/>
      </c>
      <c r="BT252" s="174" t="str">
        <f t="shared" si="111"/>
        <v/>
      </c>
      <c r="BU252" s="174" t="str">
        <f t="shared" si="112"/>
        <v/>
      </c>
      <c r="BV252" s="174" t="str">
        <f t="shared" si="113"/>
        <v/>
      </c>
      <c r="BW252" s="174" t="str">
        <f t="shared" si="114"/>
        <v/>
      </c>
      <c r="BX252" s="174" t="str">
        <f t="shared" si="115"/>
        <v/>
      </c>
      <c r="BY252" s="174" t="str">
        <f t="shared" si="116"/>
        <v/>
      </c>
      <c r="BZ252" s="174" t="str">
        <f t="shared" si="117"/>
        <v/>
      </c>
      <c r="CA252" s="174" t="str">
        <f t="shared" si="118"/>
        <v/>
      </c>
      <c r="CB252" s="161"/>
      <c r="CC252" s="161"/>
      <c r="CD252" s="161"/>
      <c r="CE252" s="161" t="s">
        <v>150</v>
      </c>
      <c r="CF252" s="161"/>
    </row>
    <row r="253" spans="1:84" ht="14.25" customHeight="1" thickBot="1" x14ac:dyDescent="0.3">
      <c r="A253" s="205">
        <v>243</v>
      </c>
      <c r="B253" s="85"/>
      <c r="C253" s="195"/>
      <c r="D253" s="91"/>
      <c r="E253" s="310" t="s">
        <v>92</v>
      </c>
      <c r="F253" s="93"/>
      <c r="G253" s="97"/>
      <c r="H253" s="97"/>
      <c r="I253" s="97"/>
      <c r="J253" s="97"/>
      <c r="K253" s="97"/>
      <c r="L253" s="224">
        <f t="shared" si="119"/>
        <v>0</v>
      </c>
      <c r="M253" s="300"/>
      <c r="N253" s="301"/>
      <c r="O253" s="342"/>
      <c r="P253" s="313" t="s">
        <v>66</v>
      </c>
      <c r="Q253" s="93"/>
      <c r="R253" s="97"/>
      <c r="S253" s="97"/>
      <c r="T253" s="97"/>
      <c r="U253" s="97"/>
      <c r="V253" s="97"/>
      <c r="W253" s="224">
        <f t="shared" si="120"/>
        <v>0</v>
      </c>
      <c r="X253" s="300"/>
      <c r="Y253" s="301"/>
      <c r="Z253" s="342"/>
      <c r="AA253" s="313" t="s">
        <v>86</v>
      </c>
      <c r="AB253" s="78"/>
      <c r="AC253" s="321"/>
      <c r="AD253" s="321"/>
      <c r="AE253" s="321"/>
      <c r="AF253" s="321"/>
      <c r="AG253" s="322"/>
      <c r="AH253" s="88">
        <f t="shared" si="121"/>
        <v>0</v>
      </c>
      <c r="AI253" s="78"/>
      <c r="AJ253" s="322"/>
      <c r="AK253" s="345"/>
      <c r="AL253" s="102"/>
      <c r="AM253" s="99"/>
      <c r="AN253" s="227"/>
      <c r="AO253" s="221"/>
      <c r="AP253" s="90"/>
      <c r="AQ253" s="221"/>
      <c r="AR253" s="90"/>
      <c r="AS253" s="221"/>
      <c r="AT253" s="90"/>
      <c r="AU253" s="15">
        <f t="shared" si="95"/>
        <v>2.5299999999999998E-5</v>
      </c>
      <c r="AV253" s="15">
        <f t="shared" si="96"/>
        <v>0</v>
      </c>
      <c r="AW253" s="15"/>
      <c r="AX253" s="173">
        <v>243</v>
      </c>
      <c r="AY253" s="206">
        <f t="shared" si="97"/>
        <v>9.299999999999999E-6</v>
      </c>
      <c r="AZ253" s="173">
        <f t="shared" si="98"/>
        <v>0</v>
      </c>
      <c r="BA253" s="233">
        <f t="shared" si="99"/>
        <v>2.5299999999999998E-5</v>
      </c>
      <c r="BB253" s="15">
        <f t="shared" si="105"/>
        <v>0</v>
      </c>
      <c r="BC253" s="173">
        <v>243</v>
      </c>
      <c r="BD253" s="84">
        <f t="shared" si="100"/>
        <v>7.6999999999999991E-6</v>
      </c>
      <c r="BE253" s="207">
        <f t="shared" si="101"/>
        <v>0</v>
      </c>
      <c r="BF253" s="233">
        <f t="shared" si="102"/>
        <v>2.5299999999999998E-5</v>
      </c>
      <c r="BG253" s="15">
        <f t="shared" si="106"/>
        <v>0</v>
      </c>
      <c r="BH253" s="173">
        <v>243</v>
      </c>
      <c r="BI253" s="84">
        <f t="shared" si="103"/>
        <v>7.6999999999999991E-6</v>
      </c>
      <c r="BJ253" s="207">
        <f t="shared" si="104"/>
        <v>0</v>
      </c>
      <c r="BL253" s="123"/>
      <c r="BM253" s="123"/>
      <c r="BO253" s="173"/>
      <c r="BP253" s="174" t="str">
        <f t="shared" si="107"/>
        <v/>
      </c>
      <c r="BQ253" s="174" t="str">
        <f t="shared" si="108"/>
        <v/>
      </c>
      <c r="BR253" s="174" t="str">
        <f t="shared" si="109"/>
        <v/>
      </c>
      <c r="BS253" s="174" t="str">
        <f t="shared" si="110"/>
        <v/>
      </c>
      <c r="BT253" s="174" t="str">
        <f t="shared" si="111"/>
        <v/>
      </c>
      <c r="BU253" s="174" t="str">
        <f t="shared" si="112"/>
        <v/>
      </c>
      <c r="BV253" s="174" t="str">
        <f t="shared" si="113"/>
        <v/>
      </c>
      <c r="BW253" s="174" t="str">
        <f t="shared" si="114"/>
        <v/>
      </c>
      <c r="BX253" s="174" t="str">
        <f t="shared" si="115"/>
        <v/>
      </c>
      <c r="BY253" s="174" t="str">
        <f t="shared" si="116"/>
        <v/>
      </c>
      <c r="BZ253" s="174" t="str">
        <f t="shared" si="117"/>
        <v/>
      </c>
      <c r="CA253" s="174" t="str">
        <f t="shared" si="118"/>
        <v/>
      </c>
      <c r="CB253" s="161"/>
      <c r="CC253" s="161"/>
      <c r="CD253" s="161"/>
      <c r="CE253" s="161" t="s">
        <v>150</v>
      </c>
      <c r="CF253" s="161"/>
    </row>
    <row r="254" spans="1:84" ht="14.25" customHeight="1" x14ac:dyDescent="0.25">
      <c r="A254" s="203">
        <v>244</v>
      </c>
      <c r="B254" s="86"/>
      <c r="C254" s="193"/>
      <c r="D254" s="143"/>
      <c r="E254" s="308" t="s">
        <v>92</v>
      </c>
      <c r="F254" s="213"/>
      <c r="G254" s="214"/>
      <c r="H254" s="214"/>
      <c r="I254" s="214"/>
      <c r="J254" s="214"/>
      <c r="K254" s="214"/>
      <c r="L254" s="295">
        <f t="shared" si="119"/>
        <v>0</v>
      </c>
      <c r="M254" s="296"/>
      <c r="N254" s="297"/>
      <c r="O254" s="340"/>
      <c r="P254" s="311" t="s">
        <v>66</v>
      </c>
      <c r="Q254" s="213"/>
      <c r="R254" s="214"/>
      <c r="S254" s="214"/>
      <c r="T254" s="214"/>
      <c r="U254" s="214"/>
      <c r="V254" s="214"/>
      <c r="W254" s="295">
        <f t="shared" si="120"/>
        <v>0</v>
      </c>
      <c r="X254" s="296"/>
      <c r="Y254" s="297"/>
      <c r="Z254" s="346"/>
      <c r="AA254" s="314" t="s">
        <v>148</v>
      </c>
      <c r="AB254" s="13"/>
      <c r="AC254" s="222"/>
      <c r="AD254" s="222"/>
      <c r="AE254" s="222"/>
      <c r="AF254" s="222"/>
      <c r="AG254" s="5"/>
      <c r="AH254" s="20">
        <f t="shared" si="121"/>
        <v>0</v>
      </c>
      <c r="AI254" s="13"/>
      <c r="AJ254" s="5"/>
      <c r="AK254" s="343"/>
      <c r="AL254" s="100"/>
      <c r="AM254" s="98"/>
      <c r="AN254" s="226"/>
      <c r="AO254" s="225"/>
      <c r="AP254" s="89"/>
      <c r="AQ254" s="225"/>
      <c r="AR254" s="89"/>
      <c r="AS254" s="225"/>
      <c r="AT254" s="89"/>
      <c r="AU254" s="15">
        <f t="shared" si="95"/>
        <v>2.5399999999999997E-5</v>
      </c>
      <c r="AV254" s="15">
        <f t="shared" si="96"/>
        <v>0</v>
      </c>
      <c r="AW254" s="15"/>
      <c r="AX254" s="173">
        <v>244</v>
      </c>
      <c r="AY254" s="206">
        <f t="shared" si="97"/>
        <v>9.2E-6</v>
      </c>
      <c r="AZ254" s="173">
        <f t="shared" si="98"/>
        <v>0</v>
      </c>
      <c r="BA254" s="233">
        <f t="shared" si="99"/>
        <v>2.5399999999999997E-5</v>
      </c>
      <c r="BB254" s="15">
        <f t="shared" si="105"/>
        <v>0</v>
      </c>
      <c r="BC254" s="173">
        <v>244</v>
      </c>
      <c r="BD254" s="84">
        <f t="shared" si="100"/>
        <v>7.6000000000000001E-6</v>
      </c>
      <c r="BE254" s="207">
        <f t="shared" si="101"/>
        <v>0</v>
      </c>
      <c r="BF254" s="233">
        <f t="shared" si="102"/>
        <v>2.5399999999999997E-5</v>
      </c>
      <c r="BG254" s="15">
        <f t="shared" si="106"/>
        <v>0</v>
      </c>
      <c r="BH254" s="173">
        <v>244</v>
      </c>
      <c r="BI254" s="84">
        <f t="shared" si="103"/>
        <v>7.6000000000000001E-6</v>
      </c>
      <c r="BJ254" s="207">
        <f t="shared" si="104"/>
        <v>0</v>
      </c>
      <c r="BL254" s="123"/>
      <c r="BM254" s="123"/>
      <c r="BO254" s="173"/>
      <c r="BP254" s="174" t="str">
        <f t="shared" si="107"/>
        <v/>
      </c>
      <c r="BQ254" s="174" t="str">
        <f t="shared" si="108"/>
        <v/>
      </c>
      <c r="BR254" s="174" t="str">
        <f t="shared" si="109"/>
        <v/>
      </c>
      <c r="BS254" s="174" t="str">
        <f t="shared" si="110"/>
        <v/>
      </c>
      <c r="BT254" s="174" t="str">
        <f t="shared" si="111"/>
        <v/>
      </c>
      <c r="BU254" s="174" t="str">
        <f t="shared" si="112"/>
        <v/>
      </c>
      <c r="BV254" s="174" t="str">
        <f t="shared" si="113"/>
        <v/>
      </c>
      <c r="BW254" s="174" t="str">
        <f t="shared" si="114"/>
        <v/>
      </c>
      <c r="BX254" s="174" t="str">
        <f t="shared" si="115"/>
        <v/>
      </c>
      <c r="BY254" s="174" t="str">
        <f t="shared" si="116"/>
        <v/>
      </c>
      <c r="BZ254" s="174" t="str">
        <f t="shared" si="117"/>
        <v/>
      </c>
      <c r="CA254" s="174" t="str">
        <f t="shared" si="118"/>
        <v/>
      </c>
      <c r="CB254" s="161"/>
      <c r="CC254" s="161"/>
      <c r="CD254" s="161"/>
      <c r="CE254" s="161" t="s">
        <v>150</v>
      </c>
      <c r="CF254" s="161"/>
    </row>
    <row r="255" spans="1:84" ht="14.25" customHeight="1" x14ac:dyDescent="0.25">
      <c r="A255" s="204">
        <v>245</v>
      </c>
      <c r="B255" s="211"/>
      <c r="C255" s="194"/>
      <c r="D255" s="142"/>
      <c r="E255" s="309" t="s">
        <v>92</v>
      </c>
      <c r="F255" s="305"/>
      <c r="G255" s="306"/>
      <c r="H255" s="306"/>
      <c r="I255" s="306"/>
      <c r="J255" s="306"/>
      <c r="K255" s="306"/>
      <c r="L255" s="223">
        <f t="shared" si="119"/>
        <v>0</v>
      </c>
      <c r="M255" s="298"/>
      <c r="N255" s="299"/>
      <c r="O255" s="341"/>
      <c r="P255" s="312" t="s">
        <v>66</v>
      </c>
      <c r="Q255" s="305"/>
      <c r="R255" s="306"/>
      <c r="S255" s="306"/>
      <c r="T255" s="306"/>
      <c r="U255" s="306"/>
      <c r="V255" s="306"/>
      <c r="W255" s="223">
        <f t="shared" si="120"/>
        <v>0</v>
      </c>
      <c r="X255" s="298"/>
      <c r="Y255" s="299"/>
      <c r="Z255" s="341"/>
      <c r="AA255" s="312" t="s">
        <v>86</v>
      </c>
      <c r="AB255" s="77"/>
      <c r="AC255" s="319"/>
      <c r="AD255" s="319"/>
      <c r="AE255" s="319"/>
      <c r="AF255" s="319"/>
      <c r="AG255" s="320"/>
      <c r="AH255" s="20">
        <f t="shared" si="121"/>
        <v>0</v>
      </c>
      <c r="AI255" s="77"/>
      <c r="AJ255" s="320"/>
      <c r="AK255" s="344"/>
      <c r="AL255" s="101"/>
      <c r="AM255" s="209"/>
      <c r="AN255" s="208"/>
      <c r="AO255" s="220"/>
      <c r="AP255" s="212"/>
      <c r="AQ255" s="220"/>
      <c r="AR255" s="212"/>
      <c r="AS255" s="220"/>
      <c r="AT255" s="212"/>
      <c r="AU255" s="15">
        <f t="shared" si="95"/>
        <v>2.55E-5</v>
      </c>
      <c r="AV255" s="15">
        <f t="shared" si="96"/>
        <v>0</v>
      </c>
      <c r="AW255" s="15"/>
      <c r="AX255" s="173">
        <v>245</v>
      </c>
      <c r="AY255" s="206">
        <f t="shared" si="97"/>
        <v>9.0999999999999993E-6</v>
      </c>
      <c r="AZ255" s="173">
        <f t="shared" si="98"/>
        <v>0</v>
      </c>
      <c r="BA255" s="233">
        <f t="shared" si="99"/>
        <v>2.55E-5</v>
      </c>
      <c r="BB255" s="15">
        <f t="shared" si="105"/>
        <v>0</v>
      </c>
      <c r="BC255" s="173">
        <v>245</v>
      </c>
      <c r="BD255" s="84">
        <f t="shared" si="100"/>
        <v>7.4999999999999993E-6</v>
      </c>
      <c r="BE255" s="207">
        <f t="shared" si="101"/>
        <v>0</v>
      </c>
      <c r="BF255" s="233">
        <f t="shared" si="102"/>
        <v>2.55E-5</v>
      </c>
      <c r="BG255" s="15">
        <f t="shared" si="106"/>
        <v>0</v>
      </c>
      <c r="BH255" s="173">
        <v>245</v>
      </c>
      <c r="BI255" s="84">
        <f t="shared" si="103"/>
        <v>7.4999999999999993E-6</v>
      </c>
      <c r="BJ255" s="207">
        <f t="shared" si="104"/>
        <v>0</v>
      </c>
      <c r="BL255" s="123"/>
      <c r="BM255" s="123"/>
      <c r="BO255" s="173"/>
      <c r="BP255" s="174" t="str">
        <f t="shared" si="107"/>
        <v/>
      </c>
      <c r="BQ255" s="174" t="str">
        <f t="shared" si="108"/>
        <v/>
      </c>
      <c r="BR255" s="174" t="str">
        <f t="shared" si="109"/>
        <v/>
      </c>
      <c r="BS255" s="174" t="str">
        <f t="shared" si="110"/>
        <v/>
      </c>
      <c r="BT255" s="174" t="str">
        <f t="shared" si="111"/>
        <v/>
      </c>
      <c r="BU255" s="174" t="str">
        <f t="shared" si="112"/>
        <v/>
      </c>
      <c r="BV255" s="174" t="str">
        <f t="shared" si="113"/>
        <v/>
      </c>
      <c r="BW255" s="174" t="str">
        <f t="shared" si="114"/>
        <v/>
      </c>
      <c r="BX255" s="174" t="str">
        <f t="shared" si="115"/>
        <v/>
      </c>
      <c r="BY255" s="174" t="str">
        <f t="shared" si="116"/>
        <v/>
      </c>
      <c r="BZ255" s="174" t="str">
        <f t="shared" si="117"/>
        <v/>
      </c>
      <c r="CA255" s="174" t="str">
        <f t="shared" si="118"/>
        <v/>
      </c>
      <c r="CB255" s="161"/>
      <c r="CC255" s="161"/>
      <c r="CD255" s="161"/>
      <c r="CE255" s="161" t="s">
        <v>150</v>
      </c>
      <c r="CF255" s="161"/>
    </row>
    <row r="256" spans="1:84" ht="14.25" customHeight="1" thickBot="1" x14ac:dyDescent="0.3">
      <c r="A256" s="205">
        <v>246</v>
      </c>
      <c r="B256" s="85"/>
      <c r="C256" s="195"/>
      <c r="D256" s="91"/>
      <c r="E256" s="310" t="s">
        <v>92</v>
      </c>
      <c r="F256" s="93"/>
      <c r="G256" s="97"/>
      <c r="H256" s="97"/>
      <c r="I256" s="97"/>
      <c r="J256" s="97"/>
      <c r="K256" s="97"/>
      <c r="L256" s="224">
        <f t="shared" si="119"/>
        <v>0</v>
      </c>
      <c r="M256" s="300"/>
      <c r="N256" s="301"/>
      <c r="O256" s="342"/>
      <c r="P256" s="313" t="s">
        <v>66</v>
      </c>
      <c r="Q256" s="93"/>
      <c r="R256" s="97"/>
      <c r="S256" s="97"/>
      <c r="T256" s="97"/>
      <c r="U256" s="97"/>
      <c r="V256" s="97"/>
      <c r="W256" s="224">
        <f t="shared" si="120"/>
        <v>0</v>
      </c>
      <c r="X256" s="300"/>
      <c r="Y256" s="301"/>
      <c r="Z256" s="342"/>
      <c r="AA256" s="313" t="s">
        <v>86</v>
      </c>
      <c r="AB256" s="78"/>
      <c r="AC256" s="321"/>
      <c r="AD256" s="321"/>
      <c r="AE256" s="321"/>
      <c r="AF256" s="321"/>
      <c r="AG256" s="322"/>
      <c r="AH256" s="88">
        <f t="shared" si="121"/>
        <v>0</v>
      </c>
      <c r="AI256" s="78"/>
      <c r="AJ256" s="322"/>
      <c r="AK256" s="345"/>
      <c r="AL256" s="102"/>
      <c r="AM256" s="99"/>
      <c r="AN256" s="227"/>
      <c r="AO256" s="221"/>
      <c r="AP256" s="90"/>
      <c r="AQ256" s="221"/>
      <c r="AR256" s="90"/>
      <c r="AS256" s="221"/>
      <c r="AT256" s="90"/>
      <c r="AU256" s="15">
        <f t="shared" si="95"/>
        <v>2.5599999999999999E-5</v>
      </c>
      <c r="AV256" s="15">
        <f t="shared" si="96"/>
        <v>0</v>
      </c>
      <c r="AW256" s="15"/>
      <c r="AX256" s="173">
        <v>246</v>
      </c>
      <c r="AY256" s="206">
        <f t="shared" si="97"/>
        <v>9.0000000000000002E-6</v>
      </c>
      <c r="AZ256" s="173">
        <f t="shared" si="98"/>
        <v>0</v>
      </c>
      <c r="BA256" s="233">
        <f t="shared" si="99"/>
        <v>2.5599999999999999E-5</v>
      </c>
      <c r="BB256" s="15">
        <f t="shared" si="105"/>
        <v>0</v>
      </c>
      <c r="BC256" s="173">
        <v>246</v>
      </c>
      <c r="BD256" s="84">
        <f t="shared" si="100"/>
        <v>7.3999999999999995E-6</v>
      </c>
      <c r="BE256" s="207">
        <f t="shared" si="101"/>
        <v>0</v>
      </c>
      <c r="BF256" s="233">
        <f t="shared" si="102"/>
        <v>2.5599999999999999E-5</v>
      </c>
      <c r="BG256" s="15">
        <f t="shared" si="106"/>
        <v>0</v>
      </c>
      <c r="BH256" s="173">
        <v>246</v>
      </c>
      <c r="BI256" s="84">
        <f t="shared" si="103"/>
        <v>7.3999999999999995E-6</v>
      </c>
      <c r="BJ256" s="207">
        <f t="shared" si="104"/>
        <v>0</v>
      </c>
      <c r="BL256" s="123"/>
      <c r="BM256" s="123"/>
      <c r="BO256" s="173"/>
      <c r="BP256" s="174" t="str">
        <f t="shared" si="107"/>
        <v/>
      </c>
      <c r="BQ256" s="174" t="str">
        <f t="shared" si="108"/>
        <v/>
      </c>
      <c r="BR256" s="174" t="str">
        <f t="shared" si="109"/>
        <v/>
      </c>
      <c r="BS256" s="174" t="str">
        <f t="shared" si="110"/>
        <v/>
      </c>
      <c r="BT256" s="174" t="str">
        <f t="shared" si="111"/>
        <v/>
      </c>
      <c r="BU256" s="174" t="str">
        <f t="shared" si="112"/>
        <v/>
      </c>
      <c r="BV256" s="174" t="str">
        <f t="shared" si="113"/>
        <v/>
      </c>
      <c r="BW256" s="174" t="str">
        <f t="shared" si="114"/>
        <v/>
      </c>
      <c r="BX256" s="174" t="str">
        <f t="shared" si="115"/>
        <v/>
      </c>
      <c r="BY256" s="174" t="str">
        <f t="shared" si="116"/>
        <v/>
      </c>
      <c r="BZ256" s="174" t="str">
        <f t="shared" si="117"/>
        <v/>
      </c>
      <c r="CA256" s="174" t="str">
        <f t="shared" si="118"/>
        <v/>
      </c>
      <c r="CB256" s="161"/>
      <c r="CC256" s="161"/>
      <c r="CD256" s="161"/>
      <c r="CE256" s="161" t="s">
        <v>150</v>
      </c>
      <c r="CF256" s="161"/>
    </row>
    <row r="257" spans="1:84" ht="14.25" customHeight="1" x14ac:dyDescent="0.25">
      <c r="A257" s="203">
        <v>247</v>
      </c>
      <c r="B257" s="86"/>
      <c r="C257" s="193"/>
      <c r="D257" s="143"/>
      <c r="E257" s="308" t="s">
        <v>92</v>
      </c>
      <c r="F257" s="213"/>
      <c r="G257" s="214"/>
      <c r="H257" s="214"/>
      <c r="I257" s="214"/>
      <c r="J257" s="214"/>
      <c r="K257" s="214"/>
      <c r="L257" s="295">
        <f t="shared" si="119"/>
        <v>0</v>
      </c>
      <c r="M257" s="296"/>
      <c r="N257" s="297"/>
      <c r="O257" s="340"/>
      <c r="P257" s="311" t="s">
        <v>66</v>
      </c>
      <c r="Q257" s="213"/>
      <c r="R257" s="214"/>
      <c r="S257" s="214"/>
      <c r="T257" s="214"/>
      <c r="U257" s="214"/>
      <c r="V257" s="214"/>
      <c r="W257" s="295">
        <f t="shared" si="120"/>
        <v>0</v>
      </c>
      <c r="X257" s="296"/>
      <c r="Y257" s="297"/>
      <c r="Z257" s="346"/>
      <c r="AA257" s="314" t="s">
        <v>148</v>
      </c>
      <c r="AB257" s="13"/>
      <c r="AC257" s="222"/>
      <c r="AD257" s="222"/>
      <c r="AE257" s="222"/>
      <c r="AF257" s="222"/>
      <c r="AG257" s="5"/>
      <c r="AH257" s="20">
        <f t="shared" si="121"/>
        <v>0</v>
      </c>
      <c r="AI257" s="13"/>
      <c r="AJ257" s="5"/>
      <c r="AK257" s="343"/>
      <c r="AL257" s="100"/>
      <c r="AM257" s="98"/>
      <c r="AN257" s="226"/>
      <c r="AO257" s="225"/>
      <c r="AP257" s="89"/>
      <c r="AQ257" s="225"/>
      <c r="AR257" s="89"/>
      <c r="AS257" s="225"/>
      <c r="AT257" s="89"/>
      <c r="AU257" s="15">
        <f t="shared" si="95"/>
        <v>2.5699999999999998E-5</v>
      </c>
      <c r="AV257" s="15">
        <f t="shared" si="96"/>
        <v>0</v>
      </c>
      <c r="AW257" s="15"/>
      <c r="AX257" s="173">
        <v>247</v>
      </c>
      <c r="AY257" s="206">
        <f t="shared" si="97"/>
        <v>8.8999999999999995E-6</v>
      </c>
      <c r="AZ257" s="173">
        <f t="shared" si="98"/>
        <v>0</v>
      </c>
      <c r="BA257" s="233">
        <f t="shared" si="99"/>
        <v>2.5699999999999998E-5</v>
      </c>
      <c r="BB257" s="15">
        <f t="shared" si="105"/>
        <v>0</v>
      </c>
      <c r="BC257" s="173">
        <v>247</v>
      </c>
      <c r="BD257" s="84">
        <f t="shared" si="100"/>
        <v>7.2999999999999996E-6</v>
      </c>
      <c r="BE257" s="207">
        <f t="shared" si="101"/>
        <v>0</v>
      </c>
      <c r="BF257" s="233">
        <f t="shared" si="102"/>
        <v>2.5699999999999998E-5</v>
      </c>
      <c r="BG257" s="15">
        <f t="shared" si="106"/>
        <v>0</v>
      </c>
      <c r="BH257" s="173">
        <v>247</v>
      </c>
      <c r="BI257" s="84">
        <f t="shared" si="103"/>
        <v>7.2999999999999996E-6</v>
      </c>
      <c r="BJ257" s="207">
        <f t="shared" si="104"/>
        <v>0</v>
      </c>
      <c r="BL257" s="123"/>
      <c r="BM257" s="123"/>
      <c r="BO257" s="173"/>
      <c r="BP257" s="174" t="str">
        <f t="shared" si="107"/>
        <v/>
      </c>
      <c r="BQ257" s="174" t="str">
        <f t="shared" si="108"/>
        <v/>
      </c>
      <c r="BR257" s="174" t="str">
        <f t="shared" si="109"/>
        <v/>
      </c>
      <c r="BS257" s="174" t="str">
        <f t="shared" si="110"/>
        <v/>
      </c>
      <c r="BT257" s="174" t="str">
        <f t="shared" si="111"/>
        <v/>
      </c>
      <c r="BU257" s="174" t="str">
        <f t="shared" si="112"/>
        <v/>
      </c>
      <c r="BV257" s="174" t="str">
        <f t="shared" si="113"/>
        <v/>
      </c>
      <c r="BW257" s="174" t="str">
        <f t="shared" si="114"/>
        <v/>
      </c>
      <c r="BX257" s="174" t="str">
        <f t="shared" si="115"/>
        <v/>
      </c>
      <c r="BY257" s="174" t="str">
        <f t="shared" si="116"/>
        <v/>
      </c>
      <c r="BZ257" s="174" t="str">
        <f t="shared" si="117"/>
        <v/>
      </c>
      <c r="CA257" s="174" t="str">
        <f t="shared" si="118"/>
        <v/>
      </c>
      <c r="CB257" s="161"/>
      <c r="CC257" s="161"/>
      <c r="CD257" s="161"/>
      <c r="CE257" s="161" t="s">
        <v>150</v>
      </c>
      <c r="CF257" s="161"/>
    </row>
    <row r="258" spans="1:84" ht="14.25" customHeight="1" x14ac:dyDescent="0.25">
      <c r="A258" s="204">
        <v>248</v>
      </c>
      <c r="B258" s="211"/>
      <c r="C258" s="194"/>
      <c r="D258" s="142"/>
      <c r="E258" s="309" t="s">
        <v>92</v>
      </c>
      <c r="F258" s="305"/>
      <c r="G258" s="306"/>
      <c r="H258" s="306"/>
      <c r="I258" s="306"/>
      <c r="J258" s="306"/>
      <c r="K258" s="306"/>
      <c r="L258" s="223">
        <f t="shared" si="119"/>
        <v>0</v>
      </c>
      <c r="M258" s="298"/>
      <c r="N258" s="299"/>
      <c r="O258" s="341"/>
      <c r="P258" s="312" t="s">
        <v>66</v>
      </c>
      <c r="Q258" s="305"/>
      <c r="R258" s="306"/>
      <c r="S258" s="306"/>
      <c r="T258" s="306"/>
      <c r="U258" s="306"/>
      <c r="V258" s="306"/>
      <c r="W258" s="223">
        <f t="shared" si="120"/>
        <v>0</v>
      </c>
      <c r="X258" s="298"/>
      <c r="Y258" s="299"/>
      <c r="Z258" s="341"/>
      <c r="AA258" s="312" t="s">
        <v>86</v>
      </c>
      <c r="AB258" s="77"/>
      <c r="AC258" s="319"/>
      <c r="AD258" s="319"/>
      <c r="AE258" s="319"/>
      <c r="AF258" s="319"/>
      <c r="AG258" s="320"/>
      <c r="AH258" s="20">
        <f t="shared" si="121"/>
        <v>0</v>
      </c>
      <c r="AI258" s="77"/>
      <c r="AJ258" s="320"/>
      <c r="AK258" s="344"/>
      <c r="AL258" s="101"/>
      <c r="AM258" s="209"/>
      <c r="AN258" s="208"/>
      <c r="AO258" s="220"/>
      <c r="AP258" s="212"/>
      <c r="AQ258" s="220"/>
      <c r="AR258" s="212"/>
      <c r="AS258" s="220"/>
      <c r="AT258" s="212"/>
      <c r="AU258" s="15">
        <f t="shared" si="95"/>
        <v>2.58E-5</v>
      </c>
      <c r="AV258" s="15">
        <f t="shared" si="96"/>
        <v>0</v>
      </c>
      <c r="AW258" s="15"/>
      <c r="AX258" s="173">
        <v>248</v>
      </c>
      <c r="AY258" s="206">
        <f t="shared" si="97"/>
        <v>8.8000000000000004E-6</v>
      </c>
      <c r="AZ258" s="173">
        <f t="shared" si="98"/>
        <v>0</v>
      </c>
      <c r="BA258" s="233">
        <f t="shared" si="99"/>
        <v>2.58E-5</v>
      </c>
      <c r="BB258" s="15">
        <f t="shared" si="105"/>
        <v>0</v>
      </c>
      <c r="BC258" s="173">
        <v>248</v>
      </c>
      <c r="BD258" s="84">
        <f t="shared" si="100"/>
        <v>7.1999999999999997E-6</v>
      </c>
      <c r="BE258" s="207">
        <f t="shared" si="101"/>
        <v>0</v>
      </c>
      <c r="BF258" s="233">
        <f t="shared" si="102"/>
        <v>2.58E-5</v>
      </c>
      <c r="BG258" s="15">
        <f t="shared" si="106"/>
        <v>0</v>
      </c>
      <c r="BH258" s="173">
        <v>248</v>
      </c>
      <c r="BI258" s="84">
        <f t="shared" si="103"/>
        <v>7.1999999999999997E-6</v>
      </c>
      <c r="BJ258" s="207">
        <f t="shared" si="104"/>
        <v>0</v>
      </c>
      <c r="BL258" s="123"/>
      <c r="BM258" s="123"/>
      <c r="BO258" s="173"/>
      <c r="BP258" s="174" t="str">
        <f t="shared" si="107"/>
        <v/>
      </c>
      <c r="BQ258" s="174" t="str">
        <f t="shared" si="108"/>
        <v/>
      </c>
      <c r="BR258" s="174" t="str">
        <f t="shared" si="109"/>
        <v/>
      </c>
      <c r="BS258" s="174" t="str">
        <f t="shared" si="110"/>
        <v/>
      </c>
      <c r="BT258" s="174" t="str">
        <f t="shared" si="111"/>
        <v/>
      </c>
      <c r="BU258" s="174" t="str">
        <f t="shared" si="112"/>
        <v/>
      </c>
      <c r="BV258" s="174" t="str">
        <f t="shared" si="113"/>
        <v/>
      </c>
      <c r="BW258" s="174" t="str">
        <f t="shared" si="114"/>
        <v/>
      </c>
      <c r="BX258" s="174" t="str">
        <f t="shared" si="115"/>
        <v/>
      </c>
      <c r="BY258" s="174" t="str">
        <f t="shared" si="116"/>
        <v/>
      </c>
      <c r="BZ258" s="174" t="str">
        <f t="shared" si="117"/>
        <v/>
      </c>
      <c r="CA258" s="174" t="str">
        <f t="shared" si="118"/>
        <v/>
      </c>
      <c r="CB258" s="161"/>
      <c r="CC258" s="161"/>
      <c r="CD258" s="161"/>
      <c r="CE258" s="161" t="s">
        <v>150</v>
      </c>
      <c r="CF258" s="161"/>
    </row>
    <row r="259" spans="1:84" ht="14.25" customHeight="1" thickBot="1" x14ac:dyDescent="0.3">
      <c r="A259" s="205">
        <v>249</v>
      </c>
      <c r="B259" s="85"/>
      <c r="C259" s="195"/>
      <c r="D259" s="91"/>
      <c r="E259" s="310" t="s">
        <v>92</v>
      </c>
      <c r="F259" s="93"/>
      <c r="G259" s="97"/>
      <c r="H259" s="97"/>
      <c r="I259" s="97"/>
      <c r="J259" s="97"/>
      <c r="K259" s="97"/>
      <c r="L259" s="224">
        <f t="shared" si="119"/>
        <v>0</v>
      </c>
      <c r="M259" s="300"/>
      <c r="N259" s="301"/>
      <c r="O259" s="342"/>
      <c r="P259" s="313" t="s">
        <v>66</v>
      </c>
      <c r="Q259" s="93"/>
      <c r="R259" s="97"/>
      <c r="S259" s="97"/>
      <c r="T259" s="97"/>
      <c r="U259" s="97"/>
      <c r="V259" s="97"/>
      <c r="W259" s="224">
        <f t="shared" si="120"/>
        <v>0</v>
      </c>
      <c r="X259" s="300"/>
      <c r="Y259" s="301"/>
      <c r="Z259" s="342"/>
      <c r="AA259" s="313" t="s">
        <v>86</v>
      </c>
      <c r="AB259" s="78"/>
      <c r="AC259" s="321"/>
      <c r="AD259" s="321"/>
      <c r="AE259" s="321"/>
      <c r="AF259" s="321"/>
      <c r="AG259" s="322"/>
      <c r="AH259" s="88">
        <f t="shared" si="121"/>
        <v>0</v>
      </c>
      <c r="AI259" s="78"/>
      <c r="AJ259" s="322"/>
      <c r="AK259" s="345"/>
      <c r="AL259" s="102"/>
      <c r="AM259" s="99"/>
      <c r="AN259" s="227"/>
      <c r="AO259" s="221"/>
      <c r="AP259" s="90"/>
      <c r="AQ259" s="221"/>
      <c r="AR259" s="90"/>
      <c r="AS259" s="221"/>
      <c r="AT259" s="90"/>
      <c r="AU259" s="15">
        <f t="shared" si="95"/>
        <v>2.5899999999999999E-5</v>
      </c>
      <c r="AV259" s="15">
        <f t="shared" si="96"/>
        <v>0</v>
      </c>
      <c r="AW259" s="15"/>
      <c r="AX259" s="173">
        <v>249</v>
      </c>
      <c r="AY259" s="206">
        <f t="shared" si="97"/>
        <v>8.6999999999999997E-6</v>
      </c>
      <c r="AZ259" s="173">
        <f t="shared" si="98"/>
        <v>0</v>
      </c>
      <c r="BA259" s="233">
        <f t="shared" si="99"/>
        <v>2.5899999999999999E-5</v>
      </c>
      <c r="BB259" s="15">
        <f t="shared" si="105"/>
        <v>0</v>
      </c>
      <c r="BC259" s="173">
        <v>249</v>
      </c>
      <c r="BD259" s="84">
        <f t="shared" si="100"/>
        <v>7.0999999999999998E-6</v>
      </c>
      <c r="BE259" s="207">
        <f t="shared" si="101"/>
        <v>0</v>
      </c>
      <c r="BF259" s="233">
        <f t="shared" si="102"/>
        <v>2.5899999999999999E-5</v>
      </c>
      <c r="BG259" s="15">
        <f t="shared" si="106"/>
        <v>0</v>
      </c>
      <c r="BH259" s="173">
        <v>249</v>
      </c>
      <c r="BI259" s="84">
        <f t="shared" si="103"/>
        <v>7.0999999999999998E-6</v>
      </c>
      <c r="BJ259" s="207">
        <f t="shared" si="104"/>
        <v>0</v>
      </c>
      <c r="BL259" s="123"/>
      <c r="BM259" s="123"/>
      <c r="BO259" s="173"/>
      <c r="BP259" s="174" t="str">
        <f t="shared" si="107"/>
        <v/>
      </c>
      <c r="BQ259" s="174" t="str">
        <f t="shared" si="108"/>
        <v/>
      </c>
      <c r="BR259" s="174" t="str">
        <f t="shared" si="109"/>
        <v/>
      </c>
      <c r="BS259" s="174" t="str">
        <f t="shared" si="110"/>
        <v/>
      </c>
      <c r="BT259" s="174" t="str">
        <f t="shared" si="111"/>
        <v/>
      </c>
      <c r="BU259" s="174" t="str">
        <f t="shared" si="112"/>
        <v/>
      </c>
      <c r="BV259" s="174" t="str">
        <f t="shared" si="113"/>
        <v/>
      </c>
      <c r="BW259" s="174" t="str">
        <f t="shared" si="114"/>
        <v/>
      </c>
      <c r="BX259" s="174" t="str">
        <f t="shared" si="115"/>
        <v/>
      </c>
      <c r="BY259" s="174" t="str">
        <f t="shared" si="116"/>
        <v/>
      </c>
      <c r="BZ259" s="174" t="str">
        <f t="shared" si="117"/>
        <v/>
      </c>
      <c r="CA259" s="174" t="str">
        <f t="shared" si="118"/>
        <v/>
      </c>
      <c r="CB259" s="161"/>
      <c r="CC259" s="161"/>
      <c r="CD259" s="161"/>
      <c r="CE259" s="161" t="s">
        <v>150</v>
      </c>
      <c r="CF259" s="161"/>
    </row>
    <row r="260" spans="1:84" ht="14.25" customHeight="1" x14ac:dyDescent="0.25">
      <c r="A260" s="203">
        <v>250</v>
      </c>
      <c r="B260" s="86"/>
      <c r="C260" s="193"/>
      <c r="D260" s="143"/>
      <c r="E260" s="308" t="s">
        <v>92</v>
      </c>
      <c r="F260" s="213"/>
      <c r="G260" s="214"/>
      <c r="H260" s="214"/>
      <c r="I260" s="214"/>
      <c r="J260" s="214"/>
      <c r="K260" s="214"/>
      <c r="L260" s="295">
        <f t="shared" si="119"/>
        <v>0</v>
      </c>
      <c r="M260" s="296"/>
      <c r="N260" s="297"/>
      <c r="O260" s="340"/>
      <c r="P260" s="311" t="s">
        <v>66</v>
      </c>
      <c r="Q260" s="213"/>
      <c r="R260" s="214"/>
      <c r="S260" s="214"/>
      <c r="T260" s="214"/>
      <c r="U260" s="214"/>
      <c r="V260" s="214"/>
      <c r="W260" s="295">
        <f t="shared" si="120"/>
        <v>0</v>
      </c>
      <c r="X260" s="296"/>
      <c r="Y260" s="297"/>
      <c r="Z260" s="346"/>
      <c r="AA260" s="314" t="s">
        <v>148</v>
      </c>
      <c r="AB260" s="13"/>
      <c r="AC260" s="222"/>
      <c r="AD260" s="222"/>
      <c r="AE260" s="222"/>
      <c r="AF260" s="222"/>
      <c r="AG260" s="5"/>
      <c r="AH260" s="20">
        <f t="shared" si="121"/>
        <v>0</v>
      </c>
      <c r="AI260" s="13"/>
      <c r="AJ260" s="5"/>
      <c r="AK260" s="343"/>
      <c r="AL260" s="100"/>
      <c r="AM260" s="98"/>
      <c r="AN260" s="226"/>
      <c r="AO260" s="225"/>
      <c r="AP260" s="89"/>
      <c r="AQ260" s="225"/>
      <c r="AR260" s="89"/>
      <c r="AS260" s="225"/>
      <c r="AT260" s="89"/>
      <c r="AU260" s="15">
        <f t="shared" si="95"/>
        <v>2.5999999999999998E-5</v>
      </c>
      <c r="AV260" s="15">
        <f t="shared" si="96"/>
        <v>0</v>
      </c>
      <c r="AW260" s="15"/>
      <c r="AX260" s="173">
        <v>250</v>
      </c>
      <c r="AY260" s="206">
        <f t="shared" si="97"/>
        <v>8.599999999999999E-6</v>
      </c>
      <c r="AZ260" s="173">
        <f t="shared" si="98"/>
        <v>0</v>
      </c>
      <c r="BA260" s="233">
        <f t="shared" si="99"/>
        <v>2.5999999999999998E-5</v>
      </c>
      <c r="BB260" s="15">
        <f t="shared" si="105"/>
        <v>0</v>
      </c>
      <c r="BC260" s="173">
        <v>250</v>
      </c>
      <c r="BD260" s="84">
        <f t="shared" si="100"/>
        <v>6.9999999999999999E-6</v>
      </c>
      <c r="BE260" s="207">
        <f t="shared" si="101"/>
        <v>0</v>
      </c>
      <c r="BF260" s="233">
        <f t="shared" si="102"/>
        <v>2.5999999999999998E-5</v>
      </c>
      <c r="BG260" s="15">
        <f t="shared" si="106"/>
        <v>0</v>
      </c>
      <c r="BH260" s="173">
        <v>250</v>
      </c>
      <c r="BI260" s="84">
        <f t="shared" si="103"/>
        <v>6.9999999999999999E-6</v>
      </c>
      <c r="BJ260" s="207">
        <f t="shared" si="104"/>
        <v>0</v>
      </c>
      <c r="BL260" s="123"/>
      <c r="BM260" s="123"/>
      <c r="BO260" s="173"/>
      <c r="BP260" s="174" t="str">
        <f t="shared" si="107"/>
        <v/>
      </c>
      <c r="BQ260" s="174" t="str">
        <f t="shared" si="108"/>
        <v/>
      </c>
      <c r="BR260" s="174" t="str">
        <f t="shared" si="109"/>
        <v/>
      </c>
      <c r="BS260" s="174" t="str">
        <f t="shared" si="110"/>
        <v/>
      </c>
      <c r="BT260" s="174" t="str">
        <f t="shared" si="111"/>
        <v/>
      </c>
      <c r="BU260" s="174" t="str">
        <f t="shared" si="112"/>
        <v/>
      </c>
      <c r="BV260" s="174" t="str">
        <f t="shared" si="113"/>
        <v/>
      </c>
      <c r="BW260" s="174" t="str">
        <f t="shared" si="114"/>
        <v/>
      </c>
      <c r="BX260" s="174" t="str">
        <f t="shared" si="115"/>
        <v/>
      </c>
      <c r="BY260" s="174" t="str">
        <f t="shared" si="116"/>
        <v/>
      </c>
      <c r="BZ260" s="174" t="str">
        <f t="shared" si="117"/>
        <v/>
      </c>
      <c r="CA260" s="174" t="str">
        <f t="shared" si="118"/>
        <v/>
      </c>
      <c r="CB260" s="161"/>
      <c r="CC260" s="161"/>
      <c r="CD260" s="161"/>
      <c r="CE260" s="161" t="s">
        <v>150</v>
      </c>
      <c r="CF260" s="161"/>
    </row>
    <row r="261" spans="1:84" ht="14.25" customHeight="1" x14ac:dyDescent="0.25">
      <c r="A261" s="204">
        <v>251</v>
      </c>
      <c r="B261" s="211"/>
      <c r="C261" s="194"/>
      <c r="D261" s="142"/>
      <c r="E261" s="309" t="s">
        <v>92</v>
      </c>
      <c r="F261" s="305"/>
      <c r="G261" s="306"/>
      <c r="H261" s="306"/>
      <c r="I261" s="306"/>
      <c r="J261" s="306"/>
      <c r="K261" s="306"/>
      <c r="L261" s="223">
        <f t="shared" si="119"/>
        <v>0</v>
      </c>
      <c r="M261" s="298"/>
      <c r="N261" s="299"/>
      <c r="O261" s="341"/>
      <c r="P261" s="312" t="s">
        <v>66</v>
      </c>
      <c r="Q261" s="305"/>
      <c r="R261" s="306"/>
      <c r="S261" s="306"/>
      <c r="T261" s="306"/>
      <c r="U261" s="306"/>
      <c r="V261" s="306"/>
      <c r="W261" s="223">
        <f t="shared" si="120"/>
        <v>0</v>
      </c>
      <c r="X261" s="298"/>
      <c r="Y261" s="299"/>
      <c r="Z261" s="341"/>
      <c r="AA261" s="312" t="s">
        <v>86</v>
      </c>
      <c r="AB261" s="77"/>
      <c r="AC261" s="319"/>
      <c r="AD261" s="319"/>
      <c r="AE261" s="319"/>
      <c r="AF261" s="319"/>
      <c r="AG261" s="320"/>
      <c r="AH261" s="20">
        <f t="shared" si="121"/>
        <v>0</v>
      </c>
      <c r="AI261" s="77"/>
      <c r="AJ261" s="320"/>
      <c r="AK261" s="344"/>
      <c r="AL261" s="101"/>
      <c r="AM261" s="209"/>
      <c r="AN261" s="208"/>
      <c r="AO261" s="220"/>
      <c r="AP261" s="212"/>
      <c r="AQ261" s="220"/>
      <c r="AR261" s="212"/>
      <c r="AS261" s="220"/>
      <c r="AT261" s="212"/>
      <c r="AU261" s="15">
        <f t="shared" si="95"/>
        <v>2.6099999999999997E-5</v>
      </c>
      <c r="AV261" s="15">
        <f t="shared" si="96"/>
        <v>0</v>
      </c>
      <c r="AW261" s="15"/>
      <c r="AX261" s="173">
        <v>251</v>
      </c>
      <c r="AY261" s="206">
        <f t="shared" si="97"/>
        <v>8.4999999999999999E-6</v>
      </c>
      <c r="AZ261" s="173">
        <f t="shared" si="98"/>
        <v>0</v>
      </c>
      <c r="BA261" s="233">
        <f t="shared" si="99"/>
        <v>2.6099999999999997E-5</v>
      </c>
      <c r="BB261" s="15">
        <f t="shared" si="105"/>
        <v>0</v>
      </c>
      <c r="BC261" s="173">
        <v>251</v>
      </c>
      <c r="BD261" s="84">
        <f t="shared" si="100"/>
        <v>6.9E-6</v>
      </c>
      <c r="BE261" s="207">
        <f t="shared" si="101"/>
        <v>0</v>
      </c>
      <c r="BF261" s="233">
        <f t="shared" si="102"/>
        <v>2.6099999999999997E-5</v>
      </c>
      <c r="BG261" s="15">
        <f t="shared" si="106"/>
        <v>0</v>
      </c>
      <c r="BH261" s="173">
        <v>251</v>
      </c>
      <c r="BI261" s="84">
        <f t="shared" si="103"/>
        <v>6.9E-6</v>
      </c>
      <c r="BJ261" s="207">
        <f t="shared" si="104"/>
        <v>0</v>
      </c>
      <c r="BL261" s="123"/>
      <c r="BM261" s="123"/>
      <c r="BO261" s="173"/>
      <c r="BP261" s="174" t="str">
        <f t="shared" si="107"/>
        <v/>
      </c>
      <c r="BQ261" s="174" t="str">
        <f t="shared" si="108"/>
        <v/>
      </c>
      <c r="BR261" s="174" t="str">
        <f t="shared" si="109"/>
        <v/>
      </c>
      <c r="BS261" s="174" t="str">
        <f t="shared" si="110"/>
        <v/>
      </c>
      <c r="BT261" s="174" t="str">
        <f t="shared" si="111"/>
        <v/>
      </c>
      <c r="BU261" s="174" t="str">
        <f t="shared" si="112"/>
        <v/>
      </c>
      <c r="BV261" s="174" t="str">
        <f t="shared" si="113"/>
        <v/>
      </c>
      <c r="BW261" s="174" t="str">
        <f t="shared" si="114"/>
        <v/>
      </c>
      <c r="BX261" s="174" t="str">
        <f t="shared" si="115"/>
        <v/>
      </c>
      <c r="BY261" s="174" t="str">
        <f t="shared" si="116"/>
        <v/>
      </c>
      <c r="BZ261" s="174" t="str">
        <f t="shared" si="117"/>
        <v/>
      </c>
      <c r="CA261" s="174" t="str">
        <f t="shared" si="118"/>
        <v/>
      </c>
      <c r="CB261" s="161"/>
      <c r="CC261" s="161"/>
      <c r="CD261" s="161"/>
      <c r="CE261" s="161" t="s">
        <v>150</v>
      </c>
      <c r="CF261" s="161"/>
    </row>
    <row r="262" spans="1:84" ht="14.25" customHeight="1" thickBot="1" x14ac:dyDescent="0.3">
      <c r="A262" s="205">
        <v>252</v>
      </c>
      <c r="B262" s="85"/>
      <c r="C262" s="195"/>
      <c r="D262" s="91"/>
      <c r="E262" s="310" t="s">
        <v>92</v>
      </c>
      <c r="F262" s="93"/>
      <c r="G262" s="97"/>
      <c r="H262" s="97"/>
      <c r="I262" s="97"/>
      <c r="J262" s="97"/>
      <c r="K262" s="97"/>
      <c r="L262" s="224">
        <f t="shared" si="119"/>
        <v>0</v>
      </c>
      <c r="M262" s="300"/>
      <c r="N262" s="301"/>
      <c r="O262" s="342"/>
      <c r="P262" s="313" t="s">
        <v>66</v>
      </c>
      <c r="Q262" s="93"/>
      <c r="R262" s="97"/>
      <c r="S262" s="97"/>
      <c r="T262" s="97"/>
      <c r="U262" s="97"/>
      <c r="V262" s="97"/>
      <c r="W262" s="224">
        <f t="shared" si="120"/>
        <v>0</v>
      </c>
      <c r="X262" s="300"/>
      <c r="Y262" s="301"/>
      <c r="Z262" s="342"/>
      <c r="AA262" s="313" t="s">
        <v>86</v>
      </c>
      <c r="AB262" s="78"/>
      <c r="AC262" s="321"/>
      <c r="AD262" s="321"/>
      <c r="AE262" s="321"/>
      <c r="AF262" s="321"/>
      <c r="AG262" s="322"/>
      <c r="AH262" s="88">
        <f t="shared" si="121"/>
        <v>0</v>
      </c>
      <c r="AI262" s="78"/>
      <c r="AJ262" s="322"/>
      <c r="AK262" s="345"/>
      <c r="AL262" s="102"/>
      <c r="AM262" s="99"/>
      <c r="AN262" s="227"/>
      <c r="AO262" s="221"/>
      <c r="AP262" s="90"/>
      <c r="AQ262" s="221"/>
      <c r="AR262" s="90"/>
      <c r="AS262" s="221"/>
      <c r="AT262" s="90"/>
      <c r="AU262" s="15">
        <f t="shared" si="95"/>
        <v>2.62E-5</v>
      </c>
      <c r="AV262" s="15">
        <f t="shared" si="96"/>
        <v>0</v>
      </c>
      <c r="AW262" s="15"/>
      <c r="AX262" s="173">
        <v>252</v>
      </c>
      <c r="AY262" s="206">
        <f t="shared" si="97"/>
        <v>8.3999999999999992E-6</v>
      </c>
      <c r="AZ262" s="173">
        <f t="shared" si="98"/>
        <v>0</v>
      </c>
      <c r="BA262" s="233">
        <f t="shared" si="99"/>
        <v>2.62E-5</v>
      </c>
      <c r="BB262" s="15">
        <f t="shared" si="105"/>
        <v>0</v>
      </c>
      <c r="BC262" s="173">
        <v>252</v>
      </c>
      <c r="BD262" s="84">
        <f t="shared" si="100"/>
        <v>6.7999999999999993E-6</v>
      </c>
      <c r="BE262" s="207">
        <f t="shared" si="101"/>
        <v>0</v>
      </c>
      <c r="BF262" s="233">
        <f t="shared" si="102"/>
        <v>2.62E-5</v>
      </c>
      <c r="BG262" s="15">
        <f t="shared" si="106"/>
        <v>0</v>
      </c>
      <c r="BH262" s="173">
        <v>252</v>
      </c>
      <c r="BI262" s="84">
        <f t="shared" si="103"/>
        <v>6.7999999999999993E-6</v>
      </c>
      <c r="BJ262" s="207">
        <f t="shared" si="104"/>
        <v>0</v>
      </c>
      <c r="BL262" s="123"/>
      <c r="BM262" s="123"/>
      <c r="BO262" s="173"/>
      <c r="BP262" s="174" t="str">
        <f t="shared" si="107"/>
        <v/>
      </c>
      <c r="BQ262" s="174" t="str">
        <f t="shared" si="108"/>
        <v/>
      </c>
      <c r="BR262" s="174" t="str">
        <f t="shared" si="109"/>
        <v/>
      </c>
      <c r="BS262" s="174" t="str">
        <f t="shared" si="110"/>
        <v/>
      </c>
      <c r="BT262" s="174" t="str">
        <f t="shared" si="111"/>
        <v/>
      </c>
      <c r="BU262" s="174" t="str">
        <f t="shared" si="112"/>
        <v/>
      </c>
      <c r="BV262" s="174" t="str">
        <f t="shared" si="113"/>
        <v/>
      </c>
      <c r="BW262" s="174" t="str">
        <f t="shared" si="114"/>
        <v/>
      </c>
      <c r="BX262" s="174" t="str">
        <f t="shared" si="115"/>
        <v/>
      </c>
      <c r="BY262" s="174" t="str">
        <f t="shared" si="116"/>
        <v/>
      </c>
      <c r="BZ262" s="174" t="str">
        <f t="shared" si="117"/>
        <v/>
      </c>
      <c r="CA262" s="174" t="str">
        <f t="shared" si="118"/>
        <v/>
      </c>
      <c r="CB262" s="161"/>
      <c r="CC262" s="161"/>
      <c r="CD262" s="161"/>
      <c r="CE262" s="161" t="s">
        <v>150</v>
      </c>
      <c r="CF262" s="161"/>
    </row>
    <row r="263" spans="1:84" ht="14.25" customHeight="1" x14ac:dyDescent="0.25">
      <c r="A263" s="203">
        <v>253</v>
      </c>
      <c r="B263" s="86"/>
      <c r="C263" s="193"/>
      <c r="D263" s="143"/>
      <c r="E263" s="308" t="s">
        <v>92</v>
      </c>
      <c r="F263" s="213"/>
      <c r="G263" s="214"/>
      <c r="H263" s="214"/>
      <c r="I263" s="214"/>
      <c r="J263" s="214"/>
      <c r="K263" s="214"/>
      <c r="L263" s="295">
        <f t="shared" si="119"/>
        <v>0</v>
      </c>
      <c r="M263" s="296"/>
      <c r="N263" s="297"/>
      <c r="O263" s="340"/>
      <c r="P263" s="311" t="s">
        <v>66</v>
      </c>
      <c r="Q263" s="213"/>
      <c r="R263" s="214"/>
      <c r="S263" s="214"/>
      <c r="T263" s="214"/>
      <c r="U263" s="214"/>
      <c r="V263" s="214"/>
      <c r="W263" s="295">
        <f t="shared" si="120"/>
        <v>0</v>
      </c>
      <c r="X263" s="296"/>
      <c r="Y263" s="297"/>
      <c r="Z263" s="346"/>
      <c r="AA263" s="314" t="s">
        <v>148</v>
      </c>
      <c r="AB263" s="13"/>
      <c r="AC263" s="222"/>
      <c r="AD263" s="222"/>
      <c r="AE263" s="222"/>
      <c r="AF263" s="222"/>
      <c r="AG263" s="5"/>
      <c r="AH263" s="20">
        <f t="shared" si="121"/>
        <v>0</v>
      </c>
      <c r="AI263" s="13"/>
      <c r="AJ263" s="5"/>
      <c r="AK263" s="343"/>
      <c r="AL263" s="100"/>
      <c r="AM263" s="98"/>
      <c r="AN263" s="226"/>
      <c r="AO263" s="225"/>
      <c r="AP263" s="89"/>
      <c r="AQ263" s="225"/>
      <c r="AR263" s="89"/>
      <c r="AS263" s="225"/>
      <c r="AT263" s="89"/>
      <c r="AU263" s="15">
        <f t="shared" si="95"/>
        <v>2.6299999999999999E-5</v>
      </c>
      <c r="AV263" s="15">
        <f t="shared" si="96"/>
        <v>0</v>
      </c>
      <c r="AW263" s="15"/>
      <c r="AX263" s="173">
        <v>253</v>
      </c>
      <c r="AY263" s="206">
        <f t="shared" si="97"/>
        <v>8.3000000000000002E-6</v>
      </c>
      <c r="AZ263" s="173">
        <f t="shared" si="98"/>
        <v>0</v>
      </c>
      <c r="BA263" s="233">
        <f t="shared" si="99"/>
        <v>2.6299999999999999E-5</v>
      </c>
      <c r="BB263" s="15">
        <f t="shared" si="105"/>
        <v>0</v>
      </c>
      <c r="BC263" s="173">
        <v>253</v>
      </c>
      <c r="BD263" s="84">
        <f t="shared" si="100"/>
        <v>6.6999999999999994E-6</v>
      </c>
      <c r="BE263" s="207">
        <f t="shared" si="101"/>
        <v>0</v>
      </c>
      <c r="BF263" s="233">
        <f t="shared" si="102"/>
        <v>2.6299999999999999E-5</v>
      </c>
      <c r="BG263" s="15">
        <f t="shared" si="106"/>
        <v>0</v>
      </c>
      <c r="BH263" s="173">
        <v>253</v>
      </c>
      <c r="BI263" s="84">
        <f t="shared" si="103"/>
        <v>6.6999999999999994E-6</v>
      </c>
      <c r="BJ263" s="207">
        <f t="shared" si="104"/>
        <v>0</v>
      </c>
      <c r="BL263" s="123"/>
      <c r="BM263" s="123"/>
      <c r="BO263" s="173"/>
      <c r="BP263" s="174" t="str">
        <f t="shared" si="107"/>
        <v/>
      </c>
      <c r="BQ263" s="174" t="str">
        <f t="shared" si="108"/>
        <v/>
      </c>
      <c r="BR263" s="174" t="str">
        <f t="shared" si="109"/>
        <v/>
      </c>
      <c r="BS263" s="174" t="str">
        <f t="shared" si="110"/>
        <v/>
      </c>
      <c r="BT263" s="174" t="str">
        <f t="shared" si="111"/>
        <v/>
      </c>
      <c r="BU263" s="174" t="str">
        <f t="shared" si="112"/>
        <v/>
      </c>
      <c r="BV263" s="174" t="str">
        <f t="shared" si="113"/>
        <v/>
      </c>
      <c r="BW263" s="174" t="str">
        <f t="shared" si="114"/>
        <v/>
      </c>
      <c r="BX263" s="174" t="str">
        <f t="shared" si="115"/>
        <v/>
      </c>
      <c r="BY263" s="174" t="str">
        <f t="shared" si="116"/>
        <v/>
      </c>
      <c r="BZ263" s="174" t="str">
        <f t="shared" si="117"/>
        <v/>
      </c>
      <c r="CA263" s="174" t="str">
        <f t="shared" si="118"/>
        <v/>
      </c>
      <c r="CB263" s="161"/>
      <c r="CC263" s="161"/>
      <c r="CD263" s="161"/>
      <c r="CE263" s="161" t="s">
        <v>150</v>
      </c>
      <c r="CF263" s="161"/>
    </row>
    <row r="264" spans="1:84" ht="14.25" customHeight="1" x14ac:dyDescent="0.25">
      <c r="A264" s="204">
        <v>254</v>
      </c>
      <c r="B264" s="211"/>
      <c r="C264" s="194"/>
      <c r="D264" s="142"/>
      <c r="E264" s="309" t="s">
        <v>92</v>
      </c>
      <c r="F264" s="305"/>
      <c r="G264" s="306"/>
      <c r="H264" s="306"/>
      <c r="I264" s="306"/>
      <c r="J264" s="306"/>
      <c r="K264" s="306"/>
      <c r="L264" s="223">
        <f t="shared" si="119"/>
        <v>0</v>
      </c>
      <c r="M264" s="298"/>
      <c r="N264" s="299"/>
      <c r="O264" s="341"/>
      <c r="P264" s="312" t="s">
        <v>66</v>
      </c>
      <c r="Q264" s="305"/>
      <c r="R264" s="306"/>
      <c r="S264" s="306"/>
      <c r="T264" s="306"/>
      <c r="U264" s="306"/>
      <c r="V264" s="306"/>
      <c r="W264" s="223">
        <f t="shared" si="120"/>
        <v>0</v>
      </c>
      <c r="X264" s="298"/>
      <c r="Y264" s="299"/>
      <c r="Z264" s="341"/>
      <c r="AA264" s="312" t="s">
        <v>86</v>
      </c>
      <c r="AB264" s="77"/>
      <c r="AC264" s="319"/>
      <c r="AD264" s="319"/>
      <c r="AE264" s="319"/>
      <c r="AF264" s="319"/>
      <c r="AG264" s="320"/>
      <c r="AH264" s="20">
        <f t="shared" si="121"/>
        <v>0</v>
      </c>
      <c r="AI264" s="77"/>
      <c r="AJ264" s="320"/>
      <c r="AK264" s="344"/>
      <c r="AL264" s="101"/>
      <c r="AM264" s="209"/>
      <c r="AN264" s="208"/>
      <c r="AO264" s="220"/>
      <c r="AP264" s="212"/>
      <c r="AQ264" s="220"/>
      <c r="AR264" s="212"/>
      <c r="AS264" s="220"/>
      <c r="AT264" s="212"/>
      <c r="AU264" s="15">
        <f t="shared" si="95"/>
        <v>2.6399999999999998E-5</v>
      </c>
      <c r="AV264" s="15">
        <f t="shared" si="96"/>
        <v>0</v>
      </c>
      <c r="AW264" s="15"/>
      <c r="AX264" s="173">
        <v>254</v>
      </c>
      <c r="AY264" s="206">
        <f t="shared" si="97"/>
        <v>8.1999999999999994E-6</v>
      </c>
      <c r="AZ264" s="173">
        <f t="shared" si="98"/>
        <v>0</v>
      </c>
      <c r="BA264" s="233">
        <f t="shared" si="99"/>
        <v>2.6399999999999998E-5</v>
      </c>
      <c r="BB264" s="15">
        <f t="shared" si="105"/>
        <v>0</v>
      </c>
      <c r="BC264" s="173">
        <v>254</v>
      </c>
      <c r="BD264" s="84">
        <f t="shared" si="100"/>
        <v>6.5999999999999995E-6</v>
      </c>
      <c r="BE264" s="207">
        <f t="shared" si="101"/>
        <v>0</v>
      </c>
      <c r="BF264" s="233">
        <f t="shared" si="102"/>
        <v>2.6399999999999998E-5</v>
      </c>
      <c r="BG264" s="15">
        <f t="shared" si="106"/>
        <v>0</v>
      </c>
      <c r="BH264" s="173">
        <v>254</v>
      </c>
      <c r="BI264" s="84">
        <f t="shared" si="103"/>
        <v>6.5999999999999995E-6</v>
      </c>
      <c r="BJ264" s="207">
        <f t="shared" si="104"/>
        <v>0</v>
      </c>
      <c r="BL264" s="123"/>
      <c r="BM264" s="123"/>
      <c r="BO264" s="173"/>
      <c r="BP264" s="174" t="str">
        <f t="shared" si="107"/>
        <v/>
      </c>
      <c r="BQ264" s="174" t="str">
        <f t="shared" si="108"/>
        <v/>
      </c>
      <c r="BR264" s="174" t="str">
        <f t="shared" si="109"/>
        <v/>
      </c>
      <c r="BS264" s="174" t="str">
        <f t="shared" si="110"/>
        <v/>
      </c>
      <c r="BT264" s="174" t="str">
        <f t="shared" si="111"/>
        <v/>
      </c>
      <c r="BU264" s="174" t="str">
        <f t="shared" si="112"/>
        <v/>
      </c>
      <c r="BV264" s="174" t="str">
        <f t="shared" si="113"/>
        <v/>
      </c>
      <c r="BW264" s="174" t="str">
        <f t="shared" si="114"/>
        <v/>
      </c>
      <c r="BX264" s="174" t="str">
        <f t="shared" si="115"/>
        <v/>
      </c>
      <c r="BY264" s="174" t="str">
        <f t="shared" si="116"/>
        <v/>
      </c>
      <c r="BZ264" s="174" t="str">
        <f t="shared" si="117"/>
        <v/>
      </c>
      <c r="CA264" s="174" t="str">
        <f t="shared" si="118"/>
        <v/>
      </c>
      <c r="CB264" s="161"/>
      <c r="CC264" s="161"/>
      <c r="CD264" s="161"/>
      <c r="CE264" s="161" t="s">
        <v>150</v>
      </c>
      <c r="CF264" s="161"/>
    </row>
    <row r="265" spans="1:84" ht="14.25" customHeight="1" thickBot="1" x14ac:dyDescent="0.3">
      <c r="A265" s="205">
        <v>255</v>
      </c>
      <c r="B265" s="85"/>
      <c r="C265" s="195"/>
      <c r="D265" s="91"/>
      <c r="E265" s="310" t="s">
        <v>92</v>
      </c>
      <c r="F265" s="93"/>
      <c r="G265" s="97"/>
      <c r="H265" s="97"/>
      <c r="I265" s="97"/>
      <c r="J265" s="97"/>
      <c r="K265" s="97"/>
      <c r="L265" s="224">
        <f t="shared" si="119"/>
        <v>0</v>
      </c>
      <c r="M265" s="300"/>
      <c r="N265" s="301"/>
      <c r="O265" s="342"/>
      <c r="P265" s="313" t="s">
        <v>66</v>
      </c>
      <c r="Q265" s="93"/>
      <c r="R265" s="97"/>
      <c r="S265" s="97"/>
      <c r="T265" s="97"/>
      <c r="U265" s="97"/>
      <c r="V265" s="97"/>
      <c r="W265" s="224">
        <f t="shared" si="120"/>
        <v>0</v>
      </c>
      <c r="X265" s="300"/>
      <c r="Y265" s="301"/>
      <c r="Z265" s="342"/>
      <c r="AA265" s="313" t="s">
        <v>86</v>
      </c>
      <c r="AB265" s="78"/>
      <c r="AC265" s="321"/>
      <c r="AD265" s="321"/>
      <c r="AE265" s="321"/>
      <c r="AF265" s="321"/>
      <c r="AG265" s="322"/>
      <c r="AH265" s="88">
        <f t="shared" si="121"/>
        <v>0</v>
      </c>
      <c r="AI265" s="78"/>
      <c r="AJ265" s="322"/>
      <c r="AK265" s="345"/>
      <c r="AL265" s="102"/>
      <c r="AM265" s="99"/>
      <c r="AN265" s="227"/>
      <c r="AO265" s="221"/>
      <c r="AP265" s="90"/>
      <c r="AQ265" s="221"/>
      <c r="AR265" s="90"/>
      <c r="AS265" s="221"/>
      <c r="AT265" s="90"/>
      <c r="AU265" s="15">
        <f t="shared" si="95"/>
        <v>2.65E-5</v>
      </c>
      <c r="AV265" s="15">
        <f t="shared" si="96"/>
        <v>0</v>
      </c>
      <c r="AW265" s="15"/>
      <c r="AX265" s="173">
        <v>255</v>
      </c>
      <c r="AY265" s="206">
        <f t="shared" si="97"/>
        <v>8.1000000000000004E-6</v>
      </c>
      <c r="AZ265" s="173">
        <f t="shared" si="98"/>
        <v>0</v>
      </c>
      <c r="BA265" s="233">
        <f t="shared" si="99"/>
        <v>2.65E-5</v>
      </c>
      <c r="BB265" s="15">
        <f t="shared" si="105"/>
        <v>0</v>
      </c>
      <c r="BC265" s="173">
        <v>255</v>
      </c>
      <c r="BD265" s="84">
        <f t="shared" si="100"/>
        <v>6.4999999999999996E-6</v>
      </c>
      <c r="BE265" s="207">
        <f t="shared" si="101"/>
        <v>0</v>
      </c>
      <c r="BF265" s="233">
        <f t="shared" si="102"/>
        <v>2.65E-5</v>
      </c>
      <c r="BG265" s="15">
        <f t="shared" si="106"/>
        <v>0</v>
      </c>
      <c r="BH265" s="173">
        <v>255</v>
      </c>
      <c r="BI265" s="84">
        <f t="shared" si="103"/>
        <v>6.4999999999999996E-6</v>
      </c>
      <c r="BJ265" s="207">
        <f t="shared" si="104"/>
        <v>0</v>
      </c>
      <c r="BL265" s="123"/>
      <c r="BM265" s="123"/>
      <c r="BO265" s="173"/>
      <c r="BP265" s="174" t="str">
        <f t="shared" si="107"/>
        <v/>
      </c>
      <c r="BQ265" s="174" t="str">
        <f t="shared" si="108"/>
        <v/>
      </c>
      <c r="BR265" s="174" t="str">
        <f t="shared" si="109"/>
        <v/>
      </c>
      <c r="BS265" s="174" t="str">
        <f t="shared" si="110"/>
        <v/>
      </c>
      <c r="BT265" s="174" t="str">
        <f t="shared" si="111"/>
        <v/>
      </c>
      <c r="BU265" s="174" t="str">
        <f t="shared" si="112"/>
        <v/>
      </c>
      <c r="BV265" s="174" t="str">
        <f t="shared" si="113"/>
        <v/>
      </c>
      <c r="BW265" s="174" t="str">
        <f t="shared" si="114"/>
        <v/>
      </c>
      <c r="BX265" s="174" t="str">
        <f t="shared" si="115"/>
        <v/>
      </c>
      <c r="BY265" s="174" t="str">
        <f t="shared" si="116"/>
        <v/>
      </c>
      <c r="BZ265" s="174" t="str">
        <f t="shared" si="117"/>
        <v/>
      </c>
      <c r="CA265" s="174" t="str">
        <f t="shared" si="118"/>
        <v/>
      </c>
      <c r="CB265" s="161"/>
      <c r="CC265" s="161"/>
      <c r="CD265" s="161"/>
      <c r="CE265" s="161" t="s">
        <v>150</v>
      </c>
      <c r="CF265" s="161"/>
    </row>
    <row r="266" spans="1:84" ht="14.25" customHeight="1" x14ac:dyDescent="0.25">
      <c r="A266" s="203">
        <v>256</v>
      </c>
      <c r="B266" s="86"/>
      <c r="C266" s="193"/>
      <c r="D266" s="143"/>
      <c r="E266" s="308" t="s">
        <v>92</v>
      </c>
      <c r="F266" s="213"/>
      <c r="G266" s="214"/>
      <c r="H266" s="214"/>
      <c r="I266" s="214"/>
      <c r="J266" s="214"/>
      <c r="K266" s="214"/>
      <c r="L266" s="295">
        <f t="shared" si="119"/>
        <v>0</v>
      </c>
      <c r="M266" s="296"/>
      <c r="N266" s="297"/>
      <c r="O266" s="340"/>
      <c r="P266" s="311" t="s">
        <v>66</v>
      </c>
      <c r="Q266" s="213"/>
      <c r="R266" s="214"/>
      <c r="S266" s="214"/>
      <c r="T266" s="214"/>
      <c r="U266" s="214"/>
      <c r="V266" s="214"/>
      <c r="W266" s="295">
        <f t="shared" si="120"/>
        <v>0</v>
      </c>
      <c r="X266" s="296"/>
      <c r="Y266" s="297"/>
      <c r="Z266" s="346"/>
      <c r="AA266" s="314" t="s">
        <v>148</v>
      </c>
      <c r="AB266" s="13"/>
      <c r="AC266" s="222"/>
      <c r="AD266" s="222"/>
      <c r="AE266" s="222"/>
      <c r="AF266" s="222"/>
      <c r="AG266" s="5"/>
      <c r="AH266" s="20">
        <f t="shared" si="121"/>
        <v>0</v>
      </c>
      <c r="AI266" s="13"/>
      <c r="AJ266" s="5"/>
      <c r="AK266" s="343"/>
      <c r="AL266" s="100"/>
      <c r="AM266" s="98"/>
      <c r="AN266" s="226"/>
      <c r="AO266" s="225"/>
      <c r="AP266" s="89"/>
      <c r="AQ266" s="225"/>
      <c r="AR266" s="89"/>
      <c r="AS266" s="225"/>
      <c r="AT266" s="89"/>
      <c r="AU266" s="15">
        <f t="shared" si="95"/>
        <v>2.6599999999999999E-5</v>
      </c>
      <c r="AV266" s="15">
        <f t="shared" si="96"/>
        <v>0</v>
      </c>
      <c r="AW266" s="15"/>
      <c r="AX266" s="173">
        <v>256</v>
      </c>
      <c r="AY266" s="206">
        <f t="shared" si="97"/>
        <v>7.9999999999999996E-6</v>
      </c>
      <c r="AZ266" s="173">
        <f t="shared" si="98"/>
        <v>0</v>
      </c>
      <c r="BA266" s="233">
        <f t="shared" si="99"/>
        <v>2.6599999999999999E-5</v>
      </c>
      <c r="BB266" s="15">
        <f t="shared" si="105"/>
        <v>0</v>
      </c>
      <c r="BC266" s="173">
        <v>256</v>
      </c>
      <c r="BD266" s="84">
        <f t="shared" si="100"/>
        <v>6.3999999999999997E-6</v>
      </c>
      <c r="BE266" s="207">
        <f t="shared" si="101"/>
        <v>0</v>
      </c>
      <c r="BF266" s="233">
        <f t="shared" si="102"/>
        <v>2.6599999999999999E-5</v>
      </c>
      <c r="BG266" s="15">
        <f t="shared" si="106"/>
        <v>0</v>
      </c>
      <c r="BH266" s="173">
        <v>256</v>
      </c>
      <c r="BI266" s="84">
        <f t="shared" si="103"/>
        <v>6.3999999999999997E-6</v>
      </c>
      <c r="BJ266" s="207">
        <f t="shared" si="104"/>
        <v>0</v>
      </c>
      <c r="BL266" s="123"/>
      <c r="BM266" s="123"/>
      <c r="BO266" s="173"/>
      <c r="BP266" s="174" t="str">
        <f t="shared" si="107"/>
        <v/>
      </c>
      <c r="BQ266" s="174" t="str">
        <f t="shared" si="108"/>
        <v/>
      </c>
      <c r="BR266" s="174" t="str">
        <f t="shared" si="109"/>
        <v/>
      </c>
      <c r="BS266" s="174" t="str">
        <f t="shared" si="110"/>
        <v/>
      </c>
      <c r="BT266" s="174" t="str">
        <f t="shared" si="111"/>
        <v/>
      </c>
      <c r="BU266" s="174" t="str">
        <f t="shared" si="112"/>
        <v/>
      </c>
      <c r="BV266" s="174" t="str">
        <f t="shared" si="113"/>
        <v/>
      </c>
      <c r="BW266" s="174" t="str">
        <f t="shared" si="114"/>
        <v/>
      </c>
      <c r="BX266" s="174" t="str">
        <f t="shared" si="115"/>
        <v/>
      </c>
      <c r="BY266" s="174" t="str">
        <f t="shared" si="116"/>
        <v/>
      </c>
      <c r="BZ266" s="174" t="str">
        <f t="shared" si="117"/>
        <v/>
      </c>
      <c r="CA266" s="174" t="str">
        <f t="shared" si="118"/>
        <v/>
      </c>
      <c r="CB266" s="161"/>
      <c r="CC266" s="161"/>
      <c r="CD266" s="161"/>
      <c r="CE266" s="161" t="s">
        <v>150</v>
      </c>
      <c r="CF266" s="161"/>
    </row>
    <row r="267" spans="1:84" ht="14.25" customHeight="1" x14ac:dyDescent="0.25">
      <c r="A267" s="204">
        <v>257</v>
      </c>
      <c r="B267" s="211"/>
      <c r="C267" s="194"/>
      <c r="D267" s="142"/>
      <c r="E267" s="309" t="s">
        <v>92</v>
      </c>
      <c r="F267" s="305"/>
      <c r="G267" s="306"/>
      <c r="H267" s="306"/>
      <c r="I267" s="306"/>
      <c r="J267" s="306"/>
      <c r="K267" s="306"/>
      <c r="L267" s="223">
        <f t="shared" si="119"/>
        <v>0</v>
      </c>
      <c r="M267" s="298"/>
      <c r="N267" s="299"/>
      <c r="O267" s="341"/>
      <c r="P267" s="312" t="s">
        <v>66</v>
      </c>
      <c r="Q267" s="305"/>
      <c r="R267" s="306"/>
      <c r="S267" s="306"/>
      <c r="T267" s="306"/>
      <c r="U267" s="306"/>
      <c r="V267" s="306"/>
      <c r="W267" s="223">
        <f t="shared" si="120"/>
        <v>0</v>
      </c>
      <c r="X267" s="298"/>
      <c r="Y267" s="299"/>
      <c r="Z267" s="341"/>
      <c r="AA267" s="312" t="s">
        <v>86</v>
      </c>
      <c r="AB267" s="77"/>
      <c r="AC267" s="319"/>
      <c r="AD267" s="319"/>
      <c r="AE267" s="319"/>
      <c r="AF267" s="319"/>
      <c r="AG267" s="320"/>
      <c r="AH267" s="20">
        <f t="shared" si="121"/>
        <v>0</v>
      </c>
      <c r="AI267" s="77"/>
      <c r="AJ267" s="320"/>
      <c r="AK267" s="344"/>
      <c r="AL267" s="101"/>
      <c r="AM267" s="209"/>
      <c r="AN267" s="208"/>
      <c r="AO267" s="220"/>
      <c r="AP267" s="212"/>
      <c r="AQ267" s="220"/>
      <c r="AR267" s="212"/>
      <c r="AS267" s="220"/>
      <c r="AT267" s="212"/>
      <c r="AU267" s="15">
        <f t="shared" ref="AU267:AU319" si="122">L267+ROW()*0.0000001</f>
        <v>2.6699999999999998E-5</v>
      </c>
      <c r="AV267" s="15">
        <f t="shared" ref="AV267:AV319" si="123">B267</f>
        <v>0</v>
      </c>
      <c r="AW267" s="15"/>
      <c r="AX267" s="173">
        <v>257</v>
      </c>
      <c r="AY267" s="206">
        <f t="shared" ref="AY267:AY319" si="124">IFERROR(LARGE($AU$11:$AU$319,AX267),"")</f>
        <v>7.8999999999999989E-6</v>
      </c>
      <c r="AZ267" s="173">
        <f t="shared" ref="AZ267:AZ319" si="125">IFERROR(VLOOKUP(AY267,الترتيب1,2,0),"")</f>
        <v>0</v>
      </c>
      <c r="BA267" s="233">
        <f t="shared" ref="BA267:BA319" si="126">W267+ROW()*0.0000001</f>
        <v>2.6699999999999998E-5</v>
      </c>
      <c r="BB267" s="15">
        <f t="shared" si="105"/>
        <v>0</v>
      </c>
      <c r="BC267" s="173">
        <v>257</v>
      </c>
      <c r="BD267" s="84">
        <f t="shared" ref="BD267:BD319" si="127">IFERROR(LARGE($BA$11:$BA$319,BC267),"")</f>
        <v>6.2999999999999998E-6</v>
      </c>
      <c r="BE267" s="207">
        <f t="shared" ref="BE267:BE319" si="128">IFERROR(VLOOKUP(BD267,الترتيب2,2,0),"")</f>
        <v>0</v>
      </c>
      <c r="BF267" s="233">
        <f t="shared" ref="BF267:BF319" si="129">AH267+ROW()*0.0000001</f>
        <v>2.6699999999999998E-5</v>
      </c>
      <c r="BG267" s="15">
        <f t="shared" si="106"/>
        <v>0</v>
      </c>
      <c r="BH267" s="173">
        <v>257</v>
      </c>
      <c r="BI267" s="84">
        <f t="shared" ref="BI267:BI319" si="130">IFERROR(LARGE($BF$11:$BF$319,BH267),"")</f>
        <v>6.2999999999999998E-6</v>
      </c>
      <c r="BJ267" s="207">
        <f t="shared" ref="BJ267:BJ319" si="131">IFERROR(VLOOKUP(BI267,الترتيب3,2,0),"")</f>
        <v>0</v>
      </c>
      <c r="BL267" s="123"/>
      <c r="BM267" s="123"/>
      <c r="BO267" s="173"/>
      <c r="BP267" s="174" t="str">
        <f t="shared" si="107"/>
        <v/>
      </c>
      <c r="BQ267" s="174" t="str">
        <f t="shared" si="108"/>
        <v/>
      </c>
      <c r="BR267" s="174" t="str">
        <f t="shared" si="109"/>
        <v/>
      </c>
      <c r="BS267" s="174" t="str">
        <f t="shared" si="110"/>
        <v/>
      </c>
      <c r="BT267" s="174" t="str">
        <f t="shared" si="111"/>
        <v/>
      </c>
      <c r="BU267" s="174" t="str">
        <f t="shared" si="112"/>
        <v/>
      </c>
      <c r="BV267" s="174" t="str">
        <f t="shared" si="113"/>
        <v/>
      </c>
      <c r="BW267" s="174" t="str">
        <f t="shared" si="114"/>
        <v/>
      </c>
      <c r="BX267" s="174" t="str">
        <f t="shared" si="115"/>
        <v/>
      </c>
      <c r="BY267" s="174" t="str">
        <f t="shared" si="116"/>
        <v/>
      </c>
      <c r="BZ267" s="174" t="str">
        <f t="shared" si="117"/>
        <v/>
      </c>
      <c r="CA267" s="174" t="str">
        <f t="shared" si="118"/>
        <v/>
      </c>
      <c r="CB267" s="161"/>
      <c r="CC267" s="161"/>
      <c r="CD267" s="161"/>
      <c r="CE267" s="161" t="s">
        <v>150</v>
      </c>
      <c r="CF267" s="161"/>
    </row>
    <row r="268" spans="1:84" ht="14.25" customHeight="1" thickBot="1" x14ac:dyDescent="0.3">
      <c r="A268" s="205">
        <v>258</v>
      </c>
      <c r="B268" s="85"/>
      <c r="C268" s="195"/>
      <c r="D268" s="91"/>
      <c r="E268" s="310" t="s">
        <v>92</v>
      </c>
      <c r="F268" s="93"/>
      <c r="G268" s="97"/>
      <c r="H268" s="97"/>
      <c r="I268" s="97"/>
      <c r="J268" s="97"/>
      <c r="K268" s="97"/>
      <c r="L268" s="224">
        <f t="shared" si="119"/>
        <v>0</v>
      </c>
      <c r="M268" s="300"/>
      <c r="N268" s="301"/>
      <c r="O268" s="342"/>
      <c r="P268" s="313" t="s">
        <v>66</v>
      </c>
      <c r="Q268" s="93"/>
      <c r="R268" s="97"/>
      <c r="S268" s="97"/>
      <c r="T268" s="97"/>
      <c r="U268" s="97"/>
      <c r="V268" s="97"/>
      <c r="W268" s="224">
        <f t="shared" si="120"/>
        <v>0</v>
      </c>
      <c r="X268" s="300"/>
      <c r="Y268" s="301"/>
      <c r="Z268" s="342"/>
      <c r="AA268" s="313" t="s">
        <v>86</v>
      </c>
      <c r="AB268" s="78"/>
      <c r="AC268" s="321"/>
      <c r="AD268" s="321"/>
      <c r="AE268" s="321"/>
      <c r="AF268" s="321"/>
      <c r="AG268" s="322"/>
      <c r="AH268" s="88">
        <f t="shared" si="121"/>
        <v>0</v>
      </c>
      <c r="AI268" s="78"/>
      <c r="AJ268" s="322"/>
      <c r="AK268" s="345"/>
      <c r="AL268" s="102"/>
      <c r="AM268" s="99"/>
      <c r="AN268" s="227"/>
      <c r="AO268" s="221"/>
      <c r="AP268" s="90"/>
      <c r="AQ268" s="221"/>
      <c r="AR268" s="90"/>
      <c r="AS268" s="221"/>
      <c r="AT268" s="90"/>
      <c r="AU268" s="15">
        <f t="shared" si="122"/>
        <v>2.6799999999999998E-5</v>
      </c>
      <c r="AV268" s="15">
        <f t="shared" si="123"/>
        <v>0</v>
      </c>
      <c r="AW268" s="15"/>
      <c r="AX268" s="173">
        <v>258</v>
      </c>
      <c r="AY268" s="206">
        <f t="shared" si="124"/>
        <v>7.7999999999999999E-6</v>
      </c>
      <c r="AZ268" s="173">
        <f t="shared" si="125"/>
        <v>0</v>
      </c>
      <c r="BA268" s="233">
        <f t="shared" si="126"/>
        <v>2.6799999999999998E-5</v>
      </c>
      <c r="BB268" s="15">
        <f t="shared" ref="BB268:BB319" si="132">AV268</f>
        <v>0</v>
      </c>
      <c r="BC268" s="173">
        <v>258</v>
      </c>
      <c r="BD268" s="84">
        <f t="shared" si="127"/>
        <v>6.1999999999999999E-6</v>
      </c>
      <c r="BE268" s="207">
        <f t="shared" si="128"/>
        <v>0</v>
      </c>
      <c r="BF268" s="233">
        <f t="shared" si="129"/>
        <v>2.6799999999999998E-5</v>
      </c>
      <c r="BG268" s="15">
        <f t="shared" ref="BG268:BG319" si="133">BB268</f>
        <v>0</v>
      </c>
      <c r="BH268" s="173">
        <v>258</v>
      </c>
      <c r="BI268" s="84">
        <f t="shared" si="130"/>
        <v>6.1999999999999999E-6</v>
      </c>
      <c r="BJ268" s="207">
        <f t="shared" si="131"/>
        <v>0</v>
      </c>
      <c r="BL268" s="123"/>
      <c r="BM268" s="123"/>
      <c r="BO268" s="173"/>
      <c r="BP268" s="174" t="str">
        <f t="shared" ref="BP268:BP319" si="134">MID($BN268,12,1)</f>
        <v/>
      </c>
      <c r="BQ268" s="174" t="str">
        <f t="shared" ref="BQ268:BQ319" si="135">MID($BN268,11,1)</f>
        <v/>
      </c>
      <c r="BR268" s="174" t="str">
        <f t="shared" ref="BR268:BR319" si="136">MID($BN268,10,1)</f>
        <v/>
      </c>
      <c r="BS268" s="174" t="str">
        <f t="shared" ref="BS268:BS319" si="137">MID($BN268,9,1)</f>
        <v/>
      </c>
      <c r="BT268" s="174" t="str">
        <f t="shared" ref="BT268:BT319" si="138">MID($BN268,8,1)</f>
        <v/>
      </c>
      <c r="BU268" s="174" t="str">
        <f t="shared" ref="BU268:BU319" si="139">MID($BN268,7,1)</f>
        <v/>
      </c>
      <c r="BV268" s="174" t="str">
        <f t="shared" ref="BV268:BV319" si="140">MID($BN268,6,1)</f>
        <v/>
      </c>
      <c r="BW268" s="174" t="str">
        <f t="shared" ref="BW268:BW319" si="141">MID($BN268,5,1)</f>
        <v/>
      </c>
      <c r="BX268" s="174" t="str">
        <f t="shared" ref="BX268:BX319" si="142">MID($BN268,4,1)</f>
        <v/>
      </c>
      <c r="BY268" s="174" t="str">
        <f t="shared" ref="BY268:BY319" si="143">MID($BN268,3,1)</f>
        <v/>
      </c>
      <c r="BZ268" s="174" t="str">
        <f t="shared" ref="BZ268:BZ319" si="144">MID($BN268,2,1)</f>
        <v/>
      </c>
      <c r="CA268" s="174" t="str">
        <f t="shared" ref="CA268:CA319" si="145">MID($BN268,1,1)</f>
        <v/>
      </c>
      <c r="CB268" s="161"/>
      <c r="CC268" s="161"/>
      <c r="CD268" s="161"/>
      <c r="CE268" s="161" t="s">
        <v>150</v>
      </c>
      <c r="CF268" s="161"/>
    </row>
    <row r="269" spans="1:84" ht="14.25" customHeight="1" x14ac:dyDescent="0.25">
      <c r="A269" s="203">
        <v>259</v>
      </c>
      <c r="B269" s="86"/>
      <c r="C269" s="193"/>
      <c r="D269" s="143"/>
      <c r="E269" s="308" t="s">
        <v>92</v>
      </c>
      <c r="F269" s="213"/>
      <c r="G269" s="214"/>
      <c r="H269" s="214"/>
      <c r="I269" s="214"/>
      <c r="J269" s="214"/>
      <c r="K269" s="214"/>
      <c r="L269" s="295">
        <f t="shared" si="119"/>
        <v>0</v>
      </c>
      <c r="M269" s="296"/>
      <c r="N269" s="297"/>
      <c r="O269" s="340"/>
      <c r="P269" s="311" t="s">
        <v>66</v>
      </c>
      <c r="Q269" s="213"/>
      <c r="R269" s="214"/>
      <c r="S269" s="214"/>
      <c r="T269" s="214"/>
      <c r="U269" s="214"/>
      <c r="V269" s="214"/>
      <c r="W269" s="295">
        <f t="shared" si="120"/>
        <v>0</v>
      </c>
      <c r="X269" s="296"/>
      <c r="Y269" s="297"/>
      <c r="Z269" s="346"/>
      <c r="AA269" s="314" t="s">
        <v>148</v>
      </c>
      <c r="AB269" s="13"/>
      <c r="AC269" s="222"/>
      <c r="AD269" s="222"/>
      <c r="AE269" s="222"/>
      <c r="AF269" s="222"/>
      <c r="AG269" s="5"/>
      <c r="AH269" s="20">
        <f t="shared" si="121"/>
        <v>0</v>
      </c>
      <c r="AI269" s="13"/>
      <c r="AJ269" s="5"/>
      <c r="AK269" s="343"/>
      <c r="AL269" s="100"/>
      <c r="AM269" s="98"/>
      <c r="AN269" s="226"/>
      <c r="AO269" s="225"/>
      <c r="AP269" s="89"/>
      <c r="AQ269" s="225"/>
      <c r="AR269" s="89"/>
      <c r="AS269" s="225"/>
      <c r="AT269" s="89"/>
      <c r="AU269" s="15">
        <f t="shared" si="122"/>
        <v>2.69E-5</v>
      </c>
      <c r="AV269" s="15">
        <f t="shared" si="123"/>
        <v>0</v>
      </c>
      <c r="AW269" s="15"/>
      <c r="AX269" s="173">
        <v>259</v>
      </c>
      <c r="AY269" s="206">
        <f t="shared" si="124"/>
        <v>7.6999999999999991E-6</v>
      </c>
      <c r="AZ269" s="173">
        <f t="shared" si="125"/>
        <v>0</v>
      </c>
      <c r="BA269" s="233">
        <f t="shared" si="126"/>
        <v>2.69E-5</v>
      </c>
      <c r="BB269" s="15">
        <f t="shared" si="132"/>
        <v>0</v>
      </c>
      <c r="BC269" s="173">
        <v>259</v>
      </c>
      <c r="BD269" s="84">
        <f t="shared" si="127"/>
        <v>6.1E-6</v>
      </c>
      <c r="BE269" s="207">
        <f t="shared" si="128"/>
        <v>0</v>
      </c>
      <c r="BF269" s="233">
        <f t="shared" si="129"/>
        <v>2.69E-5</v>
      </c>
      <c r="BG269" s="15">
        <f t="shared" si="133"/>
        <v>0</v>
      </c>
      <c r="BH269" s="173">
        <v>259</v>
      </c>
      <c r="BI269" s="84">
        <f t="shared" si="130"/>
        <v>6.1E-6</v>
      </c>
      <c r="BJ269" s="207">
        <f t="shared" si="131"/>
        <v>0</v>
      </c>
      <c r="BL269" s="123"/>
      <c r="BM269" s="123"/>
      <c r="BO269" s="173"/>
      <c r="BP269" s="174" t="str">
        <f t="shared" si="134"/>
        <v/>
      </c>
      <c r="BQ269" s="174" t="str">
        <f t="shared" si="135"/>
        <v/>
      </c>
      <c r="BR269" s="174" t="str">
        <f t="shared" si="136"/>
        <v/>
      </c>
      <c r="BS269" s="174" t="str">
        <f t="shared" si="137"/>
        <v/>
      </c>
      <c r="BT269" s="174" t="str">
        <f t="shared" si="138"/>
        <v/>
      </c>
      <c r="BU269" s="174" t="str">
        <f t="shared" si="139"/>
        <v/>
      </c>
      <c r="BV269" s="174" t="str">
        <f t="shared" si="140"/>
        <v/>
      </c>
      <c r="BW269" s="174" t="str">
        <f t="shared" si="141"/>
        <v/>
      </c>
      <c r="BX269" s="174" t="str">
        <f t="shared" si="142"/>
        <v/>
      </c>
      <c r="BY269" s="174" t="str">
        <f t="shared" si="143"/>
        <v/>
      </c>
      <c r="BZ269" s="174" t="str">
        <f t="shared" si="144"/>
        <v/>
      </c>
      <c r="CA269" s="174" t="str">
        <f t="shared" si="145"/>
        <v/>
      </c>
      <c r="CB269" s="161"/>
      <c r="CC269" s="161"/>
      <c r="CD269" s="161"/>
      <c r="CE269" s="161" t="s">
        <v>150</v>
      </c>
      <c r="CF269" s="161"/>
    </row>
    <row r="270" spans="1:84" ht="14.25" customHeight="1" x14ac:dyDescent="0.25">
      <c r="A270" s="204">
        <v>260</v>
      </c>
      <c r="B270" s="211"/>
      <c r="C270" s="194"/>
      <c r="D270" s="142"/>
      <c r="E270" s="309" t="s">
        <v>92</v>
      </c>
      <c r="F270" s="305"/>
      <c r="G270" s="306"/>
      <c r="H270" s="306"/>
      <c r="I270" s="306"/>
      <c r="J270" s="306"/>
      <c r="K270" s="306"/>
      <c r="L270" s="223">
        <f t="shared" ref="L270:L319" si="146">SUM(F270:K270)</f>
        <v>0</v>
      </c>
      <c r="M270" s="298"/>
      <c r="N270" s="299"/>
      <c r="O270" s="341"/>
      <c r="P270" s="312" t="s">
        <v>66</v>
      </c>
      <c r="Q270" s="305"/>
      <c r="R270" s="306"/>
      <c r="S270" s="306"/>
      <c r="T270" s="306"/>
      <c r="U270" s="306"/>
      <c r="V270" s="306"/>
      <c r="W270" s="223">
        <f t="shared" ref="W270:W319" si="147">SUM(Q270:V270)</f>
        <v>0</v>
      </c>
      <c r="X270" s="298"/>
      <c r="Y270" s="299"/>
      <c r="Z270" s="341"/>
      <c r="AA270" s="312" t="s">
        <v>86</v>
      </c>
      <c r="AB270" s="77"/>
      <c r="AC270" s="319"/>
      <c r="AD270" s="319"/>
      <c r="AE270" s="319"/>
      <c r="AF270" s="319"/>
      <c r="AG270" s="320"/>
      <c r="AH270" s="20">
        <f t="shared" ref="AH270:AH319" si="148">SUM(AB270:AG270)</f>
        <v>0</v>
      </c>
      <c r="AI270" s="77"/>
      <c r="AJ270" s="320"/>
      <c r="AK270" s="344"/>
      <c r="AL270" s="101"/>
      <c r="AM270" s="209"/>
      <c r="AN270" s="208"/>
      <c r="AO270" s="220"/>
      <c r="AP270" s="212"/>
      <c r="AQ270" s="220"/>
      <c r="AR270" s="212"/>
      <c r="AS270" s="220"/>
      <c r="AT270" s="212"/>
      <c r="AU270" s="15">
        <f t="shared" si="122"/>
        <v>2.6999999999999999E-5</v>
      </c>
      <c r="AV270" s="15">
        <f t="shared" si="123"/>
        <v>0</v>
      </c>
      <c r="AW270" s="15"/>
      <c r="AX270" s="173">
        <v>260</v>
      </c>
      <c r="AY270" s="206">
        <f t="shared" si="124"/>
        <v>7.6000000000000001E-6</v>
      </c>
      <c r="AZ270" s="173">
        <f t="shared" si="125"/>
        <v>0</v>
      </c>
      <c r="BA270" s="233">
        <f t="shared" si="126"/>
        <v>2.6999999999999999E-5</v>
      </c>
      <c r="BB270" s="15">
        <f t="shared" si="132"/>
        <v>0</v>
      </c>
      <c r="BC270" s="173">
        <v>260</v>
      </c>
      <c r="BD270" s="84">
        <f t="shared" si="127"/>
        <v>6.0000000000000002E-6</v>
      </c>
      <c r="BE270" s="207">
        <f t="shared" si="128"/>
        <v>0</v>
      </c>
      <c r="BF270" s="233">
        <f t="shared" si="129"/>
        <v>2.6999999999999999E-5</v>
      </c>
      <c r="BG270" s="15">
        <f t="shared" si="133"/>
        <v>0</v>
      </c>
      <c r="BH270" s="173">
        <v>260</v>
      </c>
      <c r="BI270" s="84">
        <f t="shared" si="130"/>
        <v>6.0000000000000002E-6</v>
      </c>
      <c r="BJ270" s="207">
        <f t="shared" si="131"/>
        <v>0</v>
      </c>
      <c r="BL270" s="123"/>
      <c r="BM270" s="123"/>
      <c r="BO270" s="173"/>
      <c r="BP270" s="174" t="str">
        <f t="shared" si="134"/>
        <v/>
      </c>
      <c r="BQ270" s="174" t="str">
        <f t="shared" si="135"/>
        <v/>
      </c>
      <c r="BR270" s="174" t="str">
        <f t="shared" si="136"/>
        <v/>
      </c>
      <c r="BS270" s="174" t="str">
        <f t="shared" si="137"/>
        <v/>
      </c>
      <c r="BT270" s="174" t="str">
        <f t="shared" si="138"/>
        <v/>
      </c>
      <c r="BU270" s="174" t="str">
        <f t="shared" si="139"/>
        <v/>
      </c>
      <c r="BV270" s="174" t="str">
        <f t="shared" si="140"/>
        <v/>
      </c>
      <c r="BW270" s="174" t="str">
        <f t="shared" si="141"/>
        <v/>
      </c>
      <c r="BX270" s="174" t="str">
        <f t="shared" si="142"/>
        <v/>
      </c>
      <c r="BY270" s="174" t="str">
        <f t="shared" si="143"/>
        <v/>
      </c>
      <c r="BZ270" s="174" t="str">
        <f t="shared" si="144"/>
        <v/>
      </c>
      <c r="CA270" s="174" t="str">
        <f t="shared" si="145"/>
        <v/>
      </c>
      <c r="CB270" s="161"/>
      <c r="CC270" s="161"/>
      <c r="CD270" s="161"/>
      <c r="CE270" s="161" t="s">
        <v>150</v>
      </c>
      <c r="CF270" s="161"/>
    </row>
    <row r="271" spans="1:84" ht="14.25" customHeight="1" thickBot="1" x14ac:dyDescent="0.3">
      <c r="A271" s="205">
        <v>261</v>
      </c>
      <c r="B271" s="85"/>
      <c r="C271" s="195"/>
      <c r="D271" s="91"/>
      <c r="E271" s="310" t="s">
        <v>92</v>
      </c>
      <c r="F271" s="93"/>
      <c r="G271" s="97"/>
      <c r="H271" s="97"/>
      <c r="I271" s="97"/>
      <c r="J271" s="97"/>
      <c r="K271" s="97"/>
      <c r="L271" s="224">
        <f t="shared" si="146"/>
        <v>0</v>
      </c>
      <c r="M271" s="300"/>
      <c r="N271" s="301"/>
      <c r="O271" s="342"/>
      <c r="P271" s="313" t="s">
        <v>66</v>
      </c>
      <c r="Q271" s="93"/>
      <c r="R271" s="97"/>
      <c r="S271" s="97"/>
      <c r="T271" s="97"/>
      <c r="U271" s="97"/>
      <c r="V271" s="97"/>
      <c r="W271" s="224">
        <f t="shared" si="147"/>
        <v>0</v>
      </c>
      <c r="X271" s="300"/>
      <c r="Y271" s="301"/>
      <c r="Z271" s="342"/>
      <c r="AA271" s="313" t="s">
        <v>86</v>
      </c>
      <c r="AB271" s="78"/>
      <c r="AC271" s="321"/>
      <c r="AD271" s="321"/>
      <c r="AE271" s="321"/>
      <c r="AF271" s="321"/>
      <c r="AG271" s="322"/>
      <c r="AH271" s="88">
        <f t="shared" si="148"/>
        <v>0</v>
      </c>
      <c r="AI271" s="78"/>
      <c r="AJ271" s="322"/>
      <c r="AK271" s="345"/>
      <c r="AL271" s="102"/>
      <c r="AM271" s="99"/>
      <c r="AN271" s="227"/>
      <c r="AO271" s="221"/>
      <c r="AP271" s="90"/>
      <c r="AQ271" s="221"/>
      <c r="AR271" s="90"/>
      <c r="AS271" s="221"/>
      <c r="AT271" s="90"/>
      <c r="AU271" s="15">
        <f t="shared" si="122"/>
        <v>2.7099999999999998E-5</v>
      </c>
      <c r="AV271" s="15">
        <f t="shared" si="123"/>
        <v>0</v>
      </c>
      <c r="AW271" s="15"/>
      <c r="AX271" s="173">
        <v>261</v>
      </c>
      <c r="AY271" s="206">
        <f t="shared" si="124"/>
        <v>7.4999999999999993E-6</v>
      </c>
      <c r="AZ271" s="173">
        <f t="shared" si="125"/>
        <v>0</v>
      </c>
      <c r="BA271" s="233">
        <f t="shared" si="126"/>
        <v>2.7099999999999998E-5</v>
      </c>
      <c r="BB271" s="15">
        <f t="shared" si="132"/>
        <v>0</v>
      </c>
      <c r="BC271" s="173">
        <v>261</v>
      </c>
      <c r="BD271" s="84">
        <f t="shared" si="127"/>
        <v>5.8999999999999994E-6</v>
      </c>
      <c r="BE271" s="207">
        <f t="shared" si="128"/>
        <v>0</v>
      </c>
      <c r="BF271" s="233">
        <f t="shared" si="129"/>
        <v>2.7099999999999998E-5</v>
      </c>
      <c r="BG271" s="15">
        <f t="shared" si="133"/>
        <v>0</v>
      </c>
      <c r="BH271" s="173">
        <v>261</v>
      </c>
      <c r="BI271" s="84">
        <f t="shared" si="130"/>
        <v>5.8999999999999994E-6</v>
      </c>
      <c r="BJ271" s="207">
        <f t="shared" si="131"/>
        <v>0</v>
      </c>
      <c r="BL271" s="123"/>
      <c r="BM271" s="123"/>
      <c r="BO271" s="173"/>
      <c r="BP271" s="174" t="str">
        <f t="shared" si="134"/>
        <v/>
      </c>
      <c r="BQ271" s="174" t="str">
        <f t="shared" si="135"/>
        <v/>
      </c>
      <c r="BR271" s="174" t="str">
        <f t="shared" si="136"/>
        <v/>
      </c>
      <c r="BS271" s="174" t="str">
        <f t="shared" si="137"/>
        <v/>
      </c>
      <c r="BT271" s="174" t="str">
        <f t="shared" si="138"/>
        <v/>
      </c>
      <c r="BU271" s="174" t="str">
        <f t="shared" si="139"/>
        <v/>
      </c>
      <c r="BV271" s="174" t="str">
        <f t="shared" si="140"/>
        <v/>
      </c>
      <c r="BW271" s="174" t="str">
        <f t="shared" si="141"/>
        <v/>
      </c>
      <c r="BX271" s="174" t="str">
        <f t="shared" si="142"/>
        <v/>
      </c>
      <c r="BY271" s="174" t="str">
        <f t="shared" si="143"/>
        <v/>
      </c>
      <c r="BZ271" s="174" t="str">
        <f t="shared" si="144"/>
        <v/>
      </c>
      <c r="CA271" s="174" t="str">
        <f t="shared" si="145"/>
        <v/>
      </c>
      <c r="CB271" s="161"/>
      <c r="CC271" s="161"/>
      <c r="CD271" s="161"/>
      <c r="CE271" s="161" t="s">
        <v>150</v>
      </c>
      <c r="CF271" s="161"/>
    </row>
    <row r="272" spans="1:84" ht="14.25" customHeight="1" x14ac:dyDescent="0.25">
      <c r="A272" s="203">
        <v>262</v>
      </c>
      <c r="B272" s="86"/>
      <c r="C272" s="193"/>
      <c r="D272" s="143"/>
      <c r="E272" s="308" t="s">
        <v>92</v>
      </c>
      <c r="F272" s="213"/>
      <c r="G272" s="214"/>
      <c r="H272" s="214"/>
      <c r="I272" s="214"/>
      <c r="J272" s="214"/>
      <c r="K272" s="214"/>
      <c r="L272" s="295">
        <f t="shared" si="146"/>
        <v>0</v>
      </c>
      <c r="M272" s="296"/>
      <c r="N272" s="297"/>
      <c r="O272" s="340"/>
      <c r="P272" s="311" t="s">
        <v>66</v>
      </c>
      <c r="Q272" s="213"/>
      <c r="R272" s="214"/>
      <c r="S272" s="214"/>
      <c r="T272" s="214"/>
      <c r="U272" s="214"/>
      <c r="V272" s="214"/>
      <c r="W272" s="295">
        <f t="shared" si="147"/>
        <v>0</v>
      </c>
      <c r="X272" s="296"/>
      <c r="Y272" s="297"/>
      <c r="Z272" s="346"/>
      <c r="AA272" s="314" t="s">
        <v>148</v>
      </c>
      <c r="AB272" s="13"/>
      <c r="AC272" s="222"/>
      <c r="AD272" s="222"/>
      <c r="AE272" s="222"/>
      <c r="AF272" s="222"/>
      <c r="AG272" s="5"/>
      <c r="AH272" s="20">
        <f t="shared" si="148"/>
        <v>0</v>
      </c>
      <c r="AI272" s="13"/>
      <c r="AJ272" s="5"/>
      <c r="AK272" s="343"/>
      <c r="AL272" s="100"/>
      <c r="AM272" s="98"/>
      <c r="AN272" s="226"/>
      <c r="AO272" s="225"/>
      <c r="AP272" s="89"/>
      <c r="AQ272" s="225"/>
      <c r="AR272" s="89"/>
      <c r="AS272" s="225"/>
      <c r="AT272" s="89"/>
      <c r="AU272" s="15">
        <f t="shared" si="122"/>
        <v>2.7199999999999997E-5</v>
      </c>
      <c r="AV272" s="15">
        <f t="shared" si="123"/>
        <v>0</v>
      </c>
      <c r="AW272" s="15"/>
      <c r="AX272" s="173">
        <v>262</v>
      </c>
      <c r="AY272" s="206">
        <f t="shared" si="124"/>
        <v>7.3999999999999995E-6</v>
      </c>
      <c r="AZ272" s="173">
        <f t="shared" si="125"/>
        <v>0</v>
      </c>
      <c r="BA272" s="233">
        <f t="shared" si="126"/>
        <v>2.7199999999999997E-5</v>
      </c>
      <c r="BB272" s="15">
        <f t="shared" si="132"/>
        <v>0</v>
      </c>
      <c r="BC272" s="173">
        <v>262</v>
      </c>
      <c r="BD272" s="84">
        <f t="shared" si="127"/>
        <v>5.7999999999999995E-6</v>
      </c>
      <c r="BE272" s="207">
        <f t="shared" si="128"/>
        <v>0</v>
      </c>
      <c r="BF272" s="233">
        <f t="shared" si="129"/>
        <v>2.7199999999999997E-5</v>
      </c>
      <c r="BG272" s="15">
        <f t="shared" si="133"/>
        <v>0</v>
      </c>
      <c r="BH272" s="173">
        <v>262</v>
      </c>
      <c r="BI272" s="84">
        <f t="shared" si="130"/>
        <v>5.7999999999999995E-6</v>
      </c>
      <c r="BJ272" s="207">
        <f t="shared" si="131"/>
        <v>0</v>
      </c>
      <c r="BL272" s="123"/>
      <c r="BM272" s="123"/>
      <c r="BO272" s="173"/>
      <c r="BP272" s="174" t="str">
        <f t="shared" si="134"/>
        <v/>
      </c>
      <c r="BQ272" s="174" t="str">
        <f t="shared" si="135"/>
        <v/>
      </c>
      <c r="BR272" s="174" t="str">
        <f t="shared" si="136"/>
        <v/>
      </c>
      <c r="BS272" s="174" t="str">
        <f t="shared" si="137"/>
        <v/>
      </c>
      <c r="BT272" s="174" t="str">
        <f t="shared" si="138"/>
        <v/>
      </c>
      <c r="BU272" s="174" t="str">
        <f t="shared" si="139"/>
        <v/>
      </c>
      <c r="BV272" s="174" t="str">
        <f t="shared" si="140"/>
        <v/>
      </c>
      <c r="BW272" s="174" t="str">
        <f t="shared" si="141"/>
        <v/>
      </c>
      <c r="BX272" s="174" t="str">
        <f t="shared" si="142"/>
        <v/>
      </c>
      <c r="BY272" s="174" t="str">
        <f t="shared" si="143"/>
        <v/>
      </c>
      <c r="BZ272" s="174" t="str">
        <f t="shared" si="144"/>
        <v/>
      </c>
      <c r="CA272" s="174" t="str">
        <f t="shared" si="145"/>
        <v/>
      </c>
      <c r="CB272" s="161"/>
      <c r="CC272" s="161"/>
      <c r="CD272" s="161"/>
      <c r="CE272" s="161" t="s">
        <v>150</v>
      </c>
      <c r="CF272" s="161"/>
    </row>
    <row r="273" spans="1:84" ht="14.25" customHeight="1" x14ac:dyDescent="0.25">
      <c r="A273" s="204">
        <v>263</v>
      </c>
      <c r="B273" s="211"/>
      <c r="C273" s="194"/>
      <c r="D273" s="142"/>
      <c r="E273" s="309" t="s">
        <v>92</v>
      </c>
      <c r="F273" s="305"/>
      <c r="G273" s="306"/>
      <c r="H273" s="306"/>
      <c r="I273" s="306"/>
      <c r="J273" s="306"/>
      <c r="K273" s="306"/>
      <c r="L273" s="223">
        <f t="shared" si="146"/>
        <v>0</v>
      </c>
      <c r="M273" s="298"/>
      <c r="N273" s="299"/>
      <c r="O273" s="341"/>
      <c r="P273" s="312" t="s">
        <v>66</v>
      </c>
      <c r="Q273" s="305"/>
      <c r="R273" s="306"/>
      <c r="S273" s="306"/>
      <c r="T273" s="306"/>
      <c r="U273" s="306"/>
      <c r="V273" s="306"/>
      <c r="W273" s="223">
        <f t="shared" si="147"/>
        <v>0</v>
      </c>
      <c r="X273" s="298"/>
      <c r="Y273" s="299"/>
      <c r="Z273" s="341"/>
      <c r="AA273" s="312" t="s">
        <v>86</v>
      </c>
      <c r="AB273" s="77"/>
      <c r="AC273" s="319"/>
      <c r="AD273" s="319"/>
      <c r="AE273" s="319"/>
      <c r="AF273" s="319"/>
      <c r="AG273" s="320"/>
      <c r="AH273" s="20">
        <f t="shared" si="148"/>
        <v>0</v>
      </c>
      <c r="AI273" s="77"/>
      <c r="AJ273" s="320"/>
      <c r="AK273" s="344"/>
      <c r="AL273" s="101"/>
      <c r="AM273" s="209"/>
      <c r="AN273" s="208"/>
      <c r="AO273" s="220"/>
      <c r="AP273" s="212"/>
      <c r="AQ273" s="220"/>
      <c r="AR273" s="212"/>
      <c r="AS273" s="220"/>
      <c r="AT273" s="212"/>
      <c r="AU273" s="15">
        <f t="shared" si="122"/>
        <v>2.73E-5</v>
      </c>
      <c r="AV273" s="15">
        <f t="shared" si="123"/>
        <v>0</v>
      </c>
      <c r="AW273" s="15"/>
      <c r="AX273" s="173">
        <v>263</v>
      </c>
      <c r="AY273" s="206">
        <f t="shared" si="124"/>
        <v>7.2999999999999996E-6</v>
      </c>
      <c r="AZ273" s="173">
        <f t="shared" si="125"/>
        <v>0</v>
      </c>
      <c r="BA273" s="233">
        <f t="shared" si="126"/>
        <v>2.73E-5</v>
      </c>
      <c r="BB273" s="15">
        <f t="shared" si="132"/>
        <v>0</v>
      </c>
      <c r="BC273" s="173">
        <v>263</v>
      </c>
      <c r="BD273" s="84">
        <f t="shared" si="127"/>
        <v>5.6999999999999996E-6</v>
      </c>
      <c r="BE273" s="207">
        <f t="shared" si="128"/>
        <v>0</v>
      </c>
      <c r="BF273" s="233">
        <f t="shared" si="129"/>
        <v>2.73E-5</v>
      </c>
      <c r="BG273" s="15">
        <f t="shared" si="133"/>
        <v>0</v>
      </c>
      <c r="BH273" s="173">
        <v>263</v>
      </c>
      <c r="BI273" s="84">
        <f t="shared" si="130"/>
        <v>5.6999999999999996E-6</v>
      </c>
      <c r="BJ273" s="207">
        <f t="shared" si="131"/>
        <v>0</v>
      </c>
      <c r="BL273" s="123"/>
      <c r="BM273" s="123"/>
      <c r="BO273" s="173"/>
      <c r="BP273" s="174" t="str">
        <f t="shared" si="134"/>
        <v/>
      </c>
      <c r="BQ273" s="174" t="str">
        <f t="shared" si="135"/>
        <v/>
      </c>
      <c r="BR273" s="174" t="str">
        <f t="shared" si="136"/>
        <v/>
      </c>
      <c r="BS273" s="174" t="str">
        <f t="shared" si="137"/>
        <v/>
      </c>
      <c r="BT273" s="174" t="str">
        <f t="shared" si="138"/>
        <v/>
      </c>
      <c r="BU273" s="174" t="str">
        <f t="shared" si="139"/>
        <v/>
      </c>
      <c r="BV273" s="174" t="str">
        <f t="shared" si="140"/>
        <v/>
      </c>
      <c r="BW273" s="174" t="str">
        <f t="shared" si="141"/>
        <v/>
      </c>
      <c r="BX273" s="174" t="str">
        <f t="shared" si="142"/>
        <v/>
      </c>
      <c r="BY273" s="174" t="str">
        <f t="shared" si="143"/>
        <v/>
      </c>
      <c r="BZ273" s="174" t="str">
        <f t="shared" si="144"/>
        <v/>
      </c>
      <c r="CA273" s="174" t="str">
        <f t="shared" si="145"/>
        <v/>
      </c>
      <c r="CB273" s="161"/>
      <c r="CC273" s="161"/>
      <c r="CD273" s="161"/>
      <c r="CE273" s="161" t="s">
        <v>150</v>
      </c>
      <c r="CF273" s="161"/>
    </row>
    <row r="274" spans="1:84" ht="14.25" customHeight="1" thickBot="1" x14ac:dyDescent="0.3">
      <c r="A274" s="205">
        <v>264</v>
      </c>
      <c r="B274" s="85"/>
      <c r="C274" s="195"/>
      <c r="D274" s="91"/>
      <c r="E274" s="310" t="s">
        <v>92</v>
      </c>
      <c r="F274" s="93"/>
      <c r="G274" s="97"/>
      <c r="H274" s="97"/>
      <c r="I274" s="97"/>
      <c r="J274" s="97"/>
      <c r="K274" s="97"/>
      <c r="L274" s="224">
        <f t="shared" si="146"/>
        <v>0</v>
      </c>
      <c r="M274" s="300"/>
      <c r="N274" s="301"/>
      <c r="O274" s="342"/>
      <c r="P274" s="313" t="s">
        <v>66</v>
      </c>
      <c r="Q274" s="93"/>
      <c r="R274" s="97"/>
      <c r="S274" s="97"/>
      <c r="T274" s="97"/>
      <c r="U274" s="97"/>
      <c r="V274" s="97"/>
      <c r="W274" s="224">
        <f t="shared" si="147"/>
        <v>0</v>
      </c>
      <c r="X274" s="300"/>
      <c r="Y274" s="301"/>
      <c r="Z274" s="342"/>
      <c r="AA274" s="313" t="s">
        <v>86</v>
      </c>
      <c r="AB274" s="78"/>
      <c r="AC274" s="321"/>
      <c r="AD274" s="321"/>
      <c r="AE274" s="321"/>
      <c r="AF274" s="321"/>
      <c r="AG274" s="322"/>
      <c r="AH274" s="88">
        <f t="shared" si="148"/>
        <v>0</v>
      </c>
      <c r="AI274" s="78"/>
      <c r="AJ274" s="322"/>
      <c r="AK274" s="345"/>
      <c r="AL274" s="102"/>
      <c r="AM274" s="99"/>
      <c r="AN274" s="227"/>
      <c r="AO274" s="221"/>
      <c r="AP274" s="90"/>
      <c r="AQ274" s="221"/>
      <c r="AR274" s="90"/>
      <c r="AS274" s="221"/>
      <c r="AT274" s="90"/>
      <c r="AU274" s="15">
        <f t="shared" si="122"/>
        <v>2.7399999999999999E-5</v>
      </c>
      <c r="AV274" s="15">
        <f t="shared" si="123"/>
        <v>0</v>
      </c>
      <c r="AW274" s="15"/>
      <c r="AX274" s="173">
        <v>264</v>
      </c>
      <c r="AY274" s="206">
        <f t="shared" si="124"/>
        <v>7.1999999999999997E-6</v>
      </c>
      <c r="AZ274" s="173">
        <f t="shared" si="125"/>
        <v>0</v>
      </c>
      <c r="BA274" s="233">
        <f t="shared" si="126"/>
        <v>2.7399999999999999E-5</v>
      </c>
      <c r="BB274" s="15">
        <f t="shared" si="132"/>
        <v>0</v>
      </c>
      <c r="BC274" s="173">
        <v>264</v>
      </c>
      <c r="BD274" s="84">
        <f t="shared" si="127"/>
        <v>5.5999999999999997E-6</v>
      </c>
      <c r="BE274" s="207">
        <f t="shared" si="128"/>
        <v>0</v>
      </c>
      <c r="BF274" s="233">
        <f t="shared" si="129"/>
        <v>2.7399999999999999E-5</v>
      </c>
      <c r="BG274" s="15">
        <f t="shared" si="133"/>
        <v>0</v>
      </c>
      <c r="BH274" s="173">
        <v>264</v>
      </c>
      <c r="BI274" s="84">
        <f t="shared" si="130"/>
        <v>5.5999999999999997E-6</v>
      </c>
      <c r="BJ274" s="207">
        <f t="shared" si="131"/>
        <v>0</v>
      </c>
      <c r="BL274" s="123"/>
      <c r="BM274" s="123"/>
      <c r="BO274" s="173"/>
      <c r="BP274" s="174" t="str">
        <f t="shared" si="134"/>
        <v/>
      </c>
      <c r="BQ274" s="174" t="str">
        <f t="shared" si="135"/>
        <v/>
      </c>
      <c r="BR274" s="174" t="str">
        <f t="shared" si="136"/>
        <v/>
      </c>
      <c r="BS274" s="174" t="str">
        <f t="shared" si="137"/>
        <v/>
      </c>
      <c r="BT274" s="174" t="str">
        <f t="shared" si="138"/>
        <v/>
      </c>
      <c r="BU274" s="174" t="str">
        <f t="shared" si="139"/>
        <v/>
      </c>
      <c r="BV274" s="174" t="str">
        <f t="shared" si="140"/>
        <v/>
      </c>
      <c r="BW274" s="174" t="str">
        <f t="shared" si="141"/>
        <v/>
      </c>
      <c r="BX274" s="174" t="str">
        <f t="shared" si="142"/>
        <v/>
      </c>
      <c r="BY274" s="174" t="str">
        <f t="shared" si="143"/>
        <v/>
      </c>
      <c r="BZ274" s="174" t="str">
        <f t="shared" si="144"/>
        <v/>
      </c>
      <c r="CA274" s="174" t="str">
        <f t="shared" si="145"/>
        <v/>
      </c>
      <c r="CB274" s="161"/>
      <c r="CC274" s="161"/>
      <c r="CD274" s="161"/>
      <c r="CE274" s="161" t="s">
        <v>150</v>
      </c>
      <c r="CF274" s="161"/>
    </row>
    <row r="275" spans="1:84" ht="14.25" customHeight="1" x14ac:dyDescent="0.25">
      <c r="A275" s="203">
        <v>265</v>
      </c>
      <c r="B275" s="86"/>
      <c r="C275" s="193"/>
      <c r="D275" s="143"/>
      <c r="E275" s="308" t="s">
        <v>92</v>
      </c>
      <c r="F275" s="213"/>
      <c r="G275" s="214"/>
      <c r="H275" s="214"/>
      <c r="I275" s="214"/>
      <c r="J275" s="214"/>
      <c r="K275" s="214"/>
      <c r="L275" s="295">
        <f t="shared" si="146"/>
        <v>0</v>
      </c>
      <c r="M275" s="296"/>
      <c r="N275" s="297"/>
      <c r="O275" s="340"/>
      <c r="P275" s="311" t="s">
        <v>66</v>
      </c>
      <c r="Q275" s="213"/>
      <c r="R275" s="214"/>
      <c r="S275" s="214"/>
      <c r="T275" s="214"/>
      <c r="U275" s="214"/>
      <c r="V275" s="214"/>
      <c r="W275" s="295">
        <f t="shared" si="147"/>
        <v>0</v>
      </c>
      <c r="X275" s="296"/>
      <c r="Y275" s="297"/>
      <c r="Z275" s="346"/>
      <c r="AA275" s="314" t="s">
        <v>148</v>
      </c>
      <c r="AB275" s="13"/>
      <c r="AC275" s="222"/>
      <c r="AD275" s="222"/>
      <c r="AE275" s="222"/>
      <c r="AF275" s="222"/>
      <c r="AG275" s="5"/>
      <c r="AH275" s="20">
        <f t="shared" si="148"/>
        <v>0</v>
      </c>
      <c r="AI275" s="13"/>
      <c r="AJ275" s="5"/>
      <c r="AK275" s="343"/>
      <c r="AL275" s="100"/>
      <c r="AM275" s="98"/>
      <c r="AN275" s="226"/>
      <c r="AO275" s="225"/>
      <c r="AP275" s="89"/>
      <c r="AQ275" s="225"/>
      <c r="AR275" s="89"/>
      <c r="AS275" s="225"/>
      <c r="AT275" s="89"/>
      <c r="AU275" s="15">
        <f t="shared" si="122"/>
        <v>2.7499999999999998E-5</v>
      </c>
      <c r="AV275" s="15">
        <f t="shared" si="123"/>
        <v>0</v>
      </c>
      <c r="AW275" s="15"/>
      <c r="AX275" s="173">
        <v>265</v>
      </c>
      <c r="AY275" s="206">
        <f t="shared" si="124"/>
        <v>7.0999999999999998E-6</v>
      </c>
      <c r="AZ275" s="173">
        <f t="shared" si="125"/>
        <v>0</v>
      </c>
      <c r="BA275" s="233">
        <f t="shared" si="126"/>
        <v>2.7499999999999998E-5</v>
      </c>
      <c r="BB275" s="15">
        <f t="shared" si="132"/>
        <v>0</v>
      </c>
      <c r="BC275" s="173">
        <v>265</v>
      </c>
      <c r="BD275" s="84">
        <f t="shared" si="127"/>
        <v>5.4999999999999999E-6</v>
      </c>
      <c r="BE275" s="207">
        <f t="shared" si="128"/>
        <v>0</v>
      </c>
      <c r="BF275" s="233">
        <f t="shared" si="129"/>
        <v>2.7499999999999998E-5</v>
      </c>
      <c r="BG275" s="15">
        <f t="shared" si="133"/>
        <v>0</v>
      </c>
      <c r="BH275" s="173">
        <v>265</v>
      </c>
      <c r="BI275" s="84">
        <f t="shared" si="130"/>
        <v>5.4999999999999999E-6</v>
      </c>
      <c r="BJ275" s="207">
        <f t="shared" si="131"/>
        <v>0</v>
      </c>
      <c r="BL275" s="123"/>
      <c r="BM275" s="123"/>
      <c r="BO275" s="173"/>
      <c r="BP275" s="174" t="str">
        <f t="shared" si="134"/>
        <v/>
      </c>
      <c r="BQ275" s="174" t="str">
        <f t="shared" si="135"/>
        <v/>
      </c>
      <c r="BR275" s="174" t="str">
        <f t="shared" si="136"/>
        <v/>
      </c>
      <c r="BS275" s="174" t="str">
        <f t="shared" si="137"/>
        <v/>
      </c>
      <c r="BT275" s="174" t="str">
        <f t="shared" si="138"/>
        <v/>
      </c>
      <c r="BU275" s="174" t="str">
        <f t="shared" si="139"/>
        <v/>
      </c>
      <c r="BV275" s="174" t="str">
        <f t="shared" si="140"/>
        <v/>
      </c>
      <c r="BW275" s="174" t="str">
        <f t="shared" si="141"/>
        <v/>
      </c>
      <c r="BX275" s="174" t="str">
        <f t="shared" si="142"/>
        <v/>
      </c>
      <c r="BY275" s="174" t="str">
        <f t="shared" si="143"/>
        <v/>
      </c>
      <c r="BZ275" s="174" t="str">
        <f t="shared" si="144"/>
        <v/>
      </c>
      <c r="CA275" s="174" t="str">
        <f t="shared" si="145"/>
        <v/>
      </c>
      <c r="CB275" s="161"/>
      <c r="CC275" s="161"/>
      <c r="CD275" s="161"/>
      <c r="CE275" s="161" t="s">
        <v>150</v>
      </c>
      <c r="CF275" s="161"/>
    </row>
    <row r="276" spans="1:84" ht="14.25" customHeight="1" x14ac:dyDescent="0.25">
      <c r="A276" s="204">
        <v>266</v>
      </c>
      <c r="B276" s="211"/>
      <c r="C276" s="194"/>
      <c r="D276" s="142"/>
      <c r="E276" s="309" t="s">
        <v>92</v>
      </c>
      <c r="F276" s="305"/>
      <c r="G276" s="306"/>
      <c r="H276" s="306"/>
      <c r="I276" s="306"/>
      <c r="J276" s="306"/>
      <c r="K276" s="306"/>
      <c r="L276" s="223">
        <f t="shared" si="146"/>
        <v>0</v>
      </c>
      <c r="M276" s="298"/>
      <c r="N276" s="299"/>
      <c r="O276" s="341"/>
      <c r="P276" s="312" t="s">
        <v>66</v>
      </c>
      <c r="Q276" s="305"/>
      <c r="R276" s="306"/>
      <c r="S276" s="306"/>
      <c r="T276" s="306"/>
      <c r="U276" s="306"/>
      <c r="V276" s="306"/>
      <c r="W276" s="223">
        <f t="shared" si="147"/>
        <v>0</v>
      </c>
      <c r="X276" s="298"/>
      <c r="Y276" s="299"/>
      <c r="Z276" s="341"/>
      <c r="AA276" s="312" t="s">
        <v>86</v>
      </c>
      <c r="AB276" s="77"/>
      <c r="AC276" s="319"/>
      <c r="AD276" s="319"/>
      <c r="AE276" s="319"/>
      <c r="AF276" s="319"/>
      <c r="AG276" s="320"/>
      <c r="AH276" s="20">
        <f t="shared" si="148"/>
        <v>0</v>
      </c>
      <c r="AI276" s="77"/>
      <c r="AJ276" s="320"/>
      <c r="AK276" s="344"/>
      <c r="AL276" s="101"/>
      <c r="AM276" s="209"/>
      <c r="AN276" s="208"/>
      <c r="AO276" s="220"/>
      <c r="AP276" s="212"/>
      <c r="AQ276" s="220"/>
      <c r="AR276" s="212"/>
      <c r="AS276" s="220"/>
      <c r="AT276" s="212"/>
      <c r="AU276" s="15">
        <f t="shared" si="122"/>
        <v>2.76E-5</v>
      </c>
      <c r="AV276" s="15">
        <f t="shared" si="123"/>
        <v>0</v>
      </c>
      <c r="AW276" s="15"/>
      <c r="AX276" s="173">
        <v>266</v>
      </c>
      <c r="AY276" s="206">
        <f t="shared" si="124"/>
        <v>6.9999999999999999E-6</v>
      </c>
      <c r="AZ276" s="173">
        <f t="shared" si="125"/>
        <v>0</v>
      </c>
      <c r="BA276" s="233">
        <f t="shared" si="126"/>
        <v>2.76E-5</v>
      </c>
      <c r="BB276" s="15">
        <f t="shared" si="132"/>
        <v>0</v>
      </c>
      <c r="BC276" s="173">
        <v>266</v>
      </c>
      <c r="BD276" s="84">
        <f t="shared" si="127"/>
        <v>5.4E-6</v>
      </c>
      <c r="BE276" s="207">
        <f t="shared" si="128"/>
        <v>0</v>
      </c>
      <c r="BF276" s="233">
        <f t="shared" si="129"/>
        <v>2.76E-5</v>
      </c>
      <c r="BG276" s="15">
        <f t="shared" si="133"/>
        <v>0</v>
      </c>
      <c r="BH276" s="173">
        <v>266</v>
      </c>
      <c r="BI276" s="84">
        <f t="shared" si="130"/>
        <v>5.4E-6</v>
      </c>
      <c r="BJ276" s="207">
        <f t="shared" si="131"/>
        <v>0</v>
      </c>
      <c r="BL276" s="123"/>
      <c r="BM276" s="123"/>
      <c r="BO276" s="173"/>
      <c r="BP276" s="174" t="str">
        <f t="shared" si="134"/>
        <v/>
      </c>
      <c r="BQ276" s="174" t="str">
        <f t="shared" si="135"/>
        <v/>
      </c>
      <c r="BR276" s="174" t="str">
        <f t="shared" si="136"/>
        <v/>
      </c>
      <c r="BS276" s="174" t="str">
        <f t="shared" si="137"/>
        <v/>
      </c>
      <c r="BT276" s="174" t="str">
        <f t="shared" si="138"/>
        <v/>
      </c>
      <c r="BU276" s="174" t="str">
        <f t="shared" si="139"/>
        <v/>
      </c>
      <c r="BV276" s="174" t="str">
        <f t="shared" si="140"/>
        <v/>
      </c>
      <c r="BW276" s="174" t="str">
        <f t="shared" si="141"/>
        <v/>
      </c>
      <c r="BX276" s="174" t="str">
        <f t="shared" si="142"/>
        <v/>
      </c>
      <c r="BY276" s="174" t="str">
        <f t="shared" si="143"/>
        <v/>
      </c>
      <c r="BZ276" s="174" t="str">
        <f t="shared" si="144"/>
        <v/>
      </c>
      <c r="CA276" s="174" t="str">
        <f t="shared" si="145"/>
        <v/>
      </c>
      <c r="CB276" s="161"/>
      <c r="CC276" s="161"/>
      <c r="CD276" s="161"/>
      <c r="CE276" s="161" t="s">
        <v>150</v>
      </c>
      <c r="CF276" s="161"/>
    </row>
    <row r="277" spans="1:84" ht="14.25" customHeight="1" thickBot="1" x14ac:dyDescent="0.3">
      <c r="A277" s="205">
        <v>267</v>
      </c>
      <c r="B277" s="85"/>
      <c r="C277" s="195"/>
      <c r="D277" s="91"/>
      <c r="E277" s="310" t="s">
        <v>92</v>
      </c>
      <c r="F277" s="93"/>
      <c r="G277" s="97"/>
      <c r="H277" s="97"/>
      <c r="I277" s="97"/>
      <c r="J277" s="97"/>
      <c r="K277" s="97"/>
      <c r="L277" s="224">
        <f t="shared" si="146"/>
        <v>0</v>
      </c>
      <c r="M277" s="300"/>
      <c r="N277" s="301"/>
      <c r="O277" s="342"/>
      <c r="P277" s="313" t="s">
        <v>66</v>
      </c>
      <c r="Q277" s="93"/>
      <c r="R277" s="97"/>
      <c r="S277" s="97"/>
      <c r="T277" s="97"/>
      <c r="U277" s="97"/>
      <c r="V277" s="97"/>
      <c r="W277" s="224">
        <f t="shared" si="147"/>
        <v>0</v>
      </c>
      <c r="X277" s="300"/>
      <c r="Y277" s="301"/>
      <c r="Z277" s="342"/>
      <c r="AA277" s="313" t="s">
        <v>86</v>
      </c>
      <c r="AB277" s="78"/>
      <c r="AC277" s="321"/>
      <c r="AD277" s="321"/>
      <c r="AE277" s="321"/>
      <c r="AF277" s="321"/>
      <c r="AG277" s="322"/>
      <c r="AH277" s="88">
        <f t="shared" si="148"/>
        <v>0</v>
      </c>
      <c r="AI277" s="78"/>
      <c r="AJ277" s="322"/>
      <c r="AK277" s="345"/>
      <c r="AL277" s="102"/>
      <c r="AM277" s="99"/>
      <c r="AN277" s="227"/>
      <c r="AO277" s="221"/>
      <c r="AP277" s="90"/>
      <c r="AQ277" s="221"/>
      <c r="AR277" s="90"/>
      <c r="AS277" s="221"/>
      <c r="AT277" s="90"/>
      <c r="AU277" s="15">
        <f t="shared" si="122"/>
        <v>2.7699999999999999E-5</v>
      </c>
      <c r="AV277" s="15">
        <f t="shared" si="123"/>
        <v>0</v>
      </c>
      <c r="AW277" s="15"/>
      <c r="AX277" s="173">
        <v>267</v>
      </c>
      <c r="AY277" s="206">
        <f t="shared" si="124"/>
        <v>6.9E-6</v>
      </c>
      <c r="AZ277" s="173">
        <f t="shared" si="125"/>
        <v>0</v>
      </c>
      <c r="BA277" s="233">
        <f t="shared" si="126"/>
        <v>2.7699999999999999E-5</v>
      </c>
      <c r="BB277" s="15">
        <f t="shared" si="132"/>
        <v>0</v>
      </c>
      <c r="BC277" s="173">
        <v>267</v>
      </c>
      <c r="BD277" s="84">
        <f t="shared" si="127"/>
        <v>5.3000000000000001E-6</v>
      </c>
      <c r="BE277" s="207">
        <f t="shared" si="128"/>
        <v>0</v>
      </c>
      <c r="BF277" s="233">
        <f t="shared" si="129"/>
        <v>2.7699999999999999E-5</v>
      </c>
      <c r="BG277" s="15">
        <f t="shared" si="133"/>
        <v>0</v>
      </c>
      <c r="BH277" s="173">
        <v>267</v>
      </c>
      <c r="BI277" s="84">
        <f t="shared" si="130"/>
        <v>5.3000000000000001E-6</v>
      </c>
      <c r="BJ277" s="207">
        <f t="shared" si="131"/>
        <v>0</v>
      </c>
      <c r="BL277" s="123"/>
      <c r="BM277" s="123"/>
      <c r="BO277" s="173"/>
      <c r="BP277" s="174" t="str">
        <f t="shared" si="134"/>
        <v/>
      </c>
      <c r="BQ277" s="174" t="str">
        <f t="shared" si="135"/>
        <v/>
      </c>
      <c r="BR277" s="174" t="str">
        <f t="shared" si="136"/>
        <v/>
      </c>
      <c r="BS277" s="174" t="str">
        <f t="shared" si="137"/>
        <v/>
      </c>
      <c r="BT277" s="174" t="str">
        <f t="shared" si="138"/>
        <v/>
      </c>
      <c r="BU277" s="174" t="str">
        <f t="shared" si="139"/>
        <v/>
      </c>
      <c r="BV277" s="174" t="str">
        <f t="shared" si="140"/>
        <v/>
      </c>
      <c r="BW277" s="174" t="str">
        <f t="shared" si="141"/>
        <v/>
      </c>
      <c r="BX277" s="174" t="str">
        <f t="shared" si="142"/>
        <v/>
      </c>
      <c r="BY277" s="174" t="str">
        <f t="shared" si="143"/>
        <v/>
      </c>
      <c r="BZ277" s="174" t="str">
        <f t="shared" si="144"/>
        <v/>
      </c>
      <c r="CA277" s="174" t="str">
        <f t="shared" si="145"/>
        <v/>
      </c>
      <c r="CB277" s="161"/>
      <c r="CC277" s="161"/>
      <c r="CD277" s="161"/>
      <c r="CE277" s="161" t="s">
        <v>150</v>
      </c>
      <c r="CF277" s="161"/>
    </row>
    <row r="278" spans="1:84" ht="14.25" customHeight="1" x14ac:dyDescent="0.25">
      <c r="A278" s="203">
        <v>268</v>
      </c>
      <c r="B278" s="86"/>
      <c r="C278" s="193"/>
      <c r="D278" s="143"/>
      <c r="E278" s="308" t="s">
        <v>92</v>
      </c>
      <c r="F278" s="213"/>
      <c r="G278" s="214"/>
      <c r="H278" s="214"/>
      <c r="I278" s="214"/>
      <c r="J278" s="214"/>
      <c r="K278" s="214"/>
      <c r="L278" s="295">
        <f t="shared" si="146"/>
        <v>0</v>
      </c>
      <c r="M278" s="296"/>
      <c r="N278" s="297"/>
      <c r="O278" s="340"/>
      <c r="P278" s="311" t="s">
        <v>66</v>
      </c>
      <c r="Q278" s="213"/>
      <c r="R278" s="214"/>
      <c r="S278" s="214"/>
      <c r="T278" s="214"/>
      <c r="U278" s="214"/>
      <c r="V278" s="214"/>
      <c r="W278" s="295">
        <f t="shared" si="147"/>
        <v>0</v>
      </c>
      <c r="X278" s="296"/>
      <c r="Y278" s="297"/>
      <c r="Z278" s="346"/>
      <c r="AA278" s="314" t="s">
        <v>148</v>
      </c>
      <c r="AB278" s="13"/>
      <c r="AC278" s="222"/>
      <c r="AD278" s="222"/>
      <c r="AE278" s="222"/>
      <c r="AF278" s="222"/>
      <c r="AG278" s="5"/>
      <c r="AH278" s="20">
        <f t="shared" si="148"/>
        <v>0</v>
      </c>
      <c r="AI278" s="13"/>
      <c r="AJ278" s="5"/>
      <c r="AK278" s="343"/>
      <c r="AL278" s="100"/>
      <c r="AM278" s="98"/>
      <c r="AN278" s="226"/>
      <c r="AO278" s="225"/>
      <c r="AP278" s="89"/>
      <c r="AQ278" s="225"/>
      <c r="AR278" s="89"/>
      <c r="AS278" s="225"/>
      <c r="AT278" s="89"/>
      <c r="AU278" s="15">
        <f t="shared" si="122"/>
        <v>2.7799999999999998E-5</v>
      </c>
      <c r="AV278" s="15">
        <f t="shared" si="123"/>
        <v>0</v>
      </c>
      <c r="AW278" s="15"/>
      <c r="AX278" s="173">
        <v>268</v>
      </c>
      <c r="AY278" s="206">
        <f t="shared" si="124"/>
        <v>6.7999999999999993E-6</v>
      </c>
      <c r="AZ278" s="173">
        <f t="shared" si="125"/>
        <v>0</v>
      </c>
      <c r="BA278" s="233">
        <f t="shared" si="126"/>
        <v>2.7799999999999998E-5</v>
      </c>
      <c r="BB278" s="15">
        <f t="shared" si="132"/>
        <v>0</v>
      </c>
      <c r="BC278" s="173">
        <v>268</v>
      </c>
      <c r="BD278" s="84">
        <f t="shared" si="127"/>
        <v>5.1999999999999993E-6</v>
      </c>
      <c r="BE278" s="207">
        <f t="shared" si="128"/>
        <v>0</v>
      </c>
      <c r="BF278" s="233">
        <f t="shared" si="129"/>
        <v>2.7799999999999998E-5</v>
      </c>
      <c r="BG278" s="15">
        <f t="shared" si="133"/>
        <v>0</v>
      </c>
      <c r="BH278" s="173">
        <v>268</v>
      </c>
      <c r="BI278" s="84">
        <f t="shared" si="130"/>
        <v>5.1999999999999993E-6</v>
      </c>
      <c r="BJ278" s="207">
        <f t="shared" si="131"/>
        <v>0</v>
      </c>
      <c r="BL278" s="123"/>
      <c r="BM278" s="123"/>
      <c r="BO278" s="173"/>
      <c r="BP278" s="174" t="str">
        <f t="shared" si="134"/>
        <v/>
      </c>
      <c r="BQ278" s="174" t="str">
        <f t="shared" si="135"/>
        <v/>
      </c>
      <c r="BR278" s="174" t="str">
        <f t="shared" si="136"/>
        <v/>
      </c>
      <c r="BS278" s="174" t="str">
        <f t="shared" si="137"/>
        <v/>
      </c>
      <c r="BT278" s="174" t="str">
        <f t="shared" si="138"/>
        <v/>
      </c>
      <c r="BU278" s="174" t="str">
        <f t="shared" si="139"/>
        <v/>
      </c>
      <c r="BV278" s="174" t="str">
        <f t="shared" si="140"/>
        <v/>
      </c>
      <c r="BW278" s="174" t="str">
        <f t="shared" si="141"/>
        <v/>
      </c>
      <c r="BX278" s="174" t="str">
        <f t="shared" si="142"/>
        <v/>
      </c>
      <c r="BY278" s="174" t="str">
        <f t="shared" si="143"/>
        <v/>
      </c>
      <c r="BZ278" s="174" t="str">
        <f t="shared" si="144"/>
        <v/>
      </c>
      <c r="CA278" s="174" t="str">
        <f t="shared" si="145"/>
        <v/>
      </c>
      <c r="CB278" s="161"/>
      <c r="CC278" s="161"/>
      <c r="CD278" s="161"/>
      <c r="CE278" s="161" t="s">
        <v>150</v>
      </c>
      <c r="CF278" s="161"/>
    </row>
    <row r="279" spans="1:84" ht="14.25" customHeight="1" x14ac:dyDescent="0.25">
      <c r="A279" s="204">
        <v>269</v>
      </c>
      <c r="B279" s="211"/>
      <c r="C279" s="194"/>
      <c r="D279" s="142"/>
      <c r="E279" s="309" t="s">
        <v>92</v>
      </c>
      <c r="F279" s="305"/>
      <c r="G279" s="306"/>
      <c r="H279" s="306"/>
      <c r="I279" s="306"/>
      <c r="J279" s="306"/>
      <c r="K279" s="306"/>
      <c r="L279" s="223">
        <f t="shared" si="146"/>
        <v>0</v>
      </c>
      <c r="M279" s="298"/>
      <c r="N279" s="299"/>
      <c r="O279" s="341"/>
      <c r="P279" s="312" t="s">
        <v>66</v>
      </c>
      <c r="Q279" s="305"/>
      <c r="R279" s="306"/>
      <c r="S279" s="306"/>
      <c r="T279" s="306"/>
      <c r="U279" s="306"/>
      <c r="V279" s="306"/>
      <c r="W279" s="223">
        <f t="shared" si="147"/>
        <v>0</v>
      </c>
      <c r="X279" s="298"/>
      <c r="Y279" s="299"/>
      <c r="Z279" s="341"/>
      <c r="AA279" s="312" t="s">
        <v>86</v>
      </c>
      <c r="AB279" s="77"/>
      <c r="AC279" s="319"/>
      <c r="AD279" s="319"/>
      <c r="AE279" s="319"/>
      <c r="AF279" s="319"/>
      <c r="AG279" s="320"/>
      <c r="AH279" s="20">
        <f t="shared" si="148"/>
        <v>0</v>
      </c>
      <c r="AI279" s="77"/>
      <c r="AJ279" s="320"/>
      <c r="AK279" s="344"/>
      <c r="AL279" s="101"/>
      <c r="AM279" s="209"/>
      <c r="AN279" s="208"/>
      <c r="AO279" s="220"/>
      <c r="AP279" s="212"/>
      <c r="AQ279" s="220"/>
      <c r="AR279" s="212"/>
      <c r="AS279" s="220"/>
      <c r="AT279" s="212"/>
      <c r="AU279" s="15">
        <f t="shared" si="122"/>
        <v>2.7899999999999997E-5</v>
      </c>
      <c r="AV279" s="15">
        <f t="shared" si="123"/>
        <v>0</v>
      </c>
      <c r="AW279" s="15"/>
      <c r="AX279" s="173">
        <v>269</v>
      </c>
      <c r="AY279" s="206">
        <f t="shared" si="124"/>
        <v>6.6999999999999994E-6</v>
      </c>
      <c r="AZ279" s="173">
        <f t="shared" si="125"/>
        <v>0</v>
      </c>
      <c r="BA279" s="233">
        <f t="shared" si="126"/>
        <v>2.7899999999999997E-5</v>
      </c>
      <c r="BB279" s="15">
        <f t="shared" si="132"/>
        <v>0</v>
      </c>
      <c r="BC279" s="173">
        <v>269</v>
      </c>
      <c r="BD279" s="84">
        <f t="shared" si="127"/>
        <v>5.0999999999999995E-6</v>
      </c>
      <c r="BE279" s="207">
        <f t="shared" si="128"/>
        <v>0</v>
      </c>
      <c r="BF279" s="233">
        <f t="shared" si="129"/>
        <v>2.7899999999999997E-5</v>
      </c>
      <c r="BG279" s="15">
        <f t="shared" si="133"/>
        <v>0</v>
      </c>
      <c r="BH279" s="173">
        <v>269</v>
      </c>
      <c r="BI279" s="84">
        <f t="shared" si="130"/>
        <v>5.0999999999999995E-6</v>
      </c>
      <c r="BJ279" s="207">
        <f t="shared" si="131"/>
        <v>0</v>
      </c>
      <c r="BL279" s="123"/>
      <c r="BM279" s="123"/>
      <c r="BO279" s="173"/>
      <c r="BP279" s="174" t="str">
        <f t="shared" si="134"/>
        <v/>
      </c>
      <c r="BQ279" s="174" t="str">
        <f t="shared" si="135"/>
        <v/>
      </c>
      <c r="BR279" s="174" t="str">
        <f t="shared" si="136"/>
        <v/>
      </c>
      <c r="BS279" s="174" t="str">
        <f t="shared" si="137"/>
        <v/>
      </c>
      <c r="BT279" s="174" t="str">
        <f t="shared" si="138"/>
        <v/>
      </c>
      <c r="BU279" s="174" t="str">
        <f t="shared" si="139"/>
        <v/>
      </c>
      <c r="BV279" s="174" t="str">
        <f t="shared" si="140"/>
        <v/>
      </c>
      <c r="BW279" s="174" t="str">
        <f t="shared" si="141"/>
        <v/>
      </c>
      <c r="BX279" s="174" t="str">
        <f t="shared" si="142"/>
        <v/>
      </c>
      <c r="BY279" s="174" t="str">
        <f t="shared" si="143"/>
        <v/>
      </c>
      <c r="BZ279" s="174" t="str">
        <f t="shared" si="144"/>
        <v/>
      </c>
      <c r="CA279" s="174" t="str">
        <f t="shared" si="145"/>
        <v/>
      </c>
      <c r="CB279" s="161"/>
      <c r="CC279" s="161"/>
      <c r="CD279" s="161"/>
      <c r="CE279" s="161" t="s">
        <v>150</v>
      </c>
      <c r="CF279" s="161"/>
    </row>
    <row r="280" spans="1:84" ht="14.25" customHeight="1" thickBot="1" x14ac:dyDescent="0.3">
      <c r="A280" s="205">
        <v>270</v>
      </c>
      <c r="B280" s="85"/>
      <c r="C280" s="195"/>
      <c r="D280" s="91"/>
      <c r="E280" s="310" t="s">
        <v>92</v>
      </c>
      <c r="F280" s="93"/>
      <c r="G280" s="97"/>
      <c r="H280" s="97"/>
      <c r="I280" s="97"/>
      <c r="J280" s="97"/>
      <c r="K280" s="97"/>
      <c r="L280" s="224">
        <f t="shared" si="146"/>
        <v>0</v>
      </c>
      <c r="M280" s="300"/>
      <c r="N280" s="301"/>
      <c r="O280" s="342"/>
      <c r="P280" s="313" t="s">
        <v>66</v>
      </c>
      <c r="Q280" s="93"/>
      <c r="R280" s="97"/>
      <c r="S280" s="97"/>
      <c r="T280" s="97"/>
      <c r="U280" s="97"/>
      <c r="V280" s="97"/>
      <c r="W280" s="224">
        <f t="shared" si="147"/>
        <v>0</v>
      </c>
      <c r="X280" s="300"/>
      <c r="Y280" s="301"/>
      <c r="Z280" s="342"/>
      <c r="AA280" s="313" t="s">
        <v>86</v>
      </c>
      <c r="AB280" s="78"/>
      <c r="AC280" s="321"/>
      <c r="AD280" s="321"/>
      <c r="AE280" s="321"/>
      <c r="AF280" s="321"/>
      <c r="AG280" s="322"/>
      <c r="AH280" s="88">
        <f t="shared" si="148"/>
        <v>0</v>
      </c>
      <c r="AI280" s="78"/>
      <c r="AJ280" s="322"/>
      <c r="AK280" s="345"/>
      <c r="AL280" s="102"/>
      <c r="AM280" s="99"/>
      <c r="AN280" s="227"/>
      <c r="AO280" s="221"/>
      <c r="AP280" s="90"/>
      <c r="AQ280" s="221"/>
      <c r="AR280" s="90"/>
      <c r="AS280" s="221"/>
      <c r="AT280" s="90"/>
      <c r="AU280" s="15">
        <f t="shared" si="122"/>
        <v>2.8E-5</v>
      </c>
      <c r="AV280" s="15">
        <f t="shared" si="123"/>
        <v>0</v>
      </c>
      <c r="AW280" s="15"/>
      <c r="AX280" s="173">
        <v>270</v>
      </c>
      <c r="AY280" s="206">
        <f t="shared" si="124"/>
        <v>6.5999999999999995E-6</v>
      </c>
      <c r="AZ280" s="173">
        <f t="shared" si="125"/>
        <v>0</v>
      </c>
      <c r="BA280" s="233">
        <f t="shared" si="126"/>
        <v>2.8E-5</v>
      </c>
      <c r="BB280" s="15">
        <f t="shared" si="132"/>
        <v>0</v>
      </c>
      <c r="BC280" s="173">
        <v>270</v>
      </c>
      <c r="BD280" s="84">
        <f t="shared" si="127"/>
        <v>4.9999999999999996E-6</v>
      </c>
      <c r="BE280" s="207">
        <f t="shared" si="128"/>
        <v>0</v>
      </c>
      <c r="BF280" s="233">
        <f t="shared" si="129"/>
        <v>2.8E-5</v>
      </c>
      <c r="BG280" s="15">
        <f t="shared" si="133"/>
        <v>0</v>
      </c>
      <c r="BH280" s="173">
        <v>270</v>
      </c>
      <c r="BI280" s="84">
        <f t="shared" si="130"/>
        <v>4.9999999999999996E-6</v>
      </c>
      <c r="BJ280" s="207">
        <f t="shared" si="131"/>
        <v>0</v>
      </c>
      <c r="BL280" s="123"/>
      <c r="BM280" s="123"/>
      <c r="BO280" s="173"/>
      <c r="BP280" s="174" t="str">
        <f t="shared" si="134"/>
        <v/>
      </c>
      <c r="BQ280" s="174" t="str">
        <f t="shared" si="135"/>
        <v/>
      </c>
      <c r="BR280" s="174" t="str">
        <f t="shared" si="136"/>
        <v/>
      </c>
      <c r="BS280" s="174" t="str">
        <f t="shared" si="137"/>
        <v/>
      </c>
      <c r="BT280" s="174" t="str">
        <f t="shared" si="138"/>
        <v/>
      </c>
      <c r="BU280" s="174" t="str">
        <f t="shared" si="139"/>
        <v/>
      </c>
      <c r="BV280" s="174" t="str">
        <f t="shared" si="140"/>
        <v/>
      </c>
      <c r="BW280" s="174" t="str">
        <f t="shared" si="141"/>
        <v/>
      </c>
      <c r="BX280" s="174" t="str">
        <f t="shared" si="142"/>
        <v/>
      </c>
      <c r="BY280" s="174" t="str">
        <f t="shared" si="143"/>
        <v/>
      </c>
      <c r="BZ280" s="174" t="str">
        <f t="shared" si="144"/>
        <v/>
      </c>
      <c r="CA280" s="174" t="str">
        <f t="shared" si="145"/>
        <v/>
      </c>
      <c r="CB280" s="161"/>
      <c r="CC280" s="161"/>
      <c r="CD280" s="161"/>
      <c r="CE280" s="161" t="s">
        <v>150</v>
      </c>
      <c r="CF280" s="161"/>
    </row>
    <row r="281" spans="1:84" ht="14.25" customHeight="1" x14ac:dyDescent="0.25">
      <c r="A281" s="203">
        <v>271</v>
      </c>
      <c r="B281" s="86"/>
      <c r="C281" s="193"/>
      <c r="D281" s="143"/>
      <c r="E281" s="308" t="s">
        <v>92</v>
      </c>
      <c r="F281" s="213"/>
      <c r="G281" s="214"/>
      <c r="H281" s="214"/>
      <c r="I281" s="214"/>
      <c r="J281" s="214"/>
      <c r="K281" s="214"/>
      <c r="L281" s="295">
        <f t="shared" si="146"/>
        <v>0</v>
      </c>
      <c r="M281" s="296"/>
      <c r="N281" s="297"/>
      <c r="O281" s="340"/>
      <c r="P281" s="311" t="s">
        <v>66</v>
      </c>
      <c r="Q281" s="213"/>
      <c r="R281" s="214"/>
      <c r="S281" s="214"/>
      <c r="T281" s="214"/>
      <c r="U281" s="214"/>
      <c r="V281" s="214"/>
      <c r="W281" s="295">
        <f t="shared" si="147"/>
        <v>0</v>
      </c>
      <c r="X281" s="296"/>
      <c r="Y281" s="297"/>
      <c r="Z281" s="346"/>
      <c r="AA281" s="314" t="s">
        <v>148</v>
      </c>
      <c r="AB281" s="13"/>
      <c r="AC281" s="222"/>
      <c r="AD281" s="222"/>
      <c r="AE281" s="222"/>
      <c r="AF281" s="222"/>
      <c r="AG281" s="5"/>
      <c r="AH281" s="20">
        <f t="shared" si="148"/>
        <v>0</v>
      </c>
      <c r="AI281" s="13"/>
      <c r="AJ281" s="5"/>
      <c r="AK281" s="343"/>
      <c r="AL281" s="100"/>
      <c r="AM281" s="98"/>
      <c r="AN281" s="226"/>
      <c r="AO281" s="225"/>
      <c r="AP281" s="89"/>
      <c r="AQ281" s="225"/>
      <c r="AR281" s="89"/>
      <c r="AS281" s="225"/>
      <c r="AT281" s="89"/>
      <c r="AU281" s="15">
        <f t="shared" si="122"/>
        <v>2.8099999999999999E-5</v>
      </c>
      <c r="AV281" s="15">
        <f t="shared" si="123"/>
        <v>0</v>
      </c>
      <c r="AW281" s="15"/>
      <c r="AX281" s="173">
        <v>271</v>
      </c>
      <c r="AY281" s="206">
        <f t="shared" si="124"/>
        <v>6.4999999999999996E-6</v>
      </c>
      <c r="AZ281" s="173">
        <f t="shared" si="125"/>
        <v>0</v>
      </c>
      <c r="BA281" s="233">
        <f t="shared" si="126"/>
        <v>2.8099999999999999E-5</v>
      </c>
      <c r="BB281" s="15">
        <f t="shared" si="132"/>
        <v>0</v>
      </c>
      <c r="BC281" s="173">
        <v>271</v>
      </c>
      <c r="BD281" s="84">
        <f t="shared" si="127"/>
        <v>4.8999999999999997E-6</v>
      </c>
      <c r="BE281" s="207">
        <f t="shared" si="128"/>
        <v>0</v>
      </c>
      <c r="BF281" s="233">
        <f t="shared" si="129"/>
        <v>2.8099999999999999E-5</v>
      </c>
      <c r="BG281" s="15">
        <f t="shared" si="133"/>
        <v>0</v>
      </c>
      <c r="BH281" s="173">
        <v>271</v>
      </c>
      <c r="BI281" s="84">
        <f t="shared" si="130"/>
        <v>4.8999999999999997E-6</v>
      </c>
      <c r="BJ281" s="207">
        <f t="shared" si="131"/>
        <v>0</v>
      </c>
      <c r="BL281" s="123"/>
      <c r="BM281" s="123"/>
      <c r="BO281" s="173"/>
      <c r="BP281" s="174" t="str">
        <f t="shared" si="134"/>
        <v/>
      </c>
      <c r="BQ281" s="174" t="str">
        <f t="shared" si="135"/>
        <v/>
      </c>
      <c r="BR281" s="174" t="str">
        <f t="shared" si="136"/>
        <v/>
      </c>
      <c r="BS281" s="174" t="str">
        <f t="shared" si="137"/>
        <v/>
      </c>
      <c r="BT281" s="174" t="str">
        <f t="shared" si="138"/>
        <v/>
      </c>
      <c r="BU281" s="174" t="str">
        <f t="shared" si="139"/>
        <v/>
      </c>
      <c r="BV281" s="174" t="str">
        <f t="shared" si="140"/>
        <v/>
      </c>
      <c r="BW281" s="174" t="str">
        <f t="shared" si="141"/>
        <v/>
      </c>
      <c r="BX281" s="174" t="str">
        <f t="shared" si="142"/>
        <v/>
      </c>
      <c r="BY281" s="174" t="str">
        <f t="shared" si="143"/>
        <v/>
      </c>
      <c r="BZ281" s="174" t="str">
        <f t="shared" si="144"/>
        <v/>
      </c>
      <c r="CA281" s="174" t="str">
        <f t="shared" si="145"/>
        <v/>
      </c>
      <c r="CB281" s="161"/>
      <c r="CC281" s="161"/>
      <c r="CD281" s="161"/>
      <c r="CE281" s="161" t="s">
        <v>150</v>
      </c>
      <c r="CF281" s="161"/>
    </row>
    <row r="282" spans="1:84" ht="14.25" customHeight="1" x14ac:dyDescent="0.25">
      <c r="A282" s="204">
        <v>272</v>
      </c>
      <c r="B282" s="211"/>
      <c r="C282" s="194"/>
      <c r="D282" s="142"/>
      <c r="E282" s="309" t="s">
        <v>92</v>
      </c>
      <c r="F282" s="305"/>
      <c r="G282" s="306"/>
      <c r="H282" s="306"/>
      <c r="I282" s="306"/>
      <c r="J282" s="306"/>
      <c r="K282" s="306"/>
      <c r="L282" s="223">
        <f t="shared" si="146"/>
        <v>0</v>
      </c>
      <c r="M282" s="298"/>
      <c r="N282" s="299"/>
      <c r="O282" s="341"/>
      <c r="P282" s="312" t="s">
        <v>66</v>
      </c>
      <c r="Q282" s="305"/>
      <c r="R282" s="306"/>
      <c r="S282" s="306"/>
      <c r="T282" s="306"/>
      <c r="U282" s="306"/>
      <c r="V282" s="306"/>
      <c r="W282" s="223">
        <f t="shared" si="147"/>
        <v>0</v>
      </c>
      <c r="X282" s="298"/>
      <c r="Y282" s="299"/>
      <c r="Z282" s="341"/>
      <c r="AA282" s="312" t="s">
        <v>86</v>
      </c>
      <c r="AB282" s="77"/>
      <c r="AC282" s="319"/>
      <c r="AD282" s="319"/>
      <c r="AE282" s="319"/>
      <c r="AF282" s="319"/>
      <c r="AG282" s="320"/>
      <c r="AH282" s="20">
        <f t="shared" si="148"/>
        <v>0</v>
      </c>
      <c r="AI282" s="77"/>
      <c r="AJ282" s="320"/>
      <c r="AK282" s="344"/>
      <c r="AL282" s="101"/>
      <c r="AM282" s="209"/>
      <c r="AN282" s="208"/>
      <c r="AO282" s="220"/>
      <c r="AP282" s="212"/>
      <c r="AQ282" s="220"/>
      <c r="AR282" s="212"/>
      <c r="AS282" s="220"/>
      <c r="AT282" s="212"/>
      <c r="AU282" s="15">
        <f t="shared" si="122"/>
        <v>2.8199999999999998E-5</v>
      </c>
      <c r="AV282" s="15">
        <f t="shared" si="123"/>
        <v>0</v>
      </c>
      <c r="AW282" s="15"/>
      <c r="AX282" s="173">
        <v>272</v>
      </c>
      <c r="AY282" s="206">
        <f t="shared" si="124"/>
        <v>6.3999999999999997E-6</v>
      </c>
      <c r="AZ282" s="173">
        <f t="shared" si="125"/>
        <v>0</v>
      </c>
      <c r="BA282" s="233">
        <f t="shared" si="126"/>
        <v>2.8199999999999998E-5</v>
      </c>
      <c r="BB282" s="15">
        <f t="shared" si="132"/>
        <v>0</v>
      </c>
      <c r="BC282" s="173">
        <v>272</v>
      </c>
      <c r="BD282" s="84">
        <f t="shared" si="127"/>
        <v>4.7999999999999998E-6</v>
      </c>
      <c r="BE282" s="207">
        <f t="shared" si="128"/>
        <v>0</v>
      </c>
      <c r="BF282" s="233">
        <f t="shared" si="129"/>
        <v>2.8199999999999998E-5</v>
      </c>
      <c r="BG282" s="15">
        <f t="shared" si="133"/>
        <v>0</v>
      </c>
      <c r="BH282" s="173">
        <v>272</v>
      </c>
      <c r="BI282" s="84">
        <f t="shared" si="130"/>
        <v>4.7999999999999998E-6</v>
      </c>
      <c r="BJ282" s="207">
        <f t="shared" si="131"/>
        <v>0</v>
      </c>
      <c r="BL282" s="123"/>
      <c r="BM282" s="123"/>
      <c r="BO282" s="173"/>
      <c r="BP282" s="174" t="str">
        <f t="shared" si="134"/>
        <v/>
      </c>
      <c r="BQ282" s="174" t="str">
        <f t="shared" si="135"/>
        <v/>
      </c>
      <c r="BR282" s="174" t="str">
        <f t="shared" si="136"/>
        <v/>
      </c>
      <c r="BS282" s="174" t="str">
        <f t="shared" si="137"/>
        <v/>
      </c>
      <c r="BT282" s="174" t="str">
        <f t="shared" si="138"/>
        <v/>
      </c>
      <c r="BU282" s="174" t="str">
        <f t="shared" si="139"/>
        <v/>
      </c>
      <c r="BV282" s="174" t="str">
        <f t="shared" si="140"/>
        <v/>
      </c>
      <c r="BW282" s="174" t="str">
        <f t="shared" si="141"/>
        <v/>
      </c>
      <c r="BX282" s="174" t="str">
        <f t="shared" si="142"/>
        <v/>
      </c>
      <c r="BY282" s="174" t="str">
        <f t="shared" si="143"/>
        <v/>
      </c>
      <c r="BZ282" s="174" t="str">
        <f t="shared" si="144"/>
        <v/>
      </c>
      <c r="CA282" s="174" t="str">
        <f t="shared" si="145"/>
        <v/>
      </c>
      <c r="CB282" s="161"/>
      <c r="CC282" s="161"/>
      <c r="CD282" s="161"/>
      <c r="CE282" s="161" t="s">
        <v>150</v>
      </c>
      <c r="CF282" s="161"/>
    </row>
    <row r="283" spans="1:84" ht="14.25" customHeight="1" thickBot="1" x14ac:dyDescent="0.3">
      <c r="A283" s="205">
        <v>273</v>
      </c>
      <c r="B283" s="85"/>
      <c r="C283" s="195"/>
      <c r="D283" s="91"/>
      <c r="E283" s="310" t="s">
        <v>92</v>
      </c>
      <c r="F283" s="93"/>
      <c r="G283" s="97"/>
      <c r="H283" s="97"/>
      <c r="I283" s="97"/>
      <c r="J283" s="97"/>
      <c r="K283" s="97"/>
      <c r="L283" s="224">
        <f t="shared" si="146"/>
        <v>0</v>
      </c>
      <c r="M283" s="300"/>
      <c r="N283" s="301"/>
      <c r="O283" s="342"/>
      <c r="P283" s="313" t="s">
        <v>66</v>
      </c>
      <c r="Q283" s="93"/>
      <c r="R283" s="97"/>
      <c r="S283" s="97"/>
      <c r="T283" s="97"/>
      <c r="U283" s="97"/>
      <c r="V283" s="97"/>
      <c r="W283" s="224">
        <f t="shared" si="147"/>
        <v>0</v>
      </c>
      <c r="X283" s="300"/>
      <c r="Y283" s="301"/>
      <c r="Z283" s="342"/>
      <c r="AA283" s="313" t="s">
        <v>86</v>
      </c>
      <c r="AB283" s="78"/>
      <c r="AC283" s="321"/>
      <c r="AD283" s="321"/>
      <c r="AE283" s="321"/>
      <c r="AF283" s="321"/>
      <c r="AG283" s="322"/>
      <c r="AH283" s="88">
        <f t="shared" si="148"/>
        <v>0</v>
      </c>
      <c r="AI283" s="78"/>
      <c r="AJ283" s="322"/>
      <c r="AK283" s="345"/>
      <c r="AL283" s="102"/>
      <c r="AM283" s="99"/>
      <c r="AN283" s="227"/>
      <c r="AO283" s="221"/>
      <c r="AP283" s="90"/>
      <c r="AQ283" s="221"/>
      <c r="AR283" s="90"/>
      <c r="AS283" s="221"/>
      <c r="AT283" s="90"/>
      <c r="AU283" s="15">
        <f t="shared" si="122"/>
        <v>2.83E-5</v>
      </c>
      <c r="AV283" s="15">
        <f t="shared" si="123"/>
        <v>0</v>
      </c>
      <c r="AW283" s="15"/>
      <c r="AX283" s="173">
        <v>273</v>
      </c>
      <c r="AY283" s="206">
        <f t="shared" si="124"/>
        <v>6.2999999999999998E-6</v>
      </c>
      <c r="AZ283" s="173">
        <f t="shared" si="125"/>
        <v>0</v>
      </c>
      <c r="BA283" s="233">
        <f t="shared" si="126"/>
        <v>2.83E-5</v>
      </c>
      <c r="BB283" s="15">
        <f t="shared" si="132"/>
        <v>0</v>
      </c>
      <c r="BC283" s="173">
        <v>273</v>
      </c>
      <c r="BD283" s="84">
        <f t="shared" si="127"/>
        <v>4.6999999999999999E-6</v>
      </c>
      <c r="BE283" s="207">
        <f t="shared" si="128"/>
        <v>0</v>
      </c>
      <c r="BF283" s="233">
        <f t="shared" si="129"/>
        <v>2.83E-5</v>
      </c>
      <c r="BG283" s="15">
        <f t="shared" si="133"/>
        <v>0</v>
      </c>
      <c r="BH283" s="173">
        <v>273</v>
      </c>
      <c r="BI283" s="84">
        <f t="shared" si="130"/>
        <v>4.6999999999999999E-6</v>
      </c>
      <c r="BJ283" s="207">
        <f t="shared" si="131"/>
        <v>0</v>
      </c>
      <c r="BL283" s="123"/>
      <c r="BM283" s="123"/>
      <c r="BO283" s="173"/>
      <c r="BP283" s="174" t="str">
        <f t="shared" si="134"/>
        <v/>
      </c>
      <c r="BQ283" s="174" t="str">
        <f t="shared" si="135"/>
        <v/>
      </c>
      <c r="BR283" s="174" t="str">
        <f t="shared" si="136"/>
        <v/>
      </c>
      <c r="BS283" s="174" t="str">
        <f t="shared" si="137"/>
        <v/>
      </c>
      <c r="BT283" s="174" t="str">
        <f t="shared" si="138"/>
        <v/>
      </c>
      <c r="BU283" s="174" t="str">
        <f t="shared" si="139"/>
        <v/>
      </c>
      <c r="BV283" s="174" t="str">
        <f t="shared" si="140"/>
        <v/>
      </c>
      <c r="BW283" s="174" t="str">
        <f t="shared" si="141"/>
        <v/>
      </c>
      <c r="BX283" s="174" t="str">
        <f t="shared" si="142"/>
        <v/>
      </c>
      <c r="BY283" s="174" t="str">
        <f t="shared" si="143"/>
        <v/>
      </c>
      <c r="BZ283" s="174" t="str">
        <f t="shared" si="144"/>
        <v/>
      </c>
      <c r="CA283" s="174" t="str">
        <f t="shared" si="145"/>
        <v/>
      </c>
      <c r="CB283" s="161"/>
      <c r="CC283" s="161"/>
      <c r="CD283" s="161"/>
      <c r="CE283" s="161" t="s">
        <v>150</v>
      </c>
      <c r="CF283" s="161"/>
    </row>
    <row r="284" spans="1:84" ht="14.25" customHeight="1" x14ac:dyDescent="0.25">
      <c r="A284" s="203">
        <v>274</v>
      </c>
      <c r="B284" s="86"/>
      <c r="C284" s="193"/>
      <c r="D284" s="143"/>
      <c r="E284" s="308" t="s">
        <v>92</v>
      </c>
      <c r="F284" s="213"/>
      <c r="G284" s="214"/>
      <c r="H284" s="214"/>
      <c r="I284" s="214"/>
      <c r="J284" s="214"/>
      <c r="K284" s="214"/>
      <c r="L284" s="295">
        <f t="shared" si="146"/>
        <v>0</v>
      </c>
      <c r="M284" s="296"/>
      <c r="N284" s="297"/>
      <c r="O284" s="340"/>
      <c r="P284" s="311" t="s">
        <v>66</v>
      </c>
      <c r="Q284" s="213"/>
      <c r="R284" s="214"/>
      <c r="S284" s="214"/>
      <c r="T284" s="214"/>
      <c r="U284" s="214"/>
      <c r="V284" s="214"/>
      <c r="W284" s="295">
        <f t="shared" si="147"/>
        <v>0</v>
      </c>
      <c r="X284" s="296"/>
      <c r="Y284" s="297"/>
      <c r="Z284" s="346"/>
      <c r="AA284" s="314" t="s">
        <v>148</v>
      </c>
      <c r="AB284" s="13"/>
      <c r="AC284" s="222"/>
      <c r="AD284" s="222"/>
      <c r="AE284" s="222"/>
      <c r="AF284" s="222"/>
      <c r="AG284" s="5"/>
      <c r="AH284" s="20">
        <f t="shared" si="148"/>
        <v>0</v>
      </c>
      <c r="AI284" s="13"/>
      <c r="AJ284" s="5"/>
      <c r="AK284" s="343"/>
      <c r="AL284" s="100"/>
      <c r="AM284" s="98"/>
      <c r="AN284" s="226"/>
      <c r="AO284" s="225"/>
      <c r="AP284" s="89"/>
      <c r="AQ284" s="225"/>
      <c r="AR284" s="89"/>
      <c r="AS284" s="225"/>
      <c r="AT284" s="89"/>
      <c r="AU284" s="15">
        <f t="shared" si="122"/>
        <v>2.8399999999999999E-5</v>
      </c>
      <c r="AV284" s="15">
        <f t="shared" si="123"/>
        <v>0</v>
      </c>
      <c r="AW284" s="15"/>
      <c r="AX284" s="173">
        <v>274</v>
      </c>
      <c r="AY284" s="206">
        <f t="shared" si="124"/>
        <v>6.1999999999999999E-6</v>
      </c>
      <c r="AZ284" s="173">
        <f t="shared" si="125"/>
        <v>0</v>
      </c>
      <c r="BA284" s="233">
        <f t="shared" si="126"/>
        <v>2.8399999999999999E-5</v>
      </c>
      <c r="BB284" s="15">
        <f t="shared" si="132"/>
        <v>0</v>
      </c>
      <c r="BC284" s="173">
        <v>274</v>
      </c>
      <c r="BD284" s="84">
        <f t="shared" si="127"/>
        <v>4.6E-6</v>
      </c>
      <c r="BE284" s="207">
        <f t="shared" si="128"/>
        <v>0</v>
      </c>
      <c r="BF284" s="233">
        <f t="shared" si="129"/>
        <v>2.8399999999999999E-5</v>
      </c>
      <c r="BG284" s="15">
        <f t="shared" si="133"/>
        <v>0</v>
      </c>
      <c r="BH284" s="173">
        <v>274</v>
      </c>
      <c r="BI284" s="84">
        <f t="shared" si="130"/>
        <v>4.6E-6</v>
      </c>
      <c r="BJ284" s="207">
        <f t="shared" si="131"/>
        <v>0</v>
      </c>
      <c r="BL284" s="123"/>
      <c r="BM284" s="123"/>
      <c r="BO284" s="173"/>
      <c r="BP284" s="174" t="str">
        <f t="shared" si="134"/>
        <v/>
      </c>
      <c r="BQ284" s="174" t="str">
        <f t="shared" si="135"/>
        <v/>
      </c>
      <c r="BR284" s="174" t="str">
        <f t="shared" si="136"/>
        <v/>
      </c>
      <c r="BS284" s="174" t="str">
        <f t="shared" si="137"/>
        <v/>
      </c>
      <c r="BT284" s="174" t="str">
        <f t="shared" si="138"/>
        <v/>
      </c>
      <c r="BU284" s="174" t="str">
        <f t="shared" si="139"/>
        <v/>
      </c>
      <c r="BV284" s="174" t="str">
        <f t="shared" si="140"/>
        <v/>
      </c>
      <c r="BW284" s="174" t="str">
        <f t="shared" si="141"/>
        <v/>
      </c>
      <c r="BX284" s="174" t="str">
        <f t="shared" si="142"/>
        <v/>
      </c>
      <c r="BY284" s="174" t="str">
        <f t="shared" si="143"/>
        <v/>
      </c>
      <c r="BZ284" s="174" t="str">
        <f t="shared" si="144"/>
        <v/>
      </c>
      <c r="CA284" s="174" t="str">
        <f t="shared" si="145"/>
        <v/>
      </c>
      <c r="CB284" s="161"/>
      <c r="CC284" s="161"/>
      <c r="CD284" s="161"/>
      <c r="CE284" s="161" t="s">
        <v>150</v>
      </c>
      <c r="CF284" s="161"/>
    </row>
    <row r="285" spans="1:84" ht="14.25" customHeight="1" x14ac:dyDescent="0.25">
      <c r="A285" s="204">
        <v>275</v>
      </c>
      <c r="B285" s="211"/>
      <c r="C285" s="194"/>
      <c r="D285" s="142"/>
      <c r="E285" s="309" t="s">
        <v>92</v>
      </c>
      <c r="F285" s="305"/>
      <c r="G285" s="306"/>
      <c r="H285" s="306"/>
      <c r="I285" s="306"/>
      <c r="J285" s="306"/>
      <c r="K285" s="306"/>
      <c r="L285" s="223">
        <f t="shared" si="146"/>
        <v>0</v>
      </c>
      <c r="M285" s="298"/>
      <c r="N285" s="299"/>
      <c r="O285" s="341"/>
      <c r="P285" s="312" t="s">
        <v>66</v>
      </c>
      <c r="Q285" s="305"/>
      <c r="R285" s="306"/>
      <c r="S285" s="306"/>
      <c r="T285" s="306"/>
      <c r="U285" s="306"/>
      <c r="V285" s="306"/>
      <c r="W285" s="223">
        <f t="shared" si="147"/>
        <v>0</v>
      </c>
      <c r="X285" s="298"/>
      <c r="Y285" s="299"/>
      <c r="Z285" s="341"/>
      <c r="AA285" s="312" t="s">
        <v>86</v>
      </c>
      <c r="AB285" s="77"/>
      <c r="AC285" s="319"/>
      <c r="AD285" s="319"/>
      <c r="AE285" s="319"/>
      <c r="AF285" s="319"/>
      <c r="AG285" s="320"/>
      <c r="AH285" s="20">
        <f t="shared" si="148"/>
        <v>0</v>
      </c>
      <c r="AI285" s="77"/>
      <c r="AJ285" s="320"/>
      <c r="AK285" s="344"/>
      <c r="AL285" s="101"/>
      <c r="AM285" s="209"/>
      <c r="AN285" s="208"/>
      <c r="AO285" s="220"/>
      <c r="AP285" s="212"/>
      <c r="AQ285" s="220"/>
      <c r="AR285" s="212"/>
      <c r="AS285" s="220"/>
      <c r="AT285" s="212"/>
      <c r="AU285" s="15">
        <f t="shared" si="122"/>
        <v>2.8499999999999998E-5</v>
      </c>
      <c r="AV285" s="15">
        <f t="shared" si="123"/>
        <v>0</v>
      </c>
      <c r="AW285" s="15"/>
      <c r="AX285" s="173">
        <v>275</v>
      </c>
      <c r="AY285" s="206">
        <f t="shared" si="124"/>
        <v>6.1E-6</v>
      </c>
      <c r="AZ285" s="173">
        <f t="shared" si="125"/>
        <v>0</v>
      </c>
      <c r="BA285" s="233">
        <f t="shared" si="126"/>
        <v>2.8499999999999998E-5</v>
      </c>
      <c r="BB285" s="15">
        <f t="shared" si="132"/>
        <v>0</v>
      </c>
      <c r="BC285" s="173">
        <v>275</v>
      </c>
      <c r="BD285" s="84">
        <f t="shared" si="127"/>
        <v>4.5000000000000001E-6</v>
      </c>
      <c r="BE285" s="207">
        <f t="shared" si="128"/>
        <v>0</v>
      </c>
      <c r="BF285" s="233">
        <f t="shared" si="129"/>
        <v>2.8499999999999998E-5</v>
      </c>
      <c r="BG285" s="15">
        <f t="shared" si="133"/>
        <v>0</v>
      </c>
      <c r="BH285" s="173">
        <v>275</v>
      </c>
      <c r="BI285" s="84">
        <f t="shared" si="130"/>
        <v>4.5000000000000001E-6</v>
      </c>
      <c r="BJ285" s="207">
        <f t="shared" si="131"/>
        <v>0</v>
      </c>
      <c r="BL285" s="123"/>
      <c r="BM285" s="123"/>
      <c r="BO285" s="173"/>
      <c r="BP285" s="174" t="str">
        <f t="shared" si="134"/>
        <v/>
      </c>
      <c r="BQ285" s="174" t="str">
        <f t="shared" si="135"/>
        <v/>
      </c>
      <c r="BR285" s="174" t="str">
        <f t="shared" si="136"/>
        <v/>
      </c>
      <c r="BS285" s="174" t="str">
        <f t="shared" si="137"/>
        <v/>
      </c>
      <c r="BT285" s="174" t="str">
        <f t="shared" si="138"/>
        <v/>
      </c>
      <c r="BU285" s="174" t="str">
        <f t="shared" si="139"/>
        <v/>
      </c>
      <c r="BV285" s="174" t="str">
        <f t="shared" si="140"/>
        <v/>
      </c>
      <c r="BW285" s="174" t="str">
        <f t="shared" si="141"/>
        <v/>
      </c>
      <c r="BX285" s="174" t="str">
        <f t="shared" si="142"/>
        <v/>
      </c>
      <c r="BY285" s="174" t="str">
        <f t="shared" si="143"/>
        <v/>
      </c>
      <c r="BZ285" s="174" t="str">
        <f t="shared" si="144"/>
        <v/>
      </c>
      <c r="CA285" s="174" t="str">
        <f t="shared" si="145"/>
        <v/>
      </c>
      <c r="CB285" s="161"/>
      <c r="CC285" s="161"/>
      <c r="CD285" s="161"/>
      <c r="CE285" s="161" t="s">
        <v>150</v>
      </c>
      <c r="CF285" s="161"/>
    </row>
    <row r="286" spans="1:84" ht="14.25" customHeight="1" thickBot="1" x14ac:dyDescent="0.3">
      <c r="A286" s="205">
        <v>276</v>
      </c>
      <c r="B286" s="85"/>
      <c r="C286" s="195"/>
      <c r="D286" s="91"/>
      <c r="E286" s="310" t="s">
        <v>92</v>
      </c>
      <c r="F286" s="93"/>
      <c r="G286" s="97"/>
      <c r="H286" s="97"/>
      <c r="I286" s="97"/>
      <c r="J286" s="97"/>
      <c r="K286" s="97"/>
      <c r="L286" s="224">
        <f t="shared" si="146"/>
        <v>0</v>
      </c>
      <c r="M286" s="300"/>
      <c r="N286" s="301"/>
      <c r="O286" s="342"/>
      <c r="P286" s="313" t="s">
        <v>66</v>
      </c>
      <c r="Q286" s="93"/>
      <c r="R286" s="97"/>
      <c r="S286" s="97"/>
      <c r="T286" s="97"/>
      <c r="U286" s="97"/>
      <c r="V286" s="97"/>
      <c r="W286" s="224">
        <f t="shared" si="147"/>
        <v>0</v>
      </c>
      <c r="X286" s="300"/>
      <c r="Y286" s="301"/>
      <c r="Z286" s="342"/>
      <c r="AA286" s="313" t="s">
        <v>86</v>
      </c>
      <c r="AB286" s="78"/>
      <c r="AC286" s="321"/>
      <c r="AD286" s="321"/>
      <c r="AE286" s="321"/>
      <c r="AF286" s="321"/>
      <c r="AG286" s="322"/>
      <c r="AH286" s="88">
        <f t="shared" si="148"/>
        <v>0</v>
      </c>
      <c r="AI286" s="78"/>
      <c r="AJ286" s="322"/>
      <c r="AK286" s="345"/>
      <c r="AL286" s="102"/>
      <c r="AM286" s="99"/>
      <c r="AN286" s="227"/>
      <c r="AO286" s="221"/>
      <c r="AP286" s="90"/>
      <c r="AQ286" s="221"/>
      <c r="AR286" s="90"/>
      <c r="AS286" s="221"/>
      <c r="AT286" s="90"/>
      <c r="AU286" s="15">
        <f t="shared" si="122"/>
        <v>2.8599999999999997E-5</v>
      </c>
      <c r="AV286" s="15">
        <f t="shared" si="123"/>
        <v>0</v>
      </c>
      <c r="AW286" s="15"/>
      <c r="AX286" s="173">
        <v>276</v>
      </c>
      <c r="AY286" s="206">
        <f t="shared" si="124"/>
        <v>6.0000000000000002E-6</v>
      </c>
      <c r="AZ286" s="173">
        <f t="shared" si="125"/>
        <v>0</v>
      </c>
      <c r="BA286" s="233">
        <f t="shared" si="126"/>
        <v>2.8599999999999997E-5</v>
      </c>
      <c r="BB286" s="15">
        <f t="shared" si="132"/>
        <v>0</v>
      </c>
      <c r="BC286" s="173">
        <v>276</v>
      </c>
      <c r="BD286" s="84">
        <f t="shared" si="127"/>
        <v>4.4000000000000002E-6</v>
      </c>
      <c r="BE286" s="207">
        <f t="shared" si="128"/>
        <v>0</v>
      </c>
      <c r="BF286" s="233">
        <f t="shared" si="129"/>
        <v>2.8599999999999997E-5</v>
      </c>
      <c r="BG286" s="15">
        <f t="shared" si="133"/>
        <v>0</v>
      </c>
      <c r="BH286" s="173">
        <v>276</v>
      </c>
      <c r="BI286" s="84">
        <f t="shared" si="130"/>
        <v>4.4000000000000002E-6</v>
      </c>
      <c r="BJ286" s="207">
        <f t="shared" si="131"/>
        <v>0</v>
      </c>
      <c r="BL286" s="123"/>
      <c r="BM286" s="123"/>
      <c r="BO286" s="173"/>
      <c r="BP286" s="174" t="str">
        <f t="shared" si="134"/>
        <v/>
      </c>
      <c r="BQ286" s="174" t="str">
        <f t="shared" si="135"/>
        <v/>
      </c>
      <c r="BR286" s="174" t="str">
        <f t="shared" si="136"/>
        <v/>
      </c>
      <c r="BS286" s="174" t="str">
        <f t="shared" si="137"/>
        <v/>
      </c>
      <c r="BT286" s="174" t="str">
        <f t="shared" si="138"/>
        <v/>
      </c>
      <c r="BU286" s="174" t="str">
        <f t="shared" si="139"/>
        <v/>
      </c>
      <c r="BV286" s="174" t="str">
        <f t="shared" si="140"/>
        <v/>
      </c>
      <c r="BW286" s="174" t="str">
        <f t="shared" si="141"/>
        <v/>
      </c>
      <c r="BX286" s="174" t="str">
        <f t="shared" si="142"/>
        <v/>
      </c>
      <c r="BY286" s="174" t="str">
        <f t="shared" si="143"/>
        <v/>
      </c>
      <c r="BZ286" s="174" t="str">
        <f t="shared" si="144"/>
        <v/>
      </c>
      <c r="CA286" s="174" t="str">
        <f t="shared" si="145"/>
        <v/>
      </c>
      <c r="CB286" s="161"/>
      <c r="CC286" s="161"/>
      <c r="CD286" s="161"/>
      <c r="CE286" s="161" t="s">
        <v>150</v>
      </c>
      <c r="CF286" s="161"/>
    </row>
    <row r="287" spans="1:84" ht="14.25" customHeight="1" x14ac:dyDescent="0.25">
      <c r="A287" s="203">
        <v>277</v>
      </c>
      <c r="B287" s="86"/>
      <c r="C287" s="193"/>
      <c r="D287" s="143"/>
      <c r="E287" s="308" t="s">
        <v>92</v>
      </c>
      <c r="F287" s="213"/>
      <c r="G287" s="214"/>
      <c r="H287" s="214"/>
      <c r="I287" s="214"/>
      <c r="J287" s="214"/>
      <c r="K287" s="214"/>
      <c r="L287" s="295">
        <f t="shared" si="146"/>
        <v>0</v>
      </c>
      <c r="M287" s="296"/>
      <c r="N287" s="297"/>
      <c r="O287" s="340"/>
      <c r="P287" s="311" t="s">
        <v>66</v>
      </c>
      <c r="Q287" s="213"/>
      <c r="R287" s="214"/>
      <c r="S287" s="214"/>
      <c r="T287" s="214"/>
      <c r="U287" s="214"/>
      <c r="V287" s="214"/>
      <c r="W287" s="295">
        <f t="shared" si="147"/>
        <v>0</v>
      </c>
      <c r="X287" s="296"/>
      <c r="Y287" s="297"/>
      <c r="Z287" s="346"/>
      <c r="AA287" s="314" t="s">
        <v>148</v>
      </c>
      <c r="AB287" s="13"/>
      <c r="AC287" s="222"/>
      <c r="AD287" s="222"/>
      <c r="AE287" s="222"/>
      <c r="AF287" s="222"/>
      <c r="AG287" s="5"/>
      <c r="AH287" s="20">
        <f t="shared" si="148"/>
        <v>0</v>
      </c>
      <c r="AI287" s="13"/>
      <c r="AJ287" s="5"/>
      <c r="AK287" s="343"/>
      <c r="AL287" s="100"/>
      <c r="AM287" s="98"/>
      <c r="AN287" s="226"/>
      <c r="AO287" s="225"/>
      <c r="AP287" s="89"/>
      <c r="AQ287" s="225"/>
      <c r="AR287" s="89"/>
      <c r="AS287" s="225"/>
      <c r="AT287" s="89"/>
      <c r="AU287" s="15">
        <f t="shared" si="122"/>
        <v>2.87E-5</v>
      </c>
      <c r="AV287" s="15">
        <f t="shared" si="123"/>
        <v>0</v>
      </c>
      <c r="AW287" s="15"/>
      <c r="AX287" s="173">
        <v>277</v>
      </c>
      <c r="AY287" s="206">
        <f t="shared" si="124"/>
        <v>5.8999999999999994E-6</v>
      </c>
      <c r="AZ287" s="173">
        <f t="shared" si="125"/>
        <v>0</v>
      </c>
      <c r="BA287" s="233">
        <f t="shared" si="126"/>
        <v>2.87E-5</v>
      </c>
      <c r="BB287" s="15">
        <f t="shared" si="132"/>
        <v>0</v>
      </c>
      <c r="BC287" s="173">
        <v>277</v>
      </c>
      <c r="BD287" s="84">
        <f t="shared" si="127"/>
        <v>4.2999999999999995E-6</v>
      </c>
      <c r="BE287" s="207">
        <f t="shared" si="128"/>
        <v>0</v>
      </c>
      <c r="BF287" s="233">
        <f t="shared" si="129"/>
        <v>2.87E-5</v>
      </c>
      <c r="BG287" s="15">
        <f t="shared" si="133"/>
        <v>0</v>
      </c>
      <c r="BH287" s="173">
        <v>277</v>
      </c>
      <c r="BI287" s="84">
        <f t="shared" si="130"/>
        <v>4.2999999999999995E-6</v>
      </c>
      <c r="BJ287" s="207">
        <f t="shared" si="131"/>
        <v>0</v>
      </c>
      <c r="BL287" s="123"/>
      <c r="BM287" s="123"/>
      <c r="BO287" s="173"/>
      <c r="BP287" s="174" t="str">
        <f t="shared" si="134"/>
        <v/>
      </c>
      <c r="BQ287" s="174" t="str">
        <f t="shared" si="135"/>
        <v/>
      </c>
      <c r="BR287" s="174" t="str">
        <f t="shared" si="136"/>
        <v/>
      </c>
      <c r="BS287" s="174" t="str">
        <f t="shared" si="137"/>
        <v/>
      </c>
      <c r="BT287" s="174" t="str">
        <f t="shared" si="138"/>
        <v/>
      </c>
      <c r="BU287" s="174" t="str">
        <f t="shared" si="139"/>
        <v/>
      </c>
      <c r="BV287" s="174" t="str">
        <f t="shared" si="140"/>
        <v/>
      </c>
      <c r="BW287" s="174" t="str">
        <f t="shared" si="141"/>
        <v/>
      </c>
      <c r="BX287" s="174" t="str">
        <f t="shared" si="142"/>
        <v/>
      </c>
      <c r="BY287" s="174" t="str">
        <f t="shared" si="143"/>
        <v/>
      </c>
      <c r="BZ287" s="174" t="str">
        <f t="shared" si="144"/>
        <v/>
      </c>
      <c r="CA287" s="174" t="str">
        <f t="shared" si="145"/>
        <v/>
      </c>
      <c r="CB287" s="161"/>
      <c r="CC287" s="161"/>
      <c r="CD287" s="161"/>
      <c r="CE287" s="161" t="s">
        <v>150</v>
      </c>
      <c r="CF287" s="161"/>
    </row>
    <row r="288" spans="1:84" ht="14.25" customHeight="1" x14ac:dyDescent="0.25">
      <c r="A288" s="204">
        <v>278</v>
      </c>
      <c r="B288" s="211"/>
      <c r="C288" s="194"/>
      <c r="D288" s="142"/>
      <c r="E288" s="309" t="s">
        <v>92</v>
      </c>
      <c r="F288" s="305"/>
      <c r="G288" s="306"/>
      <c r="H288" s="306"/>
      <c r="I288" s="306"/>
      <c r="J288" s="306"/>
      <c r="K288" s="306"/>
      <c r="L288" s="223">
        <f t="shared" si="146"/>
        <v>0</v>
      </c>
      <c r="M288" s="298"/>
      <c r="N288" s="299"/>
      <c r="O288" s="341"/>
      <c r="P288" s="312" t="s">
        <v>66</v>
      </c>
      <c r="Q288" s="305"/>
      <c r="R288" s="306"/>
      <c r="S288" s="306"/>
      <c r="T288" s="306"/>
      <c r="U288" s="306"/>
      <c r="V288" s="306"/>
      <c r="W288" s="223">
        <f t="shared" si="147"/>
        <v>0</v>
      </c>
      <c r="X288" s="298"/>
      <c r="Y288" s="299"/>
      <c r="Z288" s="341"/>
      <c r="AA288" s="312" t="s">
        <v>86</v>
      </c>
      <c r="AB288" s="77"/>
      <c r="AC288" s="319"/>
      <c r="AD288" s="319"/>
      <c r="AE288" s="319"/>
      <c r="AF288" s="319"/>
      <c r="AG288" s="320"/>
      <c r="AH288" s="20">
        <f t="shared" si="148"/>
        <v>0</v>
      </c>
      <c r="AI288" s="77"/>
      <c r="AJ288" s="320"/>
      <c r="AK288" s="344"/>
      <c r="AL288" s="101"/>
      <c r="AM288" s="209"/>
      <c r="AN288" s="208"/>
      <c r="AO288" s="220"/>
      <c r="AP288" s="212"/>
      <c r="AQ288" s="220"/>
      <c r="AR288" s="212"/>
      <c r="AS288" s="220"/>
      <c r="AT288" s="212"/>
      <c r="AU288" s="15">
        <f t="shared" si="122"/>
        <v>2.8799999999999999E-5</v>
      </c>
      <c r="AV288" s="15">
        <f t="shared" si="123"/>
        <v>0</v>
      </c>
      <c r="AW288" s="15"/>
      <c r="AX288" s="173">
        <v>278</v>
      </c>
      <c r="AY288" s="206">
        <f t="shared" si="124"/>
        <v>5.7999999999999995E-6</v>
      </c>
      <c r="AZ288" s="173">
        <f t="shared" si="125"/>
        <v>0</v>
      </c>
      <c r="BA288" s="233">
        <f t="shared" si="126"/>
        <v>2.8799999999999999E-5</v>
      </c>
      <c r="BB288" s="15">
        <f t="shared" si="132"/>
        <v>0</v>
      </c>
      <c r="BC288" s="173">
        <v>278</v>
      </c>
      <c r="BD288" s="84">
        <f t="shared" si="127"/>
        <v>4.1999999999999996E-6</v>
      </c>
      <c r="BE288" s="207">
        <f t="shared" si="128"/>
        <v>0</v>
      </c>
      <c r="BF288" s="233">
        <f t="shared" si="129"/>
        <v>2.8799999999999999E-5</v>
      </c>
      <c r="BG288" s="15">
        <f t="shared" si="133"/>
        <v>0</v>
      </c>
      <c r="BH288" s="173">
        <v>278</v>
      </c>
      <c r="BI288" s="84">
        <f t="shared" si="130"/>
        <v>4.1999999999999996E-6</v>
      </c>
      <c r="BJ288" s="207">
        <f t="shared" si="131"/>
        <v>0</v>
      </c>
      <c r="BL288" s="123"/>
      <c r="BM288" s="123"/>
      <c r="BO288" s="173"/>
      <c r="BP288" s="174" t="str">
        <f t="shared" si="134"/>
        <v/>
      </c>
      <c r="BQ288" s="174" t="str">
        <f t="shared" si="135"/>
        <v/>
      </c>
      <c r="BR288" s="174" t="str">
        <f t="shared" si="136"/>
        <v/>
      </c>
      <c r="BS288" s="174" t="str">
        <f t="shared" si="137"/>
        <v/>
      </c>
      <c r="BT288" s="174" t="str">
        <f t="shared" si="138"/>
        <v/>
      </c>
      <c r="BU288" s="174" t="str">
        <f t="shared" si="139"/>
        <v/>
      </c>
      <c r="BV288" s="174" t="str">
        <f t="shared" si="140"/>
        <v/>
      </c>
      <c r="BW288" s="174" t="str">
        <f t="shared" si="141"/>
        <v/>
      </c>
      <c r="BX288" s="174" t="str">
        <f t="shared" si="142"/>
        <v/>
      </c>
      <c r="BY288" s="174" t="str">
        <f t="shared" si="143"/>
        <v/>
      </c>
      <c r="BZ288" s="174" t="str">
        <f t="shared" si="144"/>
        <v/>
      </c>
      <c r="CA288" s="174" t="str">
        <f t="shared" si="145"/>
        <v/>
      </c>
      <c r="CB288" s="161"/>
      <c r="CC288" s="161"/>
      <c r="CD288" s="161"/>
      <c r="CE288" s="161" t="s">
        <v>150</v>
      </c>
      <c r="CF288" s="161"/>
    </row>
    <row r="289" spans="1:84" ht="14.25" customHeight="1" thickBot="1" x14ac:dyDescent="0.3">
      <c r="A289" s="205">
        <v>279</v>
      </c>
      <c r="B289" s="85"/>
      <c r="C289" s="195"/>
      <c r="D289" s="91"/>
      <c r="E289" s="310" t="s">
        <v>92</v>
      </c>
      <c r="F289" s="93"/>
      <c r="G289" s="97"/>
      <c r="H289" s="97"/>
      <c r="I289" s="97"/>
      <c r="J289" s="97"/>
      <c r="K289" s="97"/>
      <c r="L289" s="224">
        <f t="shared" si="146"/>
        <v>0</v>
      </c>
      <c r="M289" s="300"/>
      <c r="N289" s="301"/>
      <c r="O289" s="342"/>
      <c r="P289" s="313" t="s">
        <v>66</v>
      </c>
      <c r="Q289" s="93"/>
      <c r="R289" s="97"/>
      <c r="S289" s="97"/>
      <c r="T289" s="97"/>
      <c r="U289" s="97"/>
      <c r="V289" s="97"/>
      <c r="W289" s="224">
        <f t="shared" si="147"/>
        <v>0</v>
      </c>
      <c r="X289" s="300"/>
      <c r="Y289" s="301"/>
      <c r="Z289" s="342"/>
      <c r="AA289" s="313" t="s">
        <v>86</v>
      </c>
      <c r="AB289" s="78"/>
      <c r="AC289" s="321"/>
      <c r="AD289" s="321"/>
      <c r="AE289" s="321"/>
      <c r="AF289" s="321"/>
      <c r="AG289" s="322"/>
      <c r="AH289" s="88">
        <f t="shared" si="148"/>
        <v>0</v>
      </c>
      <c r="AI289" s="78"/>
      <c r="AJ289" s="322"/>
      <c r="AK289" s="345"/>
      <c r="AL289" s="102"/>
      <c r="AM289" s="99"/>
      <c r="AN289" s="227"/>
      <c r="AO289" s="221"/>
      <c r="AP289" s="90"/>
      <c r="AQ289" s="221"/>
      <c r="AR289" s="90"/>
      <c r="AS289" s="221"/>
      <c r="AT289" s="90"/>
      <c r="AU289" s="15">
        <f t="shared" si="122"/>
        <v>2.8899999999999998E-5</v>
      </c>
      <c r="AV289" s="15">
        <f t="shared" si="123"/>
        <v>0</v>
      </c>
      <c r="AW289" s="15"/>
      <c r="AX289" s="173">
        <v>279</v>
      </c>
      <c r="AY289" s="206">
        <f t="shared" si="124"/>
        <v>5.6999999999999996E-6</v>
      </c>
      <c r="AZ289" s="173">
        <f t="shared" si="125"/>
        <v>0</v>
      </c>
      <c r="BA289" s="233">
        <f t="shared" si="126"/>
        <v>2.8899999999999998E-5</v>
      </c>
      <c r="BB289" s="15">
        <f t="shared" si="132"/>
        <v>0</v>
      </c>
      <c r="BC289" s="173">
        <v>279</v>
      </c>
      <c r="BD289" s="84">
        <f t="shared" si="127"/>
        <v>4.0999999999999997E-6</v>
      </c>
      <c r="BE289" s="207">
        <f t="shared" si="128"/>
        <v>0</v>
      </c>
      <c r="BF289" s="233">
        <f t="shared" si="129"/>
        <v>2.8899999999999998E-5</v>
      </c>
      <c r="BG289" s="15">
        <f t="shared" si="133"/>
        <v>0</v>
      </c>
      <c r="BH289" s="173">
        <v>279</v>
      </c>
      <c r="BI289" s="84">
        <f t="shared" si="130"/>
        <v>4.0999999999999997E-6</v>
      </c>
      <c r="BJ289" s="207">
        <f t="shared" si="131"/>
        <v>0</v>
      </c>
      <c r="BL289" s="123"/>
      <c r="BM289" s="123"/>
      <c r="BO289" s="173"/>
      <c r="BP289" s="174" t="str">
        <f t="shared" si="134"/>
        <v/>
      </c>
      <c r="BQ289" s="174" t="str">
        <f t="shared" si="135"/>
        <v/>
      </c>
      <c r="BR289" s="174" t="str">
        <f t="shared" si="136"/>
        <v/>
      </c>
      <c r="BS289" s="174" t="str">
        <f t="shared" si="137"/>
        <v/>
      </c>
      <c r="BT289" s="174" t="str">
        <f t="shared" si="138"/>
        <v/>
      </c>
      <c r="BU289" s="174" t="str">
        <f t="shared" si="139"/>
        <v/>
      </c>
      <c r="BV289" s="174" t="str">
        <f t="shared" si="140"/>
        <v/>
      </c>
      <c r="BW289" s="174" t="str">
        <f t="shared" si="141"/>
        <v/>
      </c>
      <c r="BX289" s="174" t="str">
        <f t="shared" si="142"/>
        <v/>
      </c>
      <c r="BY289" s="174" t="str">
        <f t="shared" si="143"/>
        <v/>
      </c>
      <c r="BZ289" s="174" t="str">
        <f t="shared" si="144"/>
        <v/>
      </c>
      <c r="CA289" s="174" t="str">
        <f t="shared" si="145"/>
        <v/>
      </c>
      <c r="CB289" s="161"/>
      <c r="CC289" s="161"/>
      <c r="CD289" s="161"/>
      <c r="CE289" s="161" t="s">
        <v>150</v>
      </c>
      <c r="CF289" s="161"/>
    </row>
    <row r="290" spans="1:84" ht="14.25" customHeight="1" x14ac:dyDescent="0.25">
      <c r="A290" s="203">
        <v>280</v>
      </c>
      <c r="B290" s="86"/>
      <c r="C290" s="193"/>
      <c r="D290" s="143"/>
      <c r="E290" s="308" t="s">
        <v>92</v>
      </c>
      <c r="F290" s="213"/>
      <c r="G290" s="214"/>
      <c r="H290" s="214"/>
      <c r="I290" s="214"/>
      <c r="J290" s="214"/>
      <c r="K290" s="214"/>
      <c r="L290" s="295">
        <f t="shared" si="146"/>
        <v>0</v>
      </c>
      <c r="M290" s="296"/>
      <c r="N290" s="297"/>
      <c r="O290" s="340"/>
      <c r="P290" s="311" t="s">
        <v>66</v>
      </c>
      <c r="Q290" s="213"/>
      <c r="R290" s="214"/>
      <c r="S290" s="214"/>
      <c r="T290" s="214"/>
      <c r="U290" s="214"/>
      <c r="V290" s="214"/>
      <c r="W290" s="295">
        <f t="shared" si="147"/>
        <v>0</v>
      </c>
      <c r="X290" s="296"/>
      <c r="Y290" s="297"/>
      <c r="Z290" s="346"/>
      <c r="AA290" s="314" t="s">
        <v>148</v>
      </c>
      <c r="AB290" s="13"/>
      <c r="AC290" s="222"/>
      <c r="AD290" s="222"/>
      <c r="AE290" s="222"/>
      <c r="AF290" s="222"/>
      <c r="AG290" s="5"/>
      <c r="AH290" s="20">
        <f t="shared" si="148"/>
        <v>0</v>
      </c>
      <c r="AI290" s="13"/>
      <c r="AJ290" s="5"/>
      <c r="AK290" s="343"/>
      <c r="AL290" s="100"/>
      <c r="AM290" s="98"/>
      <c r="AN290" s="226"/>
      <c r="AO290" s="225"/>
      <c r="AP290" s="89"/>
      <c r="AQ290" s="225"/>
      <c r="AR290" s="89"/>
      <c r="AS290" s="225"/>
      <c r="AT290" s="89"/>
      <c r="AU290" s="15">
        <f t="shared" si="122"/>
        <v>2.9E-5</v>
      </c>
      <c r="AV290" s="15">
        <f t="shared" si="123"/>
        <v>0</v>
      </c>
      <c r="AW290" s="15"/>
      <c r="AX290" s="173">
        <v>280</v>
      </c>
      <c r="AY290" s="206">
        <f t="shared" si="124"/>
        <v>5.5999999999999997E-6</v>
      </c>
      <c r="AZ290" s="173">
        <f t="shared" si="125"/>
        <v>0</v>
      </c>
      <c r="BA290" s="233">
        <f t="shared" si="126"/>
        <v>2.9E-5</v>
      </c>
      <c r="BB290" s="15">
        <f t="shared" si="132"/>
        <v>0</v>
      </c>
      <c r="BC290" s="173">
        <v>280</v>
      </c>
      <c r="BD290" s="84">
        <f t="shared" si="127"/>
        <v>3.9999999999999998E-6</v>
      </c>
      <c r="BE290" s="207">
        <f t="shared" si="128"/>
        <v>0</v>
      </c>
      <c r="BF290" s="233">
        <f t="shared" si="129"/>
        <v>2.9E-5</v>
      </c>
      <c r="BG290" s="15">
        <f t="shared" si="133"/>
        <v>0</v>
      </c>
      <c r="BH290" s="173">
        <v>280</v>
      </c>
      <c r="BI290" s="84">
        <f t="shared" si="130"/>
        <v>3.9999999999999998E-6</v>
      </c>
      <c r="BJ290" s="207">
        <f t="shared" si="131"/>
        <v>0</v>
      </c>
      <c r="BL290" s="123"/>
      <c r="BM290" s="123"/>
      <c r="BO290" s="173"/>
      <c r="BP290" s="174" t="str">
        <f t="shared" si="134"/>
        <v/>
      </c>
      <c r="BQ290" s="174" t="str">
        <f t="shared" si="135"/>
        <v/>
      </c>
      <c r="BR290" s="174" t="str">
        <f t="shared" si="136"/>
        <v/>
      </c>
      <c r="BS290" s="174" t="str">
        <f t="shared" si="137"/>
        <v/>
      </c>
      <c r="BT290" s="174" t="str">
        <f t="shared" si="138"/>
        <v/>
      </c>
      <c r="BU290" s="174" t="str">
        <f t="shared" si="139"/>
        <v/>
      </c>
      <c r="BV290" s="174" t="str">
        <f t="shared" si="140"/>
        <v/>
      </c>
      <c r="BW290" s="174" t="str">
        <f t="shared" si="141"/>
        <v/>
      </c>
      <c r="BX290" s="174" t="str">
        <f t="shared" si="142"/>
        <v/>
      </c>
      <c r="BY290" s="174" t="str">
        <f t="shared" si="143"/>
        <v/>
      </c>
      <c r="BZ290" s="174" t="str">
        <f t="shared" si="144"/>
        <v/>
      </c>
      <c r="CA290" s="174" t="str">
        <f t="shared" si="145"/>
        <v/>
      </c>
      <c r="CB290" s="161"/>
      <c r="CC290" s="161"/>
      <c r="CD290" s="161"/>
      <c r="CE290" s="161" t="s">
        <v>150</v>
      </c>
      <c r="CF290" s="161"/>
    </row>
    <row r="291" spans="1:84" ht="14.25" customHeight="1" x14ac:dyDescent="0.25">
      <c r="A291" s="204">
        <v>281</v>
      </c>
      <c r="B291" s="211"/>
      <c r="C291" s="194"/>
      <c r="D291" s="142"/>
      <c r="E291" s="309" t="s">
        <v>92</v>
      </c>
      <c r="F291" s="305"/>
      <c r="G291" s="306"/>
      <c r="H291" s="306"/>
      <c r="I291" s="306"/>
      <c r="J291" s="306"/>
      <c r="K291" s="306"/>
      <c r="L291" s="223">
        <f t="shared" si="146"/>
        <v>0</v>
      </c>
      <c r="M291" s="298"/>
      <c r="N291" s="299"/>
      <c r="O291" s="341"/>
      <c r="P291" s="312" t="s">
        <v>66</v>
      </c>
      <c r="Q291" s="305"/>
      <c r="R291" s="306"/>
      <c r="S291" s="306"/>
      <c r="T291" s="306"/>
      <c r="U291" s="306"/>
      <c r="V291" s="306"/>
      <c r="W291" s="223">
        <f t="shared" si="147"/>
        <v>0</v>
      </c>
      <c r="X291" s="298"/>
      <c r="Y291" s="299"/>
      <c r="Z291" s="341"/>
      <c r="AA291" s="312" t="s">
        <v>86</v>
      </c>
      <c r="AB291" s="77"/>
      <c r="AC291" s="319"/>
      <c r="AD291" s="319"/>
      <c r="AE291" s="319"/>
      <c r="AF291" s="319"/>
      <c r="AG291" s="320"/>
      <c r="AH291" s="20">
        <f t="shared" si="148"/>
        <v>0</v>
      </c>
      <c r="AI291" s="77"/>
      <c r="AJ291" s="320"/>
      <c r="AK291" s="344"/>
      <c r="AL291" s="101"/>
      <c r="AM291" s="209"/>
      <c r="AN291" s="208"/>
      <c r="AO291" s="220"/>
      <c r="AP291" s="212"/>
      <c r="AQ291" s="220"/>
      <c r="AR291" s="212"/>
      <c r="AS291" s="220"/>
      <c r="AT291" s="212"/>
      <c r="AU291" s="15">
        <f t="shared" si="122"/>
        <v>2.9099999999999999E-5</v>
      </c>
      <c r="AV291" s="15">
        <f t="shared" si="123"/>
        <v>0</v>
      </c>
      <c r="AW291" s="15"/>
      <c r="AX291" s="173">
        <v>281</v>
      </c>
      <c r="AY291" s="206">
        <f t="shared" si="124"/>
        <v>5.4999999999999999E-6</v>
      </c>
      <c r="AZ291" s="173">
        <f t="shared" si="125"/>
        <v>0</v>
      </c>
      <c r="BA291" s="233">
        <f t="shared" si="126"/>
        <v>2.9099999999999999E-5</v>
      </c>
      <c r="BB291" s="15">
        <f t="shared" si="132"/>
        <v>0</v>
      </c>
      <c r="BC291" s="173">
        <v>281</v>
      </c>
      <c r="BD291" s="84">
        <f t="shared" si="127"/>
        <v>3.8999999999999999E-6</v>
      </c>
      <c r="BE291" s="207">
        <f t="shared" si="128"/>
        <v>0</v>
      </c>
      <c r="BF291" s="233">
        <f t="shared" si="129"/>
        <v>2.9099999999999999E-5</v>
      </c>
      <c r="BG291" s="15">
        <f t="shared" si="133"/>
        <v>0</v>
      </c>
      <c r="BH291" s="173">
        <v>281</v>
      </c>
      <c r="BI291" s="84">
        <f t="shared" si="130"/>
        <v>3.8999999999999999E-6</v>
      </c>
      <c r="BJ291" s="207">
        <f t="shared" si="131"/>
        <v>0</v>
      </c>
      <c r="BL291" s="123"/>
      <c r="BM291" s="123"/>
      <c r="BO291" s="173"/>
      <c r="BP291" s="174" t="str">
        <f t="shared" si="134"/>
        <v/>
      </c>
      <c r="BQ291" s="174" t="str">
        <f t="shared" si="135"/>
        <v/>
      </c>
      <c r="BR291" s="174" t="str">
        <f t="shared" si="136"/>
        <v/>
      </c>
      <c r="BS291" s="174" t="str">
        <f t="shared" si="137"/>
        <v/>
      </c>
      <c r="BT291" s="174" t="str">
        <f t="shared" si="138"/>
        <v/>
      </c>
      <c r="BU291" s="174" t="str">
        <f t="shared" si="139"/>
        <v/>
      </c>
      <c r="BV291" s="174" t="str">
        <f t="shared" si="140"/>
        <v/>
      </c>
      <c r="BW291" s="174" t="str">
        <f t="shared" si="141"/>
        <v/>
      </c>
      <c r="BX291" s="174" t="str">
        <f t="shared" si="142"/>
        <v/>
      </c>
      <c r="BY291" s="174" t="str">
        <f t="shared" si="143"/>
        <v/>
      </c>
      <c r="BZ291" s="174" t="str">
        <f t="shared" si="144"/>
        <v/>
      </c>
      <c r="CA291" s="174" t="str">
        <f t="shared" si="145"/>
        <v/>
      </c>
      <c r="CB291" s="161"/>
      <c r="CC291" s="161"/>
      <c r="CD291" s="161"/>
      <c r="CE291" s="161" t="s">
        <v>150</v>
      </c>
      <c r="CF291" s="161"/>
    </row>
    <row r="292" spans="1:84" ht="14.25" customHeight="1" thickBot="1" x14ac:dyDescent="0.3">
      <c r="A292" s="205">
        <v>282</v>
      </c>
      <c r="B292" s="85"/>
      <c r="C292" s="195"/>
      <c r="D292" s="91"/>
      <c r="E292" s="310" t="s">
        <v>92</v>
      </c>
      <c r="F292" s="93"/>
      <c r="G292" s="97"/>
      <c r="H292" s="97"/>
      <c r="I292" s="97"/>
      <c r="J292" s="97"/>
      <c r="K292" s="97"/>
      <c r="L292" s="224">
        <f t="shared" si="146"/>
        <v>0</v>
      </c>
      <c r="M292" s="300"/>
      <c r="N292" s="301"/>
      <c r="O292" s="342"/>
      <c r="P292" s="313" t="s">
        <v>66</v>
      </c>
      <c r="Q292" s="93"/>
      <c r="R292" s="97"/>
      <c r="S292" s="97"/>
      <c r="T292" s="97"/>
      <c r="U292" s="97"/>
      <c r="V292" s="97"/>
      <c r="W292" s="224">
        <f t="shared" si="147"/>
        <v>0</v>
      </c>
      <c r="X292" s="300"/>
      <c r="Y292" s="301"/>
      <c r="Z292" s="342"/>
      <c r="AA292" s="313" t="s">
        <v>86</v>
      </c>
      <c r="AB292" s="78"/>
      <c r="AC292" s="321"/>
      <c r="AD292" s="321"/>
      <c r="AE292" s="321"/>
      <c r="AF292" s="321"/>
      <c r="AG292" s="322"/>
      <c r="AH292" s="88">
        <f t="shared" si="148"/>
        <v>0</v>
      </c>
      <c r="AI292" s="78"/>
      <c r="AJ292" s="322"/>
      <c r="AK292" s="345"/>
      <c r="AL292" s="102"/>
      <c r="AM292" s="99"/>
      <c r="AN292" s="227"/>
      <c r="AO292" s="221"/>
      <c r="AP292" s="90"/>
      <c r="AQ292" s="221"/>
      <c r="AR292" s="90"/>
      <c r="AS292" s="221"/>
      <c r="AT292" s="90"/>
      <c r="AU292" s="15">
        <f t="shared" si="122"/>
        <v>2.9199999999999998E-5</v>
      </c>
      <c r="AV292" s="15">
        <f t="shared" si="123"/>
        <v>0</v>
      </c>
      <c r="AW292" s="15"/>
      <c r="AX292" s="173">
        <v>282</v>
      </c>
      <c r="AY292" s="206">
        <f t="shared" si="124"/>
        <v>5.4E-6</v>
      </c>
      <c r="AZ292" s="173">
        <f t="shared" si="125"/>
        <v>0</v>
      </c>
      <c r="BA292" s="233">
        <f t="shared" si="126"/>
        <v>2.9199999999999998E-5</v>
      </c>
      <c r="BB292" s="15">
        <f t="shared" si="132"/>
        <v>0</v>
      </c>
      <c r="BC292" s="173">
        <v>282</v>
      </c>
      <c r="BD292" s="84">
        <f t="shared" si="127"/>
        <v>3.8E-6</v>
      </c>
      <c r="BE292" s="207">
        <f t="shared" si="128"/>
        <v>0</v>
      </c>
      <c r="BF292" s="233">
        <f t="shared" si="129"/>
        <v>2.9199999999999998E-5</v>
      </c>
      <c r="BG292" s="15">
        <f t="shared" si="133"/>
        <v>0</v>
      </c>
      <c r="BH292" s="173">
        <v>282</v>
      </c>
      <c r="BI292" s="84">
        <f t="shared" si="130"/>
        <v>3.8E-6</v>
      </c>
      <c r="BJ292" s="207">
        <f t="shared" si="131"/>
        <v>0</v>
      </c>
      <c r="BL292" s="123"/>
      <c r="BM292" s="123"/>
      <c r="BO292" s="173"/>
      <c r="BP292" s="174" t="str">
        <f t="shared" si="134"/>
        <v/>
      </c>
      <c r="BQ292" s="174" t="str">
        <f t="shared" si="135"/>
        <v/>
      </c>
      <c r="BR292" s="174" t="str">
        <f t="shared" si="136"/>
        <v/>
      </c>
      <c r="BS292" s="174" t="str">
        <f t="shared" si="137"/>
        <v/>
      </c>
      <c r="BT292" s="174" t="str">
        <f t="shared" si="138"/>
        <v/>
      </c>
      <c r="BU292" s="174" t="str">
        <f t="shared" si="139"/>
        <v/>
      </c>
      <c r="BV292" s="174" t="str">
        <f t="shared" si="140"/>
        <v/>
      </c>
      <c r="BW292" s="174" t="str">
        <f t="shared" si="141"/>
        <v/>
      </c>
      <c r="BX292" s="174" t="str">
        <f t="shared" si="142"/>
        <v/>
      </c>
      <c r="BY292" s="174" t="str">
        <f t="shared" si="143"/>
        <v/>
      </c>
      <c r="BZ292" s="174" t="str">
        <f t="shared" si="144"/>
        <v/>
      </c>
      <c r="CA292" s="174" t="str">
        <f t="shared" si="145"/>
        <v/>
      </c>
      <c r="CB292" s="161"/>
      <c r="CC292" s="161"/>
      <c r="CD292" s="161"/>
      <c r="CE292" s="161" t="s">
        <v>150</v>
      </c>
      <c r="CF292" s="161"/>
    </row>
    <row r="293" spans="1:84" ht="14.25" customHeight="1" x14ac:dyDescent="0.25">
      <c r="A293" s="203">
        <v>283</v>
      </c>
      <c r="B293" s="86"/>
      <c r="C293" s="193"/>
      <c r="D293" s="143"/>
      <c r="E293" s="308" t="s">
        <v>92</v>
      </c>
      <c r="F293" s="213"/>
      <c r="G293" s="214"/>
      <c r="H293" s="214"/>
      <c r="I293" s="214"/>
      <c r="J293" s="214"/>
      <c r="K293" s="214"/>
      <c r="L293" s="295">
        <f t="shared" si="146"/>
        <v>0</v>
      </c>
      <c r="M293" s="296"/>
      <c r="N293" s="297"/>
      <c r="O293" s="340"/>
      <c r="P293" s="311" t="s">
        <v>66</v>
      </c>
      <c r="Q293" s="213"/>
      <c r="R293" s="214"/>
      <c r="S293" s="214"/>
      <c r="T293" s="214"/>
      <c r="U293" s="214"/>
      <c r="V293" s="214"/>
      <c r="W293" s="295">
        <f t="shared" si="147"/>
        <v>0</v>
      </c>
      <c r="X293" s="296"/>
      <c r="Y293" s="297"/>
      <c r="Z293" s="346"/>
      <c r="AA293" s="314" t="s">
        <v>148</v>
      </c>
      <c r="AB293" s="13"/>
      <c r="AC293" s="222"/>
      <c r="AD293" s="222"/>
      <c r="AE293" s="222"/>
      <c r="AF293" s="222"/>
      <c r="AG293" s="5"/>
      <c r="AH293" s="20">
        <f t="shared" si="148"/>
        <v>0</v>
      </c>
      <c r="AI293" s="13"/>
      <c r="AJ293" s="5"/>
      <c r="AK293" s="343"/>
      <c r="AL293" s="100"/>
      <c r="AM293" s="98"/>
      <c r="AN293" s="226"/>
      <c r="AO293" s="225"/>
      <c r="AP293" s="89"/>
      <c r="AQ293" s="225"/>
      <c r="AR293" s="89"/>
      <c r="AS293" s="225"/>
      <c r="AT293" s="89"/>
      <c r="AU293" s="15">
        <f t="shared" si="122"/>
        <v>2.9299999999999997E-5</v>
      </c>
      <c r="AV293" s="15">
        <f t="shared" si="123"/>
        <v>0</v>
      </c>
      <c r="AW293" s="15"/>
      <c r="AX293" s="173">
        <v>283</v>
      </c>
      <c r="AY293" s="206">
        <f t="shared" si="124"/>
        <v>5.3000000000000001E-6</v>
      </c>
      <c r="AZ293" s="173">
        <f t="shared" si="125"/>
        <v>0</v>
      </c>
      <c r="BA293" s="233">
        <f t="shared" si="126"/>
        <v>2.9299999999999997E-5</v>
      </c>
      <c r="BB293" s="15">
        <f t="shared" si="132"/>
        <v>0</v>
      </c>
      <c r="BC293" s="173">
        <v>283</v>
      </c>
      <c r="BD293" s="84">
        <f t="shared" si="127"/>
        <v>3.6999999999999997E-6</v>
      </c>
      <c r="BE293" s="207">
        <f t="shared" si="128"/>
        <v>0</v>
      </c>
      <c r="BF293" s="233">
        <f t="shared" si="129"/>
        <v>2.9299999999999997E-5</v>
      </c>
      <c r="BG293" s="15">
        <f t="shared" si="133"/>
        <v>0</v>
      </c>
      <c r="BH293" s="173">
        <v>283</v>
      </c>
      <c r="BI293" s="84">
        <f t="shared" si="130"/>
        <v>3.6999999999999997E-6</v>
      </c>
      <c r="BJ293" s="207">
        <f t="shared" si="131"/>
        <v>0</v>
      </c>
      <c r="BL293" s="123"/>
      <c r="BM293" s="123"/>
      <c r="BO293" s="173"/>
      <c r="BP293" s="174" t="str">
        <f t="shared" si="134"/>
        <v/>
      </c>
      <c r="BQ293" s="174" t="str">
        <f t="shared" si="135"/>
        <v/>
      </c>
      <c r="BR293" s="174" t="str">
        <f t="shared" si="136"/>
        <v/>
      </c>
      <c r="BS293" s="174" t="str">
        <f t="shared" si="137"/>
        <v/>
      </c>
      <c r="BT293" s="174" t="str">
        <f t="shared" si="138"/>
        <v/>
      </c>
      <c r="BU293" s="174" t="str">
        <f t="shared" si="139"/>
        <v/>
      </c>
      <c r="BV293" s="174" t="str">
        <f t="shared" si="140"/>
        <v/>
      </c>
      <c r="BW293" s="174" t="str">
        <f t="shared" si="141"/>
        <v/>
      </c>
      <c r="BX293" s="174" t="str">
        <f t="shared" si="142"/>
        <v/>
      </c>
      <c r="BY293" s="174" t="str">
        <f t="shared" si="143"/>
        <v/>
      </c>
      <c r="BZ293" s="174" t="str">
        <f t="shared" si="144"/>
        <v/>
      </c>
      <c r="CA293" s="174" t="str">
        <f t="shared" si="145"/>
        <v/>
      </c>
      <c r="CB293" s="161"/>
      <c r="CC293" s="161"/>
      <c r="CD293" s="161"/>
      <c r="CE293" s="161" t="s">
        <v>150</v>
      </c>
      <c r="CF293" s="161"/>
    </row>
    <row r="294" spans="1:84" ht="14.25" customHeight="1" x14ac:dyDescent="0.25">
      <c r="A294" s="204">
        <v>284</v>
      </c>
      <c r="B294" s="211"/>
      <c r="C294" s="194"/>
      <c r="D294" s="142"/>
      <c r="E294" s="309" t="s">
        <v>92</v>
      </c>
      <c r="F294" s="305"/>
      <c r="G294" s="306"/>
      <c r="H294" s="306"/>
      <c r="I294" s="306"/>
      <c r="J294" s="306"/>
      <c r="K294" s="306"/>
      <c r="L294" s="223">
        <f t="shared" si="146"/>
        <v>0</v>
      </c>
      <c r="M294" s="298"/>
      <c r="N294" s="299"/>
      <c r="O294" s="341"/>
      <c r="P294" s="312" t="s">
        <v>66</v>
      </c>
      <c r="Q294" s="305"/>
      <c r="R294" s="306"/>
      <c r="S294" s="306"/>
      <c r="T294" s="306"/>
      <c r="U294" s="306"/>
      <c r="V294" s="306"/>
      <c r="W294" s="223">
        <f t="shared" si="147"/>
        <v>0</v>
      </c>
      <c r="X294" s="298"/>
      <c r="Y294" s="299"/>
      <c r="Z294" s="341"/>
      <c r="AA294" s="312" t="s">
        <v>86</v>
      </c>
      <c r="AB294" s="77"/>
      <c r="AC294" s="319"/>
      <c r="AD294" s="319"/>
      <c r="AE294" s="319"/>
      <c r="AF294" s="319"/>
      <c r="AG294" s="320"/>
      <c r="AH294" s="20">
        <f t="shared" si="148"/>
        <v>0</v>
      </c>
      <c r="AI294" s="77"/>
      <c r="AJ294" s="320"/>
      <c r="AK294" s="344"/>
      <c r="AL294" s="101"/>
      <c r="AM294" s="209"/>
      <c r="AN294" s="208"/>
      <c r="AO294" s="220"/>
      <c r="AP294" s="212"/>
      <c r="AQ294" s="220"/>
      <c r="AR294" s="212"/>
      <c r="AS294" s="220"/>
      <c r="AT294" s="212"/>
      <c r="AU294" s="15">
        <f t="shared" si="122"/>
        <v>2.94E-5</v>
      </c>
      <c r="AV294" s="15">
        <f t="shared" si="123"/>
        <v>0</v>
      </c>
      <c r="AW294" s="15"/>
      <c r="AX294" s="173">
        <v>284</v>
      </c>
      <c r="AY294" s="206">
        <f t="shared" si="124"/>
        <v>5.1999999999999993E-6</v>
      </c>
      <c r="AZ294" s="173">
        <f t="shared" si="125"/>
        <v>0</v>
      </c>
      <c r="BA294" s="233">
        <f t="shared" si="126"/>
        <v>2.94E-5</v>
      </c>
      <c r="BB294" s="15">
        <f t="shared" si="132"/>
        <v>0</v>
      </c>
      <c r="BC294" s="173">
        <v>284</v>
      </c>
      <c r="BD294" s="84">
        <f t="shared" si="127"/>
        <v>3.5999999999999998E-6</v>
      </c>
      <c r="BE294" s="207">
        <f t="shared" si="128"/>
        <v>0</v>
      </c>
      <c r="BF294" s="233">
        <f t="shared" si="129"/>
        <v>2.94E-5</v>
      </c>
      <c r="BG294" s="15">
        <f t="shared" si="133"/>
        <v>0</v>
      </c>
      <c r="BH294" s="173">
        <v>284</v>
      </c>
      <c r="BI294" s="84">
        <f t="shared" si="130"/>
        <v>3.5999999999999998E-6</v>
      </c>
      <c r="BJ294" s="207">
        <f t="shared" si="131"/>
        <v>0</v>
      </c>
      <c r="BL294" s="123"/>
      <c r="BM294" s="123"/>
      <c r="BO294" s="173"/>
      <c r="BP294" s="174" t="str">
        <f t="shared" si="134"/>
        <v/>
      </c>
      <c r="BQ294" s="174" t="str">
        <f t="shared" si="135"/>
        <v/>
      </c>
      <c r="BR294" s="174" t="str">
        <f t="shared" si="136"/>
        <v/>
      </c>
      <c r="BS294" s="174" t="str">
        <f t="shared" si="137"/>
        <v/>
      </c>
      <c r="BT294" s="174" t="str">
        <f t="shared" si="138"/>
        <v/>
      </c>
      <c r="BU294" s="174" t="str">
        <f t="shared" si="139"/>
        <v/>
      </c>
      <c r="BV294" s="174" t="str">
        <f t="shared" si="140"/>
        <v/>
      </c>
      <c r="BW294" s="174" t="str">
        <f t="shared" si="141"/>
        <v/>
      </c>
      <c r="BX294" s="174" t="str">
        <f t="shared" si="142"/>
        <v/>
      </c>
      <c r="BY294" s="174" t="str">
        <f t="shared" si="143"/>
        <v/>
      </c>
      <c r="BZ294" s="174" t="str">
        <f t="shared" si="144"/>
        <v/>
      </c>
      <c r="CA294" s="174" t="str">
        <f t="shared" si="145"/>
        <v/>
      </c>
      <c r="CB294" s="161"/>
      <c r="CC294" s="161"/>
      <c r="CD294" s="161"/>
      <c r="CE294" s="161" t="s">
        <v>150</v>
      </c>
      <c r="CF294" s="161"/>
    </row>
    <row r="295" spans="1:84" ht="14.25" customHeight="1" thickBot="1" x14ac:dyDescent="0.3">
      <c r="A295" s="205">
        <v>285</v>
      </c>
      <c r="B295" s="85"/>
      <c r="C295" s="195"/>
      <c r="D295" s="91"/>
      <c r="E295" s="310" t="s">
        <v>92</v>
      </c>
      <c r="F295" s="93"/>
      <c r="G295" s="97"/>
      <c r="H295" s="97"/>
      <c r="I295" s="97"/>
      <c r="J295" s="97"/>
      <c r="K295" s="97"/>
      <c r="L295" s="224">
        <f t="shared" si="146"/>
        <v>0</v>
      </c>
      <c r="M295" s="300"/>
      <c r="N295" s="301"/>
      <c r="O295" s="342"/>
      <c r="P295" s="313" t="s">
        <v>66</v>
      </c>
      <c r="Q295" s="93"/>
      <c r="R295" s="97"/>
      <c r="S295" s="97"/>
      <c r="T295" s="97"/>
      <c r="U295" s="97"/>
      <c r="V295" s="97"/>
      <c r="W295" s="224">
        <f t="shared" si="147"/>
        <v>0</v>
      </c>
      <c r="X295" s="300"/>
      <c r="Y295" s="301"/>
      <c r="Z295" s="342"/>
      <c r="AA295" s="313" t="s">
        <v>86</v>
      </c>
      <c r="AB295" s="78"/>
      <c r="AC295" s="321"/>
      <c r="AD295" s="321"/>
      <c r="AE295" s="321"/>
      <c r="AF295" s="321"/>
      <c r="AG295" s="322"/>
      <c r="AH295" s="88">
        <f t="shared" si="148"/>
        <v>0</v>
      </c>
      <c r="AI295" s="78"/>
      <c r="AJ295" s="322"/>
      <c r="AK295" s="345"/>
      <c r="AL295" s="102"/>
      <c r="AM295" s="99"/>
      <c r="AN295" s="227"/>
      <c r="AO295" s="221"/>
      <c r="AP295" s="90"/>
      <c r="AQ295" s="221"/>
      <c r="AR295" s="90"/>
      <c r="AS295" s="221"/>
      <c r="AT295" s="90"/>
      <c r="AU295" s="15">
        <f t="shared" si="122"/>
        <v>2.9499999999999999E-5</v>
      </c>
      <c r="AV295" s="15">
        <f t="shared" si="123"/>
        <v>0</v>
      </c>
      <c r="AW295" s="15"/>
      <c r="AX295" s="173">
        <v>285</v>
      </c>
      <c r="AY295" s="206">
        <f t="shared" si="124"/>
        <v>5.0999999999999995E-6</v>
      </c>
      <c r="AZ295" s="173">
        <f t="shared" si="125"/>
        <v>0</v>
      </c>
      <c r="BA295" s="233">
        <f t="shared" si="126"/>
        <v>2.9499999999999999E-5</v>
      </c>
      <c r="BB295" s="15">
        <f t="shared" si="132"/>
        <v>0</v>
      </c>
      <c r="BC295" s="173">
        <v>285</v>
      </c>
      <c r="BD295" s="84">
        <f t="shared" si="127"/>
        <v>3.4999999999999999E-6</v>
      </c>
      <c r="BE295" s="207">
        <f t="shared" si="128"/>
        <v>0</v>
      </c>
      <c r="BF295" s="233">
        <f t="shared" si="129"/>
        <v>2.9499999999999999E-5</v>
      </c>
      <c r="BG295" s="15">
        <f t="shared" si="133"/>
        <v>0</v>
      </c>
      <c r="BH295" s="173">
        <v>285</v>
      </c>
      <c r="BI295" s="84">
        <f t="shared" si="130"/>
        <v>3.4999999999999999E-6</v>
      </c>
      <c r="BJ295" s="207">
        <f t="shared" si="131"/>
        <v>0</v>
      </c>
      <c r="BL295" s="123"/>
      <c r="BM295" s="123"/>
      <c r="BO295" s="173"/>
      <c r="BP295" s="174" t="str">
        <f t="shared" si="134"/>
        <v/>
      </c>
      <c r="BQ295" s="174" t="str">
        <f t="shared" si="135"/>
        <v/>
      </c>
      <c r="BR295" s="174" t="str">
        <f t="shared" si="136"/>
        <v/>
      </c>
      <c r="BS295" s="174" t="str">
        <f t="shared" si="137"/>
        <v/>
      </c>
      <c r="BT295" s="174" t="str">
        <f t="shared" si="138"/>
        <v/>
      </c>
      <c r="BU295" s="174" t="str">
        <f t="shared" si="139"/>
        <v/>
      </c>
      <c r="BV295" s="174" t="str">
        <f t="shared" si="140"/>
        <v/>
      </c>
      <c r="BW295" s="174" t="str">
        <f t="shared" si="141"/>
        <v/>
      </c>
      <c r="BX295" s="174" t="str">
        <f t="shared" si="142"/>
        <v/>
      </c>
      <c r="BY295" s="174" t="str">
        <f t="shared" si="143"/>
        <v/>
      </c>
      <c r="BZ295" s="174" t="str">
        <f t="shared" si="144"/>
        <v/>
      </c>
      <c r="CA295" s="174" t="str">
        <f t="shared" si="145"/>
        <v/>
      </c>
      <c r="CB295" s="161"/>
      <c r="CC295" s="161"/>
      <c r="CD295" s="161"/>
      <c r="CE295" s="161" t="s">
        <v>150</v>
      </c>
      <c r="CF295" s="161"/>
    </row>
    <row r="296" spans="1:84" ht="14.25" customHeight="1" x14ac:dyDescent="0.25">
      <c r="A296" s="203">
        <v>286</v>
      </c>
      <c r="B296" s="86"/>
      <c r="C296" s="193"/>
      <c r="D296" s="143"/>
      <c r="E296" s="308" t="s">
        <v>92</v>
      </c>
      <c r="F296" s="213"/>
      <c r="G296" s="214"/>
      <c r="H296" s="214"/>
      <c r="I296" s="214"/>
      <c r="J296" s="214"/>
      <c r="K296" s="214"/>
      <c r="L296" s="295">
        <f t="shared" si="146"/>
        <v>0</v>
      </c>
      <c r="M296" s="296"/>
      <c r="N296" s="297"/>
      <c r="O296" s="340"/>
      <c r="P296" s="311" t="s">
        <v>66</v>
      </c>
      <c r="Q296" s="213"/>
      <c r="R296" s="214"/>
      <c r="S296" s="214"/>
      <c r="T296" s="214"/>
      <c r="U296" s="214"/>
      <c r="V296" s="214"/>
      <c r="W296" s="295">
        <f t="shared" si="147"/>
        <v>0</v>
      </c>
      <c r="X296" s="296"/>
      <c r="Y296" s="297"/>
      <c r="Z296" s="346"/>
      <c r="AA296" s="314" t="s">
        <v>148</v>
      </c>
      <c r="AB296" s="13"/>
      <c r="AC296" s="222"/>
      <c r="AD296" s="222"/>
      <c r="AE296" s="222"/>
      <c r="AF296" s="222"/>
      <c r="AG296" s="5"/>
      <c r="AH296" s="20">
        <f t="shared" si="148"/>
        <v>0</v>
      </c>
      <c r="AI296" s="13"/>
      <c r="AJ296" s="5"/>
      <c r="AK296" s="343"/>
      <c r="AL296" s="100"/>
      <c r="AM296" s="98"/>
      <c r="AN296" s="226"/>
      <c r="AO296" s="225"/>
      <c r="AP296" s="89"/>
      <c r="AQ296" s="225"/>
      <c r="AR296" s="89"/>
      <c r="AS296" s="225"/>
      <c r="AT296" s="89"/>
      <c r="AU296" s="15">
        <f t="shared" si="122"/>
        <v>2.9599999999999998E-5</v>
      </c>
      <c r="AV296" s="15">
        <f t="shared" si="123"/>
        <v>0</v>
      </c>
      <c r="AW296" s="15"/>
      <c r="AX296" s="173">
        <v>286</v>
      </c>
      <c r="AY296" s="206">
        <f t="shared" si="124"/>
        <v>4.9999999999999996E-6</v>
      </c>
      <c r="AZ296" s="173">
        <f t="shared" si="125"/>
        <v>0</v>
      </c>
      <c r="BA296" s="233">
        <f t="shared" si="126"/>
        <v>2.9599999999999998E-5</v>
      </c>
      <c r="BB296" s="15">
        <f t="shared" si="132"/>
        <v>0</v>
      </c>
      <c r="BC296" s="173">
        <v>286</v>
      </c>
      <c r="BD296" s="84">
        <f t="shared" si="127"/>
        <v>3.3999999999999996E-6</v>
      </c>
      <c r="BE296" s="207">
        <f t="shared" si="128"/>
        <v>0</v>
      </c>
      <c r="BF296" s="233">
        <f t="shared" si="129"/>
        <v>2.9599999999999998E-5</v>
      </c>
      <c r="BG296" s="15">
        <f t="shared" si="133"/>
        <v>0</v>
      </c>
      <c r="BH296" s="173">
        <v>286</v>
      </c>
      <c r="BI296" s="84">
        <f t="shared" si="130"/>
        <v>3.3999999999999996E-6</v>
      </c>
      <c r="BJ296" s="207">
        <f t="shared" si="131"/>
        <v>0</v>
      </c>
      <c r="BL296" s="123"/>
      <c r="BM296" s="123"/>
      <c r="BO296" s="173"/>
      <c r="BP296" s="174" t="str">
        <f t="shared" si="134"/>
        <v/>
      </c>
      <c r="BQ296" s="174" t="str">
        <f t="shared" si="135"/>
        <v/>
      </c>
      <c r="BR296" s="174" t="str">
        <f t="shared" si="136"/>
        <v/>
      </c>
      <c r="BS296" s="174" t="str">
        <f t="shared" si="137"/>
        <v/>
      </c>
      <c r="BT296" s="174" t="str">
        <f t="shared" si="138"/>
        <v/>
      </c>
      <c r="BU296" s="174" t="str">
        <f t="shared" si="139"/>
        <v/>
      </c>
      <c r="BV296" s="174" t="str">
        <f t="shared" si="140"/>
        <v/>
      </c>
      <c r="BW296" s="174" t="str">
        <f t="shared" si="141"/>
        <v/>
      </c>
      <c r="BX296" s="174" t="str">
        <f t="shared" si="142"/>
        <v/>
      </c>
      <c r="BY296" s="174" t="str">
        <f t="shared" si="143"/>
        <v/>
      </c>
      <c r="BZ296" s="174" t="str">
        <f t="shared" si="144"/>
        <v/>
      </c>
      <c r="CA296" s="174" t="str">
        <f t="shared" si="145"/>
        <v/>
      </c>
      <c r="CB296" s="161"/>
      <c r="CC296" s="161"/>
      <c r="CD296" s="161"/>
      <c r="CE296" s="161" t="s">
        <v>150</v>
      </c>
      <c r="CF296" s="161"/>
    </row>
    <row r="297" spans="1:84" ht="14.25" customHeight="1" x14ac:dyDescent="0.25">
      <c r="A297" s="204">
        <v>287</v>
      </c>
      <c r="B297" s="211"/>
      <c r="C297" s="194"/>
      <c r="D297" s="142"/>
      <c r="E297" s="309" t="s">
        <v>92</v>
      </c>
      <c r="F297" s="305"/>
      <c r="G297" s="306"/>
      <c r="H297" s="306"/>
      <c r="I297" s="306"/>
      <c r="J297" s="306"/>
      <c r="K297" s="306"/>
      <c r="L297" s="223">
        <f t="shared" si="146"/>
        <v>0</v>
      </c>
      <c r="M297" s="298"/>
      <c r="N297" s="299"/>
      <c r="O297" s="341"/>
      <c r="P297" s="312" t="s">
        <v>66</v>
      </c>
      <c r="Q297" s="305"/>
      <c r="R297" s="306"/>
      <c r="S297" s="306"/>
      <c r="T297" s="306"/>
      <c r="U297" s="306"/>
      <c r="V297" s="306"/>
      <c r="W297" s="223">
        <f t="shared" si="147"/>
        <v>0</v>
      </c>
      <c r="X297" s="298"/>
      <c r="Y297" s="299"/>
      <c r="Z297" s="341"/>
      <c r="AA297" s="312" t="s">
        <v>86</v>
      </c>
      <c r="AB297" s="77"/>
      <c r="AC297" s="319"/>
      <c r="AD297" s="319"/>
      <c r="AE297" s="319"/>
      <c r="AF297" s="319"/>
      <c r="AG297" s="320"/>
      <c r="AH297" s="20">
        <f t="shared" si="148"/>
        <v>0</v>
      </c>
      <c r="AI297" s="77"/>
      <c r="AJ297" s="320"/>
      <c r="AK297" s="344"/>
      <c r="AL297" s="101"/>
      <c r="AM297" s="209"/>
      <c r="AN297" s="208"/>
      <c r="AO297" s="220"/>
      <c r="AP297" s="212"/>
      <c r="AQ297" s="220"/>
      <c r="AR297" s="212"/>
      <c r="AS297" s="220"/>
      <c r="AT297" s="212"/>
      <c r="AU297" s="15">
        <f t="shared" si="122"/>
        <v>2.97E-5</v>
      </c>
      <c r="AV297" s="15">
        <f t="shared" si="123"/>
        <v>0</v>
      </c>
      <c r="AW297" s="15"/>
      <c r="AX297" s="173">
        <v>287</v>
      </c>
      <c r="AY297" s="206">
        <f t="shared" si="124"/>
        <v>4.8999999999999997E-6</v>
      </c>
      <c r="AZ297" s="173">
        <f t="shared" si="125"/>
        <v>0</v>
      </c>
      <c r="BA297" s="233">
        <f t="shared" si="126"/>
        <v>2.97E-5</v>
      </c>
      <c r="BB297" s="15">
        <f t="shared" si="132"/>
        <v>0</v>
      </c>
      <c r="BC297" s="173">
        <v>287</v>
      </c>
      <c r="BD297" s="84">
        <f t="shared" si="127"/>
        <v>3.2999999999999997E-6</v>
      </c>
      <c r="BE297" s="207">
        <f t="shared" si="128"/>
        <v>0</v>
      </c>
      <c r="BF297" s="233">
        <f t="shared" si="129"/>
        <v>2.97E-5</v>
      </c>
      <c r="BG297" s="15">
        <f t="shared" si="133"/>
        <v>0</v>
      </c>
      <c r="BH297" s="173">
        <v>287</v>
      </c>
      <c r="BI297" s="84">
        <f t="shared" si="130"/>
        <v>3.2999999999999997E-6</v>
      </c>
      <c r="BJ297" s="207">
        <f t="shared" si="131"/>
        <v>0</v>
      </c>
      <c r="BL297" s="123"/>
      <c r="BM297" s="123"/>
      <c r="BO297" s="173"/>
      <c r="BP297" s="174" t="str">
        <f t="shared" si="134"/>
        <v/>
      </c>
      <c r="BQ297" s="174" t="str">
        <f t="shared" si="135"/>
        <v/>
      </c>
      <c r="BR297" s="174" t="str">
        <f t="shared" si="136"/>
        <v/>
      </c>
      <c r="BS297" s="174" t="str">
        <f t="shared" si="137"/>
        <v/>
      </c>
      <c r="BT297" s="174" t="str">
        <f t="shared" si="138"/>
        <v/>
      </c>
      <c r="BU297" s="174" t="str">
        <f t="shared" si="139"/>
        <v/>
      </c>
      <c r="BV297" s="174" t="str">
        <f t="shared" si="140"/>
        <v/>
      </c>
      <c r="BW297" s="174" t="str">
        <f t="shared" si="141"/>
        <v/>
      </c>
      <c r="BX297" s="174" t="str">
        <f t="shared" si="142"/>
        <v/>
      </c>
      <c r="BY297" s="174" t="str">
        <f t="shared" si="143"/>
        <v/>
      </c>
      <c r="BZ297" s="174" t="str">
        <f t="shared" si="144"/>
        <v/>
      </c>
      <c r="CA297" s="174" t="str">
        <f t="shared" si="145"/>
        <v/>
      </c>
      <c r="CB297" s="161"/>
      <c r="CC297" s="161"/>
      <c r="CD297" s="161"/>
      <c r="CE297" s="161" t="s">
        <v>150</v>
      </c>
      <c r="CF297" s="161"/>
    </row>
    <row r="298" spans="1:84" ht="14.25" customHeight="1" thickBot="1" x14ac:dyDescent="0.3">
      <c r="A298" s="205">
        <v>288</v>
      </c>
      <c r="B298" s="85"/>
      <c r="C298" s="195"/>
      <c r="D298" s="91"/>
      <c r="E298" s="310" t="s">
        <v>92</v>
      </c>
      <c r="F298" s="93"/>
      <c r="G298" s="97"/>
      <c r="H298" s="97"/>
      <c r="I298" s="97"/>
      <c r="J298" s="97"/>
      <c r="K298" s="97"/>
      <c r="L298" s="224">
        <f t="shared" si="146"/>
        <v>0</v>
      </c>
      <c r="M298" s="300"/>
      <c r="N298" s="301"/>
      <c r="O298" s="342"/>
      <c r="P298" s="313" t="s">
        <v>66</v>
      </c>
      <c r="Q298" s="93"/>
      <c r="R298" s="97"/>
      <c r="S298" s="97"/>
      <c r="T298" s="97"/>
      <c r="U298" s="97"/>
      <c r="V298" s="97"/>
      <c r="W298" s="224">
        <f t="shared" si="147"/>
        <v>0</v>
      </c>
      <c r="X298" s="300"/>
      <c r="Y298" s="301"/>
      <c r="Z298" s="342"/>
      <c r="AA298" s="313" t="s">
        <v>86</v>
      </c>
      <c r="AB298" s="78"/>
      <c r="AC298" s="321"/>
      <c r="AD298" s="321"/>
      <c r="AE298" s="321"/>
      <c r="AF298" s="321"/>
      <c r="AG298" s="322"/>
      <c r="AH298" s="88">
        <f t="shared" si="148"/>
        <v>0</v>
      </c>
      <c r="AI298" s="78"/>
      <c r="AJ298" s="322"/>
      <c r="AK298" s="345"/>
      <c r="AL298" s="102"/>
      <c r="AM298" s="99"/>
      <c r="AN298" s="227"/>
      <c r="AO298" s="221"/>
      <c r="AP298" s="90"/>
      <c r="AQ298" s="221"/>
      <c r="AR298" s="90"/>
      <c r="AS298" s="221"/>
      <c r="AT298" s="90"/>
      <c r="AU298" s="15">
        <f t="shared" si="122"/>
        <v>2.9799999999999999E-5</v>
      </c>
      <c r="AV298" s="15">
        <f t="shared" si="123"/>
        <v>0</v>
      </c>
      <c r="AW298" s="15"/>
      <c r="AX298" s="173">
        <v>288</v>
      </c>
      <c r="AY298" s="206">
        <f t="shared" si="124"/>
        <v>4.7999999999999998E-6</v>
      </c>
      <c r="AZ298" s="173">
        <f t="shared" si="125"/>
        <v>0</v>
      </c>
      <c r="BA298" s="233">
        <f t="shared" si="126"/>
        <v>2.9799999999999999E-5</v>
      </c>
      <c r="BB298" s="15">
        <f t="shared" si="132"/>
        <v>0</v>
      </c>
      <c r="BC298" s="173">
        <v>288</v>
      </c>
      <c r="BD298" s="84">
        <f t="shared" si="127"/>
        <v>3.1999999999999999E-6</v>
      </c>
      <c r="BE298" s="207">
        <f t="shared" si="128"/>
        <v>0</v>
      </c>
      <c r="BF298" s="233">
        <f t="shared" si="129"/>
        <v>2.9799999999999999E-5</v>
      </c>
      <c r="BG298" s="15">
        <f t="shared" si="133"/>
        <v>0</v>
      </c>
      <c r="BH298" s="173">
        <v>288</v>
      </c>
      <c r="BI298" s="84">
        <f t="shared" si="130"/>
        <v>3.1999999999999999E-6</v>
      </c>
      <c r="BJ298" s="207">
        <f t="shared" si="131"/>
        <v>0</v>
      </c>
      <c r="BL298" s="123"/>
      <c r="BM298" s="123"/>
      <c r="BO298" s="173"/>
      <c r="BP298" s="174" t="str">
        <f t="shared" si="134"/>
        <v/>
      </c>
      <c r="BQ298" s="174" t="str">
        <f t="shared" si="135"/>
        <v/>
      </c>
      <c r="BR298" s="174" t="str">
        <f t="shared" si="136"/>
        <v/>
      </c>
      <c r="BS298" s="174" t="str">
        <f t="shared" si="137"/>
        <v/>
      </c>
      <c r="BT298" s="174" t="str">
        <f t="shared" si="138"/>
        <v/>
      </c>
      <c r="BU298" s="174" t="str">
        <f t="shared" si="139"/>
        <v/>
      </c>
      <c r="BV298" s="174" t="str">
        <f t="shared" si="140"/>
        <v/>
      </c>
      <c r="BW298" s="174" t="str">
        <f t="shared" si="141"/>
        <v/>
      </c>
      <c r="BX298" s="174" t="str">
        <f t="shared" si="142"/>
        <v/>
      </c>
      <c r="BY298" s="174" t="str">
        <f t="shared" si="143"/>
        <v/>
      </c>
      <c r="BZ298" s="174" t="str">
        <f t="shared" si="144"/>
        <v/>
      </c>
      <c r="CA298" s="174" t="str">
        <f t="shared" si="145"/>
        <v/>
      </c>
      <c r="CB298" s="161"/>
      <c r="CC298" s="161"/>
      <c r="CD298" s="161"/>
      <c r="CE298" s="161" t="s">
        <v>150</v>
      </c>
      <c r="CF298" s="161"/>
    </row>
    <row r="299" spans="1:84" ht="14.25" customHeight="1" x14ac:dyDescent="0.25">
      <c r="A299" s="203">
        <v>289</v>
      </c>
      <c r="B299" s="86"/>
      <c r="C299" s="193"/>
      <c r="D299" s="143"/>
      <c r="E299" s="308" t="s">
        <v>92</v>
      </c>
      <c r="F299" s="213"/>
      <c r="G299" s="214"/>
      <c r="H299" s="214"/>
      <c r="I299" s="214"/>
      <c r="J299" s="214"/>
      <c r="K299" s="214"/>
      <c r="L299" s="295">
        <f t="shared" si="146"/>
        <v>0</v>
      </c>
      <c r="M299" s="296"/>
      <c r="N299" s="297"/>
      <c r="O299" s="340"/>
      <c r="P299" s="311" t="s">
        <v>66</v>
      </c>
      <c r="Q299" s="213"/>
      <c r="R299" s="214"/>
      <c r="S299" s="214"/>
      <c r="T299" s="214"/>
      <c r="U299" s="214"/>
      <c r="V299" s="214"/>
      <c r="W299" s="295">
        <f t="shared" si="147"/>
        <v>0</v>
      </c>
      <c r="X299" s="296"/>
      <c r="Y299" s="297"/>
      <c r="Z299" s="346"/>
      <c r="AA299" s="314" t="s">
        <v>148</v>
      </c>
      <c r="AB299" s="13"/>
      <c r="AC299" s="222"/>
      <c r="AD299" s="222"/>
      <c r="AE299" s="222"/>
      <c r="AF299" s="222"/>
      <c r="AG299" s="5"/>
      <c r="AH299" s="20">
        <f t="shared" si="148"/>
        <v>0</v>
      </c>
      <c r="AI299" s="13"/>
      <c r="AJ299" s="5"/>
      <c r="AK299" s="343"/>
      <c r="AL299" s="100"/>
      <c r="AM299" s="98"/>
      <c r="AN299" s="226"/>
      <c r="AO299" s="225"/>
      <c r="AP299" s="89"/>
      <c r="AQ299" s="225"/>
      <c r="AR299" s="89"/>
      <c r="AS299" s="225"/>
      <c r="AT299" s="89"/>
      <c r="AU299" s="15">
        <f t="shared" si="122"/>
        <v>2.9899999999999998E-5</v>
      </c>
      <c r="AV299" s="15">
        <f t="shared" si="123"/>
        <v>0</v>
      </c>
      <c r="AW299" s="15"/>
      <c r="AX299" s="173">
        <v>289</v>
      </c>
      <c r="AY299" s="206">
        <f t="shared" si="124"/>
        <v>4.6999999999999999E-6</v>
      </c>
      <c r="AZ299" s="173">
        <f t="shared" si="125"/>
        <v>0</v>
      </c>
      <c r="BA299" s="233">
        <f t="shared" si="126"/>
        <v>2.9899999999999998E-5</v>
      </c>
      <c r="BB299" s="15">
        <f t="shared" si="132"/>
        <v>0</v>
      </c>
      <c r="BC299" s="173">
        <v>289</v>
      </c>
      <c r="BD299" s="84">
        <f t="shared" si="127"/>
        <v>3.1E-6</v>
      </c>
      <c r="BE299" s="207">
        <f t="shared" si="128"/>
        <v>0</v>
      </c>
      <c r="BF299" s="233">
        <f t="shared" si="129"/>
        <v>2.9899999999999998E-5</v>
      </c>
      <c r="BG299" s="15">
        <f t="shared" si="133"/>
        <v>0</v>
      </c>
      <c r="BH299" s="173">
        <v>289</v>
      </c>
      <c r="BI299" s="84">
        <f t="shared" si="130"/>
        <v>3.1E-6</v>
      </c>
      <c r="BJ299" s="207">
        <f t="shared" si="131"/>
        <v>0</v>
      </c>
      <c r="BL299" s="123"/>
      <c r="BM299" s="123"/>
      <c r="BO299" s="173"/>
      <c r="BP299" s="174" t="str">
        <f t="shared" si="134"/>
        <v/>
      </c>
      <c r="BQ299" s="174" t="str">
        <f t="shared" si="135"/>
        <v/>
      </c>
      <c r="BR299" s="174" t="str">
        <f t="shared" si="136"/>
        <v/>
      </c>
      <c r="BS299" s="174" t="str">
        <f t="shared" si="137"/>
        <v/>
      </c>
      <c r="BT299" s="174" t="str">
        <f t="shared" si="138"/>
        <v/>
      </c>
      <c r="BU299" s="174" t="str">
        <f t="shared" si="139"/>
        <v/>
      </c>
      <c r="BV299" s="174" t="str">
        <f t="shared" si="140"/>
        <v/>
      </c>
      <c r="BW299" s="174" t="str">
        <f t="shared" si="141"/>
        <v/>
      </c>
      <c r="BX299" s="174" t="str">
        <f t="shared" si="142"/>
        <v/>
      </c>
      <c r="BY299" s="174" t="str">
        <f t="shared" si="143"/>
        <v/>
      </c>
      <c r="BZ299" s="174" t="str">
        <f t="shared" si="144"/>
        <v/>
      </c>
      <c r="CA299" s="174" t="str">
        <f t="shared" si="145"/>
        <v/>
      </c>
      <c r="CB299" s="161"/>
      <c r="CC299" s="161"/>
      <c r="CD299" s="161"/>
      <c r="CE299" s="161" t="s">
        <v>150</v>
      </c>
      <c r="CF299" s="161"/>
    </row>
    <row r="300" spans="1:84" ht="14.25" customHeight="1" x14ac:dyDescent="0.25">
      <c r="A300" s="204">
        <v>290</v>
      </c>
      <c r="B300" s="211"/>
      <c r="C300" s="194"/>
      <c r="D300" s="142"/>
      <c r="E300" s="309" t="s">
        <v>92</v>
      </c>
      <c r="F300" s="305"/>
      <c r="G300" s="306"/>
      <c r="H300" s="306"/>
      <c r="I300" s="306"/>
      <c r="J300" s="306"/>
      <c r="K300" s="306"/>
      <c r="L300" s="223">
        <f t="shared" si="146"/>
        <v>0</v>
      </c>
      <c r="M300" s="298"/>
      <c r="N300" s="299"/>
      <c r="O300" s="341"/>
      <c r="P300" s="312" t="s">
        <v>66</v>
      </c>
      <c r="Q300" s="305"/>
      <c r="R300" s="306"/>
      <c r="S300" s="306"/>
      <c r="T300" s="306"/>
      <c r="U300" s="306"/>
      <c r="V300" s="306"/>
      <c r="W300" s="223">
        <f t="shared" si="147"/>
        <v>0</v>
      </c>
      <c r="X300" s="298"/>
      <c r="Y300" s="299"/>
      <c r="Z300" s="341"/>
      <c r="AA300" s="312" t="s">
        <v>86</v>
      </c>
      <c r="AB300" s="77"/>
      <c r="AC300" s="319"/>
      <c r="AD300" s="319"/>
      <c r="AE300" s="319"/>
      <c r="AF300" s="319"/>
      <c r="AG300" s="320"/>
      <c r="AH300" s="20">
        <f t="shared" si="148"/>
        <v>0</v>
      </c>
      <c r="AI300" s="77"/>
      <c r="AJ300" s="320"/>
      <c r="AK300" s="344"/>
      <c r="AL300" s="101"/>
      <c r="AM300" s="209"/>
      <c r="AN300" s="208"/>
      <c r="AO300" s="220"/>
      <c r="AP300" s="212"/>
      <c r="AQ300" s="220"/>
      <c r="AR300" s="212"/>
      <c r="AS300" s="220"/>
      <c r="AT300" s="212"/>
      <c r="AU300" s="15">
        <f t="shared" si="122"/>
        <v>2.9999999999999997E-5</v>
      </c>
      <c r="AV300" s="15">
        <f t="shared" si="123"/>
        <v>0</v>
      </c>
      <c r="AW300" s="15"/>
      <c r="AX300" s="173">
        <v>290</v>
      </c>
      <c r="AY300" s="206">
        <f t="shared" si="124"/>
        <v>4.6E-6</v>
      </c>
      <c r="AZ300" s="173">
        <f t="shared" si="125"/>
        <v>0</v>
      </c>
      <c r="BA300" s="233">
        <f t="shared" si="126"/>
        <v>2.9999999999999997E-5</v>
      </c>
      <c r="BB300" s="15">
        <f t="shared" si="132"/>
        <v>0</v>
      </c>
      <c r="BC300" s="173">
        <v>290</v>
      </c>
      <c r="BD300" s="84">
        <f t="shared" si="127"/>
        <v>3.0000000000000001E-6</v>
      </c>
      <c r="BE300" s="207">
        <f t="shared" si="128"/>
        <v>0</v>
      </c>
      <c r="BF300" s="233">
        <f t="shared" si="129"/>
        <v>2.9999999999999997E-5</v>
      </c>
      <c r="BG300" s="15">
        <f t="shared" si="133"/>
        <v>0</v>
      </c>
      <c r="BH300" s="173">
        <v>290</v>
      </c>
      <c r="BI300" s="84">
        <f t="shared" si="130"/>
        <v>3.0000000000000001E-6</v>
      </c>
      <c r="BJ300" s="207">
        <f t="shared" si="131"/>
        <v>0</v>
      </c>
      <c r="BL300" s="123"/>
      <c r="BM300" s="123"/>
      <c r="BO300" s="173"/>
      <c r="BP300" s="174" t="str">
        <f t="shared" si="134"/>
        <v/>
      </c>
      <c r="BQ300" s="174" t="str">
        <f t="shared" si="135"/>
        <v/>
      </c>
      <c r="BR300" s="174" t="str">
        <f t="shared" si="136"/>
        <v/>
      </c>
      <c r="BS300" s="174" t="str">
        <f t="shared" si="137"/>
        <v/>
      </c>
      <c r="BT300" s="174" t="str">
        <f t="shared" si="138"/>
        <v/>
      </c>
      <c r="BU300" s="174" t="str">
        <f t="shared" si="139"/>
        <v/>
      </c>
      <c r="BV300" s="174" t="str">
        <f t="shared" si="140"/>
        <v/>
      </c>
      <c r="BW300" s="174" t="str">
        <f t="shared" si="141"/>
        <v/>
      </c>
      <c r="BX300" s="174" t="str">
        <f t="shared" si="142"/>
        <v/>
      </c>
      <c r="BY300" s="174" t="str">
        <f t="shared" si="143"/>
        <v/>
      </c>
      <c r="BZ300" s="174" t="str">
        <f t="shared" si="144"/>
        <v/>
      </c>
      <c r="CA300" s="174" t="str">
        <f t="shared" si="145"/>
        <v/>
      </c>
      <c r="CB300" s="161"/>
      <c r="CC300" s="161"/>
      <c r="CD300" s="161"/>
      <c r="CE300" s="161" t="s">
        <v>150</v>
      </c>
      <c r="CF300" s="161"/>
    </row>
    <row r="301" spans="1:84" ht="14.25" customHeight="1" thickBot="1" x14ac:dyDescent="0.3">
      <c r="A301" s="205">
        <v>291</v>
      </c>
      <c r="B301" s="85"/>
      <c r="C301" s="195"/>
      <c r="D301" s="91"/>
      <c r="E301" s="310" t="s">
        <v>92</v>
      </c>
      <c r="F301" s="93"/>
      <c r="G301" s="97"/>
      <c r="H301" s="97"/>
      <c r="I301" s="97"/>
      <c r="J301" s="97"/>
      <c r="K301" s="97"/>
      <c r="L301" s="224">
        <f t="shared" si="146"/>
        <v>0</v>
      </c>
      <c r="M301" s="300"/>
      <c r="N301" s="301"/>
      <c r="O301" s="342"/>
      <c r="P301" s="313" t="s">
        <v>66</v>
      </c>
      <c r="Q301" s="93"/>
      <c r="R301" s="97"/>
      <c r="S301" s="97"/>
      <c r="T301" s="97"/>
      <c r="U301" s="97"/>
      <c r="V301" s="97"/>
      <c r="W301" s="224">
        <f t="shared" si="147"/>
        <v>0</v>
      </c>
      <c r="X301" s="300"/>
      <c r="Y301" s="301"/>
      <c r="Z301" s="342"/>
      <c r="AA301" s="313" t="s">
        <v>86</v>
      </c>
      <c r="AB301" s="78"/>
      <c r="AC301" s="321"/>
      <c r="AD301" s="321"/>
      <c r="AE301" s="321"/>
      <c r="AF301" s="321"/>
      <c r="AG301" s="322"/>
      <c r="AH301" s="88">
        <f t="shared" si="148"/>
        <v>0</v>
      </c>
      <c r="AI301" s="78"/>
      <c r="AJ301" s="322"/>
      <c r="AK301" s="345"/>
      <c r="AL301" s="102"/>
      <c r="AM301" s="99"/>
      <c r="AN301" s="227"/>
      <c r="AO301" s="221"/>
      <c r="AP301" s="90"/>
      <c r="AQ301" s="221"/>
      <c r="AR301" s="90"/>
      <c r="AS301" s="221"/>
      <c r="AT301" s="90"/>
      <c r="AU301" s="15">
        <f t="shared" si="122"/>
        <v>3.01E-5</v>
      </c>
      <c r="AV301" s="15">
        <f t="shared" si="123"/>
        <v>0</v>
      </c>
      <c r="AW301" s="15"/>
      <c r="AX301" s="173">
        <v>291</v>
      </c>
      <c r="AY301" s="206">
        <f t="shared" si="124"/>
        <v>4.5000000000000001E-6</v>
      </c>
      <c r="AZ301" s="173">
        <f t="shared" si="125"/>
        <v>0</v>
      </c>
      <c r="BA301" s="233">
        <f t="shared" si="126"/>
        <v>3.01E-5</v>
      </c>
      <c r="BB301" s="15">
        <f t="shared" si="132"/>
        <v>0</v>
      </c>
      <c r="BC301" s="173">
        <v>291</v>
      </c>
      <c r="BD301" s="84">
        <f t="shared" si="127"/>
        <v>2.8999999999999998E-6</v>
      </c>
      <c r="BE301" s="207">
        <f t="shared" si="128"/>
        <v>0</v>
      </c>
      <c r="BF301" s="233">
        <f t="shared" si="129"/>
        <v>3.01E-5</v>
      </c>
      <c r="BG301" s="15">
        <f t="shared" si="133"/>
        <v>0</v>
      </c>
      <c r="BH301" s="173">
        <v>291</v>
      </c>
      <c r="BI301" s="84">
        <f t="shared" si="130"/>
        <v>2.8999999999999998E-6</v>
      </c>
      <c r="BJ301" s="207">
        <f t="shared" si="131"/>
        <v>0</v>
      </c>
      <c r="BL301" s="123"/>
      <c r="BM301" s="123"/>
      <c r="BO301" s="173"/>
      <c r="BP301" s="174" t="str">
        <f t="shared" si="134"/>
        <v/>
      </c>
      <c r="BQ301" s="174" t="str">
        <f t="shared" si="135"/>
        <v/>
      </c>
      <c r="BR301" s="174" t="str">
        <f t="shared" si="136"/>
        <v/>
      </c>
      <c r="BS301" s="174" t="str">
        <f t="shared" si="137"/>
        <v/>
      </c>
      <c r="BT301" s="174" t="str">
        <f t="shared" si="138"/>
        <v/>
      </c>
      <c r="BU301" s="174" t="str">
        <f t="shared" si="139"/>
        <v/>
      </c>
      <c r="BV301" s="174" t="str">
        <f t="shared" si="140"/>
        <v/>
      </c>
      <c r="BW301" s="174" t="str">
        <f t="shared" si="141"/>
        <v/>
      </c>
      <c r="BX301" s="174" t="str">
        <f t="shared" si="142"/>
        <v/>
      </c>
      <c r="BY301" s="174" t="str">
        <f t="shared" si="143"/>
        <v/>
      </c>
      <c r="BZ301" s="174" t="str">
        <f t="shared" si="144"/>
        <v/>
      </c>
      <c r="CA301" s="174" t="str">
        <f t="shared" si="145"/>
        <v/>
      </c>
      <c r="CB301" s="161"/>
      <c r="CC301" s="161"/>
      <c r="CD301" s="161"/>
      <c r="CE301" s="161" t="s">
        <v>150</v>
      </c>
      <c r="CF301" s="161"/>
    </row>
    <row r="302" spans="1:84" ht="14.25" customHeight="1" x14ac:dyDescent="0.25">
      <c r="A302" s="203">
        <v>292</v>
      </c>
      <c r="B302" s="86"/>
      <c r="C302" s="193"/>
      <c r="D302" s="143"/>
      <c r="E302" s="308" t="s">
        <v>92</v>
      </c>
      <c r="F302" s="213"/>
      <c r="G302" s="214"/>
      <c r="H302" s="214"/>
      <c r="I302" s="214"/>
      <c r="J302" s="214"/>
      <c r="K302" s="214"/>
      <c r="L302" s="295">
        <f t="shared" si="146"/>
        <v>0</v>
      </c>
      <c r="M302" s="296"/>
      <c r="N302" s="297"/>
      <c r="O302" s="340"/>
      <c r="P302" s="311" t="s">
        <v>66</v>
      </c>
      <c r="Q302" s="213"/>
      <c r="R302" s="214"/>
      <c r="S302" s="214"/>
      <c r="T302" s="214"/>
      <c r="U302" s="214"/>
      <c r="V302" s="214"/>
      <c r="W302" s="295">
        <f t="shared" si="147"/>
        <v>0</v>
      </c>
      <c r="X302" s="296"/>
      <c r="Y302" s="297"/>
      <c r="Z302" s="346"/>
      <c r="AA302" s="314" t="s">
        <v>148</v>
      </c>
      <c r="AB302" s="13"/>
      <c r="AC302" s="222"/>
      <c r="AD302" s="222"/>
      <c r="AE302" s="222"/>
      <c r="AF302" s="222"/>
      <c r="AG302" s="5"/>
      <c r="AH302" s="20">
        <f t="shared" si="148"/>
        <v>0</v>
      </c>
      <c r="AI302" s="13"/>
      <c r="AJ302" s="5"/>
      <c r="AK302" s="343"/>
      <c r="AL302" s="100"/>
      <c r="AM302" s="98"/>
      <c r="AN302" s="226"/>
      <c r="AO302" s="225"/>
      <c r="AP302" s="89"/>
      <c r="AQ302" s="225"/>
      <c r="AR302" s="89"/>
      <c r="AS302" s="225"/>
      <c r="AT302" s="89"/>
      <c r="AU302" s="15">
        <f t="shared" si="122"/>
        <v>3.0199999999999999E-5</v>
      </c>
      <c r="AV302" s="15">
        <f t="shared" si="123"/>
        <v>0</v>
      </c>
      <c r="AW302" s="15"/>
      <c r="AX302" s="173">
        <v>292</v>
      </c>
      <c r="AY302" s="206">
        <f t="shared" si="124"/>
        <v>4.4000000000000002E-6</v>
      </c>
      <c r="AZ302" s="173">
        <f t="shared" si="125"/>
        <v>0</v>
      </c>
      <c r="BA302" s="233">
        <f t="shared" si="126"/>
        <v>3.0199999999999999E-5</v>
      </c>
      <c r="BB302" s="15">
        <f t="shared" si="132"/>
        <v>0</v>
      </c>
      <c r="BC302" s="173">
        <v>292</v>
      </c>
      <c r="BD302" s="84">
        <f t="shared" si="127"/>
        <v>2.7999999999999999E-6</v>
      </c>
      <c r="BE302" s="207">
        <f t="shared" si="128"/>
        <v>0</v>
      </c>
      <c r="BF302" s="233">
        <f t="shared" si="129"/>
        <v>3.0199999999999999E-5</v>
      </c>
      <c r="BG302" s="15">
        <f t="shared" si="133"/>
        <v>0</v>
      </c>
      <c r="BH302" s="173">
        <v>292</v>
      </c>
      <c r="BI302" s="84">
        <f t="shared" si="130"/>
        <v>2.7999999999999999E-6</v>
      </c>
      <c r="BJ302" s="207">
        <f t="shared" si="131"/>
        <v>0</v>
      </c>
      <c r="BL302" s="123"/>
      <c r="BM302" s="123"/>
      <c r="BO302" s="173"/>
      <c r="BP302" s="174" t="str">
        <f t="shared" si="134"/>
        <v/>
      </c>
      <c r="BQ302" s="174" t="str">
        <f t="shared" si="135"/>
        <v/>
      </c>
      <c r="BR302" s="174" t="str">
        <f t="shared" si="136"/>
        <v/>
      </c>
      <c r="BS302" s="174" t="str">
        <f t="shared" si="137"/>
        <v/>
      </c>
      <c r="BT302" s="174" t="str">
        <f t="shared" si="138"/>
        <v/>
      </c>
      <c r="BU302" s="174" t="str">
        <f t="shared" si="139"/>
        <v/>
      </c>
      <c r="BV302" s="174" t="str">
        <f t="shared" si="140"/>
        <v/>
      </c>
      <c r="BW302" s="174" t="str">
        <f t="shared" si="141"/>
        <v/>
      </c>
      <c r="BX302" s="174" t="str">
        <f t="shared" si="142"/>
        <v/>
      </c>
      <c r="BY302" s="174" t="str">
        <f t="shared" si="143"/>
        <v/>
      </c>
      <c r="BZ302" s="174" t="str">
        <f t="shared" si="144"/>
        <v/>
      </c>
      <c r="CA302" s="174" t="str">
        <f t="shared" si="145"/>
        <v/>
      </c>
      <c r="CB302" s="161"/>
      <c r="CC302" s="161"/>
      <c r="CD302" s="161"/>
      <c r="CE302" s="161" t="s">
        <v>150</v>
      </c>
      <c r="CF302" s="161"/>
    </row>
    <row r="303" spans="1:84" ht="14.25" customHeight="1" x14ac:dyDescent="0.25">
      <c r="A303" s="204">
        <v>293</v>
      </c>
      <c r="B303" s="211"/>
      <c r="C303" s="194"/>
      <c r="D303" s="142"/>
      <c r="E303" s="309" t="s">
        <v>92</v>
      </c>
      <c r="F303" s="305"/>
      <c r="G303" s="306"/>
      <c r="H303" s="306"/>
      <c r="I303" s="306"/>
      <c r="J303" s="306"/>
      <c r="K303" s="306"/>
      <c r="L303" s="223">
        <f t="shared" si="146"/>
        <v>0</v>
      </c>
      <c r="M303" s="298"/>
      <c r="N303" s="299"/>
      <c r="O303" s="341"/>
      <c r="P303" s="312" t="s">
        <v>66</v>
      </c>
      <c r="Q303" s="305"/>
      <c r="R303" s="306"/>
      <c r="S303" s="306"/>
      <c r="T303" s="306"/>
      <c r="U303" s="306"/>
      <c r="V303" s="306"/>
      <c r="W303" s="223">
        <f t="shared" si="147"/>
        <v>0</v>
      </c>
      <c r="X303" s="298"/>
      <c r="Y303" s="299"/>
      <c r="Z303" s="341"/>
      <c r="AA303" s="312" t="s">
        <v>86</v>
      </c>
      <c r="AB303" s="77"/>
      <c r="AC303" s="319"/>
      <c r="AD303" s="319"/>
      <c r="AE303" s="319"/>
      <c r="AF303" s="319"/>
      <c r="AG303" s="320"/>
      <c r="AH303" s="20">
        <f t="shared" si="148"/>
        <v>0</v>
      </c>
      <c r="AI303" s="77"/>
      <c r="AJ303" s="320"/>
      <c r="AK303" s="344"/>
      <c r="AL303" s="101"/>
      <c r="AM303" s="209"/>
      <c r="AN303" s="208"/>
      <c r="AO303" s="220"/>
      <c r="AP303" s="212"/>
      <c r="AQ303" s="220"/>
      <c r="AR303" s="212"/>
      <c r="AS303" s="220"/>
      <c r="AT303" s="212"/>
      <c r="AU303" s="15">
        <f t="shared" si="122"/>
        <v>3.0299999999999998E-5</v>
      </c>
      <c r="AV303" s="15">
        <f t="shared" si="123"/>
        <v>0</v>
      </c>
      <c r="AW303" s="15"/>
      <c r="AX303" s="173">
        <v>293</v>
      </c>
      <c r="AY303" s="206">
        <f t="shared" si="124"/>
        <v>4.2999999999999995E-6</v>
      </c>
      <c r="AZ303" s="173">
        <f t="shared" si="125"/>
        <v>0</v>
      </c>
      <c r="BA303" s="233">
        <f t="shared" si="126"/>
        <v>3.0299999999999998E-5</v>
      </c>
      <c r="BB303" s="15">
        <f t="shared" si="132"/>
        <v>0</v>
      </c>
      <c r="BC303" s="173">
        <v>293</v>
      </c>
      <c r="BD303" s="84">
        <f t="shared" si="127"/>
        <v>2.7E-6</v>
      </c>
      <c r="BE303" s="207">
        <f t="shared" si="128"/>
        <v>0</v>
      </c>
      <c r="BF303" s="233">
        <f t="shared" si="129"/>
        <v>3.0299999999999998E-5</v>
      </c>
      <c r="BG303" s="15">
        <f t="shared" si="133"/>
        <v>0</v>
      </c>
      <c r="BH303" s="173">
        <v>293</v>
      </c>
      <c r="BI303" s="84">
        <f t="shared" si="130"/>
        <v>2.7E-6</v>
      </c>
      <c r="BJ303" s="207">
        <f t="shared" si="131"/>
        <v>0</v>
      </c>
      <c r="BL303" s="123"/>
      <c r="BM303" s="123"/>
      <c r="BO303" s="173"/>
      <c r="BP303" s="174" t="str">
        <f t="shared" si="134"/>
        <v/>
      </c>
      <c r="BQ303" s="174" t="str">
        <f t="shared" si="135"/>
        <v/>
      </c>
      <c r="BR303" s="174" t="str">
        <f t="shared" si="136"/>
        <v/>
      </c>
      <c r="BS303" s="174" t="str">
        <f t="shared" si="137"/>
        <v/>
      </c>
      <c r="BT303" s="174" t="str">
        <f t="shared" si="138"/>
        <v/>
      </c>
      <c r="BU303" s="174" t="str">
        <f t="shared" si="139"/>
        <v/>
      </c>
      <c r="BV303" s="174" t="str">
        <f t="shared" si="140"/>
        <v/>
      </c>
      <c r="BW303" s="174" t="str">
        <f t="shared" si="141"/>
        <v/>
      </c>
      <c r="BX303" s="174" t="str">
        <f t="shared" si="142"/>
        <v/>
      </c>
      <c r="BY303" s="174" t="str">
        <f t="shared" si="143"/>
        <v/>
      </c>
      <c r="BZ303" s="174" t="str">
        <f t="shared" si="144"/>
        <v/>
      </c>
      <c r="CA303" s="174" t="str">
        <f t="shared" si="145"/>
        <v/>
      </c>
      <c r="CB303" s="161"/>
      <c r="CC303" s="161"/>
      <c r="CD303" s="161"/>
      <c r="CE303" s="161" t="s">
        <v>150</v>
      </c>
      <c r="CF303" s="161"/>
    </row>
    <row r="304" spans="1:84" ht="14.25" customHeight="1" thickBot="1" x14ac:dyDescent="0.3">
      <c r="A304" s="205">
        <v>294</v>
      </c>
      <c r="B304" s="85"/>
      <c r="C304" s="195"/>
      <c r="D304" s="91"/>
      <c r="E304" s="310" t="s">
        <v>92</v>
      </c>
      <c r="F304" s="93"/>
      <c r="G304" s="97"/>
      <c r="H304" s="97"/>
      <c r="I304" s="97"/>
      <c r="J304" s="97"/>
      <c r="K304" s="97"/>
      <c r="L304" s="224">
        <f t="shared" si="146"/>
        <v>0</v>
      </c>
      <c r="M304" s="300"/>
      <c r="N304" s="301"/>
      <c r="O304" s="342"/>
      <c r="P304" s="313" t="s">
        <v>66</v>
      </c>
      <c r="Q304" s="93"/>
      <c r="R304" s="97"/>
      <c r="S304" s="97"/>
      <c r="T304" s="97"/>
      <c r="U304" s="97"/>
      <c r="V304" s="97"/>
      <c r="W304" s="224">
        <f t="shared" si="147"/>
        <v>0</v>
      </c>
      <c r="X304" s="300"/>
      <c r="Y304" s="301"/>
      <c r="Z304" s="342"/>
      <c r="AA304" s="313" t="s">
        <v>86</v>
      </c>
      <c r="AB304" s="78"/>
      <c r="AC304" s="321"/>
      <c r="AD304" s="321"/>
      <c r="AE304" s="321"/>
      <c r="AF304" s="321"/>
      <c r="AG304" s="322"/>
      <c r="AH304" s="88">
        <f t="shared" si="148"/>
        <v>0</v>
      </c>
      <c r="AI304" s="78"/>
      <c r="AJ304" s="322"/>
      <c r="AK304" s="345"/>
      <c r="AL304" s="102"/>
      <c r="AM304" s="99"/>
      <c r="AN304" s="227"/>
      <c r="AO304" s="221"/>
      <c r="AP304" s="90"/>
      <c r="AQ304" s="221"/>
      <c r="AR304" s="90"/>
      <c r="AS304" s="221"/>
      <c r="AT304" s="90"/>
      <c r="AU304" s="15">
        <f t="shared" si="122"/>
        <v>3.04E-5</v>
      </c>
      <c r="AV304" s="15">
        <f t="shared" si="123"/>
        <v>0</v>
      </c>
      <c r="AW304" s="15"/>
      <c r="AX304" s="173">
        <v>294</v>
      </c>
      <c r="AY304" s="206">
        <f t="shared" si="124"/>
        <v>4.1999999999999996E-6</v>
      </c>
      <c r="AZ304" s="173">
        <f t="shared" si="125"/>
        <v>0</v>
      </c>
      <c r="BA304" s="233">
        <f t="shared" si="126"/>
        <v>3.04E-5</v>
      </c>
      <c r="BB304" s="15">
        <f t="shared" si="132"/>
        <v>0</v>
      </c>
      <c r="BC304" s="173">
        <v>294</v>
      </c>
      <c r="BD304" s="84">
        <f t="shared" si="127"/>
        <v>2.5999999999999997E-6</v>
      </c>
      <c r="BE304" s="207" t="str">
        <f t="shared" si="128"/>
        <v>ريم احمد ابوبكر النفاتى</v>
      </c>
      <c r="BF304" s="233">
        <f t="shared" si="129"/>
        <v>3.04E-5</v>
      </c>
      <c r="BG304" s="15">
        <f t="shared" si="133"/>
        <v>0</v>
      </c>
      <c r="BH304" s="173">
        <v>294</v>
      </c>
      <c r="BI304" s="84">
        <f t="shared" si="130"/>
        <v>2.5999999999999997E-6</v>
      </c>
      <c r="BJ304" s="207" t="str">
        <f t="shared" si="131"/>
        <v>ريم احمد ابوبكر النفاتى</v>
      </c>
      <c r="BL304" s="123"/>
      <c r="BM304" s="123"/>
      <c r="BO304" s="173"/>
      <c r="BP304" s="174" t="str">
        <f t="shared" si="134"/>
        <v/>
      </c>
      <c r="BQ304" s="174" t="str">
        <f t="shared" si="135"/>
        <v/>
      </c>
      <c r="BR304" s="174" t="str">
        <f t="shared" si="136"/>
        <v/>
      </c>
      <c r="BS304" s="174" t="str">
        <f t="shared" si="137"/>
        <v/>
      </c>
      <c r="BT304" s="174" t="str">
        <f t="shared" si="138"/>
        <v/>
      </c>
      <c r="BU304" s="174" t="str">
        <f t="shared" si="139"/>
        <v/>
      </c>
      <c r="BV304" s="174" t="str">
        <f t="shared" si="140"/>
        <v/>
      </c>
      <c r="BW304" s="174" t="str">
        <f t="shared" si="141"/>
        <v/>
      </c>
      <c r="BX304" s="174" t="str">
        <f t="shared" si="142"/>
        <v/>
      </c>
      <c r="BY304" s="174" t="str">
        <f t="shared" si="143"/>
        <v/>
      </c>
      <c r="BZ304" s="174" t="str">
        <f t="shared" si="144"/>
        <v/>
      </c>
      <c r="CA304" s="174" t="str">
        <f t="shared" si="145"/>
        <v/>
      </c>
      <c r="CB304" s="161"/>
      <c r="CC304" s="161"/>
      <c r="CD304" s="161"/>
      <c r="CE304" s="161" t="s">
        <v>150</v>
      </c>
      <c r="CF304" s="161"/>
    </row>
    <row r="305" spans="1:84" ht="14.25" customHeight="1" x14ac:dyDescent="0.25">
      <c r="A305" s="203">
        <v>295</v>
      </c>
      <c r="B305" s="86"/>
      <c r="C305" s="193"/>
      <c r="D305" s="143"/>
      <c r="E305" s="308" t="s">
        <v>92</v>
      </c>
      <c r="F305" s="213"/>
      <c r="G305" s="214"/>
      <c r="H305" s="214"/>
      <c r="I305" s="214"/>
      <c r="J305" s="214"/>
      <c r="K305" s="214"/>
      <c r="L305" s="295">
        <f t="shared" si="146"/>
        <v>0</v>
      </c>
      <c r="M305" s="296"/>
      <c r="N305" s="297"/>
      <c r="O305" s="340"/>
      <c r="P305" s="311" t="s">
        <v>66</v>
      </c>
      <c r="Q305" s="213"/>
      <c r="R305" s="214"/>
      <c r="S305" s="214"/>
      <c r="T305" s="214"/>
      <c r="U305" s="214"/>
      <c r="V305" s="214"/>
      <c r="W305" s="295">
        <f t="shared" si="147"/>
        <v>0</v>
      </c>
      <c r="X305" s="296"/>
      <c r="Y305" s="297"/>
      <c r="Z305" s="346"/>
      <c r="AA305" s="314" t="s">
        <v>148</v>
      </c>
      <c r="AB305" s="13"/>
      <c r="AC305" s="222"/>
      <c r="AD305" s="222"/>
      <c r="AE305" s="222"/>
      <c r="AF305" s="222"/>
      <c r="AG305" s="5"/>
      <c r="AH305" s="20">
        <f t="shared" si="148"/>
        <v>0</v>
      </c>
      <c r="AI305" s="13"/>
      <c r="AJ305" s="5"/>
      <c r="AK305" s="343"/>
      <c r="AL305" s="100"/>
      <c r="AM305" s="98"/>
      <c r="AN305" s="226"/>
      <c r="AO305" s="225"/>
      <c r="AP305" s="89"/>
      <c r="AQ305" s="225"/>
      <c r="AR305" s="89"/>
      <c r="AS305" s="225"/>
      <c r="AT305" s="89"/>
      <c r="AU305" s="15">
        <f t="shared" si="122"/>
        <v>3.0499999999999999E-5</v>
      </c>
      <c r="AV305" s="15">
        <f t="shared" si="123"/>
        <v>0</v>
      </c>
      <c r="AW305" s="15"/>
      <c r="AX305" s="173">
        <v>295</v>
      </c>
      <c r="AY305" s="206">
        <f t="shared" si="124"/>
        <v>4.0999999999999997E-6</v>
      </c>
      <c r="AZ305" s="173">
        <f t="shared" si="125"/>
        <v>0</v>
      </c>
      <c r="BA305" s="233">
        <f t="shared" si="126"/>
        <v>3.0499999999999999E-5</v>
      </c>
      <c r="BB305" s="15">
        <f t="shared" si="132"/>
        <v>0</v>
      </c>
      <c r="BC305" s="173">
        <v>295</v>
      </c>
      <c r="BD305" s="84">
        <f t="shared" si="127"/>
        <v>2.4999999999999998E-6</v>
      </c>
      <c r="BE305" s="207" t="str">
        <f t="shared" si="128"/>
        <v>يوسف انويجى عثمان ابوزويدة</v>
      </c>
      <c r="BF305" s="233">
        <f t="shared" si="129"/>
        <v>3.0499999999999999E-5</v>
      </c>
      <c r="BG305" s="15">
        <f t="shared" si="133"/>
        <v>0</v>
      </c>
      <c r="BH305" s="173">
        <v>295</v>
      </c>
      <c r="BI305" s="84">
        <f t="shared" si="130"/>
        <v>2.4999999999999998E-6</v>
      </c>
      <c r="BJ305" s="207" t="str">
        <f t="shared" si="131"/>
        <v>يوسف انويجى عثمان ابوزويدة</v>
      </c>
      <c r="BL305" s="123"/>
      <c r="BM305" s="123"/>
      <c r="BO305" s="173"/>
      <c r="BP305" s="174" t="str">
        <f t="shared" si="134"/>
        <v/>
      </c>
      <c r="BQ305" s="174" t="str">
        <f t="shared" si="135"/>
        <v/>
      </c>
      <c r="BR305" s="174" t="str">
        <f t="shared" si="136"/>
        <v/>
      </c>
      <c r="BS305" s="174" t="str">
        <f t="shared" si="137"/>
        <v/>
      </c>
      <c r="BT305" s="174" t="str">
        <f t="shared" si="138"/>
        <v/>
      </c>
      <c r="BU305" s="174" t="str">
        <f t="shared" si="139"/>
        <v/>
      </c>
      <c r="BV305" s="174" t="str">
        <f t="shared" si="140"/>
        <v/>
      </c>
      <c r="BW305" s="174" t="str">
        <f t="shared" si="141"/>
        <v/>
      </c>
      <c r="BX305" s="174" t="str">
        <f t="shared" si="142"/>
        <v/>
      </c>
      <c r="BY305" s="174" t="str">
        <f t="shared" si="143"/>
        <v/>
      </c>
      <c r="BZ305" s="174" t="str">
        <f t="shared" si="144"/>
        <v/>
      </c>
      <c r="CA305" s="174" t="str">
        <f t="shared" si="145"/>
        <v/>
      </c>
      <c r="CB305" s="161"/>
      <c r="CC305" s="161"/>
      <c r="CD305" s="161"/>
      <c r="CE305" s="161" t="s">
        <v>150</v>
      </c>
      <c r="CF305" s="161"/>
    </row>
    <row r="306" spans="1:84" ht="14.25" customHeight="1" x14ac:dyDescent="0.25">
      <c r="A306" s="204">
        <v>296</v>
      </c>
      <c r="B306" s="211"/>
      <c r="C306" s="194"/>
      <c r="D306" s="142"/>
      <c r="E306" s="309" t="s">
        <v>92</v>
      </c>
      <c r="F306" s="305"/>
      <c r="G306" s="306"/>
      <c r="H306" s="306"/>
      <c r="I306" s="306"/>
      <c r="J306" s="306"/>
      <c r="K306" s="306"/>
      <c r="L306" s="223">
        <f t="shared" si="146"/>
        <v>0</v>
      </c>
      <c r="M306" s="298"/>
      <c r="N306" s="299"/>
      <c r="O306" s="341"/>
      <c r="P306" s="312" t="s">
        <v>66</v>
      </c>
      <c r="Q306" s="305"/>
      <c r="R306" s="306"/>
      <c r="S306" s="306"/>
      <c r="T306" s="306"/>
      <c r="U306" s="306"/>
      <c r="V306" s="306"/>
      <c r="W306" s="223">
        <f t="shared" si="147"/>
        <v>0</v>
      </c>
      <c r="X306" s="298"/>
      <c r="Y306" s="299"/>
      <c r="Z306" s="341"/>
      <c r="AA306" s="312" t="s">
        <v>86</v>
      </c>
      <c r="AB306" s="77"/>
      <c r="AC306" s="319"/>
      <c r="AD306" s="319"/>
      <c r="AE306" s="319"/>
      <c r="AF306" s="319"/>
      <c r="AG306" s="320"/>
      <c r="AH306" s="20">
        <f t="shared" si="148"/>
        <v>0</v>
      </c>
      <c r="AI306" s="77"/>
      <c r="AJ306" s="320"/>
      <c r="AK306" s="344"/>
      <c r="AL306" s="101"/>
      <c r="AM306" s="209"/>
      <c r="AN306" s="208"/>
      <c r="AO306" s="220"/>
      <c r="AP306" s="212"/>
      <c r="AQ306" s="220"/>
      <c r="AR306" s="212"/>
      <c r="AS306" s="220"/>
      <c r="AT306" s="212"/>
      <c r="AU306" s="15">
        <f t="shared" si="122"/>
        <v>3.0599999999999998E-5</v>
      </c>
      <c r="AV306" s="15">
        <f t="shared" si="123"/>
        <v>0</v>
      </c>
      <c r="AW306" s="15"/>
      <c r="AX306" s="173">
        <v>296</v>
      </c>
      <c r="AY306" s="206">
        <f t="shared" si="124"/>
        <v>3.9999999999999998E-6</v>
      </c>
      <c r="AZ306" s="173">
        <f t="shared" si="125"/>
        <v>0</v>
      </c>
      <c r="BA306" s="233">
        <f t="shared" si="126"/>
        <v>3.0599999999999998E-5</v>
      </c>
      <c r="BB306" s="15">
        <f t="shared" si="132"/>
        <v>0</v>
      </c>
      <c r="BC306" s="173">
        <v>296</v>
      </c>
      <c r="BD306" s="84">
        <f t="shared" si="127"/>
        <v>2.3999999999999999E-6</v>
      </c>
      <c r="BE306" s="207" t="str">
        <f t="shared" si="128"/>
        <v>ايلياء محمد عوض الحداد</v>
      </c>
      <c r="BF306" s="233">
        <f t="shared" si="129"/>
        <v>3.0599999999999998E-5</v>
      </c>
      <c r="BG306" s="15">
        <f t="shared" si="133"/>
        <v>0</v>
      </c>
      <c r="BH306" s="173">
        <v>296</v>
      </c>
      <c r="BI306" s="84">
        <f t="shared" si="130"/>
        <v>2.3999999999999999E-6</v>
      </c>
      <c r="BJ306" s="207" t="str">
        <f t="shared" si="131"/>
        <v>ايلياء محمد عوض الحداد</v>
      </c>
      <c r="BL306" s="123"/>
      <c r="BM306" s="123"/>
      <c r="BO306" s="173"/>
      <c r="BP306" s="174" t="str">
        <f t="shared" si="134"/>
        <v/>
      </c>
      <c r="BQ306" s="174" t="str">
        <f t="shared" si="135"/>
        <v/>
      </c>
      <c r="BR306" s="174" t="str">
        <f t="shared" si="136"/>
        <v/>
      </c>
      <c r="BS306" s="174" t="str">
        <f t="shared" si="137"/>
        <v/>
      </c>
      <c r="BT306" s="174" t="str">
        <f t="shared" si="138"/>
        <v/>
      </c>
      <c r="BU306" s="174" t="str">
        <f t="shared" si="139"/>
        <v/>
      </c>
      <c r="BV306" s="174" t="str">
        <f t="shared" si="140"/>
        <v/>
      </c>
      <c r="BW306" s="174" t="str">
        <f t="shared" si="141"/>
        <v/>
      </c>
      <c r="BX306" s="174" t="str">
        <f t="shared" si="142"/>
        <v/>
      </c>
      <c r="BY306" s="174" t="str">
        <f t="shared" si="143"/>
        <v/>
      </c>
      <c r="BZ306" s="174" t="str">
        <f t="shared" si="144"/>
        <v/>
      </c>
      <c r="CA306" s="174" t="str">
        <f t="shared" si="145"/>
        <v/>
      </c>
      <c r="CB306" s="161"/>
      <c r="CC306" s="161"/>
      <c r="CD306" s="161"/>
      <c r="CE306" s="161" t="s">
        <v>150</v>
      </c>
      <c r="CF306" s="161"/>
    </row>
    <row r="307" spans="1:84" ht="14.25" customHeight="1" thickBot="1" x14ac:dyDescent="0.3">
      <c r="A307" s="205">
        <v>297</v>
      </c>
      <c r="B307" s="85"/>
      <c r="C307" s="195"/>
      <c r="D307" s="91"/>
      <c r="E307" s="310" t="s">
        <v>92</v>
      </c>
      <c r="F307" s="93"/>
      <c r="G307" s="97"/>
      <c r="H307" s="97"/>
      <c r="I307" s="97"/>
      <c r="J307" s="97"/>
      <c r="K307" s="97"/>
      <c r="L307" s="224">
        <f t="shared" si="146"/>
        <v>0</v>
      </c>
      <c r="M307" s="300"/>
      <c r="N307" s="301"/>
      <c r="O307" s="342"/>
      <c r="P307" s="313" t="s">
        <v>66</v>
      </c>
      <c r="Q307" s="93"/>
      <c r="R307" s="97"/>
      <c r="S307" s="97"/>
      <c r="T307" s="97"/>
      <c r="U307" s="97"/>
      <c r="V307" s="97"/>
      <c r="W307" s="224">
        <f t="shared" si="147"/>
        <v>0</v>
      </c>
      <c r="X307" s="300"/>
      <c r="Y307" s="301"/>
      <c r="Z307" s="342"/>
      <c r="AA307" s="313" t="s">
        <v>86</v>
      </c>
      <c r="AB307" s="78"/>
      <c r="AC307" s="321"/>
      <c r="AD307" s="321"/>
      <c r="AE307" s="321"/>
      <c r="AF307" s="321"/>
      <c r="AG307" s="322"/>
      <c r="AH307" s="88">
        <f t="shared" si="148"/>
        <v>0</v>
      </c>
      <c r="AI307" s="78"/>
      <c r="AJ307" s="322"/>
      <c r="AK307" s="345"/>
      <c r="AL307" s="102"/>
      <c r="AM307" s="99"/>
      <c r="AN307" s="227"/>
      <c r="AO307" s="221"/>
      <c r="AP307" s="90"/>
      <c r="AQ307" s="221"/>
      <c r="AR307" s="90"/>
      <c r="AS307" s="221"/>
      <c r="AT307" s="90"/>
      <c r="AU307" s="15">
        <f t="shared" si="122"/>
        <v>3.0700000000000001E-5</v>
      </c>
      <c r="AV307" s="15">
        <f t="shared" si="123"/>
        <v>0</v>
      </c>
      <c r="AW307" s="15"/>
      <c r="AX307" s="173">
        <v>297</v>
      </c>
      <c r="AY307" s="206">
        <f t="shared" si="124"/>
        <v>3.8999999999999999E-6</v>
      </c>
      <c r="AZ307" s="173">
        <f t="shared" si="125"/>
        <v>0</v>
      </c>
      <c r="BA307" s="233">
        <f t="shared" si="126"/>
        <v>3.0700000000000001E-5</v>
      </c>
      <c r="BB307" s="15">
        <f t="shared" si="132"/>
        <v>0</v>
      </c>
      <c r="BC307" s="173">
        <v>297</v>
      </c>
      <c r="BD307" s="84">
        <f t="shared" si="127"/>
        <v>2.3E-6</v>
      </c>
      <c r="BE307" s="207" t="str">
        <f t="shared" si="128"/>
        <v>يزن عبد السلام على الأطوش</v>
      </c>
      <c r="BF307" s="233">
        <f t="shared" si="129"/>
        <v>3.0700000000000001E-5</v>
      </c>
      <c r="BG307" s="15">
        <f t="shared" si="133"/>
        <v>0</v>
      </c>
      <c r="BH307" s="173">
        <v>297</v>
      </c>
      <c r="BI307" s="84">
        <f t="shared" si="130"/>
        <v>2.3E-6</v>
      </c>
      <c r="BJ307" s="207" t="str">
        <f t="shared" si="131"/>
        <v>يزن عبد السلام على الأطوش</v>
      </c>
      <c r="BL307" s="123"/>
      <c r="BM307" s="123"/>
      <c r="BO307" s="173"/>
      <c r="BP307" s="174" t="str">
        <f t="shared" si="134"/>
        <v/>
      </c>
      <c r="BQ307" s="174" t="str">
        <f t="shared" si="135"/>
        <v/>
      </c>
      <c r="BR307" s="174" t="str">
        <f t="shared" si="136"/>
        <v/>
      </c>
      <c r="BS307" s="174" t="str">
        <f t="shared" si="137"/>
        <v/>
      </c>
      <c r="BT307" s="174" t="str">
        <f t="shared" si="138"/>
        <v/>
      </c>
      <c r="BU307" s="174" t="str">
        <f t="shared" si="139"/>
        <v/>
      </c>
      <c r="BV307" s="174" t="str">
        <f t="shared" si="140"/>
        <v/>
      </c>
      <c r="BW307" s="174" t="str">
        <f t="shared" si="141"/>
        <v/>
      </c>
      <c r="BX307" s="174" t="str">
        <f t="shared" si="142"/>
        <v/>
      </c>
      <c r="BY307" s="174" t="str">
        <f t="shared" si="143"/>
        <v/>
      </c>
      <c r="BZ307" s="174" t="str">
        <f t="shared" si="144"/>
        <v/>
      </c>
      <c r="CA307" s="174" t="str">
        <f t="shared" si="145"/>
        <v/>
      </c>
      <c r="CB307" s="161"/>
      <c r="CC307" s="161"/>
      <c r="CD307" s="161"/>
      <c r="CE307" s="161" t="s">
        <v>150</v>
      </c>
      <c r="CF307" s="161"/>
    </row>
    <row r="308" spans="1:84" ht="14.25" customHeight="1" x14ac:dyDescent="0.25">
      <c r="A308" s="203">
        <v>298</v>
      </c>
      <c r="B308" s="86"/>
      <c r="C308" s="193"/>
      <c r="D308" s="143"/>
      <c r="E308" s="308" t="s">
        <v>92</v>
      </c>
      <c r="F308" s="213"/>
      <c r="G308" s="214"/>
      <c r="H308" s="214"/>
      <c r="I308" s="214"/>
      <c r="J308" s="214"/>
      <c r="K308" s="214"/>
      <c r="L308" s="295">
        <f t="shared" si="146"/>
        <v>0</v>
      </c>
      <c r="M308" s="296"/>
      <c r="N308" s="297"/>
      <c r="O308" s="340"/>
      <c r="P308" s="311" t="s">
        <v>66</v>
      </c>
      <c r="Q308" s="213"/>
      <c r="R308" s="214"/>
      <c r="S308" s="214"/>
      <c r="T308" s="214"/>
      <c r="U308" s="214"/>
      <c r="V308" s="214"/>
      <c r="W308" s="295">
        <f t="shared" si="147"/>
        <v>0</v>
      </c>
      <c r="X308" s="296"/>
      <c r="Y308" s="297"/>
      <c r="Z308" s="346"/>
      <c r="AA308" s="314" t="s">
        <v>148</v>
      </c>
      <c r="AB308" s="13"/>
      <c r="AC308" s="222"/>
      <c r="AD308" s="222"/>
      <c r="AE308" s="222"/>
      <c r="AF308" s="222"/>
      <c r="AG308" s="5"/>
      <c r="AH308" s="20">
        <f t="shared" si="148"/>
        <v>0</v>
      </c>
      <c r="AI308" s="13"/>
      <c r="AJ308" s="5"/>
      <c r="AK308" s="343"/>
      <c r="AL308" s="100"/>
      <c r="AM308" s="98"/>
      <c r="AN308" s="226"/>
      <c r="AO308" s="225"/>
      <c r="AP308" s="89"/>
      <c r="AQ308" s="225"/>
      <c r="AR308" s="89"/>
      <c r="AS308" s="225"/>
      <c r="AT308" s="89"/>
      <c r="AU308" s="15">
        <f t="shared" si="122"/>
        <v>3.0799999999999996E-5</v>
      </c>
      <c r="AV308" s="15">
        <f t="shared" si="123"/>
        <v>0</v>
      </c>
      <c r="AW308" s="15"/>
      <c r="AX308" s="173">
        <v>298</v>
      </c>
      <c r="AY308" s="206">
        <f t="shared" si="124"/>
        <v>3.8E-6</v>
      </c>
      <c r="AZ308" s="173">
        <f t="shared" si="125"/>
        <v>0</v>
      </c>
      <c r="BA308" s="233">
        <f t="shared" si="126"/>
        <v>3.0799999999999996E-5</v>
      </c>
      <c r="BB308" s="15">
        <f t="shared" si="132"/>
        <v>0</v>
      </c>
      <c r="BC308" s="173">
        <v>298</v>
      </c>
      <c r="BD308" s="84">
        <f t="shared" si="127"/>
        <v>2.2000000000000001E-6</v>
      </c>
      <c r="BE308" s="207" t="str">
        <f t="shared" si="128"/>
        <v>مناف عبد اللطيف ضويلة القنوش</v>
      </c>
      <c r="BF308" s="233">
        <f t="shared" si="129"/>
        <v>3.0799999999999996E-5</v>
      </c>
      <c r="BG308" s="15">
        <f t="shared" si="133"/>
        <v>0</v>
      </c>
      <c r="BH308" s="173">
        <v>298</v>
      </c>
      <c r="BI308" s="84">
        <f t="shared" si="130"/>
        <v>2.2000000000000001E-6</v>
      </c>
      <c r="BJ308" s="207" t="str">
        <f t="shared" si="131"/>
        <v>مناف عبد اللطيف ضويلة القنوش</v>
      </c>
      <c r="BL308" s="123"/>
      <c r="BM308" s="123"/>
      <c r="BO308" s="173"/>
      <c r="BP308" s="174" t="str">
        <f t="shared" si="134"/>
        <v/>
      </c>
      <c r="BQ308" s="174" t="str">
        <f t="shared" si="135"/>
        <v/>
      </c>
      <c r="BR308" s="174" t="str">
        <f t="shared" si="136"/>
        <v/>
      </c>
      <c r="BS308" s="174" t="str">
        <f t="shared" si="137"/>
        <v/>
      </c>
      <c r="BT308" s="174" t="str">
        <f t="shared" si="138"/>
        <v/>
      </c>
      <c r="BU308" s="174" t="str">
        <f t="shared" si="139"/>
        <v/>
      </c>
      <c r="BV308" s="174" t="str">
        <f t="shared" si="140"/>
        <v/>
      </c>
      <c r="BW308" s="174" t="str">
        <f t="shared" si="141"/>
        <v/>
      </c>
      <c r="BX308" s="174" t="str">
        <f t="shared" si="142"/>
        <v/>
      </c>
      <c r="BY308" s="174" t="str">
        <f t="shared" si="143"/>
        <v/>
      </c>
      <c r="BZ308" s="174" t="str">
        <f t="shared" si="144"/>
        <v/>
      </c>
      <c r="CA308" s="174" t="str">
        <f t="shared" si="145"/>
        <v/>
      </c>
      <c r="CB308" s="161"/>
      <c r="CC308" s="161"/>
      <c r="CD308" s="161"/>
      <c r="CE308" s="161" t="s">
        <v>150</v>
      </c>
      <c r="CF308" s="161"/>
    </row>
    <row r="309" spans="1:84" ht="14.25" customHeight="1" x14ac:dyDescent="0.25">
      <c r="A309" s="204">
        <v>299</v>
      </c>
      <c r="B309" s="211"/>
      <c r="C309" s="194"/>
      <c r="D309" s="142"/>
      <c r="E309" s="309" t="s">
        <v>92</v>
      </c>
      <c r="F309" s="305"/>
      <c r="G309" s="306"/>
      <c r="H309" s="306"/>
      <c r="I309" s="306"/>
      <c r="J309" s="306"/>
      <c r="K309" s="306"/>
      <c r="L309" s="223">
        <f t="shared" si="146"/>
        <v>0</v>
      </c>
      <c r="M309" s="298"/>
      <c r="N309" s="299"/>
      <c r="O309" s="341"/>
      <c r="P309" s="312" t="s">
        <v>66</v>
      </c>
      <c r="Q309" s="305"/>
      <c r="R309" s="306"/>
      <c r="S309" s="306"/>
      <c r="T309" s="306"/>
      <c r="U309" s="306"/>
      <c r="V309" s="306"/>
      <c r="W309" s="223">
        <f t="shared" si="147"/>
        <v>0</v>
      </c>
      <c r="X309" s="298"/>
      <c r="Y309" s="299"/>
      <c r="Z309" s="341"/>
      <c r="AA309" s="312" t="s">
        <v>86</v>
      </c>
      <c r="AB309" s="77"/>
      <c r="AC309" s="319"/>
      <c r="AD309" s="319"/>
      <c r="AE309" s="319"/>
      <c r="AF309" s="319"/>
      <c r="AG309" s="320"/>
      <c r="AH309" s="20">
        <f t="shared" si="148"/>
        <v>0</v>
      </c>
      <c r="AI309" s="77"/>
      <c r="AJ309" s="320"/>
      <c r="AK309" s="344"/>
      <c r="AL309" s="101"/>
      <c r="AM309" s="209"/>
      <c r="AN309" s="208"/>
      <c r="AO309" s="220"/>
      <c r="AP309" s="212"/>
      <c r="AQ309" s="220"/>
      <c r="AR309" s="212"/>
      <c r="AS309" s="220"/>
      <c r="AT309" s="212"/>
      <c r="AU309" s="15">
        <f t="shared" si="122"/>
        <v>3.0899999999999999E-5</v>
      </c>
      <c r="AV309" s="15">
        <f t="shared" si="123"/>
        <v>0</v>
      </c>
      <c r="AW309" s="15"/>
      <c r="AX309" s="173">
        <v>299</v>
      </c>
      <c r="AY309" s="206">
        <f t="shared" si="124"/>
        <v>3.6999999999999997E-6</v>
      </c>
      <c r="AZ309" s="173">
        <f t="shared" si="125"/>
        <v>0</v>
      </c>
      <c r="BA309" s="233">
        <f t="shared" si="126"/>
        <v>3.0899999999999999E-5</v>
      </c>
      <c r="BB309" s="15">
        <f t="shared" si="132"/>
        <v>0</v>
      </c>
      <c r="BC309" s="173">
        <v>299</v>
      </c>
      <c r="BD309" s="84">
        <f t="shared" si="127"/>
        <v>2.0999999999999998E-6</v>
      </c>
      <c r="BE309" s="207" t="str">
        <f t="shared" si="128"/>
        <v>مريم سامى محمد النفاتى</v>
      </c>
      <c r="BF309" s="233">
        <f t="shared" si="129"/>
        <v>3.0899999999999999E-5</v>
      </c>
      <c r="BG309" s="15">
        <f t="shared" si="133"/>
        <v>0</v>
      </c>
      <c r="BH309" s="173">
        <v>299</v>
      </c>
      <c r="BI309" s="84">
        <f t="shared" si="130"/>
        <v>2.0999999999999998E-6</v>
      </c>
      <c r="BJ309" s="207" t="str">
        <f t="shared" si="131"/>
        <v>مريم سامى محمد النفاتى</v>
      </c>
      <c r="BL309" s="123"/>
      <c r="BM309" s="123"/>
      <c r="BO309" s="173"/>
      <c r="BP309" s="174" t="str">
        <f t="shared" si="134"/>
        <v/>
      </c>
      <c r="BQ309" s="174" t="str">
        <f t="shared" si="135"/>
        <v/>
      </c>
      <c r="BR309" s="174" t="str">
        <f t="shared" si="136"/>
        <v/>
      </c>
      <c r="BS309" s="174" t="str">
        <f t="shared" si="137"/>
        <v/>
      </c>
      <c r="BT309" s="174" t="str">
        <f t="shared" si="138"/>
        <v/>
      </c>
      <c r="BU309" s="174" t="str">
        <f t="shared" si="139"/>
        <v/>
      </c>
      <c r="BV309" s="174" t="str">
        <f t="shared" si="140"/>
        <v/>
      </c>
      <c r="BW309" s="174" t="str">
        <f t="shared" si="141"/>
        <v/>
      </c>
      <c r="BX309" s="174" t="str">
        <f t="shared" si="142"/>
        <v/>
      </c>
      <c r="BY309" s="174" t="str">
        <f t="shared" si="143"/>
        <v/>
      </c>
      <c r="BZ309" s="174" t="str">
        <f t="shared" si="144"/>
        <v/>
      </c>
      <c r="CA309" s="174" t="str">
        <f t="shared" si="145"/>
        <v/>
      </c>
      <c r="CB309" s="161"/>
      <c r="CC309" s="161"/>
      <c r="CD309" s="161"/>
      <c r="CE309" s="161" t="s">
        <v>150</v>
      </c>
      <c r="CF309" s="161"/>
    </row>
    <row r="310" spans="1:84" ht="14.25" customHeight="1" thickBot="1" x14ac:dyDescent="0.3">
      <c r="A310" s="205">
        <v>300</v>
      </c>
      <c r="B310" s="85"/>
      <c r="C310" s="195"/>
      <c r="D310" s="91"/>
      <c r="E310" s="310" t="s">
        <v>92</v>
      </c>
      <c r="F310" s="93"/>
      <c r="G310" s="97"/>
      <c r="H310" s="97"/>
      <c r="I310" s="97"/>
      <c r="J310" s="97"/>
      <c r="K310" s="97"/>
      <c r="L310" s="224">
        <f t="shared" si="146"/>
        <v>0</v>
      </c>
      <c r="M310" s="300"/>
      <c r="N310" s="301"/>
      <c r="O310" s="342"/>
      <c r="P310" s="313" t="s">
        <v>66</v>
      </c>
      <c r="Q310" s="93"/>
      <c r="R310" s="97"/>
      <c r="S310" s="97"/>
      <c r="T310" s="97"/>
      <c r="U310" s="97"/>
      <c r="V310" s="97"/>
      <c r="W310" s="224">
        <f t="shared" si="147"/>
        <v>0</v>
      </c>
      <c r="X310" s="300"/>
      <c r="Y310" s="301"/>
      <c r="Z310" s="342"/>
      <c r="AA310" s="313" t="s">
        <v>86</v>
      </c>
      <c r="AB310" s="78"/>
      <c r="AC310" s="321"/>
      <c r="AD310" s="321"/>
      <c r="AE310" s="321"/>
      <c r="AF310" s="321"/>
      <c r="AG310" s="322"/>
      <c r="AH310" s="88">
        <f t="shared" si="148"/>
        <v>0</v>
      </c>
      <c r="AI310" s="78"/>
      <c r="AJ310" s="322"/>
      <c r="AK310" s="345"/>
      <c r="AL310" s="102"/>
      <c r="AM310" s="99"/>
      <c r="AN310" s="227"/>
      <c r="AO310" s="221"/>
      <c r="AP310" s="90"/>
      <c r="AQ310" s="221"/>
      <c r="AR310" s="90"/>
      <c r="AS310" s="221"/>
      <c r="AT310" s="90"/>
      <c r="AU310" s="15">
        <f t="shared" si="122"/>
        <v>3.1000000000000001E-5</v>
      </c>
      <c r="AV310" s="15">
        <f t="shared" si="123"/>
        <v>0</v>
      </c>
      <c r="AW310" s="15"/>
      <c r="AX310" s="173">
        <v>300</v>
      </c>
      <c r="AY310" s="206">
        <f t="shared" si="124"/>
        <v>3.5999999999999998E-6</v>
      </c>
      <c r="AZ310" s="173">
        <f t="shared" si="125"/>
        <v>0</v>
      </c>
      <c r="BA310" s="233">
        <f t="shared" si="126"/>
        <v>3.1000000000000001E-5</v>
      </c>
      <c r="BB310" s="15">
        <f t="shared" si="132"/>
        <v>0</v>
      </c>
      <c r="BC310" s="173">
        <v>300</v>
      </c>
      <c r="BD310" s="84">
        <f t="shared" si="127"/>
        <v>1.9999999999999999E-6</v>
      </c>
      <c r="BE310" s="207" t="str">
        <f t="shared" si="128"/>
        <v>كنان سالم عبد الكريم النفاتى</v>
      </c>
      <c r="BF310" s="233">
        <f t="shared" si="129"/>
        <v>3.1000000000000001E-5</v>
      </c>
      <c r="BG310" s="15">
        <f t="shared" si="133"/>
        <v>0</v>
      </c>
      <c r="BH310" s="173">
        <v>300</v>
      </c>
      <c r="BI310" s="84">
        <f t="shared" si="130"/>
        <v>1.9999999999999999E-6</v>
      </c>
      <c r="BJ310" s="207" t="str">
        <f t="shared" si="131"/>
        <v>كنان سالم عبد الكريم النفاتى</v>
      </c>
      <c r="BL310" s="123"/>
      <c r="BM310" s="123"/>
      <c r="BO310" s="173"/>
      <c r="BP310" s="174" t="str">
        <f t="shared" si="134"/>
        <v/>
      </c>
      <c r="BQ310" s="174" t="str">
        <f t="shared" si="135"/>
        <v/>
      </c>
      <c r="BR310" s="174" t="str">
        <f t="shared" si="136"/>
        <v/>
      </c>
      <c r="BS310" s="174" t="str">
        <f t="shared" si="137"/>
        <v/>
      </c>
      <c r="BT310" s="174" t="str">
        <f t="shared" si="138"/>
        <v/>
      </c>
      <c r="BU310" s="174" t="str">
        <f t="shared" si="139"/>
        <v/>
      </c>
      <c r="BV310" s="174" t="str">
        <f t="shared" si="140"/>
        <v/>
      </c>
      <c r="BW310" s="174" t="str">
        <f t="shared" si="141"/>
        <v/>
      </c>
      <c r="BX310" s="174" t="str">
        <f t="shared" si="142"/>
        <v/>
      </c>
      <c r="BY310" s="174" t="str">
        <f t="shared" si="143"/>
        <v/>
      </c>
      <c r="BZ310" s="174" t="str">
        <f t="shared" si="144"/>
        <v/>
      </c>
      <c r="CA310" s="174" t="str">
        <f t="shared" si="145"/>
        <v/>
      </c>
      <c r="CB310" s="161"/>
      <c r="CC310" s="161"/>
      <c r="CD310" s="161"/>
      <c r="CE310" s="161" t="s">
        <v>150</v>
      </c>
      <c r="CF310" s="161"/>
    </row>
    <row r="311" spans="1:84" ht="14.25" customHeight="1" x14ac:dyDescent="0.25">
      <c r="A311" s="203">
        <v>301</v>
      </c>
      <c r="B311" s="86"/>
      <c r="C311" s="193"/>
      <c r="D311" s="143"/>
      <c r="E311" s="308" t="s">
        <v>92</v>
      </c>
      <c r="F311" s="213"/>
      <c r="G311" s="214"/>
      <c r="H311" s="214"/>
      <c r="I311" s="214"/>
      <c r="J311" s="214"/>
      <c r="K311" s="214"/>
      <c r="L311" s="295">
        <f t="shared" si="146"/>
        <v>0</v>
      </c>
      <c r="M311" s="296"/>
      <c r="N311" s="297"/>
      <c r="O311" s="340"/>
      <c r="P311" s="311" t="s">
        <v>66</v>
      </c>
      <c r="Q311" s="213"/>
      <c r="R311" s="214"/>
      <c r="S311" s="214"/>
      <c r="T311" s="214"/>
      <c r="U311" s="214"/>
      <c r="V311" s="214"/>
      <c r="W311" s="295">
        <f t="shared" si="147"/>
        <v>0</v>
      </c>
      <c r="X311" s="296"/>
      <c r="Y311" s="297"/>
      <c r="Z311" s="346"/>
      <c r="AA311" s="314" t="s">
        <v>148</v>
      </c>
      <c r="AB311" s="13"/>
      <c r="AC311" s="222"/>
      <c r="AD311" s="222"/>
      <c r="AE311" s="222"/>
      <c r="AF311" s="222"/>
      <c r="AG311" s="5"/>
      <c r="AH311" s="20">
        <f t="shared" si="148"/>
        <v>0</v>
      </c>
      <c r="AI311" s="13"/>
      <c r="AJ311" s="5"/>
      <c r="AK311" s="343"/>
      <c r="AL311" s="100"/>
      <c r="AM311" s="98"/>
      <c r="AN311" s="226"/>
      <c r="AO311" s="225"/>
      <c r="AP311" s="89"/>
      <c r="AQ311" s="225"/>
      <c r="AR311" s="89"/>
      <c r="AS311" s="225"/>
      <c r="AT311" s="89"/>
      <c r="AU311" s="15">
        <f t="shared" si="122"/>
        <v>3.1099999999999997E-5</v>
      </c>
      <c r="AV311" s="15">
        <f t="shared" si="123"/>
        <v>0</v>
      </c>
      <c r="AW311" s="15"/>
      <c r="AX311" s="173">
        <v>301</v>
      </c>
      <c r="AY311" s="206">
        <f t="shared" si="124"/>
        <v>3.4999999999999999E-6</v>
      </c>
      <c r="AZ311" s="173">
        <f t="shared" si="125"/>
        <v>0</v>
      </c>
      <c r="BA311" s="233">
        <f t="shared" si="126"/>
        <v>3.1099999999999997E-5</v>
      </c>
      <c r="BB311" s="15">
        <f t="shared" si="132"/>
        <v>0</v>
      </c>
      <c r="BC311" s="173">
        <v>301</v>
      </c>
      <c r="BD311" s="84">
        <f t="shared" si="127"/>
        <v>1.9E-6</v>
      </c>
      <c r="BE311" s="207" t="str">
        <f t="shared" si="128"/>
        <v>فاطمة سالم سالم الورفلى</v>
      </c>
      <c r="BF311" s="233">
        <f t="shared" si="129"/>
        <v>3.1099999999999997E-5</v>
      </c>
      <c r="BG311" s="15">
        <f t="shared" si="133"/>
        <v>0</v>
      </c>
      <c r="BH311" s="173">
        <v>301</v>
      </c>
      <c r="BI311" s="84">
        <f t="shared" si="130"/>
        <v>1.9E-6</v>
      </c>
      <c r="BJ311" s="207" t="str">
        <f t="shared" si="131"/>
        <v>فاطمة سالم سالم الورفلى</v>
      </c>
      <c r="BL311" s="123"/>
      <c r="BM311" s="123"/>
      <c r="BO311" s="173"/>
      <c r="BP311" s="174" t="str">
        <f t="shared" si="134"/>
        <v/>
      </c>
      <c r="BQ311" s="174" t="str">
        <f t="shared" si="135"/>
        <v/>
      </c>
      <c r="BR311" s="174" t="str">
        <f t="shared" si="136"/>
        <v/>
      </c>
      <c r="BS311" s="174" t="str">
        <f t="shared" si="137"/>
        <v/>
      </c>
      <c r="BT311" s="174" t="str">
        <f t="shared" si="138"/>
        <v/>
      </c>
      <c r="BU311" s="174" t="str">
        <f t="shared" si="139"/>
        <v/>
      </c>
      <c r="BV311" s="174" t="str">
        <f t="shared" si="140"/>
        <v/>
      </c>
      <c r="BW311" s="174" t="str">
        <f t="shared" si="141"/>
        <v/>
      </c>
      <c r="BX311" s="174" t="str">
        <f t="shared" si="142"/>
        <v/>
      </c>
      <c r="BY311" s="174" t="str">
        <f t="shared" si="143"/>
        <v/>
      </c>
      <c r="BZ311" s="174" t="str">
        <f t="shared" si="144"/>
        <v/>
      </c>
      <c r="CA311" s="174" t="str">
        <f t="shared" si="145"/>
        <v/>
      </c>
      <c r="CB311" s="161"/>
      <c r="CC311" s="161"/>
      <c r="CD311" s="161"/>
      <c r="CE311" s="161" t="s">
        <v>150</v>
      </c>
      <c r="CF311" s="161"/>
    </row>
    <row r="312" spans="1:84" ht="14.25" customHeight="1" x14ac:dyDescent="0.25">
      <c r="A312" s="204">
        <v>302</v>
      </c>
      <c r="B312" s="211"/>
      <c r="C312" s="194"/>
      <c r="D312" s="142"/>
      <c r="E312" s="309" t="s">
        <v>92</v>
      </c>
      <c r="F312" s="305"/>
      <c r="G312" s="306"/>
      <c r="H312" s="306"/>
      <c r="I312" s="306"/>
      <c r="J312" s="306"/>
      <c r="K312" s="306"/>
      <c r="L312" s="223">
        <f t="shared" si="146"/>
        <v>0</v>
      </c>
      <c r="M312" s="298"/>
      <c r="N312" s="299"/>
      <c r="O312" s="341"/>
      <c r="P312" s="312" t="s">
        <v>66</v>
      </c>
      <c r="Q312" s="305"/>
      <c r="R312" s="306"/>
      <c r="S312" s="306"/>
      <c r="T312" s="306"/>
      <c r="U312" s="306"/>
      <c r="V312" s="306"/>
      <c r="W312" s="223">
        <f t="shared" si="147"/>
        <v>0</v>
      </c>
      <c r="X312" s="298"/>
      <c r="Y312" s="299"/>
      <c r="Z312" s="341"/>
      <c r="AA312" s="312" t="s">
        <v>86</v>
      </c>
      <c r="AB312" s="77"/>
      <c r="AC312" s="319"/>
      <c r="AD312" s="319"/>
      <c r="AE312" s="319"/>
      <c r="AF312" s="319"/>
      <c r="AG312" s="320"/>
      <c r="AH312" s="20">
        <f t="shared" si="148"/>
        <v>0</v>
      </c>
      <c r="AI312" s="77"/>
      <c r="AJ312" s="320"/>
      <c r="AK312" s="344"/>
      <c r="AL312" s="101"/>
      <c r="AM312" s="209"/>
      <c r="AN312" s="208"/>
      <c r="AO312" s="220"/>
      <c r="AP312" s="212"/>
      <c r="AQ312" s="220"/>
      <c r="AR312" s="212"/>
      <c r="AS312" s="220"/>
      <c r="AT312" s="212"/>
      <c r="AU312" s="15">
        <f t="shared" si="122"/>
        <v>3.1199999999999999E-5</v>
      </c>
      <c r="AV312" s="15">
        <f t="shared" si="123"/>
        <v>0</v>
      </c>
      <c r="AW312" s="15"/>
      <c r="AX312" s="173">
        <v>302</v>
      </c>
      <c r="AY312" s="206">
        <f t="shared" si="124"/>
        <v>3.3999999999999996E-6</v>
      </c>
      <c r="AZ312" s="173">
        <f t="shared" si="125"/>
        <v>0</v>
      </c>
      <c r="BA312" s="233">
        <f t="shared" si="126"/>
        <v>3.1199999999999999E-5</v>
      </c>
      <c r="BB312" s="15">
        <f t="shared" si="132"/>
        <v>0</v>
      </c>
      <c r="BC312" s="173">
        <v>302</v>
      </c>
      <c r="BD312" s="84">
        <f t="shared" si="127"/>
        <v>1.7999999999999999E-6</v>
      </c>
      <c r="BE312" s="207" t="str">
        <f t="shared" si="128"/>
        <v/>
      </c>
      <c r="BF312" s="233">
        <f t="shared" si="129"/>
        <v>3.1199999999999999E-5</v>
      </c>
      <c r="BG312" s="15">
        <f t="shared" si="133"/>
        <v>0</v>
      </c>
      <c r="BH312" s="173">
        <v>302</v>
      </c>
      <c r="BI312" s="84">
        <f t="shared" si="130"/>
        <v>1.7999999999999999E-6</v>
      </c>
      <c r="BJ312" s="207" t="str">
        <f t="shared" si="131"/>
        <v/>
      </c>
      <c r="BL312" s="123"/>
      <c r="BM312" s="123"/>
      <c r="BO312" s="173"/>
      <c r="BP312" s="174" t="str">
        <f t="shared" si="134"/>
        <v/>
      </c>
      <c r="BQ312" s="174" t="str">
        <f t="shared" si="135"/>
        <v/>
      </c>
      <c r="BR312" s="174" t="str">
        <f t="shared" si="136"/>
        <v/>
      </c>
      <c r="BS312" s="174" t="str">
        <f t="shared" si="137"/>
        <v/>
      </c>
      <c r="BT312" s="174" t="str">
        <f t="shared" si="138"/>
        <v/>
      </c>
      <c r="BU312" s="174" t="str">
        <f t="shared" si="139"/>
        <v/>
      </c>
      <c r="BV312" s="174" t="str">
        <f t="shared" si="140"/>
        <v/>
      </c>
      <c r="BW312" s="174" t="str">
        <f t="shared" si="141"/>
        <v/>
      </c>
      <c r="BX312" s="174" t="str">
        <f t="shared" si="142"/>
        <v/>
      </c>
      <c r="BY312" s="174" t="str">
        <f t="shared" si="143"/>
        <v/>
      </c>
      <c r="BZ312" s="174" t="str">
        <f t="shared" si="144"/>
        <v/>
      </c>
      <c r="CA312" s="174" t="str">
        <f t="shared" si="145"/>
        <v/>
      </c>
      <c r="CB312" s="161"/>
      <c r="CC312" s="161"/>
      <c r="CD312" s="161"/>
      <c r="CE312" s="161" t="s">
        <v>150</v>
      </c>
      <c r="CF312" s="161"/>
    </row>
    <row r="313" spans="1:84" ht="14.25" customHeight="1" thickBot="1" x14ac:dyDescent="0.3">
      <c r="A313" s="205">
        <v>303</v>
      </c>
      <c r="B313" s="85"/>
      <c r="C313" s="195"/>
      <c r="D313" s="91"/>
      <c r="E313" s="310" t="s">
        <v>92</v>
      </c>
      <c r="F313" s="93"/>
      <c r="G313" s="97"/>
      <c r="H313" s="97"/>
      <c r="I313" s="97"/>
      <c r="J313" s="97"/>
      <c r="K313" s="97"/>
      <c r="L313" s="224">
        <f t="shared" si="146"/>
        <v>0</v>
      </c>
      <c r="M313" s="300"/>
      <c r="N313" s="301"/>
      <c r="O313" s="342"/>
      <c r="P313" s="313" t="s">
        <v>66</v>
      </c>
      <c r="Q313" s="93"/>
      <c r="R313" s="97"/>
      <c r="S313" s="97"/>
      <c r="T313" s="97"/>
      <c r="U313" s="97"/>
      <c r="V313" s="97"/>
      <c r="W313" s="224">
        <f t="shared" si="147"/>
        <v>0</v>
      </c>
      <c r="X313" s="300"/>
      <c r="Y313" s="301"/>
      <c r="Z313" s="342"/>
      <c r="AA313" s="313" t="s">
        <v>86</v>
      </c>
      <c r="AB313" s="78"/>
      <c r="AC313" s="321"/>
      <c r="AD313" s="321"/>
      <c r="AE313" s="321"/>
      <c r="AF313" s="321"/>
      <c r="AG313" s="322"/>
      <c r="AH313" s="88">
        <f t="shared" si="148"/>
        <v>0</v>
      </c>
      <c r="AI313" s="78"/>
      <c r="AJ313" s="322"/>
      <c r="AK313" s="345"/>
      <c r="AL313" s="102"/>
      <c r="AM313" s="99"/>
      <c r="AN313" s="227"/>
      <c r="AO313" s="221"/>
      <c r="AP313" s="90"/>
      <c r="AQ313" s="221"/>
      <c r="AR313" s="90"/>
      <c r="AS313" s="221"/>
      <c r="AT313" s="90"/>
      <c r="AU313" s="15">
        <f t="shared" si="122"/>
        <v>3.1300000000000002E-5</v>
      </c>
      <c r="AV313" s="15">
        <f t="shared" si="123"/>
        <v>0</v>
      </c>
      <c r="AW313" s="15"/>
      <c r="AX313" s="173">
        <v>303</v>
      </c>
      <c r="AY313" s="206">
        <f t="shared" si="124"/>
        <v>3.2999999999999997E-6</v>
      </c>
      <c r="AZ313" s="173">
        <f t="shared" si="125"/>
        <v>0</v>
      </c>
      <c r="BA313" s="233">
        <f t="shared" si="126"/>
        <v>3.1300000000000002E-5</v>
      </c>
      <c r="BB313" s="15">
        <f t="shared" si="132"/>
        <v>0</v>
      </c>
      <c r="BC313" s="173">
        <v>303</v>
      </c>
      <c r="BD313" s="84">
        <f t="shared" si="127"/>
        <v>1.6999999999999998E-6</v>
      </c>
      <c r="BE313" s="207" t="str">
        <f t="shared" si="128"/>
        <v>عبدالقدوس عزالدين سالم ادريدر</v>
      </c>
      <c r="BF313" s="233">
        <f t="shared" si="129"/>
        <v>3.1300000000000002E-5</v>
      </c>
      <c r="BG313" s="15">
        <f t="shared" si="133"/>
        <v>0</v>
      </c>
      <c r="BH313" s="173">
        <v>303</v>
      </c>
      <c r="BI313" s="84">
        <f t="shared" si="130"/>
        <v>1.6999999999999998E-6</v>
      </c>
      <c r="BJ313" s="207" t="str">
        <f t="shared" si="131"/>
        <v>عبدالقدوس عزالدين سالم ادريدر</v>
      </c>
      <c r="BL313" s="123"/>
      <c r="BM313" s="123"/>
      <c r="BO313" s="173"/>
      <c r="BP313" s="174" t="str">
        <f t="shared" si="134"/>
        <v/>
      </c>
      <c r="BQ313" s="174" t="str">
        <f t="shared" si="135"/>
        <v/>
      </c>
      <c r="BR313" s="174" t="str">
        <f t="shared" si="136"/>
        <v/>
      </c>
      <c r="BS313" s="174" t="str">
        <f t="shared" si="137"/>
        <v/>
      </c>
      <c r="BT313" s="174" t="str">
        <f t="shared" si="138"/>
        <v/>
      </c>
      <c r="BU313" s="174" t="str">
        <f t="shared" si="139"/>
        <v/>
      </c>
      <c r="BV313" s="174" t="str">
        <f t="shared" si="140"/>
        <v/>
      </c>
      <c r="BW313" s="174" t="str">
        <f t="shared" si="141"/>
        <v/>
      </c>
      <c r="BX313" s="174" t="str">
        <f t="shared" si="142"/>
        <v/>
      </c>
      <c r="BY313" s="174" t="str">
        <f t="shared" si="143"/>
        <v/>
      </c>
      <c r="BZ313" s="174" t="str">
        <f t="shared" si="144"/>
        <v/>
      </c>
      <c r="CA313" s="174" t="str">
        <f t="shared" si="145"/>
        <v/>
      </c>
      <c r="CB313" s="161"/>
      <c r="CC313" s="161"/>
      <c r="CD313" s="161"/>
      <c r="CE313" s="161" t="s">
        <v>150</v>
      </c>
      <c r="CF313" s="161"/>
    </row>
    <row r="314" spans="1:84" ht="14.25" customHeight="1" x14ac:dyDescent="0.25">
      <c r="A314" s="203">
        <v>304</v>
      </c>
      <c r="B314" s="86"/>
      <c r="C314" s="193"/>
      <c r="D314" s="143"/>
      <c r="E314" s="308" t="s">
        <v>92</v>
      </c>
      <c r="F314" s="213"/>
      <c r="G314" s="214"/>
      <c r="H314" s="214"/>
      <c r="I314" s="214"/>
      <c r="J314" s="214"/>
      <c r="K314" s="214"/>
      <c r="L314" s="295">
        <f t="shared" si="146"/>
        <v>0</v>
      </c>
      <c r="M314" s="296"/>
      <c r="N314" s="297"/>
      <c r="O314" s="340"/>
      <c r="P314" s="311" t="s">
        <v>66</v>
      </c>
      <c r="Q314" s="213"/>
      <c r="R314" s="214"/>
      <c r="S314" s="214"/>
      <c r="T314" s="214"/>
      <c r="U314" s="214"/>
      <c r="V314" s="214"/>
      <c r="W314" s="295">
        <f t="shared" si="147"/>
        <v>0</v>
      </c>
      <c r="X314" s="296"/>
      <c r="Y314" s="297"/>
      <c r="Z314" s="346"/>
      <c r="AA314" s="314" t="s">
        <v>148</v>
      </c>
      <c r="AB314" s="13"/>
      <c r="AC314" s="222"/>
      <c r="AD314" s="222"/>
      <c r="AE314" s="222"/>
      <c r="AF314" s="222"/>
      <c r="AG314" s="5"/>
      <c r="AH314" s="20">
        <f t="shared" si="148"/>
        <v>0</v>
      </c>
      <c r="AI314" s="13"/>
      <c r="AJ314" s="5"/>
      <c r="AK314" s="343"/>
      <c r="AL314" s="100"/>
      <c r="AM314" s="98"/>
      <c r="AN314" s="226"/>
      <c r="AO314" s="225"/>
      <c r="AP314" s="89"/>
      <c r="AQ314" s="225"/>
      <c r="AR314" s="89"/>
      <c r="AS314" s="225"/>
      <c r="AT314" s="89"/>
      <c r="AU314" s="15">
        <f t="shared" si="122"/>
        <v>3.1399999999999998E-5</v>
      </c>
      <c r="AV314" s="15">
        <f t="shared" si="123"/>
        <v>0</v>
      </c>
      <c r="AW314" s="15"/>
      <c r="AX314" s="173">
        <v>304</v>
      </c>
      <c r="AY314" s="206">
        <f t="shared" si="124"/>
        <v>3.1999999999999999E-6</v>
      </c>
      <c r="AZ314" s="173">
        <f t="shared" si="125"/>
        <v>0</v>
      </c>
      <c r="BA314" s="233">
        <f t="shared" si="126"/>
        <v>3.1399999999999998E-5</v>
      </c>
      <c r="BB314" s="15">
        <f t="shared" si="132"/>
        <v>0</v>
      </c>
      <c r="BC314" s="173">
        <v>304</v>
      </c>
      <c r="BD314" s="84">
        <f t="shared" si="127"/>
        <v>1.5999999999999999E-6</v>
      </c>
      <c r="BE314" s="207" t="str">
        <f t="shared" si="128"/>
        <v>عبد العاطى احمد محمود محمد</v>
      </c>
      <c r="BF314" s="233">
        <f t="shared" si="129"/>
        <v>3.1399999999999998E-5</v>
      </c>
      <c r="BG314" s="15">
        <f t="shared" si="133"/>
        <v>0</v>
      </c>
      <c r="BH314" s="173">
        <v>304</v>
      </c>
      <c r="BI314" s="84">
        <f t="shared" si="130"/>
        <v>1.5999999999999999E-6</v>
      </c>
      <c r="BJ314" s="207" t="str">
        <f t="shared" si="131"/>
        <v>عبد العاطى احمد محمود محمد</v>
      </c>
      <c r="BL314" s="123"/>
      <c r="BM314" s="123"/>
      <c r="BO314" s="173"/>
      <c r="BP314" s="174" t="str">
        <f t="shared" si="134"/>
        <v/>
      </c>
      <c r="BQ314" s="174" t="str">
        <f t="shared" si="135"/>
        <v/>
      </c>
      <c r="BR314" s="174" t="str">
        <f t="shared" si="136"/>
        <v/>
      </c>
      <c r="BS314" s="174" t="str">
        <f t="shared" si="137"/>
        <v/>
      </c>
      <c r="BT314" s="174" t="str">
        <f t="shared" si="138"/>
        <v/>
      </c>
      <c r="BU314" s="174" t="str">
        <f t="shared" si="139"/>
        <v/>
      </c>
      <c r="BV314" s="174" t="str">
        <f t="shared" si="140"/>
        <v/>
      </c>
      <c r="BW314" s="174" t="str">
        <f t="shared" si="141"/>
        <v/>
      </c>
      <c r="BX314" s="174" t="str">
        <f t="shared" si="142"/>
        <v/>
      </c>
      <c r="BY314" s="174" t="str">
        <f t="shared" si="143"/>
        <v/>
      </c>
      <c r="BZ314" s="174" t="str">
        <f t="shared" si="144"/>
        <v/>
      </c>
      <c r="CA314" s="174" t="str">
        <f t="shared" si="145"/>
        <v/>
      </c>
      <c r="CB314" s="161"/>
      <c r="CC314" s="161"/>
      <c r="CD314" s="161"/>
      <c r="CE314" s="161" t="s">
        <v>150</v>
      </c>
      <c r="CF314" s="161"/>
    </row>
    <row r="315" spans="1:84" ht="14.25" customHeight="1" x14ac:dyDescent="0.25">
      <c r="A315" s="204">
        <v>305</v>
      </c>
      <c r="B315" s="211"/>
      <c r="C315" s="194"/>
      <c r="D315" s="142"/>
      <c r="E315" s="309" t="s">
        <v>92</v>
      </c>
      <c r="F315" s="305"/>
      <c r="G315" s="306"/>
      <c r="H315" s="306"/>
      <c r="I315" s="306"/>
      <c r="J315" s="306"/>
      <c r="K315" s="306"/>
      <c r="L315" s="223">
        <f t="shared" si="146"/>
        <v>0</v>
      </c>
      <c r="M315" s="298"/>
      <c r="N315" s="299"/>
      <c r="O315" s="341"/>
      <c r="P315" s="312" t="s">
        <v>66</v>
      </c>
      <c r="Q315" s="305"/>
      <c r="R315" s="306"/>
      <c r="S315" s="306"/>
      <c r="T315" s="306"/>
      <c r="U315" s="306"/>
      <c r="V315" s="306"/>
      <c r="W315" s="223">
        <f t="shared" si="147"/>
        <v>0</v>
      </c>
      <c r="X315" s="298"/>
      <c r="Y315" s="299"/>
      <c r="Z315" s="341"/>
      <c r="AA315" s="312" t="s">
        <v>86</v>
      </c>
      <c r="AB315" s="77"/>
      <c r="AC315" s="319"/>
      <c r="AD315" s="319"/>
      <c r="AE315" s="319"/>
      <c r="AF315" s="319"/>
      <c r="AG315" s="320"/>
      <c r="AH315" s="20">
        <f t="shared" si="148"/>
        <v>0</v>
      </c>
      <c r="AI315" s="77"/>
      <c r="AJ315" s="320"/>
      <c r="AK315" s="344"/>
      <c r="AL315" s="101"/>
      <c r="AM315" s="209"/>
      <c r="AN315" s="208"/>
      <c r="AO315" s="220"/>
      <c r="AP315" s="212"/>
      <c r="AQ315" s="220"/>
      <c r="AR315" s="212"/>
      <c r="AS315" s="220"/>
      <c r="AT315" s="212"/>
      <c r="AU315" s="15">
        <f t="shared" si="122"/>
        <v>3.15E-5</v>
      </c>
      <c r="AV315" s="15">
        <f t="shared" si="123"/>
        <v>0</v>
      </c>
      <c r="AW315" s="15"/>
      <c r="AX315" s="173">
        <v>305</v>
      </c>
      <c r="AY315" s="206">
        <f t="shared" si="124"/>
        <v>3.1E-6</v>
      </c>
      <c r="AZ315" s="173">
        <f t="shared" si="125"/>
        <v>0</v>
      </c>
      <c r="BA315" s="233">
        <f t="shared" si="126"/>
        <v>3.15E-5</v>
      </c>
      <c r="BB315" s="15">
        <f t="shared" si="132"/>
        <v>0</v>
      </c>
      <c r="BC315" s="173">
        <v>305</v>
      </c>
      <c r="BD315" s="84">
        <f t="shared" si="127"/>
        <v>1.5E-6</v>
      </c>
      <c r="BE315" s="207" t="str">
        <f t="shared" si="128"/>
        <v/>
      </c>
      <c r="BF315" s="233">
        <f t="shared" si="129"/>
        <v>3.15E-5</v>
      </c>
      <c r="BG315" s="15">
        <f t="shared" si="133"/>
        <v>0</v>
      </c>
      <c r="BH315" s="173">
        <v>305</v>
      </c>
      <c r="BI315" s="84">
        <f t="shared" si="130"/>
        <v>1.5E-6</v>
      </c>
      <c r="BJ315" s="207" t="str">
        <f t="shared" si="131"/>
        <v/>
      </c>
      <c r="BL315" s="123"/>
      <c r="BM315" s="123"/>
      <c r="BO315" s="173"/>
      <c r="BP315" s="174" t="str">
        <f t="shared" si="134"/>
        <v/>
      </c>
      <c r="BQ315" s="174" t="str">
        <f t="shared" si="135"/>
        <v/>
      </c>
      <c r="BR315" s="174" t="str">
        <f t="shared" si="136"/>
        <v/>
      </c>
      <c r="BS315" s="174" t="str">
        <f t="shared" si="137"/>
        <v/>
      </c>
      <c r="BT315" s="174" t="str">
        <f t="shared" si="138"/>
        <v/>
      </c>
      <c r="BU315" s="174" t="str">
        <f t="shared" si="139"/>
        <v/>
      </c>
      <c r="BV315" s="174" t="str">
        <f t="shared" si="140"/>
        <v/>
      </c>
      <c r="BW315" s="174" t="str">
        <f t="shared" si="141"/>
        <v/>
      </c>
      <c r="BX315" s="174" t="str">
        <f t="shared" si="142"/>
        <v/>
      </c>
      <c r="BY315" s="174" t="str">
        <f t="shared" si="143"/>
        <v/>
      </c>
      <c r="BZ315" s="174" t="str">
        <f t="shared" si="144"/>
        <v/>
      </c>
      <c r="CA315" s="174" t="str">
        <f t="shared" si="145"/>
        <v/>
      </c>
      <c r="CB315" s="161"/>
      <c r="CC315" s="161"/>
      <c r="CD315" s="161"/>
      <c r="CE315" s="161" t="s">
        <v>150</v>
      </c>
      <c r="CF315" s="161"/>
    </row>
    <row r="316" spans="1:84" ht="14.25" customHeight="1" thickBot="1" x14ac:dyDescent="0.3">
      <c r="A316" s="205">
        <v>306</v>
      </c>
      <c r="B316" s="85"/>
      <c r="C316" s="195"/>
      <c r="D316" s="91"/>
      <c r="E316" s="310" t="s">
        <v>92</v>
      </c>
      <c r="F316" s="93"/>
      <c r="G316" s="97"/>
      <c r="H316" s="97"/>
      <c r="I316" s="97"/>
      <c r="J316" s="97"/>
      <c r="K316" s="97"/>
      <c r="L316" s="224">
        <f t="shared" si="146"/>
        <v>0</v>
      </c>
      <c r="M316" s="300"/>
      <c r="N316" s="301"/>
      <c r="O316" s="342"/>
      <c r="P316" s="313" t="s">
        <v>66</v>
      </c>
      <c r="Q316" s="93"/>
      <c r="R316" s="97"/>
      <c r="S316" s="97"/>
      <c r="T316" s="97"/>
      <c r="U316" s="97"/>
      <c r="V316" s="97"/>
      <c r="W316" s="224">
        <f t="shared" si="147"/>
        <v>0</v>
      </c>
      <c r="X316" s="300"/>
      <c r="Y316" s="301"/>
      <c r="Z316" s="342"/>
      <c r="AA316" s="313" t="s">
        <v>86</v>
      </c>
      <c r="AB316" s="78"/>
      <c r="AC316" s="321"/>
      <c r="AD316" s="321"/>
      <c r="AE316" s="321"/>
      <c r="AF316" s="321"/>
      <c r="AG316" s="322"/>
      <c r="AH316" s="88">
        <f t="shared" si="148"/>
        <v>0</v>
      </c>
      <c r="AI316" s="78"/>
      <c r="AJ316" s="322"/>
      <c r="AK316" s="345"/>
      <c r="AL316" s="102"/>
      <c r="AM316" s="99"/>
      <c r="AN316" s="227"/>
      <c r="AO316" s="221"/>
      <c r="AP316" s="90"/>
      <c r="AQ316" s="221"/>
      <c r="AR316" s="90"/>
      <c r="AS316" s="221"/>
      <c r="AT316" s="90"/>
      <c r="AU316" s="15">
        <f t="shared" si="122"/>
        <v>3.1599999999999996E-5</v>
      </c>
      <c r="AV316" s="15">
        <f t="shared" si="123"/>
        <v>0</v>
      </c>
      <c r="AW316" s="15"/>
      <c r="AX316" s="173">
        <v>306</v>
      </c>
      <c r="AY316" s="206">
        <f t="shared" si="124"/>
        <v>3.0000000000000001E-6</v>
      </c>
      <c r="AZ316" s="173">
        <f t="shared" si="125"/>
        <v>0</v>
      </c>
      <c r="BA316" s="233">
        <f t="shared" si="126"/>
        <v>3.1599999999999996E-5</v>
      </c>
      <c r="BB316" s="15">
        <f t="shared" si="132"/>
        <v>0</v>
      </c>
      <c r="BC316" s="173">
        <v>306</v>
      </c>
      <c r="BD316" s="84">
        <f t="shared" si="127"/>
        <v>1.3999999999999999E-6</v>
      </c>
      <c r="BE316" s="207" t="str">
        <f t="shared" si="128"/>
        <v>دانية حسن مفتاح المقوب</v>
      </c>
      <c r="BF316" s="233">
        <f t="shared" si="129"/>
        <v>3.1599999999999996E-5</v>
      </c>
      <c r="BG316" s="15">
        <f t="shared" si="133"/>
        <v>0</v>
      </c>
      <c r="BH316" s="173">
        <v>306</v>
      </c>
      <c r="BI316" s="84">
        <f t="shared" si="130"/>
        <v>1.3999999999999999E-6</v>
      </c>
      <c r="BJ316" s="207" t="str">
        <f t="shared" si="131"/>
        <v>دانية حسن مفتاح المقوب</v>
      </c>
      <c r="BL316" s="123"/>
      <c r="BM316" s="123"/>
      <c r="BO316" s="173"/>
      <c r="BP316" s="174" t="str">
        <f t="shared" si="134"/>
        <v/>
      </c>
      <c r="BQ316" s="174" t="str">
        <f t="shared" si="135"/>
        <v/>
      </c>
      <c r="BR316" s="174" t="str">
        <f t="shared" si="136"/>
        <v/>
      </c>
      <c r="BS316" s="174" t="str">
        <f t="shared" si="137"/>
        <v/>
      </c>
      <c r="BT316" s="174" t="str">
        <f t="shared" si="138"/>
        <v/>
      </c>
      <c r="BU316" s="174" t="str">
        <f t="shared" si="139"/>
        <v/>
      </c>
      <c r="BV316" s="174" t="str">
        <f t="shared" si="140"/>
        <v/>
      </c>
      <c r="BW316" s="174" t="str">
        <f t="shared" si="141"/>
        <v/>
      </c>
      <c r="BX316" s="174" t="str">
        <f t="shared" si="142"/>
        <v/>
      </c>
      <c r="BY316" s="174" t="str">
        <f t="shared" si="143"/>
        <v/>
      </c>
      <c r="BZ316" s="174" t="str">
        <f t="shared" si="144"/>
        <v/>
      </c>
      <c r="CA316" s="174" t="str">
        <f t="shared" si="145"/>
        <v/>
      </c>
      <c r="CB316" s="161"/>
      <c r="CC316" s="161"/>
      <c r="CD316" s="161"/>
      <c r="CE316" s="161" t="s">
        <v>150</v>
      </c>
      <c r="CF316" s="161"/>
    </row>
    <row r="317" spans="1:84" ht="14.25" customHeight="1" x14ac:dyDescent="0.25">
      <c r="A317" s="203">
        <v>307</v>
      </c>
      <c r="B317" s="86"/>
      <c r="C317" s="193"/>
      <c r="D317" s="143"/>
      <c r="E317" s="308" t="s">
        <v>92</v>
      </c>
      <c r="F317" s="213"/>
      <c r="G317" s="214"/>
      <c r="H317" s="214"/>
      <c r="I317" s="214"/>
      <c r="J317" s="214"/>
      <c r="K317" s="214"/>
      <c r="L317" s="295">
        <f t="shared" si="146"/>
        <v>0</v>
      </c>
      <c r="M317" s="296"/>
      <c r="N317" s="297"/>
      <c r="O317" s="340"/>
      <c r="P317" s="311" t="s">
        <v>66</v>
      </c>
      <c r="Q317" s="213"/>
      <c r="R317" s="214"/>
      <c r="S317" s="214"/>
      <c r="T317" s="214"/>
      <c r="U317" s="214"/>
      <c r="V317" s="214"/>
      <c r="W317" s="295">
        <f t="shared" si="147"/>
        <v>0</v>
      </c>
      <c r="X317" s="296"/>
      <c r="Y317" s="297"/>
      <c r="Z317" s="346"/>
      <c r="AA317" s="314" t="s">
        <v>148</v>
      </c>
      <c r="AB317" s="13"/>
      <c r="AC317" s="222"/>
      <c r="AD317" s="222"/>
      <c r="AE317" s="222"/>
      <c r="AF317" s="222"/>
      <c r="AG317" s="5"/>
      <c r="AH317" s="20">
        <f t="shared" si="148"/>
        <v>0</v>
      </c>
      <c r="AI317" s="13"/>
      <c r="AJ317" s="5"/>
      <c r="AK317" s="343"/>
      <c r="AL317" s="100"/>
      <c r="AM317" s="98"/>
      <c r="AN317" s="226"/>
      <c r="AO317" s="225"/>
      <c r="AP317" s="89"/>
      <c r="AQ317" s="225"/>
      <c r="AR317" s="89"/>
      <c r="AS317" s="225"/>
      <c r="AT317" s="89"/>
      <c r="AU317" s="15">
        <f t="shared" si="122"/>
        <v>3.1699999999999998E-5</v>
      </c>
      <c r="AV317" s="15">
        <f t="shared" si="123"/>
        <v>0</v>
      </c>
      <c r="AW317" s="15"/>
      <c r="AX317" s="173">
        <v>307</v>
      </c>
      <c r="AY317" s="206">
        <f t="shared" si="124"/>
        <v>2.8999999999999998E-6</v>
      </c>
      <c r="AZ317" s="173">
        <f t="shared" si="125"/>
        <v>0</v>
      </c>
      <c r="BA317" s="233">
        <f t="shared" si="126"/>
        <v>3.1699999999999998E-5</v>
      </c>
      <c r="BB317" s="15">
        <f t="shared" si="132"/>
        <v>0</v>
      </c>
      <c r="BC317" s="173">
        <v>307</v>
      </c>
      <c r="BD317" s="84">
        <f t="shared" si="127"/>
        <v>1.2999999999999998E-6</v>
      </c>
      <c r="BE317" s="207" t="str">
        <f t="shared" si="128"/>
        <v>الحارث مبروك محمد الزوي</v>
      </c>
      <c r="BF317" s="233">
        <f t="shared" si="129"/>
        <v>3.1699999999999998E-5</v>
      </c>
      <c r="BG317" s="15">
        <f t="shared" si="133"/>
        <v>0</v>
      </c>
      <c r="BH317" s="173">
        <v>307</v>
      </c>
      <c r="BI317" s="84">
        <f t="shared" si="130"/>
        <v>1.2999999999999998E-6</v>
      </c>
      <c r="BJ317" s="207" t="str">
        <f t="shared" si="131"/>
        <v>الحارث مبروك محمد الزوي</v>
      </c>
      <c r="BL317" s="123"/>
      <c r="BM317" s="123"/>
      <c r="BO317" s="173"/>
      <c r="BP317" s="174" t="str">
        <f t="shared" si="134"/>
        <v/>
      </c>
      <c r="BQ317" s="174" t="str">
        <f t="shared" si="135"/>
        <v/>
      </c>
      <c r="BR317" s="174" t="str">
        <f t="shared" si="136"/>
        <v/>
      </c>
      <c r="BS317" s="174" t="str">
        <f t="shared" si="137"/>
        <v/>
      </c>
      <c r="BT317" s="174" t="str">
        <f t="shared" si="138"/>
        <v/>
      </c>
      <c r="BU317" s="174" t="str">
        <f t="shared" si="139"/>
        <v/>
      </c>
      <c r="BV317" s="174" t="str">
        <f t="shared" si="140"/>
        <v/>
      </c>
      <c r="BW317" s="174" t="str">
        <f t="shared" si="141"/>
        <v/>
      </c>
      <c r="BX317" s="174" t="str">
        <f t="shared" si="142"/>
        <v/>
      </c>
      <c r="BY317" s="174" t="str">
        <f t="shared" si="143"/>
        <v/>
      </c>
      <c r="BZ317" s="174" t="str">
        <f t="shared" si="144"/>
        <v/>
      </c>
      <c r="CA317" s="174" t="str">
        <f t="shared" si="145"/>
        <v/>
      </c>
      <c r="CB317" s="161"/>
      <c r="CC317" s="161"/>
      <c r="CD317" s="161"/>
      <c r="CE317" s="161" t="s">
        <v>150</v>
      </c>
      <c r="CF317" s="161"/>
    </row>
    <row r="318" spans="1:84" ht="14.25" customHeight="1" x14ac:dyDescent="0.25">
      <c r="A318" s="204">
        <v>308</v>
      </c>
      <c r="B318" s="211"/>
      <c r="C318" s="194"/>
      <c r="D318" s="142"/>
      <c r="E318" s="309" t="s">
        <v>92</v>
      </c>
      <c r="F318" s="305"/>
      <c r="G318" s="306"/>
      <c r="H318" s="306"/>
      <c r="I318" s="306"/>
      <c r="J318" s="306"/>
      <c r="K318" s="306"/>
      <c r="L318" s="223">
        <f t="shared" si="146"/>
        <v>0</v>
      </c>
      <c r="M318" s="298"/>
      <c r="N318" s="299"/>
      <c r="O318" s="341"/>
      <c r="P318" s="312" t="s">
        <v>66</v>
      </c>
      <c r="Q318" s="305"/>
      <c r="R318" s="306"/>
      <c r="S318" s="306"/>
      <c r="T318" s="306"/>
      <c r="U318" s="306"/>
      <c r="V318" s="306"/>
      <c r="W318" s="223">
        <f t="shared" si="147"/>
        <v>0</v>
      </c>
      <c r="X318" s="298"/>
      <c r="Y318" s="299"/>
      <c r="Z318" s="341"/>
      <c r="AA318" s="312" t="s">
        <v>86</v>
      </c>
      <c r="AB318" s="77"/>
      <c r="AC318" s="319"/>
      <c r="AD318" s="319"/>
      <c r="AE318" s="319"/>
      <c r="AF318" s="319"/>
      <c r="AG318" s="320"/>
      <c r="AH318" s="20">
        <f t="shared" si="148"/>
        <v>0</v>
      </c>
      <c r="AI318" s="77"/>
      <c r="AJ318" s="320"/>
      <c r="AK318" s="344"/>
      <c r="AL318" s="101"/>
      <c r="AM318" s="209"/>
      <c r="AN318" s="208"/>
      <c r="AO318" s="220"/>
      <c r="AP318" s="212"/>
      <c r="AQ318" s="220"/>
      <c r="AR318" s="212"/>
      <c r="AS318" s="220"/>
      <c r="AT318" s="212"/>
      <c r="AU318" s="15">
        <f t="shared" si="122"/>
        <v>3.18E-5</v>
      </c>
      <c r="AV318" s="15">
        <f t="shared" si="123"/>
        <v>0</v>
      </c>
      <c r="AW318" s="15"/>
      <c r="AX318" s="173">
        <v>308</v>
      </c>
      <c r="AY318" s="206">
        <f t="shared" si="124"/>
        <v>2.7999999999999999E-6</v>
      </c>
      <c r="AZ318" s="173">
        <f t="shared" si="125"/>
        <v>0</v>
      </c>
      <c r="BA318" s="233">
        <f t="shared" si="126"/>
        <v>3.18E-5</v>
      </c>
      <c r="BB318" s="15">
        <f t="shared" si="132"/>
        <v>0</v>
      </c>
      <c r="BC318" s="173">
        <v>308</v>
      </c>
      <c r="BD318" s="84">
        <f t="shared" si="127"/>
        <v>1.1999999999999999E-6</v>
      </c>
      <c r="BE318" s="207" t="str">
        <f t="shared" si="128"/>
        <v>انصير احمد انصير خليل</v>
      </c>
      <c r="BF318" s="233">
        <f t="shared" si="129"/>
        <v>3.18E-5</v>
      </c>
      <c r="BG318" s="15">
        <f t="shared" si="133"/>
        <v>0</v>
      </c>
      <c r="BH318" s="173">
        <v>308</v>
      </c>
      <c r="BI318" s="84">
        <f t="shared" si="130"/>
        <v>1.1999999999999999E-6</v>
      </c>
      <c r="BJ318" s="207" t="str">
        <f t="shared" si="131"/>
        <v>انصير احمد انصير خليل</v>
      </c>
      <c r="BL318" s="123"/>
      <c r="BM318" s="123"/>
      <c r="BO318" s="173"/>
      <c r="BP318" s="174" t="str">
        <f t="shared" si="134"/>
        <v/>
      </c>
      <c r="BQ318" s="174" t="str">
        <f t="shared" si="135"/>
        <v/>
      </c>
      <c r="BR318" s="174" t="str">
        <f t="shared" si="136"/>
        <v/>
      </c>
      <c r="BS318" s="174" t="str">
        <f t="shared" si="137"/>
        <v/>
      </c>
      <c r="BT318" s="174" t="str">
        <f t="shared" si="138"/>
        <v/>
      </c>
      <c r="BU318" s="174" t="str">
        <f t="shared" si="139"/>
        <v/>
      </c>
      <c r="BV318" s="174" t="str">
        <f t="shared" si="140"/>
        <v/>
      </c>
      <c r="BW318" s="174" t="str">
        <f t="shared" si="141"/>
        <v/>
      </c>
      <c r="BX318" s="174" t="str">
        <f t="shared" si="142"/>
        <v/>
      </c>
      <c r="BY318" s="174" t="str">
        <f t="shared" si="143"/>
        <v/>
      </c>
      <c r="BZ318" s="174" t="str">
        <f t="shared" si="144"/>
        <v/>
      </c>
      <c r="CA318" s="174" t="str">
        <f t="shared" si="145"/>
        <v/>
      </c>
      <c r="CB318" s="161"/>
      <c r="CC318" s="161"/>
      <c r="CD318" s="161"/>
      <c r="CE318" s="161" t="s">
        <v>150</v>
      </c>
      <c r="CF318" s="161"/>
    </row>
    <row r="319" spans="1:84" ht="14.25" customHeight="1" thickBot="1" x14ac:dyDescent="0.3">
      <c r="A319" s="205">
        <v>309</v>
      </c>
      <c r="B319" s="85"/>
      <c r="C319" s="195"/>
      <c r="D319" s="91"/>
      <c r="E319" s="310" t="s">
        <v>92</v>
      </c>
      <c r="F319" s="93"/>
      <c r="G319" s="97"/>
      <c r="H319" s="97"/>
      <c r="I319" s="97"/>
      <c r="J319" s="97"/>
      <c r="K319" s="97"/>
      <c r="L319" s="224">
        <f t="shared" si="146"/>
        <v>0</v>
      </c>
      <c r="M319" s="300"/>
      <c r="N319" s="301"/>
      <c r="O319" s="342"/>
      <c r="P319" s="313" t="s">
        <v>66</v>
      </c>
      <c r="Q319" s="93"/>
      <c r="R319" s="97"/>
      <c r="S319" s="97"/>
      <c r="T319" s="97"/>
      <c r="U319" s="97"/>
      <c r="V319" s="97"/>
      <c r="W319" s="224">
        <f t="shared" si="147"/>
        <v>0</v>
      </c>
      <c r="X319" s="300"/>
      <c r="Y319" s="301"/>
      <c r="Z319" s="342"/>
      <c r="AA319" s="313" t="s">
        <v>86</v>
      </c>
      <c r="AB319" s="78"/>
      <c r="AC319" s="321"/>
      <c r="AD319" s="321"/>
      <c r="AE319" s="321"/>
      <c r="AF319" s="321"/>
      <c r="AG319" s="322"/>
      <c r="AH319" s="88">
        <f t="shared" si="148"/>
        <v>0</v>
      </c>
      <c r="AI319" s="78"/>
      <c r="AJ319" s="322"/>
      <c r="AK319" s="345"/>
      <c r="AL319" s="102"/>
      <c r="AM319" s="99"/>
      <c r="AN319" s="227"/>
      <c r="AO319" s="221"/>
      <c r="AP319" s="90"/>
      <c r="AQ319" s="221"/>
      <c r="AR319" s="90"/>
      <c r="AS319" s="221"/>
      <c r="AT319" s="90"/>
      <c r="AU319" s="15">
        <f t="shared" si="122"/>
        <v>3.1899999999999996E-5</v>
      </c>
      <c r="AV319" s="15">
        <f t="shared" si="123"/>
        <v>0</v>
      </c>
      <c r="AW319" s="15"/>
      <c r="AX319" s="173">
        <v>309</v>
      </c>
      <c r="AY319" s="206">
        <f t="shared" si="124"/>
        <v>2.7E-6</v>
      </c>
      <c r="AZ319" s="173">
        <f t="shared" si="125"/>
        <v>0</v>
      </c>
      <c r="BA319" s="233">
        <f t="shared" si="126"/>
        <v>3.1899999999999996E-5</v>
      </c>
      <c r="BB319" s="15">
        <f t="shared" si="132"/>
        <v>0</v>
      </c>
      <c r="BC319" s="173">
        <v>309</v>
      </c>
      <c r="BD319" s="84">
        <f t="shared" si="127"/>
        <v>1.1000000000000001E-6</v>
      </c>
      <c r="BE319" s="207" t="str">
        <f t="shared" si="128"/>
        <v>امجد عمر عبداللطيف سلطان</v>
      </c>
      <c r="BF319" s="233">
        <f t="shared" si="129"/>
        <v>3.1899999999999996E-5</v>
      </c>
      <c r="BG319" s="15">
        <f t="shared" si="133"/>
        <v>0</v>
      </c>
      <c r="BH319" s="173">
        <v>309</v>
      </c>
      <c r="BI319" s="84">
        <f t="shared" si="130"/>
        <v>1.1000000000000001E-6</v>
      </c>
      <c r="BJ319" s="207" t="str">
        <f t="shared" si="131"/>
        <v>امجد عمر عبداللطيف سلطان</v>
      </c>
      <c r="BL319" s="123"/>
      <c r="BM319" s="123"/>
      <c r="BO319" s="173"/>
      <c r="BP319" s="174" t="str">
        <f t="shared" si="134"/>
        <v/>
      </c>
      <c r="BQ319" s="174" t="str">
        <f t="shared" si="135"/>
        <v/>
      </c>
      <c r="BR319" s="174" t="str">
        <f t="shared" si="136"/>
        <v/>
      </c>
      <c r="BS319" s="174" t="str">
        <f t="shared" si="137"/>
        <v/>
      </c>
      <c r="BT319" s="174" t="str">
        <f t="shared" si="138"/>
        <v/>
      </c>
      <c r="BU319" s="174" t="str">
        <f t="shared" si="139"/>
        <v/>
      </c>
      <c r="BV319" s="174" t="str">
        <f t="shared" si="140"/>
        <v/>
      </c>
      <c r="BW319" s="174" t="str">
        <f t="shared" si="141"/>
        <v/>
      </c>
      <c r="BX319" s="174" t="str">
        <f t="shared" si="142"/>
        <v/>
      </c>
      <c r="BY319" s="174" t="str">
        <f t="shared" si="143"/>
        <v/>
      </c>
      <c r="BZ319" s="174" t="str">
        <f t="shared" si="144"/>
        <v/>
      </c>
      <c r="CA319" s="174" t="str">
        <f t="shared" si="145"/>
        <v/>
      </c>
      <c r="CB319" s="161"/>
      <c r="CC319" s="161"/>
      <c r="CD319" s="161"/>
      <c r="CE319" s="161" t="s">
        <v>150</v>
      </c>
      <c r="CF319" s="161"/>
    </row>
  </sheetData>
  <sheetProtection selectLockedCells="1"/>
  <mergeCells count="59">
    <mergeCell ref="I9:I10"/>
    <mergeCell ref="T9:T10"/>
    <mergeCell ref="AA6:AK6"/>
    <mergeCell ref="P6:Z6"/>
    <mergeCell ref="E6:O6"/>
    <mergeCell ref="AK8:AK9"/>
    <mergeCell ref="Z8:Z9"/>
    <mergeCell ref="O8:O9"/>
    <mergeCell ref="AB9:AB10"/>
    <mergeCell ref="Y8:Y9"/>
    <mergeCell ref="X8:X9"/>
    <mergeCell ref="AE9:AE10"/>
    <mergeCell ref="J9:J10"/>
    <mergeCell ref="A6:A10"/>
    <mergeCell ref="B6:B10"/>
    <mergeCell ref="D6:D10"/>
    <mergeCell ref="V9:V10"/>
    <mergeCell ref="M8:M9"/>
    <mergeCell ref="N8:N9"/>
    <mergeCell ref="C6:C10"/>
    <mergeCell ref="S9:S10"/>
    <mergeCell ref="U9:U10"/>
    <mergeCell ref="Q9:Q10"/>
    <mergeCell ref="R9:R10"/>
    <mergeCell ref="K9:K10"/>
    <mergeCell ref="L7:L9"/>
    <mergeCell ref="F9:F10"/>
    <mergeCell ref="G9:G10"/>
    <mergeCell ref="H9:H10"/>
    <mergeCell ref="CC6:CD6"/>
    <mergeCell ref="CD7:CE7"/>
    <mergeCell ref="BP9:CA9"/>
    <mergeCell ref="W7:W9"/>
    <mergeCell ref="AH7:AH9"/>
    <mergeCell ref="AC9:AC10"/>
    <mergeCell ref="AD9:AD10"/>
    <mergeCell ref="BP10:CA10"/>
    <mergeCell ref="BH10:BJ10"/>
    <mergeCell ref="BC10:BE10"/>
    <mergeCell ref="AX10:AZ10"/>
    <mergeCell ref="AF9:AF10"/>
    <mergeCell ref="AG9:AG10"/>
    <mergeCell ref="AL6:AN9"/>
    <mergeCell ref="AO6:AT8"/>
    <mergeCell ref="AQ9:AR9"/>
    <mergeCell ref="AS9:AT9"/>
    <mergeCell ref="AO9:AP9"/>
    <mergeCell ref="AJ8:AJ9"/>
    <mergeCell ref="AI8:AI9"/>
    <mergeCell ref="BI2:BJ2"/>
    <mergeCell ref="B5:C5"/>
    <mergeCell ref="M3:AO3"/>
    <mergeCell ref="D2:N2"/>
    <mergeCell ref="A2:C2"/>
    <mergeCell ref="A3:C3"/>
    <mergeCell ref="A4:C4"/>
    <mergeCell ref="E4:H4"/>
    <mergeCell ref="L4:N4"/>
    <mergeCell ref="E5:AP5"/>
  </mergeCells>
  <dataValidations count="15">
    <dataValidation type="whole" operator="lessThanOrEqual" allowBlank="1" showInputMessage="1" showErrorMessage="1" sqref="F11:F319 Q134:Q319" xr:uid="{00000000-0002-0000-0500-000000000000}">
      <formula1>$F$8</formula1>
    </dataValidation>
    <dataValidation type="whole" operator="lessThanOrEqual" allowBlank="1" showInputMessage="1" showErrorMessage="1" sqref="G11:G319" xr:uid="{00000000-0002-0000-0500-000001000000}">
      <formula1>$G$8</formula1>
    </dataValidation>
    <dataValidation type="whole" operator="lessThanOrEqual" allowBlank="1" showInputMessage="1" showErrorMessage="1" sqref="H11:H319" xr:uid="{00000000-0002-0000-0500-000002000000}">
      <formula1>$H$8</formula1>
    </dataValidation>
    <dataValidation type="whole" operator="lessThanOrEqual" allowBlank="1" showInputMessage="1" showErrorMessage="1" sqref="I11:J319" xr:uid="{00000000-0002-0000-0500-000003000000}">
      <formula1>$J$8</formula1>
    </dataValidation>
    <dataValidation type="whole" operator="lessThanOrEqual" allowBlank="1" showInputMessage="1" showErrorMessage="1" sqref="K11:K319" xr:uid="{00000000-0002-0000-0500-000004000000}">
      <formula1>$K$8</formula1>
    </dataValidation>
    <dataValidation type="whole" operator="lessThanOrEqual" allowBlank="1" showInputMessage="1" showErrorMessage="1" sqref="Q11:Q133" xr:uid="{00000000-0002-0000-0500-000005000000}">
      <formula1>$Q$8</formula1>
    </dataValidation>
    <dataValidation type="whole" operator="lessThanOrEqual" allowBlank="1" showInputMessage="1" showErrorMessage="1" sqref="R11:R319" xr:uid="{00000000-0002-0000-0500-000006000000}">
      <formula1>$R$8</formula1>
    </dataValidation>
    <dataValidation type="whole" operator="lessThanOrEqual" allowBlank="1" showInputMessage="1" showErrorMessage="1" sqref="S11:S319" xr:uid="{00000000-0002-0000-0500-000007000000}">
      <formula1>$S$8</formula1>
    </dataValidation>
    <dataValidation type="whole" operator="lessThanOrEqual" allowBlank="1" showInputMessage="1" showErrorMessage="1" sqref="T11:U319" xr:uid="{00000000-0002-0000-0500-000008000000}">
      <formula1>$U$8</formula1>
    </dataValidation>
    <dataValidation type="whole" operator="lessThanOrEqual" allowBlank="1" showInputMessage="1" showErrorMessage="1" sqref="V11:V319" xr:uid="{00000000-0002-0000-0500-000009000000}">
      <formula1>$V$8</formula1>
    </dataValidation>
    <dataValidation type="whole" operator="lessThanOrEqual" allowBlank="1" showInputMessage="1" showErrorMessage="1" sqref="AB11:AB319" xr:uid="{00000000-0002-0000-0500-00000A000000}">
      <formula1>$AB$8</formula1>
    </dataValidation>
    <dataValidation type="whole" operator="lessThanOrEqual" allowBlank="1" showInputMessage="1" showErrorMessage="1" sqref="AC11:AC319" xr:uid="{00000000-0002-0000-0500-00000B000000}">
      <formula1>$AC$8</formula1>
    </dataValidation>
    <dataValidation type="whole" operator="lessThanOrEqual" allowBlank="1" showInputMessage="1" showErrorMessage="1" sqref="AD11:AD319" xr:uid="{00000000-0002-0000-0500-00000C000000}">
      <formula1>$AD$8</formula1>
    </dataValidation>
    <dataValidation type="whole" operator="lessThanOrEqual" allowBlank="1" showInputMessage="1" showErrorMessage="1" sqref="AE11:AF319" xr:uid="{00000000-0002-0000-0500-00000D000000}">
      <formula1>$AF$8</formula1>
    </dataValidation>
    <dataValidation type="whole" operator="lessThanOrEqual" allowBlank="1" showInputMessage="1" showErrorMessage="1" sqref="AG11:AG319" xr:uid="{00000000-0002-0000-0500-00000E000000}">
      <formula1>$AG$8</formula1>
    </dataValidation>
  </dataValidations>
  <pageMargins left="0.23622047244094491" right="0.23622047244094491" top="0.74803149606299213" bottom="0.74803149606299213" header="0.31496062992125984" footer="0.31496062992125984"/>
  <pageSetup paperSize="263" scale="105" orientation="landscape" r:id="rId1"/>
  <ignoredErrors>
    <ignoredError sqref="W11:W319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6</vt:i4>
      </vt:variant>
      <vt:variant>
        <vt:lpstr>النطاقات المسماة</vt:lpstr>
      </vt:variant>
      <vt:variant>
        <vt:i4>11</vt:i4>
      </vt:variant>
    </vt:vector>
  </HeadingPairs>
  <TitlesOfParts>
    <vt:vector size="17" baseType="lpstr">
      <vt:lpstr>بيانات الصحيفة </vt:lpstr>
      <vt:lpstr>الرئيسية</vt:lpstr>
      <vt:lpstr>صحيفة الفترات</vt:lpstr>
      <vt:lpstr>الصحيفة النهائية</vt:lpstr>
      <vt:lpstr>النتيجة النهائية</vt:lpstr>
      <vt:lpstr>ادخال1</vt:lpstr>
      <vt:lpstr>'النتيجة النهائية'!Print_Area</vt:lpstr>
      <vt:lpstr>'بيانات الصحيفة '!Print_Area</vt:lpstr>
      <vt:lpstr>'النتيجة النهائية'!Print_Titles</vt:lpstr>
      <vt:lpstr>اسماء</vt:lpstr>
      <vt:lpstr>الترتيب1</vt:lpstr>
      <vt:lpstr>الترتيب2</vt:lpstr>
      <vt:lpstr>الترتيب3</vt:lpstr>
      <vt:lpstr>عمود1</vt:lpstr>
      <vt:lpstr>عمود2</vt:lpstr>
      <vt:lpstr>مستجد</vt:lpstr>
      <vt:lpstr>مسلسل</vt:lpstr>
    </vt:vector>
  </TitlesOfParts>
  <Company>فراس الصعيو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</dc:creator>
  <cp:lastModifiedBy>hp</cp:lastModifiedBy>
  <cp:lastPrinted>2025-12-04T08:21:49Z</cp:lastPrinted>
  <dcterms:created xsi:type="dcterms:W3CDTF">2017-11-27T08:39:05Z</dcterms:created>
  <dcterms:modified xsi:type="dcterms:W3CDTF">2025-12-18T10:02:54Z</dcterms:modified>
</cp:coreProperties>
</file>